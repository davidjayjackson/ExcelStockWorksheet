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3EA86821-64AB-452E-B2E5-8A9F1780FA74}" xr6:coauthVersionLast="47" xr6:coauthVersionMax="47" xr10:uidLastSave="{00000000-0000-0000-0000-000000000000}"/>
  <bookViews>
    <workbookView xWindow="-120" yWindow="-120" windowWidth="20730" windowHeight="11040" firstSheet="1" activeTab="4" xr2:uid="{92AFEA67-FCE1-458C-9A7E-ADF426D7B024}"/>
  </bookViews>
  <sheets>
    <sheet name="Intro" sheetId="10" r:id="rId1"/>
    <sheet name="Data" sheetId="1" r:id="rId2"/>
    <sheet name="Forecast" sheetId="23" r:id="rId3"/>
    <sheet name="Weekly" sheetId="22" r:id="rId4"/>
    <sheet name="Dashboard" sheetId="7" r:id="rId5"/>
    <sheet name="Dividends" sheetId="21" r:id="rId6"/>
  </sheets>
  <definedNames>
    <definedName name="data">Data!$1:$1048576</definedName>
    <definedName name="ExternalData_1" localSheetId="2" hidden="1">Forecast!$A$1:$B$120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7" i="1" l="1"/>
  <c r="V527" i="1"/>
  <c r="Y527" i="1"/>
  <c r="G111" i="23"/>
  <c r="G112" i="23"/>
  <c r="G113" i="23"/>
  <c r="G114" i="23"/>
  <c r="G115" i="23"/>
  <c r="G116" i="23"/>
  <c r="G117" i="23"/>
  <c r="G118" i="23"/>
  <c r="G119" i="23"/>
  <c r="G120" i="23"/>
  <c r="F111" i="23"/>
  <c r="F112" i="23"/>
  <c r="F113" i="23"/>
  <c r="F114" i="23"/>
  <c r="F115" i="23"/>
  <c r="F116" i="23"/>
  <c r="F117" i="23"/>
  <c r="F118" i="23"/>
  <c r="F119" i="23"/>
  <c r="F120" i="23"/>
  <c r="U526" i="1"/>
  <c r="V526" i="1"/>
  <c r="U524" i="1"/>
  <c r="V524" i="1"/>
  <c r="U525" i="1"/>
  <c r="V525" i="1"/>
  <c r="E112" i="23"/>
  <c r="E120" i="23"/>
  <c r="E113" i="23"/>
  <c r="E116" i="23"/>
  <c r="E114" i="23"/>
  <c r="E119" i="23"/>
  <c r="E115" i="23"/>
  <c r="E117" i="23"/>
  <c r="E118" i="23"/>
  <c r="E111" i="23"/>
  <c r="C116" i="23"/>
  <c r="C120" i="23"/>
  <c r="C115" i="23"/>
  <c r="C117" i="23"/>
  <c r="C112" i="23"/>
  <c r="C114" i="23"/>
  <c r="C118" i="23"/>
  <c r="C119" i="23"/>
  <c r="C113" i="23"/>
  <c r="C111" i="23"/>
  <c r="B1" i="1" a="1"/>
  <c r="N527" i="1" l="1"/>
  <c r="G527" i="1"/>
  <c r="E527" i="1"/>
  <c r="J527" i="1"/>
  <c r="K527" i="1"/>
  <c r="AB527" i="1"/>
  <c r="G526" i="1"/>
  <c r="K526" i="1"/>
  <c r="N526" i="1"/>
  <c r="J526" i="1"/>
  <c r="AB526" i="1"/>
  <c r="E526" i="1"/>
  <c r="A526" i="1"/>
  <c r="B1" i="1"/>
  <c r="A524" i="1"/>
  <c r="A525" i="1"/>
  <c r="E524" i="1"/>
  <c r="G524" i="1"/>
  <c r="E525" i="1"/>
  <c r="N525" i="1"/>
  <c r="J524" i="1"/>
  <c r="J525" i="1"/>
  <c r="AB525" i="1"/>
  <c r="N524" i="1"/>
  <c r="K524" i="1"/>
  <c r="K525" i="1"/>
  <c r="AB524" i="1"/>
  <c r="G525" i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M527" i="1" l="1"/>
  <c r="L527" i="1"/>
  <c r="O527" i="1"/>
  <c r="P527" i="1"/>
  <c r="M526" i="1"/>
  <c r="L526" i="1"/>
  <c r="O526" i="1"/>
  <c r="P526" i="1"/>
  <c r="L525" i="1"/>
  <c r="M525" i="1"/>
  <c r="L524" i="1"/>
  <c r="M524" i="1"/>
  <c r="O525" i="1"/>
  <c r="P525" i="1"/>
  <c r="P524" i="1"/>
  <c r="O524" i="1"/>
  <c r="O521" i="1"/>
  <c r="M516" i="1"/>
  <c r="M522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X526" i="1" s="1"/>
  <c r="X527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27" i="1" l="1"/>
  <c r="F526" i="1"/>
  <c r="F525" i="1"/>
  <c r="F524" i="1"/>
  <c r="F519" i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H527" i="1" l="1"/>
  <c r="I527" i="1"/>
  <c r="I526" i="1"/>
  <c r="H526" i="1"/>
  <c r="I524" i="1"/>
  <c r="H524" i="1"/>
  <c r="I525" i="1"/>
  <c r="H525" i="1"/>
  <c r="H520" i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W238" i="1"/>
  <c r="R222" i="1"/>
  <c r="S221" i="1"/>
  <c r="T221" i="1" s="1"/>
  <c r="Z236" i="1" l="1"/>
  <c r="AA236" i="1" s="1"/>
  <c r="R223" i="1"/>
  <c r="S222" i="1"/>
  <c r="T222" i="1" s="1"/>
  <c r="Y237" i="1"/>
  <c r="W239" i="1"/>
  <c r="Z237" i="1" l="1"/>
  <c r="AA237" i="1" s="1"/>
  <c r="Y238" i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W398" i="1"/>
  <c r="Z396" i="1" l="1"/>
  <c r="AA396" i="1" s="1"/>
  <c r="Y397" i="1"/>
  <c r="W399" i="1"/>
  <c r="R383" i="1"/>
  <c r="S382" i="1"/>
  <c r="T382" i="1" s="1"/>
  <c r="Z397" i="1" l="1"/>
  <c r="AA397" i="1" s="1"/>
  <c r="R384" i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W432" i="1"/>
  <c r="Z430" i="1" l="1"/>
  <c r="AA430" i="1" s="1"/>
  <c r="Y431" i="1"/>
  <c r="W433" i="1"/>
  <c r="R417" i="1"/>
  <c r="S416" i="1"/>
  <c r="T416" i="1" s="1"/>
  <c r="Z431" i="1" l="1"/>
  <c r="AA431" i="1" s="1"/>
  <c r="R418" i="1"/>
  <c r="S417" i="1"/>
  <c r="T417" i="1" s="1"/>
  <c r="Y432" i="1"/>
  <c r="W434" i="1"/>
  <c r="Z432" i="1" l="1"/>
  <c r="AA432" i="1" s="1"/>
  <c r="Y433" i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W445" i="1"/>
  <c r="R429" i="1"/>
  <c r="S428" i="1"/>
  <c r="T428" i="1" s="1"/>
  <c r="Z443" i="1" l="1"/>
  <c r="AA443" i="1" s="1"/>
  <c r="R430" i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W480" i="1"/>
  <c r="R464" i="1"/>
  <c r="S463" i="1"/>
  <c r="T463" i="1" s="1"/>
  <c r="Z478" i="1" l="1"/>
  <c r="AA478" i="1" s="1"/>
  <c r="S464" i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W508" i="1"/>
  <c r="R492" i="1"/>
  <c r="S491" i="1"/>
  <c r="T491" i="1" s="1"/>
  <c r="Z506" i="1" l="1"/>
  <c r="AA506" i="1" s="1"/>
  <c r="R493" i="1"/>
  <c r="S492" i="1"/>
  <c r="T492" i="1" s="1"/>
  <c r="Y507" i="1"/>
  <c r="W509" i="1"/>
  <c r="Z507" i="1" l="1"/>
  <c r="AA507" i="1" s="1"/>
  <c r="Y508" i="1"/>
  <c r="W510" i="1"/>
  <c r="R494" i="1"/>
  <c r="S493" i="1"/>
  <c r="T493" i="1" s="1"/>
  <c r="Z508" i="1" l="1"/>
  <c r="AA508" i="1" s="1"/>
  <c r="R495" i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W516" i="1"/>
  <c r="AA512" i="1"/>
  <c r="R500" i="1"/>
  <c r="S499" i="1"/>
  <c r="T499" i="1" s="1"/>
  <c r="Z514" i="1" l="1"/>
  <c r="AA514" i="1" s="1"/>
  <c r="Y515" i="1"/>
  <c r="W517" i="1"/>
  <c r="R501" i="1"/>
  <c r="S500" i="1"/>
  <c r="T500" i="1" s="1"/>
  <c r="Z515" i="1" l="1"/>
  <c r="AA515" i="1"/>
  <c r="Y516" i="1"/>
  <c r="Z516" i="1" s="1"/>
  <c r="W518" i="1"/>
  <c r="R502" i="1"/>
  <c r="S501" i="1"/>
  <c r="T501" i="1" s="1"/>
  <c r="AA516" i="1" l="1"/>
  <c r="Y517" i="1"/>
  <c r="Z517" i="1" s="1"/>
  <c r="AA517" i="1" s="1"/>
  <c r="W519" i="1"/>
  <c r="R503" i="1"/>
  <c r="S502" i="1"/>
  <c r="T502" i="1" s="1"/>
  <c r="Y518" i="1" l="1"/>
  <c r="Z518" i="1" s="1"/>
  <c r="W520" i="1"/>
  <c r="R504" i="1"/>
  <c r="S503" i="1"/>
  <c r="T503" i="1" s="1"/>
  <c r="AA518" i="1" l="1"/>
  <c r="Y519" i="1"/>
  <c r="Z519" i="1" s="1"/>
  <c r="W521" i="1"/>
  <c r="R505" i="1"/>
  <c r="S504" i="1"/>
  <c r="T504" i="1" s="1"/>
  <c r="AA519" i="1" l="1"/>
  <c r="Y520" i="1"/>
  <c r="Z520" i="1" s="1"/>
  <c r="AA520" i="1" s="1"/>
  <c r="W522" i="1"/>
  <c r="R506" i="1"/>
  <c r="S505" i="1"/>
  <c r="T505" i="1" s="1"/>
  <c r="Y521" i="1" l="1"/>
  <c r="Z521" i="1" s="1"/>
  <c r="W523" i="1"/>
  <c r="R507" i="1"/>
  <c r="S506" i="1"/>
  <c r="T506" i="1" s="1"/>
  <c r="Y522" i="1" l="1"/>
  <c r="Z522" i="1" s="1"/>
  <c r="AA522" i="1" s="1"/>
  <c r="W524" i="1"/>
  <c r="AA521" i="1"/>
  <c r="R508" i="1"/>
  <c r="S507" i="1"/>
  <c r="T507" i="1" s="1"/>
  <c r="Y523" i="1" l="1"/>
  <c r="Z523" i="1" s="1"/>
  <c r="AA523" i="1" s="1"/>
  <c r="W525" i="1"/>
  <c r="R509" i="1"/>
  <c r="S508" i="1"/>
  <c r="T508" i="1" s="1"/>
  <c r="Y524" i="1" l="1"/>
  <c r="Z524" i="1" s="1"/>
  <c r="W526" i="1"/>
  <c r="R510" i="1"/>
  <c r="S509" i="1"/>
  <c r="T509" i="1" s="1"/>
  <c r="Y525" i="1" l="1"/>
  <c r="Z525" i="1" s="1"/>
  <c r="AA525" i="1" s="1"/>
  <c r="W527" i="1"/>
  <c r="Y526" i="1" s="1"/>
  <c r="AA524" i="1"/>
  <c r="R511" i="1"/>
  <c r="S510" i="1"/>
  <c r="T510" i="1" s="1"/>
  <c r="Z526" i="1" l="1"/>
  <c r="AA526" i="1" s="1"/>
  <c r="R512" i="1"/>
  <c r="S511" i="1"/>
  <c r="T511" i="1" s="1"/>
  <c r="Z527" i="1" l="1"/>
  <c r="AA527" i="1" s="1"/>
  <c r="R513" i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l="1"/>
  <c r="T523" i="1" s="1"/>
  <c r="R524" i="1"/>
  <c r="R525" i="1" l="1"/>
  <c r="S524" i="1"/>
  <c r="T524" i="1" s="1"/>
  <c r="S525" i="1" l="1"/>
  <c r="T525" i="1" s="1"/>
  <c r="R526" i="1"/>
  <c r="S526" i="1" l="1"/>
  <c r="T526" i="1" s="1"/>
  <c r="R527" i="1"/>
  <c r="S527" i="1" s="1"/>
  <c r="T52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9E2074-EB11-4025-8C30-C964B486B739}" keepAlive="1" name="Query - Forecast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6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</futureMetadata>
  <cellMetadata count="1">
    <bk>
      <rc t="1" v="0"/>
    </bk>
  </cellMetadata>
  <valueMetadata count="156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</valueMetadata>
</metadata>
</file>

<file path=xl/sharedStrings.xml><?xml version="1.0" encoding="utf-8"?>
<sst xmlns="http://schemas.openxmlformats.org/spreadsheetml/2006/main" count="61" uniqueCount="53">
  <si>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</si>
  <si>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</si>
  <si>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</si>
  <si>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</si>
  <si>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</si>
  <si>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</si>
  <si>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</si>
  <si>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</si>
  <si>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</si>
  <si>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</si>
  <si>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</si>
  <si>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</si>
  <si>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</si>
  <si>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</si>
  <si>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</si>
  <si>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</si>
  <si>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</si>
  <si>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</si>
  <si>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</si>
  <si>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</si>
  <si>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</si>
  <si>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</si>
  <si>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</si>
  <si>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</si>
  <si>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</si>
  <si>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</si>
  <si>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</si>
  <si>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</si>
  <si>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</si>
  <si>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</si>
  <si>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</si>
  <si>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</si>
  <si>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</si>
  <si>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</si>
  <si>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</si>
  <si>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</si>
  <si>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</si>
  <si>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</si>
  <si>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</si>
  <si>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</si>
  <si>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</si>
  <si>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</si>
  <si>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</si>
  <si>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</si>
  <si>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</si>
  <si>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</si>
  <si>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</si>
  <si>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</si>
  <si>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</si>
  <si>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</si>
  <si>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value</t>
  </si>
  <si>
    <t>CI/PI</t>
  </si>
  <si>
    <t xml:space="preserve">Lower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</si>
</sst>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3" formatCode="_(* #,##0.00_);_(* \(#,##0.00\);_(* &quot;-&quot;??_);_(@_)"/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7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8" fontId="7" fillId="0" borderId="1" xfId="0" applyNumberFormat="1" applyFont="1" applyBorder="1" applyAlignment="1">
      <alignment horizontal="right" wrapText="1"/>
    </xf>
    <xf numFmtId="164" fontId="6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right" wrapText="1"/>
    </xf>
  </cellXfs>
  <cellStyles count="2">
    <cellStyle name="Comma" xfId="1" builtinId="3"/>
    <cellStyle name="Normal" xfId="0" builtinId="0"/>
  </cellStyles>
  <dxfs count="4">
    <dxf>
      <numFmt numFmtId="164" formatCode="yyyy\-mm\-dd;@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Data!$AA$2:$AA$527</c:f>
              <c:numCache>
                <c:formatCode>General</c:formatCode>
                <c:ptCount val="526"/>
                <c:pt idx="35">
                  <c:v>0.73880676843293713</c:v>
                </c:pt>
                <c:pt idx="36">
                  <c:v>0.68823747362414434</c:v>
                </c:pt>
                <c:pt idx="37">
                  <c:v>0.60363881973800293</c:v>
                </c:pt>
                <c:pt idx="38">
                  <c:v>0.5543770467028315</c:v>
                </c:pt>
                <c:pt idx="39">
                  <c:v>0.57644583997449006</c:v>
                </c:pt>
                <c:pt idx="40">
                  <c:v>0.48439925466872769</c:v>
                </c:pt>
                <c:pt idx="41">
                  <c:v>0.46239470491526369</c:v>
                </c:pt>
                <c:pt idx="42">
                  <c:v>0.51502324853229986</c:v>
                </c:pt>
                <c:pt idx="43">
                  <c:v>0.55369993101008808</c:v>
                </c:pt>
                <c:pt idx="44">
                  <c:v>0.41186373498918627</c:v>
                </c:pt>
                <c:pt idx="45">
                  <c:v>0.29165563511955117</c:v>
                </c:pt>
                <c:pt idx="46">
                  <c:v>0.17277142608404317</c:v>
                </c:pt>
                <c:pt idx="47">
                  <c:v>0.1550054742818272</c:v>
                </c:pt>
                <c:pt idx="48">
                  <c:v>0.20055834220915303</c:v>
                </c:pt>
                <c:pt idx="49">
                  <c:v>-3.2944285883829139E-2</c:v>
                </c:pt>
                <c:pt idx="50">
                  <c:v>-6.2724422064696306E-2</c:v>
                </c:pt>
                <c:pt idx="51">
                  <c:v>3.880336843257659E-2</c:v>
                </c:pt>
                <c:pt idx="52">
                  <c:v>0.1387260017484051</c:v>
                </c:pt>
                <c:pt idx="53">
                  <c:v>0.32207116545073022</c:v>
                </c:pt>
                <c:pt idx="54">
                  <c:v>0.55948398938256227</c:v>
                </c:pt>
                <c:pt idx="55">
                  <c:v>0.48712730362388346</c:v>
                </c:pt>
                <c:pt idx="56">
                  <c:v>0.26413919063773239</c:v>
                </c:pt>
                <c:pt idx="57">
                  <c:v>0.1307714649347389</c:v>
                </c:pt>
                <c:pt idx="58">
                  <c:v>0.24406423548040213</c:v>
                </c:pt>
                <c:pt idx="59">
                  <c:v>0.31337259237445281</c:v>
                </c:pt>
                <c:pt idx="60">
                  <c:v>0.21419507221975476</c:v>
                </c:pt>
                <c:pt idx="61">
                  <c:v>9.5811333724170389E-2</c:v>
                </c:pt>
                <c:pt idx="62">
                  <c:v>-5.9255471192103393E-2</c:v>
                </c:pt>
                <c:pt idx="63">
                  <c:v>-0.36242951549620628</c:v>
                </c:pt>
                <c:pt idx="64">
                  <c:v>-0.45772676959440162</c:v>
                </c:pt>
                <c:pt idx="65">
                  <c:v>-0.46583158854626827</c:v>
                </c:pt>
                <c:pt idx="66">
                  <c:v>-0.56840897253584011</c:v>
                </c:pt>
                <c:pt idx="67">
                  <c:v>-0.74586331739398481</c:v>
                </c:pt>
                <c:pt idx="68">
                  <c:v>-0.85458569869594125</c:v>
                </c:pt>
                <c:pt idx="69">
                  <c:v>-1.7166836003475616</c:v>
                </c:pt>
                <c:pt idx="70">
                  <c:v>-2.1888403800796681</c:v>
                </c:pt>
                <c:pt idx="71">
                  <c:v>-2.5266102541894835</c:v>
                </c:pt>
                <c:pt idx="72">
                  <c:v>-2.6692537091429633</c:v>
                </c:pt>
                <c:pt idx="73">
                  <c:v>-2.5554189454273217</c:v>
                </c:pt>
                <c:pt idx="74">
                  <c:v>-2.0652679890872507</c:v>
                </c:pt>
                <c:pt idx="75">
                  <c:v>-1.4202252972144529</c:v>
                </c:pt>
                <c:pt idx="76">
                  <c:v>-0.76483623347697449</c:v>
                </c:pt>
                <c:pt idx="77">
                  <c:v>-0.24980924374446334</c:v>
                </c:pt>
                <c:pt idx="78">
                  <c:v>0.10933083573966257</c:v>
                </c:pt>
                <c:pt idx="79">
                  <c:v>0.34083911355499508</c:v>
                </c:pt>
                <c:pt idx="80">
                  <c:v>0.45837753390659625</c:v>
                </c:pt>
                <c:pt idx="81">
                  <c:v>0.41239806934756618</c:v>
                </c:pt>
                <c:pt idx="82">
                  <c:v>0.37133646522180952</c:v>
                </c:pt>
                <c:pt idx="83">
                  <c:v>0.3142417945406753</c:v>
                </c:pt>
                <c:pt idx="84">
                  <c:v>0.18874790409518974</c:v>
                </c:pt>
                <c:pt idx="85">
                  <c:v>0.19500974274588617</c:v>
                </c:pt>
                <c:pt idx="86">
                  <c:v>0.17203806223930462</c:v>
                </c:pt>
                <c:pt idx="87">
                  <c:v>0.39639878702308423</c:v>
                </c:pt>
                <c:pt idx="88">
                  <c:v>0.6322916280412042</c:v>
                </c:pt>
                <c:pt idx="89">
                  <c:v>0.82459131804617047</c:v>
                </c:pt>
                <c:pt idx="90">
                  <c:v>0.8940064480128711</c:v>
                </c:pt>
                <c:pt idx="91">
                  <c:v>1.0606892510331338</c:v>
                </c:pt>
                <c:pt idx="92">
                  <c:v>1.1380597266897965</c:v>
                </c:pt>
                <c:pt idx="93">
                  <c:v>1.137484970000497</c:v>
                </c:pt>
                <c:pt idx="94">
                  <c:v>1.2105758441686789</c:v>
                </c:pt>
                <c:pt idx="95">
                  <c:v>0.58743055317624338</c:v>
                </c:pt>
                <c:pt idx="96">
                  <c:v>0.3984276341962949</c:v>
                </c:pt>
                <c:pt idx="97">
                  <c:v>0.16187552275085837</c:v>
                </c:pt>
                <c:pt idx="98">
                  <c:v>-0.1039351753327904</c:v>
                </c:pt>
                <c:pt idx="99">
                  <c:v>-4.3337964799318396E-2</c:v>
                </c:pt>
                <c:pt idx="100">
                  <c:v>-0.1003207497251406</c:v>
                </c:pt>
                <c:pt idx="101">
                  <c:v>-0.23927179436218315</c:v>
                </c:pt>
                <c:pt idx="102">
                  <c:v>-0.25520546144836187</c:v>
                </c:pt>
                <c:pt idx="103">
                  <c:v>-5.9876544760419037E-2</c:v>
                </c:pt>
                <c:pt idx="104">
                  <c:v>-4.5259255110337016E-3</c:v>
                </c:pt>
                <c:pt idx="105">
                  <c:v>-0.15786492475239244</c:v>
                </c:pt>
                <c:pt idx="106">
                  <c:v>-0.38510701955537208</c:v>
                </c:pt>
                <c:pt idx="107">
                  <c:v>-0.54696262109210503</c:v>
                </c:pt>
                <c:pt idx="108">
                  <c:v>-0.44176197851560262</c:v>
                </c:pt>
                <c:pt idx="109">
                  <c:v>-0.38938728618328655</c:v>
                </c:pt>
                <c:pt idx="110">
                  <c:v>-0.68532568092694568</c:v>
                </c:pt>
                <c:pt idx="111">
                  <c:v>-1.0280656487438322</c:v>
                </c:pt>
                <c:pt idx="112">
                  <c:v>-1.0632941582965589</c:v>
                </c:pt>
                <c:pt idx="113">
                  <c:v>-1.0297837484176071</c:v>
                </c:pt>
                <c:pt idx="114">
                  <c:v>-0.88367562420262968</c:v>
                </c:pt>
                <c:pt idx="115">
                  <c:v>-0.6203081034984097</c:v>
                </c:pt>
                <c:pt idx="116">
                  <c:v>-0.31817320008914884</c:v>
                </c:pt>
                <c:pt idx="117">
                  <c:v>-0.26467624388089939</c:v>
                </c:pt>
                <c:pt idx="118">
                  <c:v>-5.3324448308922162E-2</c:v>
                </c:pt>
                <c:pt idx="119">
                  <c:v>2.9667948915862191E-2</c:v>
                </c:pt>
                <c:pt idx="120">
                  <c:v>3.8637946982661445E-2</c:v>
                </c:pt>
                <c:pt idx="121">
                  <c:v>0.15253989337771881</c:v>
                </c:pt>
                <c:pt idx="122">
                  <c:v>0.41204640075242011</c:v>
                </c:pt>
                <c:pt idx="123">
                  <c:v>0.75465389547532902</c:v>
                </c:pt>
                <c:pt idx="124">
                  <c:v>1.1417927753758137</c:v>
                </c:pt>
                <c:pt idx="125">
                  <c:v>1.3093080516540523</c:v>
                </c:pt>
                <c:pt idx="126">
                  <c:v>1.0874474865598323</c:v>
                </c:pt>
                <c:pt idx="127">
                  <c:v>0.90382507333611706</c:v>
                </c:pt>
                <c:pt idx="128">
                  <c:v>0.88447612380513885</c:v>
                </c:pt>
                <c:pt idx="129">
                  <c:v>0.82094655257823979</c:v>
                </c:pt>
                <c:pt idx="130">
                  <c:v>0.69799946025565696</c:v>
                </c:pt>
                <c:pt idx="131">
                  <c:v>0.40481867075209088</c:v>
                </c:pt>
                <c:pt idx="132">
                  <c:v>0.5056756539278906</c:v>
                </c:pt>
                <c:pt idx="133">
                  <c:v>0.74878905014037045</c:v>
                </c:pt>
                <c:pt idx="134">
                  <c:v>1.0461933099928471</c:v>
                </c:pt>
                <c:pt idx="135">
                  <c:v>0.71254001135964895</c:v>
                </c:pt>
                <c:pt idx="136">
                  <c:v>0.42615886605670905</c:v>
                </c:pt>
                <c:pt idx="137">
                  <c:v>0.22812062592006344</c:v>
                </c:pt>
                <c:pt idx="138">
                  <c:v>6.6597617277369903E-2</c:v>
                </c:pt>
                <c:pt idx="139">
                  <c:v>-0.17795645634001644</c:v>
                </c:pt>
                <c:pt idx="140">
                  <c:v>-0.34517911735006557</c:v>
                </c:pt>
                <c:pt idx="141">
                  <c:v>-0.23165547912909279</c:v>
                </c:pt>
                <c:pt idx="142">
                  <c:v>-0.26412421905382999</c:v>
                </c:pt>
                <c:pt idx="143">
                  <c:v>-2.0118882061709087E-2</c:v>
                </c:pt>
                <c:pt idx="144">
                  <c:v>-4.5063135306929958E-2</c:v>
                </c:pt>
                <c:pt idx="145">
                  <c:v>-0.39352273067250731</c:v>
                </c:pt>
                <c:pt idx="146">
                  <c:v>-1.17958603124386</c:v>
                </c:pt>
                <c:pt idx="147">
                  <c:v>-1.9037507038658208</c:v>
                </c:pt>
                <c:pt idx="148">
                  <c:v>-1.9290625882022792</c:v>
                </c:pt>
                <c:pt idx="149">
                  <c:v>-1.8539625005582203</c:v>
                </c:pt>
                <c:pt idx="150">
                  <c:v>-1.4858938595708384</c:v>
                </c:pt>
                <c:pt idx="151">
                  <c:v>-1.0726362333155763</c:v>
                </c:pt>
                <c:pt idx="152">
                  <c:v>-0.73642776540083221</c:v>
                </c:pt>
                <c:pt idx="153">
                  <c:v>-0.37766633005648975</c:v>
                </c:pt>
                <c:pt idx="154">
                  <c:v>1.2384494143153207E-2</c:v>
                </c:pt>
                <c:pt idx="155">
                  <c:v>0.33839207842137653</c:v>
                </c:pt>
                <c:pt idx="156">
                  <c:v>0.67723508721194159</c:v>
                </c:pt>
                <c:pt idx="157">
                  <c:v>0.94482822124808852</c:v>
                </c:pt>
                <c:pt idx="158">
                  <c:v>0.99778161542885824</c:v>
                </c:pt>
                <c:pt idx="159">
                  <c:v>0.97560876883055303</c:v>
                </c:pt>
                <c:pt idx="160">
                  <c:v>1.0297314219215528</c:v>
                </c:pt>
                <c:pt idx="161">
                  <c:v>1.1041542686799395</c:v>
                </c:pt>
                <c:pt idx="162">
                  <c:v>1.1325524396876554</c:v>
                </c:pt>
                <c:pt idx="163">
                  <c:v>1.1376058900018036</c:v>
                </c:pt>
                <c:pt idx="164">
                  <c:v>1.1315513438761933</c:v>
                </c:pt>
                <c:pt idx="165">
                  <c:v>1.1041475195649553</c:v>
                </c:pt>
                <c:pt idx="166">
                  <c:v>1.1688578580766555</c:v>
                </c:pt>
                <c:pt idx="167">
                  <c:v>0.83278004646290871</c:v>
                </c:pt>
                <c:pt idx="168">
                  <c:v>0.48649202023067994</c:v>
                </c:pt>
                <c:pt idx="169">
                  <c:v>0.104261711521072</c:v>
                </c:pt>
                <c:pt idx="170">
                  <c:v>-0.50214430611731897</c:v>
                </c:pt>
                <c:pt idx="171">
                  <c:v>-0.60858186163284511</c:v>
                </c:pt>
                <c:pt idx="172">
                  <c:v>-1.3902377129380534</c:v>
                </c:pt>
                <c:pt idx="173">
                  <c:v>-1.7264387700534436</c:v>
                </c:pt>
                <c:pt idx="174">
                  <c:v>-1.9086589007051962</c:v>
                </c:pt>
                <c:pt idx="175">
                  <c:v>-2.0857634149850282</c:v>
                </c:pt>
                <c:pt idx="176">
                  <c:v>-1.874204768590906</c:v>
                </c:pt>
                <c:pt idx="177">
                  <c:v>-1.5630661219987521</c:v>
                </c:pt>
                <c:pt idx="178">
                  <c:v>-1.4007334530594511</c:v>
                </c:pt>
                <c:pt idx="179">
                  <c:v>-1.0389581899026146</c:v>
                </c:pt>
                <c:pt idx="180">
                  <c:v>-0.71810636709426423</c:v>
                </c:pt>
                <c:pt idx="181">
                  <c:v>-0.45468002953566561</c:v>
                </c:pt>
                <c:pt idx="182">
                  <c:v>-0.2527833425251852</c:v>
                </c:pt>
                <c:pt idx="183">
                  <c:v>-0.19837724094931641</c:v>
                </c:pt>
                <c:pt idx="184">
                  <c:v>-0.17563580966367742</c:v>
                </c:pt>
                <c:pt idx="185">
                  <c:v>-0.10141905402408835</c:v>
                </c:pt>
                <c:pt idx="186">
                  <c:v>-2.1572331725516869E-2</c:v>
                </c:pt>
                <c:pt idx="187">
                  <c:v>-0.20909121956916121</c:v>
                </c:pt>
                <c:pt idx="188">
                  <c:v>-0.29414518923422373</c:v>
                </c:pt>
                <c:pt idx="189">
                  <c:v>-0.45726585065851455</c:v>
                </c:pt>
                <c:pt idx="190">
                  <c:v>-0.14599175235713246</c:v>
                </c:pt>
                <c:pt idx="191">
                  <c:v>4.5864104157318231E-2</c:v>
                </c:pt>
                <c:pt idx="192">
                  <c:v>0.15972892865945665</c:v>
                </c:pt>
                <c:pt idx="193">
                  <c:v>0.4002577903226171</c:v>
                </c:pt>
                <c:pt idx="194">
                  <c:v>0.49924862032927797</c:v>
                </c:pt>
                <c:pt idx="195">
                  <c:v>1.1432901707552976</c:v>
                </c:pt>
                <c:pt idx="196">
                  <c:v>1.4378222107192338</c:v>
                </c:pt>
                <c:pt idx="197">
                  <c:v>1.6043378985305601</c:v>
                </c:pt>
                <c:pt idx="198">
                  <c:v>1.6999277844953671</c:v>
                </c:pt>
                <c:pt idx="199">
                  <c:v>1.7121829908715838</c:v>
                </c:pt>
                <c:pt idx="200">
                  <c:v>1.6785097878475208</c:v>
                </c:pt>
                <c:pt idx="201">
                  <c:v>1.4021144453285759</c:v>
                </c:pt>
                <c:pt idx="202">
                  <c:v>1.2076026129441493</c:v>
                </c:pt>
                <c:pt idx="203">
                  <c:v>0.95507171461987816</c:v>
                </c:pt>
                <c:pt idx="204">
                  <c:v>0.82274114863379388</c:v>
                </c:pt>
                <c:pt idx="205">
                  <c:v>0.50022472113670169</c:v>
                </c:pt>
                <c:pt idx="206">
                  <c:v>0.44824172086643888</c:v>
                </c:pt>
                <c:pt idx="207">
                  <c:v>0.19802295939441894</c:v>
                </c:pt>
                <c:pt idx="208">
                  <c:v>9.85100081194763E-2</c:v>
                </c:pt>
                <c:pt idx="209">
                  <c:v>-0.15682200714312522</c:v>
                </c:pt>
                <c:pt idx="210">
                  <c:v>-0.27207603776399081</c:v>
                </c:pt>
                <c:pt idx="211">
                  <c:v>-0.55962781307194653</c:v>
                </c:pt>
                <c:pt idx="212">
                  <c:v>-0.62803100979028148</c:v>
                </c:pt>
                <c:pt idx="213">
                  <c:v>0.96863055393914355</c:v>
                </c:pt>
                <c:pt idx="214">
                  <c:v>1.2096247959669713</c:v>
                </c:pt>
                <c:pt idx="215">
                  <c:v>1.3053859762727686</c:v>
                </c:pt>
                <c:pt idx="216">
                  <c:v>1.4112508942495037</c:v>
                </c:pt>
                <c:pt idx="217">
                  <c:v>1.3844944648799</c:v>
                </c:pt>
                <c:pt idx="218">
                  <c:v>1.3577381104741502</c:v>
                </c:pt>
                <c:pt idx="219">
                  <c:v>1.272492134771305</c:v>
                </c:pt>
                <c:pt idx="220">
                  <c:v>1.3263766877287422</c:v>
                </c:pt>
                <c:pt idx="221">
                  <c:v>1.2242160531666872</c:v>
                </c:pt>
                <c:pt idx="222">
                  <c:v>0.92087718948535091</c:v>
                </c:pt>
                <c:pt idx="223">
                  <c:v>0.48163383273821303</c:v>
                </c:pt>
                <c:pt idx="224">
                  <c:v>0.38054939970467228</c:v>
                </c:pt>
                <c:pt idx="225">
                  <c:v>0.48372273665701915</c:v>
                </c:pt>
                <c:pt idx="226">
                  <c:v>0.57758365710698456</c:v>
                </c:pt>
                <c:pt idx="227">
                  <c:v>0.52790657330475543</c:v>
                </c:pt>
                <c:pt idx="228">
                  <c:v>0.39859807112035828</c:v>
                </c:pt>
                <c:pt idx="229">
                  <c:v>0.23226816135537298</c:v>
                </c:pt>
                <c:pt idx="230">
                  <c:v>-0.16605620384306619</c:v>
                </c:pt>
                <c:pt idx="231">
                  <c:v>-0.55834286793789012</c:v>
                </c:pt>
                <c:pt idx="232">
                  <c:v>-0.92437014982047749</c:v>
                </c:pt>
                <c:pt idx="233">
                  <c:v>-1.0292821547994224</c:v>
                </c:pt>
                <c:pt idx="234">
                  <c:v>-0.9754500927291847</c:v>
                </c:pt>
                <c:pt idx="235">
                  <c:v>-1.1692489569184845</c:v>
                </c:pt>
                <c:pt idx="236">
                  <c:v>-1.3395079507672714</c:v>
                </c:pt>
                <c:pt idx="237">
                  <c:v>-1.3796497271734669</c:v>
                </c:pt>
                <c:pt idx="238">
                  <c:v>-1.5033809158161784</c:v>
                </c:pt>
                <c:pt idx="239">
                  <c:v>-1.643426383912912</c:v>
                </c:pt>
                <c:pt idx="240">
                  <c:v>-1.7041144838038593</c:v>
                </c:pt>
                <c:pt idx="241">
                  <c:v>-1.7628807215001614</c:v>
                </c:pt>
                <c:pt idx="242">
                  <c:v>-2.2453893722060978</c:v>
                </c:pt>
                <c:pt idx="243">
                  <c:v>-2.2878890775882894</c:v>
                </c:pt>
                <c:pt idx="244">
                  <c:v>-1.9163310228213959</c:v>
                </c:pt>
                <c:pt idx="245">
                  <c:v>-1.546057572489417</c:v>
                </c:pt>
                <c:pt idx="246">
                  <c:v>-0.99272656775226553</c:v>
                </c:pt>
                <c:pt idx="247">
                  <c:v>-0.54859911647335602</c:v>
                </c:pt>
                <c:pt idx="248">
                  <c:v>-0.37363932209234563</c:v>
                </c:pt>
                <c:pt idx="249">
                  <c:v>-0.36805056268704073</c:v>
                </c:pt>
                <c:pt idx="250">
                  <c:v>-0.32512283011237353</c:v>
                </c:pt>
                <c:pt idx="251">
                  <c:v>-0.26668284089391514</c:v>
                </c:pt>
                <c:pt idx="252">
                  <c:v>-1.0160951582231348E-2</c:v>
                </c:pt>
                <c:pt idx="253">
                  <c:v>-7.3081676310911003E-3</c:v>
                </c:pt>
                <c:pt idx="254">
                  <c:v>0.13955074774478665</c:v>
                </c:pt>
                <c:pt idx="255">
                  <c:v>0.21804357842646149</c:v>
                </c:pt>
                <c:pt idx="256">
                  <c:v>4.3581304891541606E-2</c:v>
                </c:pt>
                <c:pt idx="257">
                  <c:v>0.20463218765714442</c:v>
                </c:pt>
                <c:pt idx="258">
                  <c:v>0.49814418835184515</c:v>
                </c:pt>
                <c:pt idx="259">
                  <c:v>0.96154311149936178</c:v>
                </c:pt>
                <c:pt idx="260">
                  <c:v>1.3160398929502621</c:v>
                </c:pt>
                <c:pt idx="261">
                  <c:v>1.770234555123958</c:v>
                </c:pt>
                <c:pt idx="262">
                  <c:v>2.1939795430267695</c:v>
                </c:pt>
                <c:pt idx="263">
                  <c:v>2.3123256142588264</c:v>
                </c:pt>
                <c:pt idx="264">
                  <c:v>2.4383776972583191</c:v>
                </c:pt>
                <c:pt idx="265">
                  <c:v>2.2877838033456106</c:v>
                </c:pt>
                <c:pt idx="266">
                  <c:v>2.1017670766256336</c:v>
                </c:pt>
                <c:pt idx="267">
                  <c:v>1.9163779023066576</c:v>
                </c:pt>
                <c:pt idx="268">
                  <c:v>1.6186699815883401</c:v>
                </c:pt>
                <c:pt idx="269">
                  <c:v>1.4035169484714292</c:v>
                </c:pt>
                <c:pt idx="270">
                  <c:v>1.0835379253912336</c:v>
                </c:pt>
                <c:pt idx="271">
                  <c:v>0.74024000171969551</c:v>
                </c:pt>
                <c:pt idx="272">
                  <c:v>0.50201994603702094</c:v>
                </c:pt>
                <c:pt idx="273">
                  <c:v>0.42779636905883933</c:v>
                </c:pt>
                <c:pt idx="274">
                  <c:v>0.71327279788164244</c:v>
                </c:pt>
                <c:pt idx="275">
                  <c:v>0.72451166758069085</c:v>
                </c:pt>
                <c:pt idx="276">
                  <c:v>0.32805062974769417</c:v>
                </c:pt>
                <c:pt idx="277">
                  <c:v>0.25193848916620709</c:v>
                </c:pt>
                <c:pt idx="278">
                  <c:v>0.15730688986873176</c:v>
                </c:pt>
                <c:pt idx="279">
                  <c:v>8.183510537947658E-2</c:v>
                </c:pt>
                <c:pt idx="280">
                  <c:v>-1.6148439770488743E-2</c:v>
                </c:pt>
                <c:pt idx="281">
                  <c:v>7.4127925726884314E-2</c:v>
                </c:pt>
                <c:pt idx="282">
                  <c:v>1.8400852126477574E-2</c:v>
                </c:pt>
                <c:pt idx="283">
                  <c:v>-0.87581653238263346</c:v>
                </c:pt>
                <c:pt idx="284">
                  <c:v>-1.6155541883989635</c:v>
                </c:pt>
                <c:pt idx="285">
                  <c:v>-2.2377045039885193</c:v>
                </c:pt>
                <c:pt idx="286">
                  <c:v>-2.8148093942106547</c:v>
                </c:pt>
                <c:pt idx="287">
                  <c:v>-2.9868642243864416</c:v>
                </c:pt>
                <c:pt idx="288">
                  <c:v>-2.9613284179099346</c:v>
                </c:pt>
                <c:pt idx="289">
                  <c:v>-2.4657494662520398</c:v>
                </c:pt>
                <c:pt idx="290">
                  <c:v>-2.3104798057554188</c:v>
                </c:pt>
                <c:pt idx="291">
                  <c:v>-2.775986846011004</c:v>
                </c:pt>
                <c:pt idx="292">
                  <c:v>-2.8563792285685023</c:v>
                </c:pt>
                <c:pt idx="293">
                  <c:v>-3.0848013891444928</c:v>
                </c:pt>
                <c:pt idx="294">
                  <c:v>-3.3404136987181499</c:v>
                </c:pt>
                <c:pt idx="295">
                  <c:v>-3.9621976189024037</c:v>
                </c:pt>
                <c:pt idx="296">
                  <c:v>-4.3264179268583192</c:v>
                </c:pt>
                <c:pt idx="297">
                  <c:v>-4.3828240390930944</c:v>
                </c:pt>
                <c:pt idx="298">
                  <c:v>-4.3271638984644589</c:v>
                </c:pt>
                <c:pt idx="299">
                  <c:v>-3.55869418472715</c:v>
                </c:pt>
                <c:pt idx="300">
                  <c:v>-2.7432124519045979</c:v>
                </c:pt>
                <c:pt idx="301">
                  <c:v>-1.9634790088930121</c:v>
                </c:pt>
                <c:pt idx="302">
                  <c:v>-1.0447168932395874</c:v>
                </c:pt>
                <c:pt idx="303">
                  <c:v>-0.35518310075492998</c:v>
                </c:pt>
                <c:pt idx="304">
                  <c:v>0.32892189857235365</c:v>
                </c:pt>
                <c:pt idx="305">
                  <c:v>1.2161579406315868</c:v>
                </c:pt>
                <c:pt idx="306">
                  <c:v>1.9670029851826127</c:v>
                </c:pt>
                <c:pt idx="307">
                  <c:v>2.3862150648912204</c:v>
                </c:pt>
                <c:pt idx="308">
                  <c:v>2.3908239349591458</c:v>
                </c:pt>
                <c:pt idx="309">
                  <c:v>1.9792670828670467</c:v>
                </c:pt>
                <c:pt idx="310">
                  <c:v>1.8166013234729297</c:v>
                </c:pt>
                <c:pt idx="311">
                  <c:v>1.5533082401689446</c:v>
                </c:pt>
                <c:pt idx="312">
                  <c:v>1.479712977037297</c:v>
                </c:pt>
                <c:pt idx="313">
                  <c:v>0.29445931760334521</c:v>
                </c:pt>
                <c:pt idx="314">
                  <c:v>-1.6077850748989784</c:v>
                </c:pt>
                <c:pt idx="315">
                  <c:v>-2.4156774343331628</c:v>
                </c:pt>
                <c:pt idx="316">
                  <c:v>-2.6001988289922568</c:v>
                </c:pt>
                <c:pt idx="317">
                  <c:v>-1.4185864203025362</c:v>
                </c:pt>
                <c:pt idx="318">
                  <c:v>-1.0157129359629531</c:v>
                </c:pt>
                <c:pt idx="319">
                  <c:v>-7.8237927749080782E-2</c:v>
                </c:pt>
                <c:pt idx="320">
                  <c:v>0.47079658315256445</c:v>
                </c:pt>
                <c:pt idx="321">
                  <c:v>0.73948983571862215</c:v>
                </c:pt>
                <c:pt idx="322">
                  <c:v>0.6935317362914537</c:v>
                </c:pt>
                <c:pt idx="323">
                  <c:v>0.82579445225433634</c:v>
                </c:pt>
                <c:pt idx="324">
                  <c:v>0.72143696836053106</c:v>
                </c:pt>
                <c:pt idx="325">
                  <c:v>1.0833318609922991</c:v>
                </c:pt>
                <c:pt idx="326">
                  <c:v>1.63242331009819</c:v>
                </c:pt>
                <c:pt idx="327">
                  <c:v>2.168700004539335</c:v>
                </c:pt>
                <c:pt idx="328">
                  <c:v>2.3543735730329356</c:v>
                </c:pt>
                <c:pt idx="329">
                  <c:v>2.3536979101100926</c:v>
                </c:pt>
                <c:pt idx="330">
                  <c:v>2.341297583250133</c:v>
                </c:pt>
                <c:pt idx="331">
                  <c:v>2.2275174896706815</c:v>
                </c:pt>
                <c:pt idx="332">
                  <c:v>2.1959481968087227</c:v>
                </c:pt>
                <c:pt idx="333">
                  <c:v>2.4263461193002236</c:v>
                </c:pt>
                <c:pt idx="334">
                  <c:v>2.4478676563457755</c:v>
                </c:pt>
                <c:pt idx="335">
                  <c:v>2.1173347910983669</c:v>
                </c:pt>
                <c:pt idx="336">
                  <c:v>1.7988132317861145</c:v>
                </c:pt>
                <c:pt idx="337">
                  <c:v>1.7518592890312232</c:v>
                </c:pt>
                <c:pt idx="338">
                  <c:v>1.5883222715130669</c:v>
                </c:pt>
                <c:pt idx="339">
                  <c:v>1.8263640199698461</c:v>
                </c:pt>
                <c:pt idx="340">
                  <c:v>2.0435575323209392</c:v>
                </c:pt>
                <c:pt idx="341">
                  <c:v>2.2105806213205876</c:v>
                </c:pt>
                <c:pt idx="342">
                  <c:v>2.2825860964399221</c:v>
                </c:pt>
                <c:pt idx="343">
                  <c:v>2.1724638089580992</c:v>
                </c:pt>
                <c:pt idx="344">
                  <c:v>1.7735101005938301</c:v>
                </c:pt>
                <c:pt idx="345">
                  <c:v>1.4324795476690309</c:v>
                </c:pt>
                <c:pt idx="346">
                  <c:v>0.79519848970832996</c:v>
                </c:pt>
                <c:pt idx="347">
                  <c:v>0.27632968692369353</c:v>
                </c:pt>
                <c:pt idx="348">
                  <c:v>-0.11558521739815042</c:v>
                </c:pt>
                <c:pt idx="349">
                  <c:v>-0.11738741495289773</c:v>
                </c:pt>
                <c:pt idx="350">
                  <c:v>-0.28146919696430128</c:v>
                </c:pt>
                <c:pt idx="351">
                  <c:v>-0.36699037622319608</c:v>
                </c:pt>
                <c:pt idx="352">
                  <c:v>-0.47772376458495724</c:v>
                </c:pt>
                <c:pt idx="353">
                  <c:v>-0.53163382714926044</c:v>
                </c:pt>
                <c:pt idx="354">
                  <c:v>-0.48526359373543926</c:v>
                </c:pt>
                <c:pt idx="355">
                  <c:v>-0.61093705349720739</c:v>
                </c:pt>
                <c:pt idx="356">
                  <c:v>-0.85050359359007466</c:v>
                </c:pt>
                <c:pt idx="357">
                  <c:v>-0.76086230023638457</c:v>
                </c:pt>
                <c:pt idx="358">
                  <c:v>-0.64461982910282956</c:v>
                </c:pt>
                <c:pt idx="359">
                  <c:v>-0.46208364427701021</c:v>
                </c:pt>
                <c:pt idx="360">
                  <c:v>-0.39393031379044707</c:v>
                </c:pt>
                <c:pt idx="361">
                  <c:v>-0.36568326531117812</c:v>
                </c:pt>
                <c:pt idx="362">
                  <c:v>-0.57879969581016599</c:v>
                </c:pt>
                <c:pt idx="363">
                  <c:v>-0.37549328670055893</c:v>
                </c:pt>
                <c:pt idx="364">
                  <c:v>-0.31984334079427157</c:v>
                </c:pt>
                <c:pt idx="365">
                  <c:v>-2.19726149357653E-2</c:v>
                </c:pt>
                <c:pt idx="366">
                  <c:v>0.19517255059689376</c:v>
                </c:pt>
                <c:pt idx="367">
                  <c:v>0.49220594303000098</c:v>
                </c:pt>
                <c:pt idx="368">
                  <c:v>0.80474996436023538</c:v>
                </c:pt>
                <c:pt idx="369">
                  <c:v>1.0966721292614423</c:v>
                </c:pt>
                <c:pt idx="370">
                  <c:v>1.4784817188008272</c:v>
                </c:pt>
                <c:pt idx="371">
                  <c:v>1.4892803442315241</c:v>
                </c:pt>
                <c:pt idx="372">
                  <c:v>1.5469264594422327</c:v>
                </c:pt>
                <c:pt idx="373">
                  <c:v>1.480607383952588</c:v>
                </c:pt>
                <c:pt idx="374">
                  <c:v>1.4062525338981224</c:v>
                </c:pt>
                <c:pt idx="375">
                  <c:v>1.4813542559509267</c:v>
                </c:pt>
                <c:pt idx="376">
                  <c:v>1.1303633591235274</c:v>
                </c:pt>
                <c:pt idx="377">
                  <c:v>0.19882991432082697</c:v>
                </c:pt>
                <c:pt idx="378">
                  <c:v>-0.43746196097084677</c:v>
                </c:pt>
                <c:pt idx="379">
                  <c:v>-0.55759746769686913</c:v>
                </c:pt>
                <c:pt idx="380">
                  <c:v>-0.75252792490043952</c:v>
                </c:pt>
                <c:pt idx="381">
                  <c:v>-0.78010267370686215</c:v>
                </c:pt>
                <c:pt idx="382">
                  <c:v>-0.95419105965181483</c:v>
                </c:pt>
                <c:pt idx="383">
                  <c:v>-1.1181894769966307</c:v>
                </c:pt>
                <c:pt idx="384">
                  <c:v>-0.95775508649885399</c:v>
                </c:pt>
                <c:pt idx="385">
                  <c:v>-0.77314568457825672</c:v>
                </c:pt>
                <c:pt idx="386">
                  <c:v>-0.68787472691592821</c:v>
                </c:pt>
                <c:pt idx="387">
                  <c:v>-0.61926799596657744</c:v>
                </c:pt>
                <c:pt idx="388">
                  <c:v>-0.2524990978650159</c:v>
                </c:pt>
                <c:pt idx="389">
                  <c:v>-7.104892247932959E-2</c:v>
                </c:pt>
                <c:pt idx="390">
                  <c:v>0.13040135807265596</c:v>
                </c:pt>
                <c:pt idx="391">
                  <c:v>0.17972917961609092</c:v>
                </c:pt>
                <c:pt idx="392">
                  <c:v>7.3278208447324467E-2</c:v>
                </c:pt>
                <c:pt idx="393">
                  <c:v>0.11902308031571085</c:v>
                </c:pt>
                <c:pt idx="394">
                  <c:v>-0.12413757100228118</c:v>
                </c:pt>
                <c:pt idx="395">
                  <c:v>-0.75743425952814647</c:v>
                </c:pt>
                <c:pt idx="396">
                  <c:v>-0.84984012671287168</c:v>
                </c:pt>
                <c:pt idx="397">
                  <c:v>-1.0929465045738151</c:v>
                </c:pt>
                <c:pt idx="398">
                  <c:v>-1.2321172636099043</c:v>
                </c:pt>
                <c:pt idx="399">
                  <c:v>-1.5761989288607396</c:v>
                </c:pt>
                <c:pt idx="400">
                  <c:v>-1.6295009291074329</c:v>
                </c:pt>
                <c:pt idx="401">
                  <c:v>-1.5591337445998623</c:v>
                </c:pt>
                <c:pt idx="402">
                  <c:v>-1.2524823109565095</c:v>
                </c:pt>
                <c:pt idx="403">
                  <c:v>-1.1689700958897453</c:v>
                </c:pt>
                <c:pt idx="404">
                  <c:v>-0.84731564939098503</c:v>
                </c:pt>
                <c:pt idx="405">
                  <c:v>-0.85719766551625831</c:v>
                </c:pt>
                <c:pt idx="406">
                  <c:v>-0.77182735841688976</c:v>
                </c:pt>
                <c:pt idx="407">
                  <c:v>-0.75136258024768154</c:v>
                </c:pt>
                <c:pt idx="408">
                  <c:v>-0.61458634401222589</c:v>
                </c:pt>
                <c:pt idx="409">
                  <c:v>-0.56064911887917956</c:v>
                </c:pt>
                <c:pt idx="410">
                  <c:v>-0.20663356921588427</c:v>
                </c:pt>
                <c:pt idx="411">
                  <c:v>-7.2547785540543863E-2</c:v>
                </c:pt>
                <c:pt idx="412">
                  <c:v>0.23655313001924516</c:v>
                </c:pt>
                <c:pt idx="413">
                  <c:v>0.44970712154565673</c:v>
                </c:pt>
                <c:pt idx="414">
                  <c:v>0.65944765885933476</c:v>
                </c:pt>
                <c:pt idx="415">
                  <c:v>0.76265331315175855</c:v>
                </c:pt>
                <c:pt idx="416">
                  <c:v>0.65983395048069671</c:v>
                </c:pt>
                <c:pt idx="417">
                  <c:v>0.52940919003410203</c:v>
                </c:pt>
                <c:pt idx="418">
                  <c:v>0.67449183907349397</c:v>
                </c:pt>
                <c:pt idx="419">
                  <c:v>0.10562154188306527</c:v>
                </c:pt>
                <c:pt idx="420">
                  <c:v>-0.37253346167704171</c:v>
                </c:pt>
                <c:pt idx="421">
                  <c:v>-0.35884389705051234</c:v>
                </c:pt>
                <c:pt idx="422">
                  <c:v>-0.18036518105768096</c:v>
                </c:pt>
                <c:pt idx="423">
                  <c:v>0.24115027872769579</c:v>
                </c:pt>
                <c:pt idx="424">
                  <c:v>0.55813946771902012</c:v>
                </c:pt>
                <c:pt idx="425">
                  <c:v>0.83256771019670506</c:v>
                </c:pt>
                <c:pt idx="426">
                  <c:v>0.95554597528766205</c:v>
                </c:pt>
                <c:pt idx="427">
                  <c:v>1.1198398190596199</c:v>
                </c:pt>
                <c:pt idx="428">
                  <c:v>1.2299414939687714</c:v>
                </c:pt>
                <c:pt idx="429">
                  <c:v>1.3019688065892563</c:v>
                </c:pt>
                <c:pt idx="430">
                  <c:v>1.0951378932810014</c:v>
                </c:pt>
                <c:pt idx="431">
                  <c:v>0.89034905628587513</c:v>
                </c:pt>
                <c:pt idx="432">
                  <c:v>0.71979694904736391</c:v>
                </c:pt>
                <c:pt idx="433">
                  <c:v>0.53652233970175267</c:v>
                </c:pt>
                <c:pt idx="434">
                  <c:v>0.51830780009016042</c:v>
                </c:pt>
                <c:pt idx="435">
                  <c:v>0.41314658421152117</c:v>
                </c:pt>
                <c:pt idx="436">
                  <c:v>0.26507989917631924</c:v>
                </c:pt>
                <c:pt idx="437">
                  <c:v>-0.18734815374815117</c:v>
                </c:pt>
                <c:pt idx="438">
                  <c:v>-0.70684442957528226</c:v>
                </c:pt>
                <c:pt idx="439">
                  <c:v>-0.87960224961814149</c:v>
                </c:pt>
                <c:pt idx="440">
                  <c:v>-1.0364829016808557</c:v>
                </c:pt>
                <c:pt idx="441">
                  <c:v>-1.2136690600827365</c:v>
                </c:pt>
                <c:pt idx="442">
                  <c:v>-1.5300120584617618</c:v>
                </c:pt>
                <c:pt idx="443">
                  <c:v>-1.5842062932454253</c:v>
                </c:pt>
                <c:pt idx="444">
                  <c:v>-1.859479539580033</c:v>
                </c:pt>
                <c:pt idx="445">
                  <c:v>-1.5067093989545786</c:v>
                </c:pt>
                <c:pt idx="446">
                  <c:v>-1.6030676285203371</c:v>
                </c:pt>
                <c:pt idx="447">
                  <c:v>-1.3659580401807729</c:v>
                </c:pt>
                <c:pt idx="448">
                  <c:v>-1.6158317283487587</c:v>
                </c:pt>
                <c:pt idx="449">
                  <c:v>-1.7604005150543172</c:v>
                </c:pt>
                <c:pt idx="450">
                  <c:v>-1.458509289198141</c:v>
                </c:pt>
                <c:pt idx="451">
                  <c:v>-1.5319308506947726</c:v>
                </c:pt>
                <c:pt idx="452">
                  <c:v>-1.6871082862811322</c:v>
                </c:pt>
                <c:pt idx="453">
                  <c:v>-1.66393056761092</c:v>
                </c:pt>
                <c:pt idx="454">
                  <c:v>-1.1773032524535219</c:v>
                </c:pt>
                <c:pt idx="455">
                  <c:v>-0.56278188820708297</c:v>
                </c:pt>
                <c:pt idx="456">
                  <c:v>-5.8574702855172633E-2</c:v>
                </c:pt>
                <c:pt idx="457">
                  <c:v>0.28254509843693176</c:v>
                </c:pt>
                <c:pt idx="458">
                  <c:v>0.74414961506901522</c:v>
                </c:pt>
                <c:pt idx="459">
                  <c:v>1.111787734483672</c:v>
                </c:pt>
                <c:pt idx="460">
                  <c:v>1.1785524095318822</c:v>
                </c:pt>
                <c:pt idx="461">
                  <c:v>1.1571248631865105</c:v>
                </c:pt>
                <c:pt idx="462">
                  <c:v>1.2403647762588892</c:v>
                </c:pt>
                <c:pt idx="463">
                  <c:v>1.3379834210986155</c:v>
                </c:pt>
                <c:pt idx="464">
                  <c:v>1.3758207302885257</c:v>
                </c:pt>
                <c:pt idx="465">
                  <c:v>1.4916843730502036</c:v>
                </c:pt>
                <c:pt idx="466">
                  <c:v>1.3949000239616098</c:v>
                </c:pt>
                <c:pt idx="467">
                  <c:v>1.5534614121864239</c:v>
                </c:pt>
                <c:pt idx="468">
                  <c:v>0.85700218370428871</c:v>
                </c:pt>
                <c:pt idx="469">
                  <c:v>-1.789376163948786E-2</c:v>
                </c:pt>
                <c:pt idx="470">
                  <c:v>-0.7908856537237765</c:v>
                </c:pt>
                <c:pt idx="471">
                  <c:v>-1.3121776852541303</c:v>
                </c:pt>
                <c:pt idx="472">
                  <c:v>-1.3377902727668152</c:v>
                </c:pt>
                <c:pt idx="473">
                  <c:v>-1.6067333972813613</c:v>
                </c:pt>
                <c:pt idx="474">
                  <c:v>-1.7213368577831387</c:v>
                </c:pt>
                <c:pt idx="475">
                  <c:v>-1.707574223577577</c:v>
                </c:pt>
                <c:pt idx="476">
                  <c:v>-1.2898190886737182</c:v>
                </c:pt>
                <c:pt idx="477">
                  <c:v>-0.6607832958145603</c:v>
                </c:pt>
                <c:pt idx="478">
                  <c:v>0.12026421441846125</c:v>
                </c:pt>
                <c:pt idx="479">
                  <c:v>0.3427222439176652</c:v>
                </c:pt>
                <c:pt idx="480">
                  <c:v>0.40173556886026229</c:v>
                </c:pt>
                <c:pt idx="481">
                  <c:v>0.69189114839973764</c:v>
                </c:pt>
                <c:pt idx="482">
                  <c:v>1.0922658744608189</c:v>
                </c:pt>
                <c:pt idx="483">
                  <c:v>1.2172431776604506</c:v>
                </c:pt>
                <c:pt idx="484">
                  <c:v>1.2387765778672821</c:v>
                </c:pt>
                <c:pt idx="485">
                  <c:v>0.24255244393017228</c:v>
                </c:pt>
                <c:pt idx="486">
                  <c:v>0.21085772480107012</c:v>
                </c:pt>
                <c:pt idx="487">
                  <c:v>0.63619710228138926</c:v>
                </c:pt>
                <c:pt idx="488">
                  <c:v>0.93304730319930762</c:v>
                </c:pt>
                <c:pt idx="489">
                  <c:v>1.1546493548774306</c:v>
                </c:pt>
                <c:pt idx="490">
                  <c:v>0.93384744624916816</c:v>
                </c:pt>
                <c:pt idx="491">
                  <c:v>0.69409056865898178</c:v>
                </c:pt>
                <c:pt idx="492">
                  <c:v>0.36345665665600357</c:v>
                </c:pt>
                <c:pt idx="493">
                  <c:v>0.38739810386872886</c:v>
                </c:pt>
                <c:pt idx="494">
                  <c:v>0.73801800668155337</c:v>
                </c:pt>
                <c:pt idx="495">
                  <c:v>1.0793257716452413</c:v>
                </c:pt>
                <c:pt idx="496">
                  <c:v>1.4199720157556817</c:v>
                </c:pt>
                <c:pt idx="497">
                  <c:v>1.4519305017693731</c:v>
                </c:pt>
                <c:pt idx="498">
                  <c:v>1.1003536962579381</c:v>
                </c:pt>
                <c:pt idx="499">
                  <c:v>0.76872836119912114</c:v>
                </c:pt>
                <c:pt idx="500">
                  <c:v>0.40971911439009823</c:v>
                </c:pt>
                <c:pt idx="501">
                  <c:v>0.33605896805042734</c:v>
                </c:pt>
                <c:pt idx="502">
                  <c:v>0.78257916821064821</c:v>
                </c:pt>
                <c:pt idx="503">
                  <c:v>1.0200442151300209</c:v>
                </c:pt>
                <c:pt idx="504">
                  <c:v>0.58903767815079888</c:v>
                </c:pt>
                <c:pt idx="505">
                  <c:v>0.42527769866504439</c:v>
                </c:pt>
                <c:pt idx="506">
                  <c:v>0.21965790183505973</c:v>
                </c:pt>
                <c:pt idx="507">
                  <c:v>-0.26357295446939855</c:v>
                </c:pt>
                <c:pt idx="508">
                  <c:v>-1.4622115799043085</c:v>
                </c:pt>
                <c:pt idx="509">
                  <c:v>-2.3691721119967522</c:v>
                </c:pt>
                <c:pt idx="510">
                  <c:v>-2.7582961996006743</c:v>
                </c:pt>
                <c:pt idx="511">
                  <c:v>-2.6800170451561223</c:v>
                </c:pt>
                <c:pt idx="512">
                  <c:v>-3.1325743851700527</c:v>
                </c:pt>
                <c:pt idx="513">
                  <c:v>-3.3107126773678206</c:v>
                </c:pt>
                <c:pt idx="514">
                  <c:v>-3.1538238891156789</c:v>
                </c:pt>
                <c:pt idx="515">
                  <c:v>-3.2666152629534575</c:v>
                </c:pt>
                <c:pt idx="516">
                  <c:v>-2.9460419136311935</c:v>
                </c:pt>
                <c:pt idx="517">
                  <c:v>-2.62239584921323</c:v>
                </c:pt>
                <c:pt idx="518">
                  <c:v>-2.2318699374587334</c:v>
                </c:pt>
                <c:pt idx="519">
                  <c:v>-1.4835964884172035</c:v>
                </c:pt>
                <c:pt idx="520">
                  <c:v>-0.94133129028308327</c:v>
                </c:pt>
                <c:pt idx="521">
                  <c:v>-0.37705592067623739</c:v>
                </c:pt>
                <c:pt idx="522">
                  <c:v>0.45692091804681123</c:v>
                </c:pt>
                <c:pt idx="523">
                  <c:v>1.1414037756832776</c:v>
                </c:pt>
                <c:pt idx="524">
                  <c:v>1.0855211534334601</c:v>
                </c:pt>
                <c:pt idx="525">
                  <c:v>2.2990958650261053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AE-41E5-9034-053FDC4A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400288"/>
        <c:axId val="164402208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Data!$Y$2:$Y$527</c:f>
              <c:numCache>
                <c:formatCode>General</c:formatCode>
                <c:ptCount val="526"/>
                <c:pt idx="25">
                  <c:v>1.9388838218773969</c:v>
                </c:pt>
                <c:pt idx="26">
                  <c:v>1.8851283819064122</c:v>
                </c:pt>
                <c:pt idx="27">
                  <c:v>1.8837515741581115</c:v>
                </c:pt>
                <c:pt idx="28">
                  <c:v>1.7391543421712186</c:v>
                </c:pt>
                <c:pt idx="29">
                  <c:v>1.7472430710456024</c:v>
                </c:pt>
                <c:pt idx="30">
                  <c:v>2.0399935786133483</c:v>
                </c:pt>
                <c:pt idx="31">
                  <c:v>2.1791001748146925</c:v>
                </c:pt>
                <c:pt idx="32">
                  <c:v>2.3190942296754429</c:v>
                </c:pt>
                <c:pt idx="33">
                  <c:v>2.4956810905528926</c:v>
                </c:pt>
                <c:pt idx="34">
                  <c:v>2.7786972226871001</c:v>
                </c:pt>
                <c:pt idx="35">
                  <c:v>3.0421577567217071</c:v>
                </c:pt>
                <c:pt idx="36">
                  <c:v>3.1636478303189506</c:v>
                </c:pt>
                <c:pt idx="37">
                  <c:v>3.2299588813673097</c:v>
                </c:pt>
                <c:pt idx="38">
                  <c:v>3.3192913700078464</c:v>
                </c:pt>
                <c:pt idx="39">
                  <c:v>3.4854716232731278</c:v>
                </c:pt>
                <c:pt idx="40">
                  <c:v>3.5145248516345475</c:v>
                </c:pt>
                <c:pt idx="41">
                  <c:v>3.6081189781098999</c:v>
                </c:pt>
                <c:pt idx="42">
                  <c:v>3.7895033338600115</c:v>
                </c:pt>
                <c:pt idx="43">
                  <c:v>3.9666049990903218</c:v>
                </c:pt>
                <c:pt idx="44">
                  <c:v>3.927734736816717</c:v>
                </c:pt>
                <c:pt idx="45">
                  <c:v>3.8804405457269695</c:v>
                </c:pt>
                <c:pt idx="46">
                  <c:v>3.8047491932124728</c:v>
                </c:pt>
                <c:pt idx="47">
                  <c:v>3.8257346099807137</c:v>
                </c:pt>
                <c:pt idx="48">
                  <c:v>3.9214270634603281</c:v>
                </c:pt>
                <c:pt idx="49">
                  <c:v>3.6796883638963891</c:v>
                </c:pt>
                <c:pt idx="50">
                  <c:v>3.6342271221993485</c:v>
                </c:pt>
                <c:pt idx="51">
                  <c:v>3.745455754804766</c:v>
                </c:pt>
                <c:pt idx="52">
                  <c:v>3.880059888557696</c:v>
                </c:pt>
                <c:pt idx="53">
                  <c:v>4.143922843622704</c:v>
                </c:pt>
                <c:pt idx="54">
                  <c:v>4.521206664900177</c:v>
                </c:pt>
                <c:pt idx="55">
                  <c:v>4.5706318050474692</c:v>
                </c:pt>
                <c:pt idx="56">
                  <c:v>4.4136784897207519</c:v>
                </c:pt>
                <c:pt idx="57">
                  <c:v>4.3130036302514441</c:v>
                </c:pt>
                <c:pt idx="58">
                  <c:v>4.4873124596672085</c:v>
                </c:pt>
                <c:pt idx="59">
                  <c:v>4.6349639646548724</c:v>
                </c:pt>
                <c:pt idx="60">
                  <c:v>4.5893352125551132</c:v>
                </c:pt>
                <c:pt idx="61">
                  <c:v>4.4949043074905717</c:v>
                </c:pt>
                <c:pt idx="62">
                  <c:v>4.3250236347762723</c:v>
                </c:pt>
                <c:pt idx="63">
                  <c:v>3.9312422115981178</c:v>
                </c:pt>
                <c:pt idx="64">
                  <c:v>3.7215132651013221</c:v>
                </c:pt>
                <c:pt idx="65">
                  <c:v>3.5969505490128881</c:v>
                </c:pt>
                <c:pt idx="66">
                  <c:v>3.3522709218893567</c:v>
                </c:pt>
                <c:pt idx="67">
                  <c:v>2.9883507476827162</c:v>
                </c:pt>
                <c:pt idx="68">
                  <c:v>2.6659819417067752</c:v>
                </c:pt>
                <c:pt idx="69">
                  <c:v>1.3747131399682644</c:v>
                </c:pt>
                <c:pt idx="70">
                  <c:v>0.35534626521624091</c:v>
                </c:pt>
                <c:pt idx="71">
                  <c:v>-0.61407617244094581</c:v>
                </c:pt>
                <c:pt idx="72">
                  <c:v>-1.4240330546801658</c:v>
                </c:pt>
                <c:pt idx="73">
                  <c:v>-1.9490530273213551</c:v>
                </c:pt>
                <c:pt idx="74">
                  <c:v>-1.9752190682530966</c:v>
                </c:pt>
                <c:pt idx="75">
                  <c:v>-1.6852327006839118</c:v>
                </c:pt>
                <c:pt idx="76">
                  <c:v>-1.2210526953156773</c:v>
                </c:pt>
                <c:pt idx="77">
                  <c:v>-0.76847801651928194</c:v>
                </c:pt>
                <c:pt idx="78">
                  <c:v>-0.3820052281002404</c:v>
                </c:pt>
                <c:pt idx="79">
                  <c:v>-6.528717189615918E-2</c:v>
                </c:pt>
                <c:pt idx="80">
                  <c:v>0.16684563193209101</c:v>
                </c:pt>
                <c:pt idx="81">
                  <c:v>0.22396568470995248</c:v>
                </c:pt>
                <c:pt idx="82">
                  <c:v>0.27573819688964818</c:v>
                </c:pt>
                <c:pt idx="83">
                  <c:v>0.29720397484368277</c:v>
                </c:pt>
                <c:pt idx="84">
                  <c:v>0.21889706042199464</c:v>
                </c:pt>
                <c:pt idx="85">
                  <c:v>0.27391133475916263</c:v>
                </c:pt>
                <c:pt idx="86">
                  <c:v>0.29394916981240726</c:v>
                </c:pt>
                <c:pt idx="87">
                  <c:v>0.61740959135195794</c:v>
                </c:pt>
                <c:pt idx="88">
                  <c:v>1.011375339380379</c:v>
                </c:pt>
                <c:pt idx="89">
                  <c:v>1.409822858896888</c:v>
                </c:pt>
                <c:pt idx="90">
                  <c:v>1.7027396008668063</c:v>
                </c:pt>
                <c:pt idx="91">
                  <c:v>2.1345947166453527</c:v>
                </c:pt>
                <c:pt idx="92">
                  <c:v>2.4964801239744645</c:v>
                </c:pt>
                <c:pt idx="93">
                  <c:v>2.7802766097852896</c:v>
                </c:pt>
                <c:pt idx="94">
                  <c:v>3.1560114449956416</c:v>
                </c:pt>
                <c:pt idx="95">
                  <c:v>2.679723792297267</c:v>
                </c:pt>
                <c:pt idx="96">
                  <c:v>2.5903277818663923</c:v>
                </c:pt>
                <c:pt idx="97">
                  <c:v>2.3942445511086703</c:v>
                </c:pt>
                <c:pt idx="98">
                  <c:v>2.102450059191824</c:v>
                </c:pt>
                <c:pt idx="99">
                  <c:v>2.1522127785254668</c:v>
                </c:pt>
                <c:pt idx="100">
                  <c:v>2.0701498061683594</c:v>
                </c:pt>
                <c:pt idx="101">
                  <c:v>1.871380812940771</c:v>
                </c:pt>
                <c:pt idx="102">
                  <c:v>1.7916457804925017</c:v>
                </c:pt>
                <c:pt idx="103">
                  <c:v>1.9720055609903397</c:v>
                </c:pt>
                <c:pt idx="104">
                  <c:v>2.0262246988619665</c:v>
                </c:pt>
                <c:pt idx="105">
                  <c:v>1.8334194684325098</c:v>
                </c:pt>
                <c:pt idx="106">
                  <c:v>1.5099006187406872</c:v>
                </c:pt>
                <c:pt idx="107">
                  <c:v>1.2113043619309281</c:v>
                </c:pt>
                <c:pt idx="108">
                  <c:v>1.2060645098785301</c:v>
                </c:pt>
                <c:pt idx="109">
                  <c:v>1.1610923806650248</c:v>
                </c:pt>
                <c:pt idx="110">
                  <c:v>0.6938225656896293</c:v>
                </c:pt>
                <c:pt idx="111">
                  <c:v>9.406618568678482E-2</c:v>
                </c:pt>
                <c:pt idx="112">
                  <c:v>-0.20698586344008163</c:v>
                </c:pt>
                <c:pt idx="113">
                  <c:v>-0.43092139066553159</c:v>
                </c:pt>
                <c:pt idx="114">
                  <c:v>-0.50573217250121161</c:v>
                </c:pt>
                <c:pt idx="115">
                  <c:v>-0.39744167767159411</c:v>
                </c:pt>
                <c:pt idx="116">
                  <c:v>-0.1748500742846204</c:v>
                </c:pt>
                <c:pt idx="117">
                  <c:v>-0.18752217904659574</c:v>
                </c:pt>
                <c:pt idx="118">
                  <c:v>1.0498504448150925E-2</c:v>
                </c:pt>
                <c:pt idx="119">
                  <c:v>0.10090788890190083</c:v>
                </c:pt>
                <c:pt idx="120">
                  <c:v>0.11953737371436546</c:v>
                </c:pt>
                <c:pt idx="121">
                  <c:v>0.27157429345385253</c:v>
                </c:pt>
                <c:pt idx="122">
                  <c:v>0.63409240101665887</c:v>
                </c:pt>
                <c:pt idx="123">
                  <c:v>1.1653633696084</c:v>
                </c:pt>
                <c:pt idx="124">
                  <c:v>1.8379504433528382</c:v>
                </c:pt>
                <c:pt idx="125">
                  <c:v>2.3327927325445899</c:v>
                </c:pt>
                <c:pt idx="126">
                  <c:v>2.3827940390903279</c:v>
                </c:pt>
                <c:pt idx="127">
                  <c:v>2.4251278942006422</c:v>
                </c:pt>
                <c:pt idx="128">
                  <c:v>2.626897975620949</c:v>
                </c:pt>
                <c:pt idx="129">
                  <c:v>2.76860504253861</c:v>
                </c:pt>
                <c:pt idx="130">
                  <c:v>2.8201578152799414</c:v>
                </c:pt>
                <c:pt idx="131">
                  <c:v>2.6281816934643984</c:v>
                </c:pt>
                <c:pt idx="132">
                  <c:v>2.855457590122171</c:v>
                </c:pt>
                <c:pt idx="133">
                  <c:v>3.2857682488697435</c:v>
                </c:pt>
                <c:pt idx="134">
                  <c:v>3.8447208362204321</c:v>
                </c:pt>
                <c:pt idx="135">
                  <c:v>3.6892025404271465</c:v>
                </c:pt>
                <c:pt idx="136">
                  <c:v>3.509361111638384</c:v>
                </c:pt>
                <c:pt idx="137">
                  <c:v>3.3683530279817546</c:v>
                </c:pt>
                <c:pt idx="138">
                  <c:v>3.2234794236584037</c:v>
                </c:pt>
                <c:pt idx="139">
                  <c:v>2.9344362359560137</c:v>
                </c:pt>
                <c:pt idx="140">
                  <c:v>2.6809187956084486</c:v>
                </c:pt>
                <c:pt idx="141">
                  <c:v>2.7365285640471484</c:v>
                </c:pt>
                <c:pt idx="142">
                  <c:v>2.6380287693589537</c:v>
                </c:pt>
                <c:pt idx="143">
                  <c:v>2.8770043858356473</c:v>
                </c:pt>
                <c:pt idx="144">
                  <c:v>2.8407943487636942</c:v>
                </c:pt>
                <c:pt idx="145">
                  <c:v>2.3939540707299898</c:v>
                </c:pt>
                <c:pt idx="146">
                  <c:v>1.3129942623476722</c:v>
                </c:pt>
                <c:pt idx="147">
                  <c:v>0.11289191375925611</c:v>
                </c:pt>
                <c:pt idx="148">
                  <c:v>-0.39468561762777199</c:v>
                </c:pt>
                <c:pt idx="149">
                  <c:v>-0.78307615512326834</c:v>
                </c:pt>
                <c:pt idx="150">
                  <c:v>-0.78648097902859604</c:v>
                </c:pt>
                <c:pt idx="151">
                  <c:v>-0.64138241110222793</c:v>
                </c:pt>
                <c:pt idx="152">
                  <c:v>-0.48928088453769192</c:v>
                </c:pt>
                <c:pt idx="153">
                  <c:v>-0.22493603170747178</c:v>
                </c:pt>
                <c:pt idx="154">
                  <c:v>0.16821091602795946</c:v>
                </c:pt>
                <c:pt idx="155">
                  <c:v>0.57881651991152694</c:v>
                </c:pt>
                <c:pt idx="156">
                  <c:v>1.0869683005050774</c:v>
                </c:pt>
                <c:pt idx="157">
                  <c:v>1.5907684898532466</c:v>
                </c:pt>
                <c:pt idx="158">
                  <c:v>1.8931672878912309</c:v>
                </c:pt>
                <c:pt idx="159">
                  <c:v>2.1148966335005639</c:v>
                </c:pt>
                <c:pt idx="160">
                  <c:v>2.4264521420719518</c:v>
                </c:pt>
                <c:pt idx="161">
                  <c:v>2.7769135560003235</c:v>
                </c:pt>
                <c:pt idx="162">
                  <c:v>3.0884498369299536</c:v>
                </c:pt>
                <c:pt idx="163">
                  <c:v>3.3779047597445526</c:v>
                </c:pt>
                <c:pt idx="164">
                  <c:v>3.6547380495879906</c:v>
                </c:pt>
                <c:pt idx="165">
                  <c:v>3.9033711051679916</c:v>
                </c:pt>
                <c:pt idx="166">
                  <c:v>4.2602959081988558</c:v>
                </c:pt>
                <c:pt idx="167">
                  <c:v>4.1324131082008364</c:v>
                </c:pt>
                <c:pt idx="168">
                  <c:v>3.9077480870262775</c:v>
                </c:pt>
                <c:pt idx="169">
                  <c:v>3.5515832061969377</c:v>
                </c:pt>
                <c:pt idx="170">
                  <c:v>2.8196411120292169</c:v>
                </c:pt>
                <c:pt idx="171">
                  <c:v>2.5610580911054797</c:v>
                </c:pt>
                <c:pt idx="172">
                  <c:v>1.4318428115657582</c:v>
                </c:pt>
                <c:pt idx="173">
                  <c:v>0.66403206193700726</c:v>
                </c:pt>
                <c:pt idx="174">
                  <c:v>4.6472061089559702E-3</c:v>
                </c:pt>
                <c:pt idx="175">
                  <c:v>-0.69389816191713294</c:v>
                </c:pt>
                <c:pt idx="176">
                  <c:v>-0.95089070767073736</c:v>
                </c:pt>
                <c:pt idx="177">
                  <c:v>-1.0305185915782715</c:v>
                </c:pt>
                <c:pt idx="178">
                  <c:v>-1.2183692859038331</c:v>
                </c:pt>
                <c:pt idx="179">
                  <c:v>-1.1163335702226505</c:v>
                </c:pt>
                <c:pt idx="180">
                  <c:v>-0.97500833918786611</c:v>
                </c:pt>
                <c:pt idx="181">
                  <c:v>-0.82525200901318385</c:v>
                </c:pt>
                <c:pt idx="182">
                  <c:v>-0.68655115763399976</c:v>
                </c:pt>
                <c:pt idx="183">
                  <c:v>-0.68173936629546006</c:v>
                </c:pt>
                <c:pt idx="184">
                  <c:v>-0.70290688742574048</c:v>
                </c:pt>
                <c:pt idx="185">
                  <c:v>-0.65404489529217358</c:v>
                </c:pt>
                <c:pt idx="186">
                  <c:v>-0.5795912559249814</c:v>
                </c:pt>
                <c:pt idx="187">
                  <c:v>-0.8193829486609161</c:v>
                </c:pt>
                <c:pt idx="188">
                  <c:v>-0.97797321563453465</c:v>
                </c:pt>
                <c:pt idx="189">
                  <c:v>-1.2554103397234542</c:v>
                </c:pt>
                <c:pt idx="190">
                  <c:v>-0.98063417951135534</c:v>
                </c:pt>
                <c:pt idx="191">
                  <c:v>-0.7773122969575752</c:v>
                </c:pt>
                <c:pt idx="192">
                  <c:v>-0.62351524029057259</c:v>
                </c:pt>
                <c:pt idx="193">
                  <c:v>-0.28292193104675789</c:v>
                </c:pt>
                <c:pt idx="194">
                  <c:v>-5.9118945957777669E-2</c:v>
                </c:pt>
                <c:pt idx="195">
                  <c:v>0.87074514715706641</c:v>
                </c:pt>
                <c:pt idx="196">
                  <c:v>1.524732739800811</c:v>
                </c:pt>
                <c:pt idx="197">
                  <c:v>2.0923329022447774</c:v>
                </c:pt>
                <c:pt idx="198">
                  <c:v>2.6129047343334264</c:v>
                </c:pt>
                <c:pt idx="199">
                  <c:v>3.0532056884275391</c:v>
                </c:pt>
                <c:pt idx="200">
                  <c:v>3.4391599323653566</c:v>
                </c:pt>
                <c:pt idx="201">
                  <c:v>3.5132932011785556</c:v>
                </c:pt>
                <c:pt idx="202">
                  <c:v>3.6206820220301665</c:v>
                </c:pt>
                <c:pt idx="203">
                  <c:v>3.6069190523608654</c:v>
                </c:pt>
                <c:pt idx="204">
                  <c:v>3.68027377353323</c:v>
                </c:pt>
                <c:pt idx="205">
                  <c:v>3.4828135263203137</c:v>
                </c:pt>
                <c:pt idx="206">
                  <c:v>3.5428909562666604</c:v>
                </c:pt>
                <c:pt idx="207">
                  <c:v>3.3421779346432459</c:v>
                </c:pt>
                <c:pt idx="208">
                  <c:v>3.2672924853981726</c:v>
                </c:pt>
                <c:pt idx="209">
                  <c:v>2.9727549683497898</c:v>
                </c:pt>
                <c:pt idx="210">
                  <c:v>2.7894819282879268</c:v>
                </c:pt>
                <c:pt idx="211">
                  <c:v>2.3620231997119845</c:v>
                </c:pt>
                <c:pt idx="212">
                  <c:v>2.1366122505460794</c:v>
                </c:pt>
                <c:pt idx="213">
                  <c:v>3.9754314527602901</c:v>
                </c:pt>
                <c:pt idx="214">
                  <c:v>4.5188318937798613</c:v>
                </c:pt>
                <c:pt idx="215">
                  <c:v>4.9409395681538513</c:v>
                </c:pt>
                <c:pt idx="216">
                  <c:v>5.3996172096929627</c:v>
                </c:pt>
                <c:pt idx="217">
                  <c:v>5.718984396543334</c:v>
                </c:pt>
                <c:pt idx="218">
                  <c:v>6.0316625697561221</c:v>
                </c:pt>
                <c:pt idx="219">
                  <c:v>6.2645396277461032</c:v>
                </c:pt>
                <c:pt idx="220">
                  <c:v>6.6500183526357262</c:v>
                </c:pt>
                <c:pt idx="221">
                  <c:v>6.8539117313653435</c:v>
                </c:pt>
                <c:pt idx="222">
                  <c:v>6.7807921650553453</c:v>
                </c:pt>
                <c:pt idx="223">
                  <c:v>6.4619572664927603</c:v>
                </c:pt>
                <c:pt idx="224">
                  <c:v>6.4560101833853878</c:v>
                </c:pt>
                <c:pt idx="225">
                  <c:v>6.6801142045019901</c:v>
                </c:pt>
                <c:pt idx="226">
                  <c:v>6.9183710392287026</c:v>
                </c:pt>
                <c:pt idx="227">
                  <c:v>7.000670598752663</c:v>
                </c:pt>
                <c:pt idx="228">
                  <c:v>6.971011614348356</c:v>
                </c:pt>
                <c:pt idx="229">
                  <c:v>6.8627487449222144</c:v>
                </c:pt>
                <c:pt idx="230">
                  <c:v>6.4229103287630096</c:v>
                </c:pt>
                <c:pt idx="231">
                  <c:v>5.8910379476837136</c:v>
                </c:pt>
                <c:pt idx="232">
                  <c:v>5.2939181283460073</c:v>
                </c:pt>
                <c:pt idx="233">
                  <c:v>4.931685584667207</c:v>
                </c:pt>
                <c:pt idx="234">
                  <c:v>4.7416551235551481</c:v>
                </c:pt>
                <c:pt idx="235">
                  <c:v>4.2555440201362273</c:v>
                </c:pt>
                <c:pt idx="236">
                  <c:v>3.7504080385956229</c:v>
                </c:pt>
                <c:pt idx="237">
                  <c:v>3.3653538303960602</c:v>
                </c:pt>
                <c:pt idx="238">
                  <c:v>2.8657774127993036</c:v>
                </c:pt>
                <c:pt idx="239">
                  <c:v>2.3148753487243425</c:v>
                </c:pt>
                <c:pt idx="240">
                  <c:v>1.8281586278824307</c:v>
                </c:pt>
                <c:pt idx="241">
                  <c:v>1.3286722098110886</c:v>
                </c:pt>
                <c:pt idx="242">
                  <c:v>0.28481621605362761</c:v>
                </c:pt>
                <c:pt idx="243">
                  <c:v>-0.32965575872563591</c:v>
                </c:pt>
                <c:pt idx="244">
                  <c:v>-0.43718045966409136</c:v>
                </c:pt>
                <c:pt idx="245">
                  <c:v>-0.45342140245446672</c:v>
                </c:pt>
                <c:pt idx="246">
                  <c:v>-0.1482720396553816</c:v>
                </c:pt>
                <c:pt idx="247">
                  <c:v>0.15870563250518899</c:v>
                </c:pt>
                <c:pt idx="248">
                  <c:v>0.240255596363113</c:v>
                </c:pt>
                <c:pt idx="249">
                  <c:v>0.15383171509665772</c:v>
                </c:pt>
                <c:pt idx="250">
                  <c:v>0.11547874014323156</c:v>
                </c:pt>
                <c:pt idx="251">
                  <c:v>0.10724801913821125</c:v>
                </c:pt>
                <c:pt idx="252">
                  <c:v>0.36122967055433719</c:v>
                </c:pt>
                <c:pt idx="253">
                  <c:v>0.36225541259770466</c:v>
                </c:pt>
                <c:pt idx="254">
                  <c:v>0.54400201490977906</c:v>
                </c:pt>
                <c:pt idx="255">
                  <c:v>0.67700574019806936</c:v>
                </c:pt>
                <c:pt idx="256">
                  <c:v>0.51343879288603489</c:v>
                </c:pt>
                <c:pt idx="257">
                  <c:v>0.72564772256592391</c:v>
                </c:pt>
                <c:pt idx="258">
                  <c:v>1.1436957703485859</c:v>
                </c:pt>
                <c:pt idx="259">
                  <c:v>1.8474804713709432</c:v>
                </c:pt>
                <c:pt idx="260">
                  <c:v>2.5309872260594091</c:v>
                </c:pt>
                <c:pt idx="261">
                  <c:v>3.4277405270140946</c:v>
                </c:pt>
                <c:pt idx="262">
                  <c:v>4.3999804006735985</c:v>
                </c:pt>
                <c:pt idx="263">
                  <c:v>5.0964078754703621</c:v>
                </c:pt>
                <c:pt idx="264">
                  <c:v>5.8320543827844347</c:v>
                </c:pt>
                <c:pt idx="265">
                  <c:v>6.2534064397081295</c:v>
                </c:pt>
                <c:pt idx="266">
                  <c:v>6.5928314821445611</c:v>
                </c:pt>
                <c:pt idx="267">
                  <c:v>6.8865367834022493</c:v>
                </c:pt>
                <c:pt idx="268">
                  <c:v>6.9934963580810177</c:v>
                </c:pt>
                <c:pt idx="269">
                  <c:v>7.1292225620819636</c:v>
                </c:pt>
                <c:pt idx="270">
                  <c:v>7.0801280203495764</c:v>
                </c:pt>
                <c:pt idx="271">
                  <c:v>6.921890097107962</c:v>
                </c:pt>
                <c:pt idx="272">
                  <c:v>6.8091750279345433</c:v>
                </c:pt>
                <c:pt idx="273">
                  <c:v>6.8419005432210724</c:v>
                </c:pt>
                <c:pt idx="274">
                  <c:v>7.3056951715142873</c:v>
                </c:pt>
                <c:pt idx="275">
                  <c:v>7.498061958108508</c:v>
                </c:pt>
                <c:pt idx="276">
                  <c:v>7.1836135777124355</c:v>
                </c:pt>
                <c:pt idx="277">
                  <c:v>7.1704860594225011</c:v>
                </c:pt>
                <c:pt idx="278">
                  <c:v>7.1151811825922096</c:v>
                </c:pt>
                <c:pt idx="279">
                  <c:v>7.0601681744478242</c:v>
                </c:pt>
                <c:pt idx="280">
                  <c:v>6.9581475193552365</c:v>
                </c:pt>
                <c:pt idx="281">
                  <c:v>7.0669558662843315</c:v>
                </c:pt>
                <c:pt idx="282">
                  <c:v>7.0158290057155455</c:v>
                </c:pt>
                <c:pt idx="283">
                  <c:v>5.9026574881107763</c:v>
                </c:pt>
                <c:pt idx="284">
                  <c:v>4.7590312849947054</c:v>
                </c:pt>
                <c:pt idx="285">
                  <c:v>3.5774548434080202</c:v>
                </c:pt>
                <c:pt idx="286">
                  <c:v>2.2966476046332218</c:v>
                </c:pt>
                <c:pt idx="287">
                  <c:v>1.3778767183608238</c:v>
                </c:pt>
                <c:pt idx="288">
                  <c:v>0.66308042035984727</c:v>
                </c:pt>
                <c:pt idx="289">
                  <c:v>0.54222200545473243</c:v>
                </c:pt>
                <c:pt idx="290">
                  <c:v>0.11987171451249878</c:v>
                </c:pt>
                <c:pt idx="291">
                  <c:v>-1.0396320372458376</c:v>
                </c:pt>
                <c:pt idx="292">
                  <c:v>-1.8341192269454609</c:v>
                </c:pt>
                <c:pt idx="293">
                  <c:v>-2.8337417348075746</c:v>
                </c:pt>
                <c:pt idx="294">
                  <c:v>-3.9244574690607692</c:v>
                </c:pt>
                <c:pt idx="295">
                  <c:v>-5.5367907939706242</c:v>
                </c:pt>
                <c:pt idx="296">
                  <c:v>-6.9826155836411203</c:v>
                </c:pt>
                <c:pt idx="297">
                  <c:v>-8.1347277056491691</c:v>
                </c:pt>
                <c:pt idx="298">
                  <c:v>-9.1608585396366493</c:v>
                </c:pt>
                <c:pt idx="299">
                  <c:v>-9.2820623720811284</c:v>
                </c:pt>
                <c:pt idx="300">
                  <c:v>-9.1523837522347264</c:v>
                </c:pt>
                <c:pt idx="301">
                  <c:v>-8.863520061446394</c:v>
                </c:pt>
                <c:pt idx="302">
                  <c:v>-8.2059371691028673</c:v>
                </c:pt>
                <c:pt idx="303">
                  <c:v>-7.6051991518069428</c:v>
                </c:pt>
                <c:pt idx="304">
                  <c:v>-6.8388636778365708</c:v>
                </c:pt>
                <c:pt idx="305">
                  <c:v>-5.6475881506194412</c:v>
                </c:pt>
                <c:pt idx="306">
                  <c:v>-4.4049923597727627</c:v>
                </c:pt>
                <c:pt idx="307">
                  <c:v>-3.3892265138413507</c:v>
                </c:pt>
                <c:pt idx="308">
                  <c:v>-2.7869116600336383</c:v>
                </c:pt>
                <c:pt idx="309">
                  <c:v>-2.7036517414089758</c:v>
                </c:pt>
                <c:pt idx="310">
                  <c:v>-2.412167169934861</c:v>
                </c:pt>
                <c:pt idx="311">
                  <c:v>-2.2871331931966097</c:v>
                </c:pt>
                <c:pt idx="312">
                  <c:v>-1.9908002120689332</c:v>
                </c:pt>
                <c:pt idx="313">
                  <c:v>-3.1024390421020485</c:v>
                </c:pt>
                <c:pt idx="314">
                  <c:v>-5.4066297033291164</c:v>
                </c:pt>
                <c:pt idx="315">
                  <c:v>-6.8184414213465914</c:v>
                </c:pt>
                <c:pt idx="316">
                  <c:v>-7.65301252325375</c:v>
                </c:pt>
                <c:pt idx="317">
                  <c:v>-6.8260467196396633</c:v>
                </c:pt>
                <c:pt idx="318">
                  <c:v>-6.6771014692908182</c:v>
                </c:pt>
                <c:pt idx="319">
                  <c:v>-5.7591859430142165</c:v>
                </c:pt>
                <c:pt idx="320">
                  <c:v>-5.0924522863244306</c:v>
                </c:pt>
                <c:pt idx="321">
                  <c:v>-4.6388865748287174</c:v>
                </c:pt>
                <c:pt idx="322">
                  <c:v>-4.511461740183023</c:v>
                </c:pt>
                <c:pt idx="323">
                  <c:v>-4.1727504111565565</c:v>
                </c:pt>
                <c:pt idx="324">
                  <c:v>-4.0967486529602297</c:v>
                </c:pt>
                <c:pt idx="325">
                  <c:v>-3.464020795080387</c:v>
                </c:pt>
                <c:pt idx="326">
                  <c:v>-2.5068235184499486</c:v>
                </c:pt>
                <c:pt idx="327">
                  <c:v>-1.4283718228739701</c:v>
                </c:pt>
                <c:pt idx="328">
                  <c:v>-0.65410486112213562</c:v>
                </c:pt>
                <c:pt idx="329">
                  <c:v>-6.6356046517455525E-2</c:v>
                </c:pt>
                <c:pt idx="330">
                  <c:v>0.50656802243511834</c:v>
                </c:pt>
                <c:pt idx="331">
                  <c:v>0.94966730127333676</c:v>
                </c:pt>
                <c:pt idx="332">
                  <c:v>1.4670850576135592</c:v>
                </c:pt>
                <c:pt idx="333">
                  <c:v>2.3040695099301161</c:v>
                </c:pt>
                <c:pt idx="334">
                  <c:v>2.9375579610621116</c:v>
                </c:pt>
                <c:pt idx="335">
                  <c:v>3.1363587935892951</c:v>
                </c:pt>
                <c:pt idx="336">
                  <c:v>3.2675405422235713</c:v>
                </c:pt>
                <c:pt idx="337">
                  <c:v>3.6585514217264858</c:v>
                </c:pt>
                <c:pt idx="338">
                  <c:v>3.8920949720865963</c:v>
                </c:pt>
                <c:pt idx="339">
                  <c:v>4.5867277255358374</c:v>
                </c:pt>
                <c:pt idx="340">
                  <c:v>5.3148106209671653</c:v>
                </c:pt>
                <c:pt idx="341">
                  <c:v>6.0344788652969612</c:v>
                </c:pt>
                <c:pt idx="342">
                  <c:v>6.6771308645262764</c:v>
                </c:pt>
                <c:pt idx="343">
                  <c:v>7.1101245292839792</c:v>
                </c:pt>
                <c:pt idx="344">
                  <c:v>7.154548346068168</c:v>
                </c:pt>
                <c:pt idx="345">
                  <c:v>7.171637680060627</c:v>
                </c:pt>
                <c:pt idx="346">
                  <c:v>6.7331562445270094</c:v>
                </c:pt>
                <c:pt idx="347">
                  <c:v>6.2833698634732968</c:v>
                </c:pt>
                <c:pt idx="348">
                  <c:v>5.8625586548019157</c:v>
                </c:pt>
                <c:pt idx="349">
                  <c:v>5.8314096035089449</c:v>
                </c:pt>
                <c:pt idx="350">
                  <c:v>5.5969605222564667</c:v>
                </c:pt>
                <c:pt idx="351">
                  <c:v>5.4196917489417729</c:v>
                </c:pt>
                <c:pt idx="352">
                  <c:v>5.189527419433773</c:v>
                </c:pt>
                <c:pt idx="353">
                  <c:v>5.0027089000821547</c:v>
                </c:pt>
                <c:pt idx="354">
                  <c:v>4.9277632350621161</c:v>
                </c:pt>
                <c:pt idx="355">
                  <c:v>4.6493555119260463</c:v>
                </c:pt>
                <c:pt idx="356">
                  <c:v>4.1971630734356609</c:v>
                </c:pt>
                <c:pt idx="357">
                  <c:v>4.0965887917302553</c:v>
                </c:pt>
                <c:pt idx="358">
                  <c:v>4.0516763055881029</c:v>
                </c:pt>
                <c:pt idx="359">
                  <c:v>4.1186915793446701</c:v>
                </c:pt>
                <c:pt idx="360">
                  <c:v>4.088362331383621</c:v>
                </c:pt>
                <c:pt idx="361">
                  <c:v>4.0251885635350959</c:v>
                </c:pt>
                <c:pt idx="362">
                  <c:v>3.6673722090835668</c:v>
                </c:pt>
                <c:pt idx="363">
                  <c:v>3.7768052965180345</c:v>
                </c:pt>
                <c:pt idx="364">
                  <c:v>3.752494407225754</c:v>
                </c:pt>
                <c:pt idx="365">
                  <c:v>4.0448719793503187</c:v>
                </c:pt>
                <c:pt idx="366">
                  <c:v>4.3108102825322021</c:v>
                </c:pt>
                <c:pt idx="367">
                  <c:v>4.7308951607228096</c:v>
                </c:pt>
                <c:pt idx="368">
                  <c:v>5.2446266731431024</c:v>
                </c:pt>
                <c:pt idx="369">
                  <c:v>5.8107168703596699</c:v>
                </c:pt>
                <c:pt idx="370">
                  <c:v>6.5621468895992621</c:v>
                </c:pt>
                <c:pt idx="371">
                  <c:v>6.94526560108784</c:v>
                </c:pt>
                <c:pt idx="372">
                  <c:v>7.3896433311591068</c:v>
                </c:pt>
                <c:pt idx="373">
                  <c:v>7.693476101657609</c:v>
                </c:pt>
                <c:pt idx="374">
                  <c:v>7.970684385077675</c:v>
                </c:pt>
                <c:pt idx="375">
                  <c:v>8.4161246711182116</c:v>
                </c:pt>
                <c:pt idx="376">
                  <c:v>8.3477246140716943</c:v>
                </c:pt>
                <c:pt idx="377">
                  <c:v>7.4658986478492011</c:v>
                </c:pt>
                <c:pt idx="378">
                  <c:v>6.7202412823148165</c:v>
                </c:pt>
                <c:pt idx="379">
                  <c:v>6.4607064086645778</c:v>
                </c:pt>
                <c:pt idx="380">
                  <c:v>6.0776439702358971</c:v>
                </c:pt>
                <c:pt idx="381">
                  <c:v>5.8550435530027585</c:v>
                </c:pt>
                <c:pt idx="382">
                  <c:v>5.4424074021448519</c:v>
                </c:pt>
                <c:pt idx="383">
                  <c:v>4.9988616155508794</c:v>
                </c:pt>
                <c:pt idx="384">
                  <c:v>4.9198572344239437</c:v>
                </c:pt>
                <c:pt idx="385">
                  <c:v>4.9111802151999768</c:v>
                </c:pt>
                <c:pt idx="386">
                  <c:v>4.8244824911333239</c:v>
                </c:pt>
                <c:pt idx="387">
                  <c:v>4.7382722230910304</c:v>
                </c:pt>
                <c:pt idx="388">
                  <c:v>5.0419163467263388</c:v>
                </c:pt>
                <c:pt idx="389">
                  <c:v>5.2056042914921932</c:v>
                </c:pt>
                <c:pt idx="390">
                  <c:v>5.4396549115623429</c:v>
                </c:pt>
                <c:pt idx="391">
                  <c:v>5.5339150280098011</c:v>
                </c:pt>
                <c:pt idx="392">
                  <c:v>5.4457836089528655</c:v>
                </c:pt>
                <c:pt idx="393">
                  <c:v>5.5212842509001803</c:v>
                </c:pt>
                <c:pt idx="394">
                  <c:v>5.2470892068316175</c:v>
                </c:pt>
                <c:pt idx="395">
                  <c:v>4.4244339534237156</c:v>
                </c:pt>
                <c:pt idx="396">
                  <c:v>4.1195680545607729</c:v>
                </c:pt>
                <c:pt idx="397">
                  <c:v>3.6032250505563752</c:v>
                </c:pt>
                <c:pt idx="398">
                  <c:v>3.1560249756178109</c:v>
                </c:pt>
                <c:pt idx="399">
                  <c:v>2.4178935781517907</c:v>
                </c:pt>
                <c:pt idx="400">
                  <c:v>1.9572163456282397</c:v>
                </c:pt>
                <c:pt idx="401">
                  <c:v>1.6378000939858453</c:v>
                </c:pt>
                <c:pt idx="402">
                  <c:v>1.6313309498900708</c:v>
                </c:pt>
                <c:pt idx="403">
                  <c:v>1.422600640984399</c:v>
                </c:pt>
                <c:pt idx="404">
                  <c:v>1.5324261751354129</c:v>
                </c:pt>
                <c:pt idx="405">
                  <c:v>1.308244742631075</c:v>
                </c:pt>
                <c:pt idx="406">
                  <c:v>1.2006582101262211</c:v>
                </c:pt>
                <c:pt idx="407">
                  <c:v>1.033282343233509</c:v>
                </c:pt>
                <c:pt idx="408">
                  <c:v>1.0164119934659084</c:v>
                </c:pt>
                <c:pt idx="409">
                  <c:v>0.93018693887916015</c:v>
                </c:pt>
                <c:pt idx="410">
                  <c:v>1.2325440962384846</c:v>
                </c:pt>
                <c:pt idx="411">
                  <c:v>1.3484929335286893</c:v>
                </c:pt>
                <c:pt idx="412">
                  <c:v>1.7167321315932895</c:v>
                </c:pt>
                <c:pt idx="413">
                  <c:v>2.0423129035061152</c:v>
                </c:pt>
                <c:pt idx="414">
                  <c:v>2.416915355534627</c:v>
                </c:pt>
                <c:pt idx="415">
                  <c:v>2.7107843381149905</c:v>
                </c:pt>
                <c:pt idx="416">
                  <c:v>2.7729234630641031</c:v>
                </c:pt>
                <c:pt idx="417">
                  <c:v>2.7748510001260343</c:v>
                </c:pt>
                <c:pt idx="418">
                  <c:v>3.0885566089337999</c:v>
                </c:pt>
                <c:pt idx="419">
                  <c:v>2.5460916972141376</c:v>
                </c:pt>
                <c:pt idx="420">
                  <c:v>1.9748033282347706</c:v>
                </c:pt>
                <c:pt idx="421">
                  <c:v>1.8987819185986723</c:v>
                </c:pt>
                <c:pt idx="422">
                  <c:v>2.0321693393270834</c:v>
                </c:pt>
                <c:pt idx="423">
                  <c:v>2.5139723687943842</c:v>
                </c:pt>
                <c:pt idx="424">
                  <c:v>2.9704964247154635</c:v>
                </c:pt>
                <c:pt idx="425">
                  <c:v>3.4530665947423245</c:v>
                </c:pt>
                <c:pt idx="426">
                  <c:v>3.8149313536551972</c:v>
                </c:pt>
                <c:pt idx="427">
                  <c:v>4.2591851521920603</c:v>
                </c:pt>
                <c:pt idx="428">
                  <c:v>4.6767722005934047</c:v>
                </c:pt>
                <c:pt idx="429">
                  <c:v>5.0742917148612037</c:v>
                </c:pt>
                <c:pt idx="430">
                  <c:v>5.1412452748731994</c:v>
                </c:pt>
                <c:pt idx="431">
                  <c:v>5.1590437019495425</c:v>
                </c:pt>
                <c:pt idx="432">
                  <c:v>5.1684408319728732</c:v>
                </c:pt>
                <c:pt idx="433">
                  <c:v>5.1192968075527006</c:v>
                </c:pt>
                <c:pt idx="434">
                  <c:v>5.2306592179636482</c:v>
                </c:pt>
                <c:pt idx="435">
                  <c:v>5.2287846481378892</c:v>
                </c:pt>
                <c:pt idx="436">
                  <c:v>5.1469879378967676</c:v>
                </c:pt>
                <c:pt idx="437">
                  <c:v>4.6477228465352596</c:v>
                </c:pt>
                <c:pt idx="438">
                  <c:v>3.9515154633143084</c:v>
                </c:pt>
                <c:pt idx="439">
                  <c:v>3.5588570808669147</c:v>
                </c:pt>
                <c:pt idx="440">
                  <c:v>3.1428557033839866</c:v>
                </c:pt>
                <c:pt idx="441">
                  <c:v>2.6622522799614217</c:v>
                </c:pt>
                <c:pt idx="442">
                  <c:v>1.9634062669669561</c:v>
                </c:pt>
                <c:pt idx="443">
                  <c:v>1.513160458871937</c:v>
                </c:pt>
                <c:pt idx="444">
                  <c:v>0.77301732764232156</c:v>
                </c:pt>
                <c:pt idx="445">
                  <c:v>0.74911011852913134</c:v>
                </c:pt>
                <c:pt idx="446">
                  <c:v>0.25198498183328866</c:v>
                </c:pt>
                <c:pt idx="447">
                  <c:v>0.14760506012765973</c:v>
                </c:pt>
                <c:pt idx="448">
                  <c:v>-0.50622656012751577</c:v>
                </c:pt>
                <c:pt idx="449">
                  <c:v>-1.0908954755966533</c:v>
                </c:pt>
                <c:pt idx="450">
                  <c:v>-1.1536315720400125</c:v>
                </c:pt>
                <c:pt idx="451">
                  <c:v>-1.6100358462103372</c:v>
                </c:pt>
                <c:pt idx="452">
                  <c:v>-2.1869903533669799</c:v>
                </c:pt>
                <c:pt idx="453">
                  <c:v>-2.5797952765994978</c:v>
                </c:pt>
                <c:pt idx="454">
                  <c:v>-2.3874937745554803</c:v>
                </c:pt>
                <c:pt idx="455">
                  <c:v>-1.9136678823608122</c:v>
                </c:pt>
                <c:pt idx="456">
                  <c:v>-1.4241043727226952</c:v>
                </c:pt>
                <c:pt idx="457">
                  <c:v>-1.012348296821358</c:v>
                </c:pt>
                <c:pt idx="458">
                  <c:v>-0.36470637642202064</c:v>
                </c:pt>
                <c:pt idx="459">
                  <c:v>0.28087867661355403</c:v>
                </c:pt>
                <c:pt idx="460">
                  <c:v>0.6422814540447348</c:v>
                </c:pt>
                <c:pt idx="461">
                  <c:v>0.91013512349599068</c:v>
                </c:pt>
                <c:pt idx="462">
                  <c:v>1.3034662306330915</c:v>
                </c:pt>
                <c:pt idx="463">
                  <c:v>1.735580730747472</c:v>
                </c:pt>
                <c:pt idx="464">
                  <c:v>2.1173732225095137</c:v>
                </c:pt>
                <c:pt idx="465">
                  <c:v>2.6061579585337427</c:v>
                </c:pt>
                <c:pt idx="466">
                  <c:v>2.8580986154355514</c:v>
                </c:pt>
                <c:pt idx="467">
                  <c:v>3.4050253567069717</c:v>
                </c:pt>
                <c:pt idx="468">
                  <c:v>2.9228166741509085</c:v>
                </c:pt>
                <c:pt idx="469">
                  <c:v>2.0434472883972603</c:v>
                </c:pt>
                <c:pt idx="470">
                  <c:v>1.0727339828820277</c:v>
                </c:pt>
                <c:pt idx="471">
                  <c:v>0.22339753003814167</c:v>
                </c:pt>
                <c:pt idx="472">
                  <c:v>-0.1366626256662471</c:v>
                </c:pt>
                <c:pt idx="473">
                  <c:v>-0.80728909950113348</c:v>
                </c:pt>
                <c:pt idx="474">
                  <c:v>-1.3522267744486953</c:v>
                </c:pt>
                <c:pt idx="475">
                  <c:v>-1.7653576961375279</c:v>
                </c:pt>
                <c:pt idx="476">
                  <c:v>-1.6700573334020987</c:v>
                </c:pt>
                <c:pt idx="477">
                  <c:v>-1.206217364496581</c:v>
                </c:pt>
                <c:pt idx="478">
                  <c:v>-0.39510380065894424</c:v>
                </c:pt>
                <c:pt idx="479">
                  <c:v>-8.6965210180323993E-2</c:v>
                </c:pt>
                <c:pt idx="480">
                  <c:v>7.2482006977338642E-2</c:v>
                </c:pt>
                <c:pt idx="481">
                  <c:v>0.53561037361674835</c:v>
                </c:pt>
                <c:pt idx="482">
                  <c:v>1.2090515682930345</c:v>
                </c:pt>
                <c:pt idx="483">
                  <c:v>1.6383396659077789</c:v>
                </c:pt>
                <c:pt idx="484">
                  <c:v>1.969567210581431</c:v>
                </c:pt>
                <c:pt idx="485">
                  <c:v>1.0339811876268641</c:v>
                </c:pt>
                <c:pt idx="486">
                  <c:v>1.0550008996980296</c:v>
                </c:pt>
                <c:pt idx="487">
                  <c:v>1.6393895527486961</c:v>
                </c:pt>
                <c:pt idx="488">
                  <c:v>2.1695015794664414</c:v>
                </c:pt>
                <c:pt idx="489">
                  <c:v>2.6797659698639222</c:v>
                </c:pt>
                <c:pt idx="490">
                  <c:v>2.6924259227979519</c:v>
                </c:pt>
                <c:pt idx="491">
                  <c:v>2.6261916873725113</c:v>
                </c:pt>
                <c:pt idx="492">
                  <c:v>2.386421939533534</c:v>
                </c:pt>
                <c:pt idx="493">
                  <c:v>2.5072129127134417</c:v>
                </c:pt>
                <c:pt idx="494">
                  <c:v>3.0423373171966546</c:v>
                </c:pt>
                <c:pt idx="495">
                  <c:v>3.6534765250716532</c:v>
                </c:pt>
                <c:pt idx="496">
                  <c:v>4.3491157731210137</c:v>
                </c:pt>
                <c:pt idx="497">
                  <c:v>4.7440568845770485</c:v>
                </c:pt>
                <c:pt idx="498">
                  <c:v>4.6675685031300986</c:v>
                </c:pt>
                <c:pt idx="499">
                  <c:v>4.5281252583710625</c:v>
                </c:pt>
                <c:pt idx="500">
                  <c:v>4.2715457901595641</c:v>
                </c:pt>
                <c:pt idx="501">
                  <c:v>4.2819003858325004</c:v>
                </c:pt>
                <c:pt idx="502">
                  <c:v>4.924065378045384</c:v>
                </c:pt>
                <c:pt idx="503">
                  <c:v>5.4165414787472628</c:v>
                </c:pt>
                <c:pt idx="504">
                  <c:v>5.1327943613057414</c:v>
                </c:pt>
                <c:pt idx="505">
                  <c:v>5.0753538064862482</c:v>
                </c:pt>
                <c:pt idx="506">
                  <c:v>4.9246484851150285</c:v>
                </c:pt>
                <c:pt idx="507">
                  <c:v>4.3755243901932204</c:v>
                </c:pt>
                <c:pt idx="508">
                  <c:v>2.811332869782234</c:v>
                </c:pt>
                <c:pt idx="509">
                  <c:v>1.3120793096906027</c:v>
                </c:pt>
                <c:pt idx="510">
                  <c:v>0.23338117218651178</c:v>
                </c:pt>
                <c:pt idx="511">
                  <c:v>-0.35834393465796666</c:v>
                </c:pt>
                <c:pt idx="512">
                  <c:v>-1.5940448709644102</c:v>
                </c:pt>
                <c:pt idx="513">
                  <c:v>-2.5998613325041333</c:v>
                </c:pt>
                <c:pt idx="514">
                  <c:v>-3.2314285165309116</c:v>
                </c:pt>
                <c:pt idx="515">
                  <c:v>-4.1608737061070542</c:v>
                </c:pt>
                <c:pt idx="516">
                  <c:v>-4.5768108351925889</c:v>
                </c:pt>
                <c:pt idx="517">
                  <c:v>-4.908763733077933</c:v>
                </c:pt>
                <c:pt idx="518">
                  <c:v>-5.07620530568812</c:v>
                </c:pt>
                <c:pt idx="519">
                  <c:v>-4.6988309787508911</c:v>
                </c:pt>
                <c:pt idx="520">
                  <c:v>-4.391898603187542</c:v>
                </c:pt>
                <c:pt idx="521">
                  <c:v>-3.9218872137497556</c:v>
                </c:pt>
                <c:pt idx="522">
                  <c:v>-2.9736801455150044</c:v>
                </c:pt>
                <c:pt idx="523">
                  <c:v>-2.0038463439577185</c:v>
                </c:pt>
                <c:pt idx="524">
                  <c:v>-1.7883486778491715</c:v>
                </c:pt>
                <c:pt idx="5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AE-41E5-9034-053FDC4AAEF8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Data!$Z$2:$Z$527</c:f>
              <c:numCache>
                <c:formatCode>General</c:formatCode>
                <c:ptCount val="526"/>
                <c:pt idx="34">
                  <c:v>2.1186492961805357</c:v>
                </c:pt>
                <c:pt idx="35">
                  <c:v>2.3033509882887699</c:v>
                </c:pt>
                <c:pt idx="36">
                  <c:v>2.4754103566948062</c:v>
                </c:pt>
                <c:pt idx="37">
                  <c:v>2.6263200616293068</c:v>
                </c:pt>
                <c:pt idx="38">
                  <c:v>2.7649143233050149</c:v>
                </c:pt>
                <c:pt idx="39">
                  <c:v>2.9090257832986377</c:v>
                </c:pt>
                <c:pt idx="40">
                  <c:v>3.0301255969658198</c:v>
                </c:pt>
                <c:pt idx="41">
                  <c:v>3.1457242731946362</c:v>
                </c:pt>
                <c:pt idx="42">
                  <c:v>3.2744800853277116</c:v>
                </c:pt>
                <c:pt idx="43">
                  <c:v>3.4129050680802338</c:v>
                </c:pt>
                <c:pt idx="44">
                  <c:v>3.5158710018275308</c:v>
                </c:pt>
                <c:pt idx="45">
                  <c:v>3.5887849106074183</c:v>
                </c:pt>
                <c:pt idx="46">
                  <c:v>3.6319777671284297</c:v>
                </c:pt>
                <c:pt idx="47">
                  <c:v>3.6707291356988865</c:v>
                </c:pt>
                <c:pt idx="48">
                  <c:v>3.7208687212511751</c:v>
                </c:pt>
                <c:pt idx="49">
                  <c:v>3.7126326497802182</c:v>
                </c:pt>
                <c:pt idx="50">
                  <c:v>3.6969515442640448</c:v>
                </c:pt>
                <c:pt idx="51">
                  <c:v>3.7066523863721894</c:v>
                </c:pt>
                <c:pt idx="52">
                  <c:v>3.7413338868092909</c:v>
                </c:pt>
                <c:pt idx="53">
                  <c:v>3.8218516781719738</c:v>
                </c:pt>
                <c:pt idx="54">
                  <c:v>3.9617226755176147</c:v>
                </c:pt>
                <c:pt idx="55">
                  <c:v>4.0835045014235858</c:v>
                </c:pt>
                <c:pt idx="56">
                  <c:v>4.1495392990830196</c:v>
                </c:pt>
                <c:pt idx="57">
                  <c:v>4.1822321653167052</c:v>
                </c:pt>
                <c:pt idx="58">
                  <c:v>4.2432482241868064</c:v>
                </c:pt>
                <c:pt idx="59">
                  <c:v>4.3215913722804196</c:v>
                </c:pt>
                <c:pt idx="60">
                  <c:v>4.3751401403353585</c:v>
                </c:pt>
                <c:pt idx="61">
                  <c:v>4.3990929737664013</c:v>
                </c:pt>
                <c:pt idx="62">
                  <c:v>4.3842791059683757</c:v>
                </c:pt>
                <c:pt idx="63">
                  <c:v>4.2936717270943241</c:v>
                </c:pt>
                <c:pt idx="64">
                  <c:v>4.1792400346957237</c:v>
                </c:pt>
                <c:pt idx="65">
                  <c:v>4.0627821375591564</c:v>
                </c:pt>
                <c:pt idx="66">
                  <c:v>3.9206798944251968</c:v>
                </c:pt>
                <c:pt idx="67">
                  <c:v>3.7342140650767011</c:v>
                </c:pt>
                <c:pt idx="68">
                  <c:v>3.5205676404027164</c:v>
                </c:pt>
                <c:pt idx="69">
                  <c:v>3.091396740315826</c:v>
                </c:pt>
                <c:pt idx="70">
                  <c:v>2.544186645295909</c:v>
                </c:pt>
                <c:pt idx="71">
                  <c:v>1.9125340817485379</c:v>
                </c:pt>
                <c:pt idx="72">
                  <c:v>1.2452206544627973</c:v>
                </c:pt>
                <c:pt idx="73">
                  <c:v>0.60636591810596685</c:v>
                </c:pt>
                <c:pt idx="74">
                  <c:v>9.0048920834154167E-2</c:v>
                </c:pt>
                <c:pt idx="75">
                  <c:v>-0.26500740346945906</c:v>
                </c:pt>
                <c:pt idx="76">
                  <c:v>-0.45621646183870274</c:v>
                </c:pt>
                <c:pt idx="77">
                  <c:v>-0.5186687727748186</c:v>
                </c:pt>
                <c:pt idx="78">
                  <c:v>-0.49133606383990297</c:v>
                </c:pt>
                <c:pt idx="79">
                  <c:v>-0.40612628545115426</c:v>
                </c:pt>
                <c:pt idx="80">
                  <c:v>-0.29153190197450524</c:v>
                </c:pt>
                <c:pt idx="81">
                  <c:v>-0.18843238463761369</c:v>
                </c:pt>
                <c:pt idx="82">
                  <c:v>-9.559826833216134E-2</c:v>
                </c:pt>
                <c:pt idx="83">
                  <c:v>-1.7037819696992529E-2</c:v>
                </c:pt>
                <c:pt idx="84">
                  <c:v>3.0149156326804906E-2</c:v>
                </c:pt>
                <c:pt idx="85">
                  <c:v>7.8901592013276456E-2</c:v>
                </c:pt>
                <c:pt idx="86">
                  <c:v>0.12191110757310263</c:v>
                </c:pt>
                <c:pt idx="87">
                  <c:v>0.22101080432887371</c:v>
                </c:pt>
                <c:pt idx="88">
                  <c:v>0.37908371133917484</c:v>
                </c:pt>
                <c:pt idx="89">
                  <c:v>0.58523154085071749</c:v>
                </c:pt>
                <c:pt idx="90">
                  <c:v>0.80873315285393521</c:v>
                </c:pt>
                <c:pt idx="91">
                  <c:v>1.0739054656122189</c:v>
                </c:pt>
                <c:pt idx="92">
                  <c:v>1.358420397284668</c:v>
                </c:pt>
                <c:pt idx="93">
                  <c:v>1.6427916397847926</c:v>
                </c:pt>
                <c:pt idx="94">
                  <c:v>1.9454356008269627</c:v>
                </c:pt>
                <c:pt idx="95">
                  <c:v>2.0922932391210236</c:v>
                </c:pt>
                <c:pt idx="96">
                  <c:v>2.1919001476700974</c:v>
                </c:pt>
                <c:pt idx="97">
                  <c:v>2.2323690283578119</c:v>
                </c:pt>
                <c:pt idx="98">
                  <c:v>2.2063852345246144</c:v>
                </c:pt>
                <c:pt idx="99">
                  <c:v>2.1955507433247852</c:v>
                </c:pt>
                <c:pt idx="100">
                  <c:v>2.1704705558935</c:v>
                </c:pt>
                <c:pt idx="101">
                  <c:v>2.1106526073029541</c:v>
                </c:pt>
                <c:pt idx="102">
                  <c:v>2.0468512419408635</c:v>
                </c:pt>
                <c:pt idx="103">
                  <c:v>2.0318821057507588</c:v>
                </c:pt>
                <c:pt idx="104">
                  <c:v>2.0307506243730002</c:v>
                </c:pt>
                <c:pt idx="105">
                  <c:v>1.9912843931849022</c:v>
                </c:pt>
                <c:pt idx="106">
                  <c:v>1.8950076382960592</c:v>
                </c:pt>
                <c:pt idx="107">
                  <c:v>1.7582669830230331</c:v>
                </c:pt>
                <c:pt idx="108">
                  <c:v>1.6478264883941327</c:v>
                </c:pt>
                <c:pt idx="109">
                  <c:v>1.5504796668483114</c:v>
                </c:pt>
                <c:pt idx="110">
                  <c:v>1.379148246616575</c:v>
                </c:pt>
                <c:pt idx="111">
                  <c:v>1.122131834430617</c:v>
                </c:pt>
                <c:pt idx="112">
                  <c:v>0.8563082948564773</c:v>
                </c:pt>
                <c:pt idx="113">
                  <c:v>0.59886235775207552</c:v>
                </c:pt>
                <c:pt idx="114">
                  <c:v>0.37794345170141808</c:v>
                </c:pt>
                <c:pt idx="115">
                  <c:v>0.22286642582681565</c:v>
                </c:pt>
                <c:pt idx="116">
                  <c:v>0.14332312580452844</c:v>
                </c:pt>
                <c:pt idx="117">
                  <c:v>7.7154064834303621E-2</c:v>
                </c:pt>
                <c:pt idx="118">
                  <c:v>6.3822952757073087E-2</c:v>
                </c:pt>
                <c:pt idx="119">
                  <c:v>7.1239939986038642E-2</c:v>
                </c:pt>
                <c:pt idx="120">
                  <c:v>8.0899426731704013E-2</c:v>
                </c:pt>
                <c:pt idx="121">
                  <c:v>0.11903440007613372</c:v>
                </c:pt>
                <c:pt idx="122">
                  <c:v>0.22204600026423876</c:v>
                </c:pt>
                <c:pt idx="123">
                  <c:v>0.41070947413307102</c:v>
                </c:pt>
                <c:pt idx="124">
                  <c:v>0.6961576679770245</c:v>
                </c:pt>
                <c:pt idx="125">
                  <c:v>1.0234846808905376</c:v>
                </c:pt>
                <c:pt idx="126">
                  <c:v>1.2953465525304957</c:v>
                </c:pt>
                <c:pt idx="127">
                  <c:v>1.5213028208645252</c:v>
                </c:pt>
                <c:pt idx="128">
                  <c:v>1.7424218518158101</c:v>
                </c:pt>
                <c:pt idx="129">
                  <c:v>1.9476584899603702</c:v>
                </c:pt>
                <c:pt idx="130">
                  <c:v>2.1221583550242844</c:v>
                </c:pt>
                <c:pt idx="131">
                  <c:v>2.2233630227123076</c:v>
                </c:pt>
                <c:pt idx="132">
                  <c:v>2.3497819361942804</c:v>
                </c:pt>
                <c:pt idx="133">
                  <c:v>2.5369791987293731</c:v>
                </c:pt>
                <c:pt idx="134">
                  <c:v>2.798527526227585</c:v>
                </c:pt>
                <c:pt idx="135">
                  <c:v>2.9766625290674975</c:v>
                </c:pt>
                <c:pt idx="136">
                  <c:v>3.083202245581675</c:v>
                </c:pt>
                <c:pt idx="137">
                  <c:v>3.1402324020616912</c:v>
                </c:pt>
                <c:pt idx="138">
                  <c:v>3.1568818063810338</c:v>
                </c:pt>
                <c:pt idx="139">
                  <c:v>3.1123926922960301</c:v>
                </c:pt>
                <c:pt idx="140">
                  <c:v>3.0260979129585142</c:v>
                </c:pt>
                <c:pt idx="141">
                  <c:v>2.9681840431762412</c:v>
                </c:pt>
                <c:pt idx="142">
                  <c:v>2.9021529884127837</c:v>
                </c:pt>
                <c:pt idx="143">
                  <c:v>2.8971232678973564</c:v>
                </c:pt>
                <c:pt idx="144">
                  <c:v>2.8858574840706241</c:v>
                </c:pt>
                <c:pt idx="145">
                  <c:v>2.7874768014024971</c:v>
                </c:pt>
                <c:pt idx="146">
                  <c:v>2.4925802935915322</c:v>
                </c:pt>
                <c:pt idx="147">
                  <c:v>2.0166426176250769</c:v>
                </c:pt>
                <c:pt idx="148">
                  <c:v>1.5343769705745072</c:v>
                </c:pt>
                <c:pt idx="149">
                  <c:v>1.070886345434952</c:v>
                </c:pt>
                <c:pt idx="150">
                  <c:v>0.69941288054224249</c:v>
                </c:pt>
                <c:pt idx="151">
                  <c:v>0.4312538222133484</c:v>
                </c:pt>
                <c:pt idx="152">
                  <c:v>0.24714688086314035</c:v>
                </c:pt>
                <c:pt idx="153">
                  <c:v>0.15273029834901794</c:v>
                </c:pt>
                <c:pt idx="154">
                  <c:v>0.15582642188480625</c:v>
                </c:pt>
                <c:pt idx="155">
                  <c:v>0.24042444149015041</c:v>
                </c:pt>
                <c:pt idx="156">
                  <c:v>0.40973321329313583</c:v>
                </c:pt>
                <c:pt idx="157">
                  <c:v>0.64594026860515807</c:v>
                </c:pt>
                <c:pt idx="158">
                  <c:v>0.89538567246237266</c:v>
                </c:pt>
                <c:pt idx="159">
                  <c:v>1.1392878646700109</c:v>
                </c:pt>
                <c:pt idx="160">
                  <c:v>1.3967207201503991</c:v>
                </c:pt>
                <c:pt idx="161">
                  <c:v>1.672759287320384</c:v>
                </c:pt>
                <c:pt idx="162">
                  <c:v>1.9558973972422982</c:v>
                </c:pt>
                <c:pt idx="163">
                  <c:v>2.2402988697427491</c:v>
                </c:pt>
                <c:pt idx="164">
                  <c:v>2.5231867057117974</c:v>
                </c:pt>
                <c:pt idx="165">
                  <c:v>2.7992235856030363</c:v>
                </c:pt>
                <c:pt idx="166">
                  <c:v>3.0914380501222003</c:v>
                </c:pt>
                <c:pt idx="167">
                  <c:v>3.2996330617379277</c:v>
                </c:pt>
                <c:pt idx="168">
                  <c:v>3.4212560667955976</c:v>
                </c:pt>
                <c:pt idx="169">
                  <c:v>3.4473214946758657</c:v>
                </c:pt>
                <c:pt idx="170">
                  <c:v>3.3217854181465358</c:v>
                </c:pt>
                <c:pt idx="171">
                  <c:v>3.1696399527383248</c:v>
                </c:pt>
                <c:pt idx="172">
                  <c:v>2.8220805245038116</c:v>
                </c:pt>
                <c:pt idx="173">
                  <c:v>2.3904708319904509</c:v>
                </c:pt>
                <c:pt idx="174">
                  <c:v>1.9133061068141521</c:v>
                </c:pt>
                <c:pt idx="175">
                  <c:v>1.3918652530678952</c:v>
                </c:pt>
                <c:pt idx="176">
                  <c:v>0.92331406092016866</c:v>
                </c:pt>
                <c:pt idx="177">
                  <c:v>0.53254753042048064</c:v>
                </c:pt>
                <c:pt idx="178">
                  <c:v>0.18236416715561793</c:v>
                </c:pt>
                <c:pt idx="179">
                  <c:v>-7.7375380320035769E-2</c:v>
                </c:pt>
                <c:pt idx="180">
                  <c:v>-0.25690197209360183</c:v>
                </c:pt>
                <c:pt idx="181">
                  <c:v>-0.37057197947751824</c:v>
                </c:pt>
                <c:pt idx="182">
                  <c:v>-0.43376781510881457</c:v>
                </c:pt>
                <c:pt idx="183">
                  <c:v>-0.48336212534614365</c:v>
                </c:pt>
                <c:pt idx="184">
                  <c:v>-0.52727107776206306</c:v>
                </c:pt>
                <c:pt idx="185">
                  <c:v>-0.55262584126808523</c:v>
                </c:pt>
                <c:pt idx="186">
                  <c:v>-0.55801892419946453</c:v>
                </c:pt>
                <c:pt idx="187">
                  <c:v>-0.61029172909175489</c:v>
                </c:pt>
                <c:pt idx="188">
                  <c:v>-0.68382802640031093</c:v>
                </c:pt>
                <c:pt idx="189">
                  <c:v>-0.79814448906493962</c:v>
                </c:pt>
                <c:pt idx="190">
                  <c:v>-0.83464242715422288</c:v>
                </c:pt>
                <c:pt idx="191">
                  <c:v>-0.82317640111489343</c:v>
                </c:pt>
                <c:pt idx="192">
                  <c:v>-0.78324416895002924</c:v>
                </c:pt>
                <c:pt idx="193">
                  <c:v>-0.68317972136937499</c:v>
                </c:pt>
                <c:pt idx="194">
                  <c:v>-0.55836756628705564</c:v>
                </c:pt>
                <c:pt idx="195">
                  <c:v>-0.27254502359823124</c:v>
                </c:pt>
                <c:pt idx="196">
                  <c:v>8.6910529081577231E-2</c:v>
                </c:pt>
                <c:pt idx="197">
                  <c:v>0.48799500371421733</c:v>
                </c:pt>
                <c:pt idx="198">
                  <c:v>0.91297694983805922</c:v>
                </c:pt>
                <c:pt idx="199">
                  <c:v>1.3410226975559554</c:v>
                </c:pt>
                <c:pt idx="200">
                  <c:v>1.7606501445178357</c:v>
                </c:pt>
                <c:pt idx="201">
                  <c:v>2.1111787558499797</c:v>
                </c:pt>
                <c:pt idx="202">
                  <c:v>2.4130794090860173</c:v>
                </c:pt>
                <c:pt idx="203">
                  <c:v>2.6518473377409872</c:v>
                </c:pt>
                <c:pt idx="204">
                  <c:v>2.8575326248994362</c:v>
                </c:pt>
                <c:pt idx="205">
                  <c:v>2.982588805183612</c:v>
                </c:pt>
                <c:pt idx="206">
                  <c:v>3.0946492354002215</c:v>
                </c:pt>
                <c:pt idx="207">
                  <c:v>3.1441549752488269</c:v>
                </c:pt>
                <c:pt idx="208">
                  <c:v>3.1687824772786963</c:v>
                </c:pt>
                <c:pt idx="209">
                  <c:v>3.129576975492915</c:v>
                </c:pt>
                <c:pt idx="210">
                  <c:v>3.0615579660519177</c:v>
                </c:pt>
                <c:pt idx="211">
                  <c:v>2.921651012783931</c:v>
                </c:pt>
                <c:pt idx="212">
                  <c:v>2.7646432603363609</c:v>
                </c:pt>
                <c:pt idx="213">
                  <c:v>3.0068008988211465</c:v>
                </c:pt>
                <c:pt idx="214">
                  <c:v>3.30920709781289</c:v>
                </c:pt>
                <c:pt idx="215">
                  <c:v>3.6355535918810826</c:v>
                </c:pt>
                <c:pt idx="216">
                  <c:v>3.988366315443459</c:v>
                </c:pt>
                <c:pt idx="217">
                  <c:v>4.334489931663434</c:v>
                </c:pt>
                <c:pt idx="218">
                  <c:v>4.673924459281972</c:v>
                </c:pt>
                <c:pt idx="219">
                  <c:v>4.9920474929747982</c:v>
                </c:pt>
                <c:pt idx="220">
                  <c:v>5.323641664906984</c:v>
                </c:pt>
                <c:pt idx="221">
                  <c:v>5.6296956781986562</c:v>
                </c:pt>
                <c:pt idx="222">
                  <c:v>5.8599149755699944</c:v>
                </c:pt>
                <c:pt idx="223">
                  <c:v>5.9803234337545472</c:v>
                </c:pt>
                <c:pt idx="224">
                  <c:v>6.0754607836807155</c:v>
                </c:pt>
                <c:pt idx="225">
                  <c:v>6.196391467844971</c:v>
                </c:pt>
                <c:pt idx="226">
                  <c:v>6.340787382121718</c:v>
                </c:pt>
                <c:pt idx="227">
                  <c:v>6.4727640254479075</c:v>
                </c:pt>
                <c:pt idx="228">
                  <c:v>6.5724135432279978</c:v>
                </c:pt>
                <c:pt idx="229">
                  <c:v>6.6304805835668414</c:v>
                </c:pt>
                <c:pt idx="230">
                  <c:v>6.5889665326060758</c:v>
                </c:pt>
                <c:pt idx="231">
                  <c:v>6.4493808156216037</c:v>
                </c:pt>
                <c:pt idx="232">
                  <c:v>6.2182882781664848</c:v>
                </c:pt>
                <c:pt idx="233">
                  <c:v>5.9609677394666294</c:v>
                </c:pt>
                <c:pt idx="234">
                  <c:v>5.7171052162843328</c:v>
                </c:pt>
                <c:pt idx="235">
                  <c:v>5.4247929770547119</c:v>
                </c:pt>
                <c:pt idx="236">
                  <c:v>5.0899159893628942</c:v>
                </c:pt>
                <c:pt idx="237">
                  <c:v>4.7450035575695271</c:v>
                </c:pt>
                <c:pt idx="238">
                  <c:v>4.369158328615482</c:v>
                </c:pt>
                <c:pt idx="239">
                  <c:v>3.9583017326372545</c:v>
                </c:pt>
                <c:pt idx="240">
                  <c:v>3.53227311168629</c:v>
                </c:pt>
                <c:pt idx="241">
                  <c:v>3.09155293131125</c:v>
                </c:pt>
                <c:pt idx="242">
                  <c:v>2.5302055882597254</c:v>
                </c:pt>
                <c:pt idx="243">
                  <c:v>1.9582333188626535</c:v>
                </c:pt>
                <c:pt idx="244">
                  <c:v>1.4791505631573045</c:v>
                </c:pt>
                <c:pt idx="245">
                  <c:v>1.0926361700349503</c:v>
                </c:pt>
                <c:pt idx="246">
                  <c:v>0.84445452809688393</c:v>
                </c:pt>
                <c:pt idx="247">
                  <c:v>0.70730474897854501</c:v>
                </c:pt>
                <c:pt idx="248">
                  <c:v>0.61389491845545863</c:v>
                </c:pt>
                <c:pt idx="249">
                  <c:v>0.52188227778369845</c:v>
                </c:pt>
                <c:pt idx="250">
                  <c:v>0.44060157025560509</c:v>
                </c:pt>
                <c:pt idx="251">
                  <c:v>0.37393086003212639</c:v>
                </c:pt>
                <c:pt idx="252">
                  <c:v>0.37139062213656854</c:v>
                </c:pt>
                <c:pt idx="253">
                  <c:v>0.36956358022879576</c:v>
                </c:pt>
                <c:pt idx="254">
                  <c:v>0.40445126716499241</c:v>
                </c:pt>
                <c:pt idx="255">
                  <c:v>0.45896216177160787</c:v>
                </c:pt>
                <c:pt idx="256">
                  <c:v>0.46985748799449328</c:v>
                </c:pt>
                <c:pt idx="257">
                  <c:v>0.5210155349087795</c:v>
                </c:pt>
                <c:pt idx="258">
                  <c:v>0.64555158199674079</c:v>
                </c:pt>
                <c:pt idx="259">
                  <c:v>0.8859373598715814</c:v>
                </c:pt>
                <c:pt idx="260">
                  <c:v>1.2149473331091469</c:v>
                </c:pt>
                <c:pt idx="261">
                  <c:v>1.6575059718901366</c:v>
                </c:pt>
                <c:pt idx="262">
                  <c:v>2.2060008576468291</c:v>
                </c:pt>
                <c:pt idx="263">
                  <c:v>2.7840822612115357</c:v>
                </c:pt>
                <c:pt idx="264">
                  <c:v>3.3936766855261156</c:v>
                </c:pt>
                <c:pt idx="265">
                  <c:v>3.9656226363625189</c:v>
                </c:pt>
                <c:pt idx="266">
                  <c:v>4.4910644055189275</c:v>
                </c:pt>
                <c:pt idx="267">
                  <c:v>4.9701588810955917</c:v>
                </c:pt>
                <c:pt idx="268">
                  <c:v>5.3748263764926776</c:v>
                </c:pt>
                <c:pt idx="269">
                  <c:v>5.7257056136105344</c:v>
                </c:pt>
                <c:pt idx="270">
                  <c:v>5.9965900949583428</c:v>
                </c:pt>
                <c:pt idx="271">
                  <c:v>6.1816500953882665</c:v>
                </c:pt>
                <c:pt idx="272">
                  <c:v>6.3071550818975224</c:v>
                </c:pt>
                <c:pt idx="273">
                  <c:v>6.4141041741622331</c:v>
                </c:pt>
                <c:pt idx="274">
                  <c:v>6.5924223736326448</c:v>
                </c:pt>
                <c:pt idx="275">
                  <c:v>6.7735502905278171</c:v>
                </c:pt>
                <c:pt idx="276">
                  <c:v>6.8555629479647413</c:v>
                </c:pt>
                <c:pt idx="277">
                  <c:v>6.918547570256294</c:v>
                </c:pt>
                <c:pt idx="278">
                  <c:v>6.9578742927234778</c:v>
                </c:pt>
                <c:pt idx="279">
                  <c:v>6.9783330690683476</c:v>
                </c:pt>
                <c:pt idx="280">
                  <c:v>6.9742959591257252</c:v>
                </c:pt>
                <c:pt idx="281">
                  <c:v>6.9928279405574472</c:v>
                </c:pt>
                <c:pt idx="282">
                  <c:v>6.9974281535890679</c:v>
                </c:pt>
                <c:pt idx="283">
                  <c:v>6.7784740204934097</c:v>
                </c:pt>
                <c:pt idx="284">
                  <c:v>6.3745854733936689</c:v>
                </c:pt>
                <c:pt idx="285">
                  <c:v>5.8151593473965395</c:v>
                </c:pt>
                <c:pt idx="286">
                  <c:v>5.1114569988438765</c:v>
                </c:pt>
                <c:pt idx="287">
                  <c:v>4.3647409427472654</c:v>
                </c:pt>
                <c:pt idx="288">
                  <c:v>3.6244088382697819</c:v>
                </c:pt>
                <c:pt idx="289">
                  <c:v>3.0079714717067723</c:v>
                </c:pt>
                <c:pt idx="290">
                  <c:v>2.4303515202679176</c:v>
                </c:pt>
                <c:pt idx="291">
                  <c:v>1.7363548087651666</c:v>
                </c:pt>
                <c:pt idx="292">
                  <c:v>1.0222600016230412</c:v>
                </c:pt>
                <c:pt idx="293">
                  <c:v>0.25105965433691801</c:v>
                </c:pt>
                <c:pt idx="294">
                  <c:v>-0.58404377034261945</c:v>
                </c:pt>
                <c:pt idx="295">
                  <c:v>-1.5745931750682205</c:v>
                </c:pt>
                <c:pt idx="296">
                  <c:v>-2.6561976567828007</c:v>
                </c:pt>
                <c:pt idx="297">
                  <c:v>-3.7519036665560748</c:v>
                </c:pt>
                <c:pt idx="298">
                  <c:v>-4.8336946411721904</c:v>
                </c:pt>
                <c:pt idx="299">
                  <c:v>-5.7233681873539783</c:v>
                </c:pt>
                <c:pt idx="300">
                  <c:v>-6.4091713003301285</c:v>
                </c:pt>
                <c:pt idx="301">
                  <c:v>-6.900041052553382</c:v>
                </c:pt>
                <c:pt idx="302">
                  <c:v>-7.1612202758632799</c:v>
                </c:pt>
                <c:pt idx="303">
                  <c:v>-7.2500160510520129</c:v>
                </c:pt>
                <c:pt idx="304">
                  <c:v>-7.1677855764089244</c:v>
                </c:pt>
                <c:pt idx="305">
                  <c:v>-6.863746091251028</c:v>
                </c:pt>
                <c:pt idx="306">
                  <c:v>-6.3719953449553755</c:v>
                </c:pt>
                <c:pt idx="307">
                  <c:v>-5.775441578732571</c:v>
                </c:pt>
                <c:pt idx="308">
                  <c:v>-5.1777355949927841</c:v>
                </c:pt>
                <c:pt idx="309">
                  <c:v>-4.6829188242760225</c:v>
                </c:pt>
                <c:pt idx="310">
                  <c:v>-4.2287684934077907</c:v>
                </c:pt>
                <c:pt idx="311">
                  <c:v>-3.8404414333655543</c:v>
                </c:pt>
                <c:pt idx="312">
                  <c:v>-3.4705131891062302</c:v>
                </c:pt>
                <c:pt idx="313">
                  <c:v>-3.3968983597053937</c:v>
                </c:pt>
                <c:pt idx="314">
                  <c:v>-3.798844628430138</c:v>
                </c:pt>
                <c:pt idx="315">
                  <c:v>-4.4027639870134285</c:v>
                </c:pt>
                <c:pt idx="316">
                  <c:v>-5.0528136942614932</c:v>
                </c:pt>
                <c:pt idx="317">
                  <c:v>-5.407460299337127</c:v>
                </c:pt>
                <c:pt idx="318">
                  <c:v>-5.6613885333278651</c:v>
                </c:pt>
                <c:pt idx="319">
                  <c:v>-5.6809480152651357</c:v>
                </c:pt>
                <c:pt idx="320">
                  <c:v>-5.563248869476995</c:v>
                </c:pt>
                <c:pt idx="321">
                  <c:v>-5.3783764105473395</c:v>
                </c:pt>
                <c:pt idx="322">
                  <c:v>-5.2049934764744767</c:v>
                </c:pt>
                <c:pt idx="323">
                  <c:v>-4.9985448634108929</c:v>
                </c:pt>
                <c:pt idx="324">
                  <c:v>-4.8181856213207608</c:v>
                </c:pt>
                <c:pt idx="325">
                  <c:v>-4.547352656072686</c:v>
                </c:pt>
                <c:pt idx="326">
                  <c:v>-4.1392468285481385</c:v>
                </c:pt>
                <c:pt idx="327">
                  <c:v>-3.5970718274133051</c:v>
                </c:pt>
                <c:pt idx="328">
                  <c:v>-3.0084784341550712</c:v>
                </c:pt>
                <c:pt idx="329">
                  <c:v>-2.4200539566275481</c:v>
                </c:pt>
                <c:pt idx="330">
                  <c:v>-1.8347295608150147</c:v>
                </c:pt>
                <c:pt idx="331">
                  <c:v>-1.2778501883973445</c:v>
                </c:pt>
                <c:pt idx="332">
                  <c:v>-0.72886313919516366</c:v>
                </c:pt>
                <c:pt idx="333">
                  <c:v>-0.12227660937010776</c:v>
                </c:pt>
                <c:pt idx="334">
                  <c:v>0.48969030471633612</c:v>
                </c:pt>
                <c:pt idx="335">
                  <c:v>1.0190240024909281</c:v>
                </c:pt>
                <c:pt idx="336">
                  <c:v>1.4687273104374567</c:v>
                </c:pt>
                <c:pt idx="337">
                  <c:v>1.9066921326952626</c:v>
                </c:pt>
                <c:pt idx="338">
                  <c:v>2.3037727005735293</c:v>
                </c:pt>
                <c:pt idx="339">
                  <c:v>2.7603637055659913</c:v>
                </c:pt>
                <c:pt idx="340">
                  <c:v>3.2712530886462261</c:v>
                </c:pt>
                <c:pt idx="341">
                  <c:v>3.8238982439763736</c:v>
                </c:pt>
                <c:pt idx="342">
                  <c:v>4.3945447680863543</c:v>
                </c:pt>
                <c:pt idx="343">
                  <c:v>4.93766072032588</c:v>
                </c:pt>
                <c:pt idx="344">
                  <c:v>5.381038245474338</c:v>
                </c:pt>
                <c:pt idx="345">
                  <c:v>5.7391581323915961</c:v>
                </c:pt>
                <c:pt idx="346">
                  <c:v>5.9379577548186795</c:v>
                </c:pt>
                <c:pt idx="347">
                  <c:v>6.0070401765496033</c:v>
                </c:pt>
                <c:pt idx="348">
                  <c:v>5.9781438722000662</c:v>
                </c:pt>
                <c:pt idx="349">
                  <c:v>5.9487970184618426</c:v>
                </c:pt>
                <c:pt idx="350">
                  <c:v>5.878429719220768</c:v>
                </c:pt>
                <c:pt idx="351">
                  <c:v>5.7866821251649689</c:v>
                </c:pt>
                <c:pt idx="352">
                  <c:v>5.6672511840187303</c:v>
                </c:pt>
                <c:pt idx="353">
                  <c:v>5.5343427272314152</c:v>
                </c:pt>
                <c:pt idx="354">
                  <c:v>5.4130268287975554</c:v>
                </c:pt>
                <c:pt idx="355">
                  <c:v>5.2602925654232537</c:v>
                </c:pt>
                <c:pt idx="356">
                  <c:v>5.0476666670257355</c:v>
                </c:pt>
                <c:pt idx="357">
                  <c:v>4.8574510919666398</c:v>
                </c:pt>
                <c:pt idx="358">
                  <c:v>4.6962961346909324</c:v>
                </c:pt>
                <c:pt idx="359">
                  <c:v>4.5807752236216803</c:v>
                </c:pt>
                <c:pt idx="360">
                  <c:v>4.4822926451740681</c:v>
                </c:pt>
                <c:pt idx="361">
                  <c:v>4.390871828846274</c:v>
                </c:pt>
                <c:pt idx="362">
                  <c:v>4.2461719048937328</c:v>
                </c:pt>
                <c:pt idx="363">
                  <c:v>4.1522985832185935</c:v>
                </c:pt>
                <c:pt idx="364">
                  <c:v>4.0723377480200256</c:v>
                </c:pt>
                <c:pt idx="365">
                  <c:v>4.066844594286084</c:v>
                </c:pt>
                <c:pt idx="366">
                  <c:v>4.1156377319353084</c:v>
                </c:pt>
                <c:pt idx="367">
                  <c:v>4.2386892176928086</c:v>
                </c:pt>
                <c:pt idx="368">
                  <c:v>4.439876708782867</c:v>
                </c:pt>
                <c:pt idx="369">
                  <c:v>4.7140447410982276</c:v>
                </c:pt>
                <c:pt idx="370">
                  <c:v>5.0836651707984348</c:v>
                </c:pt>
                <c:pt idx="371">
                  <c:v>5.4559852568563159</c:v>
                </c:pt>
                <c:pt idx="372">
                  <c:v>5.842716871716874</c:v>
                </c:pt>
                <c:pt idx="373">
                  <c:v>6.212868717705021</c:v>
                </c:pt>
                <c:pt idx="374">
                  <c:v>6.5644318511795525</c:v>
                </c:pt>
                <c:pt idx="375">
                  <c:v>6.9347704151672849</c:v>
                </c:pt>
                <c:pt idx="376">
                  <c:v>7.2173612549481669</c:v>
                </c:pt>
                <c:pt idx="377">
                  <c:v>7.2670687335283741</c:v>
                </c:pt>
                <c:pt idx="378">
                  <c:v>7.1577032432856633</c:v>
                </c:pt>
                <c:pt idx="379">
                  <c:v>7.0183038763614469</c:v>
                </c:pt>
                <c:pt idx="380">
                  <c:v>6.8301718951363366</c:v>
                </c:pt>
                <c:pt idx="381">
                  <c:v>6.6351462267096206</c:v>
                </c:pt>
                <c:pt idx="382">
                  <c:v>6.3965984617966667</c:v>
                </c:pt>
                <c:pt idx="383">
                  <c:v>6.1170510925475101</c:v>
                </c:pt>
                <c:pt idx="384">
                  <c:v>5.8776123209227977</c:v>
                </c:pt>
                <c:pt idx="385">
                  <c:v>5.6843258997782335</c:v>
                </c:pt>
                <c:pt idx="386">
                  <c:v>5.5123572180492522</c:v>
                </c:pt>
                <c:pt idx="387">
                  <c:v>5.3575402190576078</c:v>
                </c:pt>
                <c:pt idx="388">
                  <c:v>5.2944154445913547</c:v>
                </c:pt>
                <c:pt idx="389">
                  <c:v>5.2766532139715228</c:v>
                </c:pt>
                <c:pt idx="390">
                  <c:v>5.309253553489687</c:v>
                </c:pt>
                <c:pt idx="391">
                  <c:v>5.3541858483937101</c:v>
                </c:pt>
                <c:pt idx="392">
                  <c:v>5.372505400505541</c:v>
                </c:pt>
                <c:pt idx="393">
                  <c:v>5.4022611705844694</c:v>
                </c:pt>
                <c:pt idx="394">
                  <c:v>5.3712267778338987</c:v>
                </c:pt>
                <c:pt idx="395">
                  <c:v>5.1818682129518621</c:v>
                </c:pt>
                <c:pt idx="396">
                  <c:v>4.9694081812736446</c:v>
                </c:pt>
                <c:pt idx="397">
                  <c:v>4.6961715551301904</c:v>
                </c:pt>
                <c:pt idx="398">
                  <c:v>4.3881422392277152</c:v>
                </c:pt>
                <c:pt idx="399">
                  <c:v>3.9940925070125304</c:v>
                </c:pt>
                <c:pt idx="400">
                  <c:v>3.5867172747356726</c:v>
                </c:pt>
                <c:pt idx="401">
                  <c:v>3.1969338385857076</c:v>
                </c:pt>
                <c:pt idx="402">
                  <c:v>2.8838132608465803</c:v>
                </c:pt>
                <c:pt idx="403">
                  <c:v>2.5915707368741443</c:v>
                </c:pt>
                <c:pt idx="404">
                  <c:v>2.3797418245263979</c:v>
                </c:pt>
                <c:pt idx="405">
                  <c:v>2.1654424081473334</c:v>
                </c:pt>
                <c:pt idx="406">
                  <c:v>1.9724855685431109</c:v>
                </c:pt>
                <c:pt idx="407">
                  <c:v>1.7846449234811905</c:v>
                </c:pt>
                <c:pt idx="408">
                  <c:v>1.6309983374781343</c:v>
                </c:pt>
                <c:pt idx="409">
                  <c:v>1.4908360577583397</c:v>
                </c:pt>
                <c:pt idx="410">
                  <c:v>1.4391776654543689</c:v>
                </c:pt>
                <c:pt idx="411">
                  <c:v>1.4210407190692331</c:v>
                </c:pt>
                <c:pt idx="412">
                  <c:v>1.4801790015740444</c:v>
                </c:pt>
                <c:pt idx="413">
                  <c:v>1.5926057819604584</c:v>
                </c:pt>
                <c:pt idx="414">
                  <c:v>1.7574676966752922</c:v>
                </c:pt>
                <c:pt idx="415">
                  <c:v>1.948131024963232</c:v>
                </c:pt>
                <c:pt idx="416">
                  <c:v>2.1130895125834064</c:v>
                </c:pt>
                <c:pt idx="417">
                  <c:v>2.2454418100919322</c:v>
                </c:pt>
                <c:pt idx="418">
                  <c:v>2.4140647698603059</c:v>
                </c:pt>
                <c:pt idx="419">
                  <c:v>2.4404701553310724</c:v>
                </c:pt>
                <c:pt idx="420">
                  <c:v>2.3473367899118123</c:v>
                </c:pt>
                <c:pt idx="421">
                  <c:v>2.2576258156491846</c:v>
                </c:pt>
                <c:pt idx="422">
                  <c:v>2.2125345203847644</c:v>
                </c:pt>
                <c:pt idx="423">
                  <c:v>2.2728220900666884</c:v>
                </c:pt>
                <c:pt idx="424">
                  <c:v>2.4123569569964434</c:v>
                </c:pt>
                <c:pt idx="425">
                  <c:v>2.6204988845456194</c:v>
                </c:pt>
                <c:pt idx="426">
                  <c:v>2.8593853783675351</c:v>
                </c:pt>
                <c:pt idx="427">
                  <c:v>3.1393453331324404</c:v>
                </c:pt>
                <c:pt idx="428">
                  <c:v>3.4468307066246333</c:v>
                </c:pt>
                <c:pt idx="429">
                  <c:v>3.7723229082719474</c:v>
                </c:pt>
                <c:pt idx="430">
                  <c:v>4.046107381592198</c:v>
                </c:pt>
                <c:pt idx="431">
                  <c:v>4.2686946456636674</c:v>
                </c:pt>
                <c:pt idx="432">
                  <c:v>4.4486438829255093</c:v>
                </c:pt>
                <c:pt idx="433">
                  <c:v>4.5827744678509479</c:v>
                </c:pt>
                <c:pt idx="434">
                  <c:v>4.7123514178734878</c:v>
                </c:pt>
                <c:pt idx="435">
                  <c:v>4.8156380639263681</c:v>
                </c:pt>
                <c:pt idx="436">
                  <c:v>4.8819080387204483</c:v>
                </c:pt>
                <c:pt idx="437">
                  <c:v>4.8350710002834107</c:v>
                </c:pt>
                <c:pt idx="438">
                  <c:v>4.6583598928895906</c:v>
                </c:pt>
                <c:pt idx="439">
                  <c:v>4.4384593304850561</c:v>
                </c:pt>
                <c:pt idx="440">
                  <c:v>4.1793386050648422</c:v>
                </c:pt>
                <c:pt idx="441">
                  <c:v>3.8759213400441581</c:v>
                </c:pt>
                <c:pt idx="442">
                  <c:v>3.4934183254287179</c:v>
                </c:pt>
                <c:pt idx="443">
                  <c:v>3.0973667521173622</c:v>
                </c:pt>
                <c:pt idx="444">
                  <c:v>2.6324968672223545</c:v>
                </c:pt>
                <c:pt idx="445">
                  <c:v>2.2558195174837099</c:v>
                </c:pt>
                <c:pt idx="446">
                  <c:v>1.8550526103536258</c:v>
                </c:pt>
                <c:pt idx="447">
                  <c:v>1.5135631003084327</c:v>
                </c:pt>
                <c:pt idx="448">
                  <c:v>1.1096051682212429</c:v>
                </c:pt>
                <c:pt idx="449">
                  <c:v>0.66950503945766371</c:v>
                </c:pt>
                <c:pt idx="450">
                  <c:v>0.3048777171581285</c:v>
                </c:pt>
                <c:pt idx="451">
                  <c:v>-7.8104995515564657E-2</c:v>
                </c:pt>
                <c:pt idx="452">
                  <c:v>-0.4998820670858477</c:v>
                </c:pt>
                <c:pt idx="453">
                  <c:v>-0.91586470898857786</c:v>
                </c:pt>
                <c:pt idx="454">
                  <c:v>-1.2101905221019584</c:v>
                </c:pt>
                <c:pt idx="455">
                  <c:v>-1.3508859941537292</c:v>
                </c:pt>
                <c:pt idx="456">
                  <c:v>-1.3655296698675226</c:v>
                </c:pt>
                <c:pt idx="457">
                  <c:v>-1.2948933952582897</c:v>
                </c:pt>
                <c:pt idx="458">
                  <c:v>-1.1088559914910359</c:v>
                </c:pt>
                <c:pt idx="459">
                  <c:v>-0.83090905787011793</c:v>
                </c:pt>
                <c:pt idx="460">
                  <c:v>-0.53627095548714743</c:v>
                </c:pt>
                <c:pt idx="461">
                  <c:v>-0.24698973969051982</c:v>
                </c:pt>
                <c:pt idx="462">
                  <c:v>6.3101454374202448E-2</c:v>
                </c:pt>
                <c:pt idx="463">
                  <c:v>0.39759730964885642</c:v>
                </c:pt>
                <c:pt idx="464">
                  <c:v>0.74155249222098796</c:v>
                </c:pt>
                <c:pt idx="465">
                  <c:v>1.114473585483539</c:v>
                </c:pt>
                <c:pt idx="466">
                  <c:v>1.4631985914739416</c:v>
                </c:pt>
                <c:pt idx="467">
                  <c:v>1.8515639445205478</c:v>
                </c:pt>
                <c:pt idx="468">
                  <c:v>2.0658144904466198</c:v>
                </c:pt>
                <c:pt idx="469">
                  <c:v>2.0613410500367482</c:v>
                </c:pt>
                <c:pt idx="470">
                  <c:v>1.8636196366058042</c:v>
                </c:pt>
                <c:pt idx="471">
                  <c:v>1.5355752152922719</c:v>
                </c:pt>
                <c:pt idx="472">
                  <c:v>1.2011276471005681</c:v>
                </c:pt>
                <c:pt idx="473">
                  <c:v>0.79944429778022785</c:v>
                </c:pt>
                <c:pt idx="474">
                  <c:v>0.36911008333444328</c:v>
                </c:pt>
                <c:pt idx="475">
                  <c:v>-5.7783472559950977E-2</c:v>
                </c:pt>
                <c:pt idx="476">
                  <c:v>-0.38023824472838053</c:v>
                </c:pt>
                <c:pt idx="477">
                  <c:v>-0.54543406868202071</c:v>
                </c:pt>
                <c:pt idx="478">
                  <c:v>-0.51536801507740548</c:v>
                </c:pt>
                <c:pt idx="479">
                  <c:v>-0.4296874540979892</c:v>
                </c:pt>
                <c:pt idx="480">
                  <c:v>-0.32925356188292365</c:v>
                </c:pt>
                <c:pt idx="481">
                  <c:v>-0.15628077478298924</c:v>
                </c:pt>
                <c:pt idx="482">
                  <c:v>0.11678569383221551</c:v>
                </c:pt>
                <c:pt idx="483">
                  <c:v>0.4210964882473282</c:v>
                </c:pt>
                <c:pt idx="484">
                  <c:v>0.73079063271414879</c:v>
                </c:pt>
                <c:pt idx="485">
                  <c:v>0.79142874369669181</c:v>
                </c:pt>
                <c:pt idx="486">
                  <c:v>0.84414317489695945</c:v>
                </c:pt>
                <c:pt idx="487">
                  <c:v>1.0031924504673069</c:v>
                </c:pt>
                <c:pt idx="488">
                  <c:v>1.2364542762671338</c:v>
                </c:pt>
                <c:pt idx="489">
                  <c:v>1.5251166149864916</c:v>
                </c:pt>
                <c:pt idx="490">
                  <c:v>1.7585784765487837</c:v>
                </c:pt>
                <c:pt idx="491">
                  <c:v>1.9321011187135295</c:v>
                </c:pt>
                <c:pt idx="492">
                  <c:v>2.0229652828775304</c:v>
                </c:pt>
                <c:pt idx="493">
                  <c:v>2.1198148088447129</c:v>
                </c:pt>
                <c:pt idx="494">
                  <c:v>2.3043193105151012</c:v>
                </c:pt>
                <c:pt idx="495">
                  <c:v>2.5741507534264119</c:v>
                </c:pt>
                <c:pt idx="496">
                  <c:v>2.9291437573653321</c:v>
                </c:pt>
                <c:pt idx="497">
                  <c:v>3.2921263828076754</c:v>
                </c:pt>
                <c:pt idx="498">
                  <c:v>3.5672148068721605</c:v>
                </c:pt>
                <c:pt idx="499">
                  <c:v>3.7593968971719414</c:v>
                </c:pt>
                <c:pt idx="500">
                  <c:v>3.8618266757694659</c:v>
                </c:pt>
                <c:pt idx="501">
                  <c:v>3.9458414177820731</c:v>
                </c:pt>
                <c:pt idx="502">
                  <c:v>4.1414862098347358</c:v>
                </c:pt>
                <c:pt idx="503">
                  <c:v>4.3964972636172419</c:v>
                </c:pt>
                <c:pt idx="504">
                  <c:v>4.5437566831549425</c:v>
                </c:pt>
                <c:pt idx="505">
                  <c:v>4.6500761078212038</c:v>
                </c:pt>
                <c:pt idx="506">
                  <c:v>4.7049905832799688</c:v>
                </c:pt>
                <c:pt idx="507">
                  <c:v>4.6390973446626189</c:v>
                </c:pt>
                <c:pt idx="508">
                  <c:v>4.2735444496865425</c:v>
                </c:pt>
                <c:pt idx="509">
                  <c:v>3.6812514216873549</c:v>
                </c:pt>
                <c:pt idx="510">
                  <c:v>2.9916773717871861</c:v>
                </c:pt>
                <c:pt idx="511">
                  <c:v>2.3216731104981556</c:v>
                </c:pt>
                <c:pt idx="512">
                  <c:v>1.5385295142056425</c:v>
                </c:pt>
                <c:pt idx="513">
                  <c:v>0.7108513448636874</c:v>
                </c:pt>
                <c:pt idx="514">
                  <c:v>-7.7604627415232441E-2</c:v>
                </c:pt>
                <c:pt idx="515">
                  <c:v>-0.89425844315359682</c:v>
                </c:pt>
                <c:pt idx="516">
                  <c:v>-1.6307689215613954</c:v>
                </c:pt>
                <c:pt idx="517">
                  <c:v>-2.286367883864703</c:v>
                </c:pt>
                <c:pt idx="518">
                  <c:v>-2.8443353682293866</c:v>
                </c:pt>
                <c:pt idx="519">
                  <c:v>-3.2152344903336876</c:v>
                </c:pt>
                <c:pt idx="520">
                  <c:v>-3.4505673129044587</c:v>
                </c:pt>
                <c:pt idx="521">
                  <c:v>-3.5448312930735182</c:v>
                </c:pt>
                <c:pt idx="522">
                  <c:v>-3.4306010635618156</c:v>
                </c:pt>
                <c:pt idx="523">
                  <c:v>-3.1452501196409961</c:v>
                </c:pt>
                <c:pt idx="524">
                  <c:v>-2.8738698312826316</c:v>
                </c:pt>
                <c:pt idx="525">
                  <c:v>-2.2990958650261053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AE-41E5-9034-053FDC4AA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61904"/>
        <c:axId val="173058544"/>
      </c:lineChart>
      <c:dateAx>
        <c:axId val="173061904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8544"/>
        <c:crosses val="autoZero"/>
        <c:auto val="1"/>
        <c:lblOffset val="100"/>
        <c:baseTimeUnit val="days"/>
      </c:dateAx>
      <c:valAx>
        <c:axId val="1730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1904"/>
        <c:crosses val="autoZero"/>
        <c:crossBetween val="between"/>
      </c:valAx>
      <c:valAx>
        <c:axId val="164402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0288"/>
        <c:crosses val="max"/>
        <c:crossBetween val="between"/>
      </c:valAx>
      <c:dateAx>
        <c:axId val="1644002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4402208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20/100</a:t>
            </a:r>
            <a:r>
              <a:rPr lang="en-US" baseline="0"/>
              <a:t> Day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40-48D2-A2C9-3511EAE82FD5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170.83850000000001</c:v>
                </c:pt>
                <c:pt idx="20">
                  <c:v>170.95250000000004</c:v>
                </c:pt>
                <c:pt idx="21">
                  <c:v>171.07250000000005</c:v>
                </c:pt>
                <c:pt idx="22">
                  <c:v>171.23849999999999</c:v>
                </c:pt>
                <c:pt idx="23">
                  <c:v>171.35</c:v>
                </c:pt>
                <c:pt idx="24">
                  <c:v>171.50399999999999</c:v>
                </c:pt>
                <c:pt idx="25">
                  <c:v>171.74250000000001</c:v>
                </c:pt>
                <c:pt idx="26">
                  <c:v>171.9315</c:v>
                </c:pt>
                <c:pt idx="27">
                  <c:v>172.167</c:v>
                </c:pt>
                <c:pt idx="28">
                  <c:v>172.50399999999999</c:v>
                </c:pt>
                <c:pt idx="29">
                  <c:v>172.81750000000002</c:v>
                </c:pt>
                <c:pt idx="30">
                  <c:v>173.26450000000003</c:v>
                </c:pt>
                <c:pt idx="31">
                  <c:v>173.887</c:v>
                </c:pt>
                <c:pt idx="32">
                  <c:v>174.32300000000001</c:v>
                </c:pt>
                <c:pt idx="33">
                  <c:v>174.80400000000003</c:v>
                </c:pt>
                <c:pt idx="34">
                  <c:v>175.39950000000005</c:v>
                </c:pt>
                <c:pt idx="35">
                  <c:v>176.02800000000005</c:v>
                </c:pt>
                <c:pt idx="36">
                  <c:v>176.58050000000003</c:v>
                </c:pt>
                <c:pt idx="37">
                  <c:v>177.13450000000006</c:v>
                </c:pt>
                <c:pt idx="38">
                  <c:v>177.6705</c:v>
                </c:pt>
                <c:pt idx="39">
                  <c:v>178.07600000000005</c:v>
                </c:pt>
                <c:pt idx="40">
                  <c:v>178.661</c:v>
                </c:pt>
                <c:pt idx="41">
                  <c:v>179.23899999999998</c:v>
                </c:pt>
                <c:pt idx="42">
                  <c:v>179.8365</c:v>
                </c:pt>
                <c:pt idx="43">
                  <c:v>180.53900000000002</c:v>
                </c:pt>
                <c:pt idx="44">
                  <c:v>181.26050000000001</c:v>
                </c:pt>
                <c:pt idx="45">
                  <c:v>181.88249999999999</c:v>
                </c:pt>
                <c:pt idx="46">
                  <c:v>182.55349999999999</c:v>
                </c:pt>
                <c:pt idx="47">
                  <c:v>183.21749999999997</c:v>
                </c:pt>
                <c:pt idx="48">
                  <c:v>183.92</c:v>
                </c:pt>
                <c:pt idx="49">
                  <c:v>184.77600000000001</c:v>
                </c:pt>
                <c:pt idx="50">
                  <c:v>185.37299999999999</c:v>
                </c:pt>
                <c:pt idx="51">
                  <c:v>185.89449999999999</c:v>
                </c:pt>
                <c:pt idx="52">
                  <c:v>186.57599999999999</c:v>
                </c:pt>
                <c:pt idx="53">
                  <c:v>187.279</c:v>
                </c:pt>
                <c:pt idx="54">
                  <c:v>188.0505</c:v>
                </c:pt>
                <c:pt idx="55">
                  <c:v>188.85</c:v>
                </c:pt>
                <c:pt idx="56">
                  <c:v>189.48150000000001</c:v>
                </c:pt>
                <c:pt idx="57">
                  <c:v>190.05449999999999</c:v>
                </c:pt>
                <c:pt idx="58">
                  <c:v>190.66849999999999</c:v>
                </c:pt>
                <c:pt idx="59">
                  <c:v>191.4255</c:v>
                </c:pt>
                <c:pt idx="60">
                  <c:v>192.13749999999999</c:v>
                </c:pt>
                <c:pt idx="61">
                  <c:v>192.82</c:v>
                </c:pt>
                <c:pt idx="62">
                  <c:v>193.42900000000003</c:v>
                </c:pt>
                <c:pt idx="63">
                  <c:v>193.91650000000004</c:v>
                </c:pt>
                <c:pt idx="64">
                  <c:v>194.22250000000003</c:v>
                </c:pt>
                <c:pt idx="65">
                  <c:v>194.70150000000004</c:v>
                </c:pt>
                <c:pt idx="66">
                  <c:v>195.21450000000002</c:v>
                </c:pt>
                <c:pt idx="67">
                  <c:v>195.6575</c:v>
                </c:pt>
                <c:pt idx="68">
                  <c:v>195.93900000000002</c:v>
                </c:pt>
                <c:pt idx="69">
                  <c:v>196.14150000000001</c:v>
                </c:pt>
                <c:pt idx="70">
                  <c:v>195.88249999999999</c:v>
                </c:pt>
                <c:pt idx="71">
                  <c:v>195.512</c:v>
                </c:pt>
                <c:pt idx="72">
                  <c:v>194.91900000000001</c:v>
                </c:pt>
                <c:pt idx="73">
                  <c:v>194.23349999999996</c:v>
                </c:pt>
                <c:pt idx="74">
                  <c:v>193.47949999999997</c:v>
                </c:pt>
                <c:pt idx="75">
                  <c:v>192.81649999999999</c:v>
                </c:pt>
                <c:pt idx="76">
                  <c:v>192.45599999999999</c:v>
                </c:pt>
                <c:pt idx="77">
                  <c:v>192.322</c:v>
                </c:pt>
                <c:pt idx="78">
                  <c:v>192.18950000000001</c:v>
                </c:pt>
                <c:pt idx="79">
                  <c:v>191.88200000000001</c:v>
                </c:pt>
                <c:pt idx="80">
                  <c:v>191.54149999999998</c:v>
                </c:pt>
                <c:pt idx="81">
                  <c:v>191.25850000000003</c:v>
                </c:pt>
                <c:pt idx="82">
                  <c:v>190.9025</c:v>
                </c:pt>
                <c:pt idx="83">
                  <c:v>190.5805</c:v>
                </c:pt>
                <c:pt idx="84">
                  <c:v>190.38099999999997</c:v>
                </c:pt>
                <c:pt idx="85">
                  <c:v>190.03399999999996</c:v>
                </c:pt>
                <c:pt idx="86">
                  <c:v>189.70999999999998</c:v>
                </c:pt>
                <c:pt idx="87">
                  <c:v>189.44</c:v>
                </c:pt>
                <c:pt idx="88">
                  <c:v>189.44900000000001</c:v>
                </c:pt>
                <c:pt idx="89">
                  <c:v>189.55250000000004</c:v>
                </c:pt>
                <c:pt idx="90">
                  <c:v>190.35149999999999</c:v>
                </c:pt>
                <c:pt idx="91">
                  <c:v>191.14349999999996</c:v>
                </c:pt>
                <c:pt idx="92">
                  <c:v>192.179</c:v>
                </c:pt>
                <c:pt idx="93">
                  <c:v>193.28050000000002</c:v>
                </c:pt>
                <c:pt idx="94">
                  <c:v>194.3415</c:v>
                </c:pt>
                <c:pt idx="95">
                  <c:v>195.291</c:v>
                </c:pt>
                <c:pt idx="96">
                  <c:v>195.59949999999998</c:v>
                </c:pt>
                <c:pt idx="97">
                  <c:v>195.96850000000001</c:v>
                </c:pt>
                <c:pt idx="98">
                  <c:v>196.23000000000002</c:v>
                </c:pt>
                <c:pt idx="99">
                  <c:v>196.40749999999997</c:v>
                </c:pt>
                <c:pt idx="100">
                  <c:v>196.76849999999999</c:v>
                </c:pt>
                <c:pt idx="101">
                  <c:v>197.0795</c:v>
                </c:pt>
                <c:pt idx="102">
                  <c:v>197.398</c:v>
                </c:pt>
                <c:pt idx="103">
                  <c:v>197.7715</c:v>
                </c:pt>
                <c:pt idx="104">
                  <c:v>198.32000000000002</c:v>
                </c:pt>
                <c:pt idx="105">
                  <c:v>198.88550000000004</c:v>
                </c:pt>
                <c:pt idx="106">
                  <c:v>199.24350000000001</c:v>
                </c:pt>
                <c:pt idx="107">
                  <c:v>199.51900000000001</c:v>
                </c:pt>
                <c:pt idx="108">
                  <c:v>199.58199999999997</c:v>
                </c:pt>
                <c:pt idx="109">
                  <c:v>199.7045</c:v>
                </c:pt>
                <c:pt idx="110">
                  <c:v>199.7465</c:v>
                </c:pt>
                <c:pt idx="111">
                  <c:v>199.52800000000002</c:v>
                </c:pt>
                <c:pt idx="112">
                  <c:v>199.02900000000002</c:v>
                </c:pt>
                <c:pt idx="113">
                  <c:v>198.60650000000004</c:v>
                </c:pt>
                <c:pt idx="114">
                  <c:v>198.17200000000003</c:v>
                </c:pt>
                <c:pt idx="115">
                  <c:v>197.68150000000003</c:v>
                </c:pt>
                <c:pt idx="116">
                  <c:v>197.75250000000003</c:v>
                </c:pt>
                <c:pt idx="117">
                  <c:v>197.71000000000004</c:v>
                </c:pt>
                <c:pt idx="118">
                  <c:v>197.60950000000005</c:v>
                </c:pt>
                <c:pt idx="119">
                  <c:v>197.70750000000004</c:v>
                </c:pt>
                <c:pt idx="120">
                  <c:v>197.57550000000006</c:v>
                </c:pt>
                <c:pt idx="121">
                  <c:v>197.47200000000004</c:v>
                </c:pt>
                <c:pt idx="122">
                  <c:v>197.52500000000003</c:v>
                </c:pt>
                <c:pt idx="123">
                  <c:v>197.67150000000007</c:v>
                </c:pt>
                <c:pt idx="124">
                  <c:v>197.8125</c:v>
                </c:pt>
                <c:pt idx="125">
                  <c:v>198.16300000000001</c:v>
                </c:pt>
                <c:pt idx="126">
                  <c:v>198.63950000000003</c:v>
                </c:pt>
                <c:pt idx="127">
                  <c:v>199.01600000000002</c:v>
                </c:pt>
                <c:pt idx="128">
                  <c:v>199.42900000000003</c:v>
                </c:pt>
                <c:pt idx="129">
                  <c:v>199.81299999999999</c:v>
                </c:pt>
                <c:pt idx="130">
                  <c:v>200.22250000000003</c:v>
                </c:pt>
                <c:pt idx="131">
                  <c:v>200.87700000000001</c:v>
                </c:pt>
                <c:pt idx="132">
                  <c:v>201.54749999999999</c:v>
                </c:pt>
                <c:pt idx="133">
                  <c:v>202.36700000000002</c:v>
                </c:pt>
                <c:pt idx="134">
                  <c:v>203.35900000000004</c:v>
                </c:pt>
                <c:pt idx="135">
                  <c:v>204.45350000000002</c:v>
                </c:pt>
                <c:pt idx="136">
                  <c:v>205.10250000000002</c:v>
                </c:pt>
                <c:pt idx="137">
                  <c:v>205.65799999999999</c:v>
                </c:pt>
                <c:pt idx="138">
                  <c:v>206.35700000000003</c:v>
                </c:pt>
                <c:pt idx="139">
                  <c:v>206.92950000000002</c:v>
                </c:pt>
                <c:pt idx="140">
                  <c:v>207.45550000000003</c:v>
                </c:pt>
                <c:pt idx="141">
                  <c:v>208.01750000000001</c:v>
                </c:pt>
                <c:pt idx="142">
                  <c:v>208.67100000000005</c:v>
                </c:pt>
                <c:pt idx="143">
                  <c:v>209.10050000000007</c:v>
                </c:pt>
                <c:pt idx="144">
                  <c:v>209.58750000000001</c:v>
                </c:pt>
                <c:pt idx="145">
                  <c:v>209.786</c:v>
                </c:pt>
                <c:pt idx="146">
                  <c:v>209.74950000000004</c:v>
                </c:pt>
                <c:pt idx="147">
                  <c:v>209.46700000000004</c:v>
                </c:pt>
                <c:pt idx="148">
                  <c:v>208.95349999999999</c:v>
                </c:pt>
                <c:pt idx="149">
                  <c:v>208.58900000000003</c:v>
                </c:pt>
                <c:pt idx="150">
                  <c:v>208.21899999999999</c:v>
                </c:pt>
                <c:pt idx="151">
                  <c:v>208.04949999999999</c:v>
                </c:pt>
                <c:pt idx="152">
                  <c:v>208.09250000000003</c:v>
                </c:pt>
                <c:pt idx="153">
                  <c:v>207.89950000000005</c:v>
                </c:pt>
                <c:pt idx="154">
                  <c:v>207.61550000000003</c:v>
                </c:pt>
                <c:pt idx="155">
                  <c:v>207.28400000000002</c:v>
                </c:pt>
                <c:pt idx="156">
                  <c:v>207.36250000000004</c:v>
                </c:pt>
                <c:pt idx="157">
                  <c:v>207.57200000000006</c:v>
                </c:pt>
                <c:pt idx="158">
                  <c:v>207.83050000000003</c:v>
                </c:pt>
                <c:pt idx="159">
                  <c:v>208.04000000000002</c:v>
                </c:pt>
                <c:pt idx="160">
                  <c:v>208.34050000000002</c:v>
                </c:pt>
                <c:pt idx="161">
                  <c:v>208.73849999999999</c:v>
                </c:pt>
                <c:pt idx="162">
                  <c:v>209.042</c:v>
                </c:pt>
                <c:pt idx="163">
                  <c:v>209.458</c:v>
                </c:pt>
                <c:pt idx="164">
                  <c:v>209.70749999999998</c:v>
                </c:pt>
                <c:pt idx="165">
                  <c:v>210.13199999999998</c:v>
                </c:pt>
                <c:pt idx="166">
                  <c:v>210.84449999999998</c:v>
                </c:pt>
                <c:pt idx="167">
                  <c:v>212.12749999999997</c:v>
                </c:pt>
                <c:pt idx="168">
                  <c:v>213.39749999999998</c:v>
                </c:pt>
                <c:pt idx="169">
                  <c:v>214.34700000000004</c:v>
                </c:pt>
                <c:pt idx="170">
                  <c:v>215.20850000000002</c:v>
                </c:pt>
                <c:pt idx="171">
                  <c:v>215.62849999999997</c:v>
                </c:pt>
                <c:pt idx="172">
                  <c:v>216.17900000000003</c:v>
                </c:pt>
                <c:pt idx="173">
                  <c:v>216.14750000000004</c:v>
                </c:pt>
                <c:pt idx="174">
                  <c:v>216.11199999999999</c:v>
                </c:pt>
                <c:pt idx="175">
                  <c:v>215.93</c:v>
                </c:pt>
                <c:pt idx="176">
                  <c:v>215.5685</c:v>
                </c:pt>
                <c:pt idx="177">
                  <c:v>215.26300000000001</c:v>
                </c:pt>
                <c:pt idx="178">
                  <c:v>214.95300000000003</c:v>
                </c:pt>
                <c:pt idx="179">
                  <c:v>214.6035</c:v>
                </c:pt>
                <c:pt idx="180">
                  <c:v>214.39749999999998</c:v>
                </c:pt>
                <c:pt idx="181">
                  <c:v>214.12049999999999</c:v>
                </c:pt>
                <c:pt idx="182">
                  <c:v>213.77699999999999</c:v>
                </c:pt>
                <c:pt idx="183">
                  <c:v>213.398</c:v>
                </c:pt>
                <c:pt idx="184">
                  <c:v>212.89850000000001</c:v>
                </c:pt>
                <c:pt idx="185">
                  <c:v>212.32300000000004</c:v>
                </c:pt>
                <c:pt idx="186">
                  <c:v>211.73750000000004</c:v>
                </c:pt>
                <c:pt idx="187">
                  <c:v>211.04050000000001</c:v>
                </c:pt>
                <c:pt idx="188">
                  <c:v>210.37750000000005</c:v>
                </c:pt>
                <c:pt idx="189">
                  <c:v>209.77550000000005</c:v>
                </c:pt>
                <c:pt idx="190">
                  <c:v>209.15549999999999</c:v>
                </c:pt>
                <c:pt idx="191">
                  <c:v>209.09350000000003</c:v>
                </c:pt>
                <c:pt idx="192">
                  <c:v>208.79950000000002</c:v>
                </c:pt>
                <c:pt idx="193">
                  <c:v>209.05900000000003</c:v>
                </c:pt>
                <c:pt idx="194">
                  <c:v>209.36849999999998</c:v>
                </c:pt>
                <c:pt idx="195">
                  <c:v>209.68049999999999</c:v>
                </c:pt>
                <c:pt idx="196">
                  <c:v>210.57900000000001</c:v>
                </c:pt>
                <c:pt idx="197">
                  <c:v>211.26</c:v>
                </c:pt>
                <c:pt idx="198">
                  <c:v>211.917</c:v>
                </c:pt>
                <c:pt idx="199">
                  <c:v>212.7225</c:v>
                </c:pt>
                <c:pt idx="200">
                  <c:v>213.41949999999997</c:v>
                </c:pt>
                <c:pt idx="201">
                  <c:v>214.1335</c:v>
                </c:pt>
                <c:pt idx="202">
                  <c:v>214.71149999999997</c:v>
                </c:pt>
                <c:pt idx="203">
                  <c:v>215.33800000000002</c:v>
                </c:pt>
                <c:pt idx="204">
                  <c:v>215.99899999999997</c:v>
                </c:pt>
                <c:pt idx="205">
                  <c:v>216.75899999999996</c:v>
                </c:pt>
                <c:pt idx="206">
                  <c:v>217.34949999999998</c:v>
                </c:pt>
                <c:pt idx="207">
                  <c:v>218.08149999999995</c:v>
                </c:pt>
                <c:pt idx="208">
                  <c:v>218.87449999999998</c:v>
                </c:pt>
                <c:pt idx="209">
                  <c:v>219.73049999999995</c:v>
                </c:pt>
                <c:pt idx="210">
                  <c:v>220.56499999999997</c:v>
                </c:pt>
                <c:pt idx="211">
                  <c:v>221.15099999999993</c:v>
                </c:pt>
                <c:pt idx="212">
                  <c:v>221.59349999999995</c:v>
                </c:pt>
                <c:pt idx="213">
                  <c:v>222.13049999999998</c:v>
                </c:pt>
                <c:pt idx="214">
                  <c:v>223.8125</c:v>
                </c:pt>
                <c:pt idx="215">
                  <c:v>224.98950000000005</c:v>
                </c:pt>
                <c:pt idx="216">
                  <c:v>225.72399999999999</c:v>
                </c:pt>
                <c:pt idx="217">
                  <c:v>226.61450000000005</c:v>
                </c:pt>
                <c:pt idx="218">
                  <c:v>227.47300000000004</c:v>
                </c:pt>
                <c:pt idx="219">
                  <c:v>228.34900000000002</c:v>
                </c:pt>
                <c:pt idx="220">
                  <c:v>229.22150000000002</c:v>
                </c:pt>
                <c:pt idx="221">
                  <c:v>230.21850000000003</c:v>
                </c:pt>
                <c:pt idx="222">
                  <c:v>231.32000000000002</c:v>
                </c:pt>
                <c:pt idx="223">
                  <c:v>232.26849999999999</c:v>
                </c:pt>
                <c:pt idx="224">
                  <c:v>233.137</c:v>
                </c:pt>
                <c:pt idx="225">
                  <c:v>234.12599999999998</c:v>
                </c:pt>
                <c:pt idx="226">
                  <c:v>235.43800000000002</c:v>
                </c:pt>
                <c:pt idx="227">
                  <c:v>236.67750000000001</c:v>
                </c:pt>
                <c:pt idx="228">
                  <c:v>238.03100000000003</c:v>
                </c:pt>
                <c:pt idx="229">
                  <c:v>239.30000000000004</c:v>
                </c:pt>
                <c:pt idx="230">
                  <c:v>240.69000000000005</c:v>
                </c:pt>
                <c:pt idx="231">
                  <c:v>241.85550000000003</c:v>
                </c:pt>
                <c:pt idx="232">
                  <c:v>243.10750000000002</c:v>
                </c:pt>
                <c:pt idx="233">
                  <c:v>244.20299999999997</c:v>
                </c:pt>
                <c:pt idx="234">
                  <c:v>244.12399999999994</c:v>
                </c:pt>
                <c:pt idx="235">
                  <c:v>244.67299999999992</c:v>
                </c:pt>
                <c:pt idx="236">
                  <c:v>245.01449999999994</c:v>
                </c:pt>
                <c:pt idx="237">
                  <c:v>245.19299999999998</c:v>
                </c:pt>
                <c:pt idx="238">
                  <c:v>245.39149999999995</c:v>
                </c:pt>
                <c:pt idx="239">
                  <c:v>245.41</c:v>
                </c:pt>
                <c:pt idx="240">
                  <c:v>245.31349999999998</c:v>
                </c:pt>
                <c:pt idx="241">
                  <c:v>245.02699999999999</c:v>
                </c:pt>
                <c:pt idx="242">
                  <c:v>244.6935</c:v>
                </c:pt>
                <c:pt idx="243">
                  <c:v>244.05749999999998</c:v>
                </c:pt>
                <c:pt idx="244">
                  <c:v>243.66650000000004</c:v>
                </c:pt>
                <c:pt idx="245">
                  <c:v>243.30850000000004</c:v>
                </c:pt>
                <c:pt idx="246">
                  <c:v>242.80050000000006</c:v>
                </c:pt>
                <c:pt idx="247">
                  <c:v>242.40150000000008</c:v>
                </c:pt>
                <c:pt idx="248">
                  <c:v>242.06000000000009</c:v>
                </c:pt>
                <c:pt idx="249">
                  <c:v>241.62900000000005</c:v>
                </c:pt>
                <c:pt idx="250">
                  <c:v>241.10900000000001</c:v>
                </c:pt>
                <c:pt idx="251">
                  <c:v>240.78199999999998</c:v>
                </c:pt>
                <c:pt idx="252">
                  <c:v>240.541</c:v>
                </c:pt>
                <c:pt idx="253">
                  <c:v>240.535</c:v>
                </c:pt>
                <c:pt idx="254">
                  <c:v>240.30349999999999</c:v>
                </c:pt>
                <c:pt idx="255">
                  <c:v>240.09399999999999</c:v>
                </c:pt>
                <c:pt idx="256">
                  <c:v>240.06</c:v>
                </c:pt>
                <c:pt idx="257">
                  <c:v>239.91050000000001</c:v>
                </c:pt>
                <c:pt idx="258">
                  <c:v>239.94450000000001</c:v>
                </c:pt>
                <c:pt idx="259">
                  <c:v>240.24150000000003</c:v>
                </c:pt>
                <c:pt idx="260">
                  <c:v>240.86200000000002</c:v>
                </c:pt>
                <c:pt idx="261">
                  <c:v>241.59650000000005</c:v>
                </c:pt>
                <c:pt idx="262">
                  <c:v>242.63650000000001</c:v>
                </c:pt>
                <c:pt idx="263">
                  <c:v>244.26950000000002</c:v>
                </c:pt>
                <c:pt idx="264">
                  <c:v>245.76349999999996</c:v>
                </c:pt>
                <c:pt idx="265">
                  <c:v>247.18099999999998</c:v>
                </c:pt>
                <c:pt idx="266">
                  <c:v>248.50349999999997</c:v>
                </c:pt>
                <c:pt idx="267">
                  <c:v>249.68049999999999</c:v>
                </c:pt>
                <c:pt idx="268">
                  <c:v>250.88050000000004</c:v>
                </c:pt>
                <c:pt idx="269">
                  <c:v>252.15100000000001</c:v>
                </c:pt>
                <c:pt idx="270">
                  <c:v>253.59650000000002</c:v>
                </c:pt>
                <c:pt idx="271">
                  <c:v>254.97599999999997</c:v>
                </c:pt>
                <c:pt idx="272">
                  <c:v>256.31650000000002</c:v>
                </c:pt>
                <c:pt idx="273">
                  <c:v>257.54950000000002</c:v>
                </c:pt>
                <c:pt idx="274">
                  <c:v>259.02850000000001</c:v>
                </c:pt>
                <c:pt idx="275">
                  <c:v>260.71499999999997</c:v>
                </c:pt>
                <c:pt idx="276">
                  <c:v>262.3485</c:v>
                </c:pt>
                <c:pt idx="277">
                  <c:v>263.90699999999998</c:v>
                </c:pt>
                <c:pt idx="278">
                  <c:v>265.44599999999997</c:v>
                </c:pt>
                <c:pt idx="279">
                  <c:v>266.84499999999997</c:v>
                </c:pt>
                <c:pt idx="280">
                  <c:v>268.04349999999994</c:v>
                </c:pt>
                <c:pt idx="281">
                  <c:v>269.15949999999998</c:v>
                </c:pt>
                <c:pt idx="282">
                  <c:v>270.19899999999996</c:v>
                </c:pt>
                <c:pt idx="283">
                  <c:v>271.01</c:v>
                </c:pt>
                <c:pt idx="284">
                  <c:v>271.20799999999997</c:v>
                </c:pt>
                <c:pt idx="285">
                  <c:v>271.1225</c:v>
                </c:pt>
                <c:pt idx="286">
                  <c:v>270.94750000000005</c:v>
                </c:pt>
                <c:pt idx="287">
                  <c:v>270.52499999999998</c:v>
                </c:pt>
                <c:pt idx="288">
                  <c:v>270.10749999999996</c:v>
                </c:pt>
                <c:pt idx="289">
                  <c:v>269.73100000000005</c:v>
                </c:pt>
                <c:pt idx="290">
                  <c:v>269.55200000000002</c:v>
                </c:pt>
                <c:pt idx="291">
                  <c:v>269.21799999999996</c:v>
                </c:pt>
                <c:pt idx="292">
                  <c:v>268.39</c:v>
                </c:pt>
                <c:pt idx="293">
                  <c:v>267.56949999999995</c:v>
                </c:pt>
                <c:pt idx="294">
                  <c:v>266.375</c:v>
                </c:pt>
                <c:pt idx="295">
                  <c:v>264.64400000000001</c:v>
                </c:pt>
                <c:pt idx="296">
                  <c:v>262.46500000000003</c:v>
                </c:pt>
                <c:pt idx="297">
                  <c:v>260.37</c:v>
                </c:pt>
                <c:pt idx="298">
                  <c:v>258.01550000000003</c:v>
                </c:pt>
                <c:pt idx="299">
                  <c:v>255.5025</c:v>
                </c:pt>
                <c:pt idx="300">
                  <c:v>253.30849999999995</c:v>
                </c:pt>
                <c:pt idx="301">
                  <c:v>251.17549999999997</c:v>
                </c:pt>
                <c:pt idx="302">
                  <c:v>248.92649999999998</c:v>
                </c:pt>
                <c:pt idx="303">
                  <c:v>246.91949999999997</c:v>
                </c:pt>
                <c:pt idx="304">
                  <c:v>245.53000000000003</c:v>
                </c:pt>
                <c:pt idx="305">
                  <c:v>244.39949999999999</c:v>
                </c:pt>
                <c:pt idx="306">
                  <c:v>243.7355</c:v>
                </c:pt>
                <c:pt idx="307">
                  <c:v>243.42200000000003</c:v>
                </c:pt>
                <c:pt idx="308">
                  <c:v>243.03400000000002</c:v>
                </c:pt>
                <c:pt idx="309">
                  <c:v>242.48750000000001</c:v>
                </c:pt>
                <c:pt idx="310">
                  <c:v>241.39750000000004</c:v>
                </c:pt>
                <c:pt idx="311">
                  <c:v>240.63150000000005</c:v>
                </c:pt>
                <c:pt idx="312">
                  <c:v>240.30200000000005</c:v>
                </c:pt>
                <c:pt idx="313">
                  <c:v>240.01650000000001</c:v>
                </c:pt>
                <c:pt idx="314">
                  <c:v>239.12400000000002</c:v>
                </c:pt>
                <c:pt idx="315">
                  <c:v>237.52399999999997</c:v>
                </c:pt>
                <c:pt idx="316">
                  <c:v>236.63499999999999</c:v>
                </c:pt>
                <c:pt idx="317">
                  <c:v>236.02149999999997</c:v>
                </c:pt>
                <c:pt idx="318">
                  <c:v>236.34350000000001</c:v>
                </c:pt>
                <c:pt idx="319">
                  <c:v>236.43950000000004</c:v>
                </c:pt>
                <c:pt idx="320">
                  <c:v>236.6275</c:v>
                </c:pt>
                <c:pt idx="321">
                  <c:v>236.667</c:v>
                </c:pt>
                <c:pt idx="322">
                  <c:v>236.57500000000005</c:v>
                </c:pt>
                <c:pt idx="323">
                  <c:v>236.1</c:v>
                </c:pt>
                <c:pt idx="324">
                  <c:v>235.7475</c:v>
                </c:pt>
                <c:pt idx="325">
                  <c:v>235.11549999999997</c:v>
                </c:pt>
                <c:pt idx="326">
                  <c:v>234.49200000000002</c:v>
                </c:pt>
                <c:pt idx="327">
                  <c:v>233.9795</c:v>
                </c:pt>
                <c:pt idx="328">
                  <c:v>233.66000000000003</c:v>
                </c:pt>
                <c:pt idx="329">
                  <c:v>233.43150000000006</c:v>
                </c:pt>
                <c:pt idx="330">
                  <c:v>233.45000000000005</c:v>
                </c:pt>
                <c:pt idx="331">
                  <c:v>233.416</c:v>
                </c:pt>
                <c:pt idx="332">
                  <c:v>233.464</c:v>
                </c:pt>
                <c:pt idx="333">
                  <c:v>233.51750000000001</c:v>
                </c:pt>
                <c:pt idx="334">
                  <c:v>234.70850000000004</c:v>
                </c:pt>
                <c:pt idx="335">
                  <c:v>236.82250000000005</c:v>
                </c:pt>
                <c:pt idx="336">
                  <c:v>238.56300000000002</c:v>
                </c:pt>
                <c:pt idx="337">
                  <c:v>240.18900000000002</c:v>
                </c:pt>
                <c:pt idx="338">
                  <c:v>241.1455</c:v>
                </c:pt>
                <c:pt idx="339">
                  <c:v>242.44399999999996</c:v>
                </c:pt>
                <c:pt idx="340">
                  <c:v>243.63649999999998</c:v>
                </c:pt>
                <c:pt idx="341">
                  <c:v>245.05099999999999</c:v>
                </c:pt>
                <c:pt idx="342">
                  <c:v>246.67650000000003</c:v>
                </c:pt>
                <c:pt idx="343">
                  <c:v>248.57049999999995</c:v>
                </c:pt>
                <c:pt idx="344">
                  <c:v>250.35050000000001</c:v>
                </c:pt>
                <c:pt idx="345">
                  <c:v>252.14499999999998</c:v>
                </c:pt>
                <c:pt idx="346">
                  <c:v>253.64950000000005</c:v>
                </c:pt>
                <c:pt idx="347">
                  <c:v>254.65750000000003</c:v>
                </c:pt>
                <c:pt idx="348">
                  <c:v>255.459</c:v>
                </c:pt>
                <c:pt idx="349">
                  <c:v>256.31700000000001</c:v>
                </c:pt>
                <c:pt idx="350">
                  <c:v>257.42050000000006</c:v>
                </c:pt>
                <c:pt idx="351">
                  <c:v>258.36399999999998</c:v>
                </c:pt>
                <c:pt idx="352">
                  <c:v>259.35149999999999</c:v>
                </c:pt>
                <c:pt idx="353">
                  <c:v>260.20699999999999</c:v>
                </c:pt>
                <c:pt idx="354">
                  <c:v>260.81449999999995</c:v>
                </c:pt>
                <c:pt idx="355">
                  <c:v>261.5</c:v>
                </c:pt>
                <c:pt idx="356">
                  <c:v>262.24850000000004</c:v>
                </c:pt>
                <c:pt idx="357">
                  <c:v>262.87649999999996</c:v>
                </c:pt>
                <c:pt idx="358">
                  <c:v>263.48949999999996</c:v>
                </c:pt>
                <c:pt idx="359">
                  <c:v>264.17249999999996</c:v>
                </c:pt>
                <c:pt idx="360">
                  <c:v>264.60000000000002</c:v>
                </c:pt>
                <c:pt idx="361">
                  <c:v>264.85699999999997</c:v>
                </c:pt>
                <c:pt idx="362">
                  <c:v>264.98699999999997</c:v>
                </c:pt>
                <c:pt idx="363">
                  <c:v>264.86</c:v>
                </c:pt>
                <c:pt idx="364">
                  <c:v>264.99999999999994</c:v>
                </c:pt>
                <c:pt idx="365">
                  <c:v>265.23199999999997</c:v>
                </c:pt>
                <c:pt idx="366">
                  <c:v>265.64599999999996</c:v>
                </c:pt>
                <c:pt idx="367">
                  <c:v>266.34399999999999</c:v>
                </c:pt>
                <c:pt idx="368">
                  <c:v>267.22399999999999</c:v>
                </c:pt>
                <c:pt idx="369">
                  <c:v>268.25150000000002</c:v>
                </c:pt>
                <c:pt idx="370">
                  <c:v>269.19</c:v>
                </c:pt>
                <c:pt idx="371">
                  <c:v>270.45300000000003</c:v>
                </c:pt>
                <c:pt idx="372">
                  <c:v>271.59000000000003</c:v>
                </c:pt>
                <c:pt idx="373">
                  <c:v>272.88549999999998</c:v>
                </c:pt>
                <c:pt idx="374">
                  <c:v>274.173</c:v>
                </c:pt>
                <c:pt idx="375">
                  <c:v>275.45949999999999</c:v>
                </c:pt>
                <c:pt idx="376">
                  <c:v>277.04849999999999</c:v>
                </c:pt>
                <c:pt idx="377">
                  <c:v>278.54949999999997</c:v>
                </c:pt>
                <c:pt idx="378">
                  <c:v>279.40199999999999</c:v>
                </c:pt>
                <c:pt idx="379">
                  <c:v>280.22300000000001</c:v>
                </c:pt>
                <c:pt idx="380">
                  <c:v>281.20249999999999</c:v>
                </c:pt>
                <c:pt idx="381">
                  <c:v>282.13799999999998</c:v>
                </c:pt>
                <c:pt idx="382">
                  <c:v>283.16099999999994</c:v>
                </c:pt>
                <c:pt idx="383">
                  <c:v>284.24099999999993</c:v>
                </c:pt>
                <c:pt idx="384">
                  <c:v>285.0139999999999</c:v>
                </c:pt>
                <c:pt idx="385">
                  <c:v>286.0329999999999</c:v>
                </c:pt>
                <c:pt idx="386">
                  <c:v>286.89849999999996</c:v>
                </c:pt>
                <c:pt idx="387">
                  <c:v>287.697</c:v>
                </c:pt>
                <c:pt idx="388">
                  <c:v>288.35499999999996</c:v>
                </c:pt>
                <c:pt idx="389">
                  <c:v>289.13</c:v>
                </c:pt>
                <c:pt idx="390">
                  <c:v>289.75450000000012</c:v>
                </c:pt>
                <c:pt idx="391">
                  <c:v>290.2480000000001</c:v>
                </c:pt>
                <c:pt idx="392">
                  <c:v>290.80650000000003</c:v>
                </c:pt>
                <c:pt idx="393">
                  <c:v>291.16300000000007</c:v>
                </c:pt>
                <c:pt idx="394">
                  <c:v>291.62399999999997</c:v>
                </c:pt>
                <c:pt idx="395">
                  <c:v>291.83599999999996</c:v>
                </c:pt>
                <c:pt idx="396">
                  <c:v>291.50449999999995</c:v>
                </c:pt>
                <c:pt idx="397">
                  <c:v>291.61899999999997</c:v>
                </c:pt>
                <c:pt idx="398">
                  <c:v>292.04849999999999</c:v>
                </c:pt>
                <c:pt idx="399">
                  <c:v>292.45799999999997</c:v>
                </c:pt>
                <c:pt idx="400">
                  <c:v>292.39549999999997</c:v>
                </c:pt>
                <c:pt idx="401">
                  <c:v>292.4905</c:v>
                </c:pt>
                <c:pt idx="402">
                  <c:v>292.5335</c:v>
                </c:pt>
                <c:pt idx="403">
                  <c:v>292.84850000000006</c:v>
                </c:pt>
                <c:pt idx="404">
                  <c:v>293.084</c:v>
                </c:pt>
                <c:pt idx="405">
                  <c:v>293.29700000000003</c:v>
                </c:pt>
                <c:pt idx="406">
                  <c:v>293.25800000000004</c:v>
                </c:pt>
                <c:pt idx="407">
                  <c:v>293.286</c:v>
                </c:pt>
                <c:pt idx="408">
                  <c:v>293.2475</c:v>
                </c:pt>
                <c:pt idx="409">
                  <c:v>293.02149999999995</c:v>
                </c:pt>
                <c:pt idx="410">
                  <c:v>292.76749999999998</c:v>
                </c:pt>
                <c:pt idx="411">
                  <c:v>292.6484999999999</c:v>
                </c:pt>
                <c:pt idx="412">
                  <c:v>292.47949999999992</c:v>
                </c:pt>
                <c:pt idx="413">
                  <c:v>292.55599999999993</c:v>
                </c:pt>
                <c:pt idx="414">
                  <c:v>292.53849999999994</c:v>
                </c:pt>
                <c:pt idx="415">
                  <c:v>292.77999999999986</c:v>
                </c:pt>
                <c:pt idx="416">
                  <c:v>293.38249999999988</c:v>
                </c:pt>
                <c:pt idx="417">
                  <c:v>293.65449999999993</c:v>
                </c:pt>
                <c:pt idx="418">
                  <c:v>294.06149999999997</c:v>
                </c:pt>
                <c:pt idx="419">
                  <c:v>294.685</c:v>
                </c:pt>
                <c:pt idx="420">
                  <c:v>295.05699999999996</c:v>
                </c:pt>
                <c:pt idx="421">
                  <c:v>295.2645</c:v>
                </c:pt>
                <c:pt idx="422">
                  <c:v>295.67899999999997</c:v>
                </c:pt>
                <c:pt idx="423">
                  <c:v>296.06350000000009</c:v>
                </c:pt>
                <c:pt idx="424">
                  <c:v>296.815</c:v>
                </c:pt>
                <c:pt idx="425">
                  <c:v>297.45249999999999</c:v>
                </c:pt>
                <c:pt idx="426">
                  <c:v>298.37299999999999</c:v>
                </c:pt>
                <c:pt idx="427">
                  <c:v>299.25600000000003</c:v>
                </c:pt>
                <c:pt idx="428">
                  <c:v>300.31049999999993</c:v>
                </c:pt>
                <c:pt idx="429">
                  <c:v>301.35999999999996</c:v>
                </c:pt>
                <c:pt idx="430">
                  <c:v>302.52549999999997</c:v>
                </c:pt>
                <c:pt idx="431">
                  <c:v>303.33549999999997</c:v>
                </c:pt>
                <c:pt idx="432">
                  <c:v>304.22749999999985</c:v>
                </c:pt>
                <c:pt idx="433">
                  <c:v>304.96999999999991</c:v>
                </c:pt>
                <c:pt idx="434">
                  <c:v>305.67849999999993</c:v>
                </c:pt>
                <c:pt idx="435">
                  <c:v>306.428</c:v>
                </c:pt>
                <c:pt idx="436">
                  <c:v>307.14149999999995</c:v>
                </c:pt>
                <c:pt idx="437">
                  <c:v>307.928</c:v>
                </c:pt>
                <c:pt idx="438">
                  <c:v>308.488</c:v>
                </c:pt>
                <c:pt idx="439">
                  <c:v>308.67450000000002</c:v>
                </c:pt>
                <c:pt idx="440">
                  <c:v>309.45699999999999</c:v>
                </c:pt>
                <c:pt idx="441">
                  <c:v>310.27050000000003</c:v>
                </c:pt>
                <c:pt idx="442">
                  <c:v>310.76249999999999</c:v>
                </c:pt>
                <c:pt idx="443">
                  <c:v>310.93700000000001</c:v>
                </c:pt>
                <c:pt idx="444">
                  <c:v>310.93549999999993</c:v>
                </c:pt>
                <c:pt idx="445">
                  <c:v>310.63449999999995</c:v>
                </c:pt>
                <c:pt idx="446">
                  <c:v>310.58800000000002</c:v>
                </c:pt>
                <c:pt idx="447">
                  <c:v>310.23249999999996</c:v>
                </c:pt>
                <c:pt idx="448">
                  <c:v>309.92950000000002</c:v>
                </c:pt>
                <c:pt idx="449">
                  <c:v>309.19499999999999</c:v>
                </c:pt>
                <c:pt idx="450">
                  <c:v>308.334</c:v>
                </c:pt>
                <c:pt idx="451">
                  <c:v>307.83</c:v>
                </c:pt>
                <c:pt idx="452">
                  <c:v>307.04749999999996</c:v>
                </c:pt>
                <c:pt idx="453">
                  <c:v>306.08199999999994</c:v>
                </c:pt>
                <c:pt idx="454">
                  <c:v>305.13649999999996</c:v>
                </c:pt>
                <c:pt idx="455">
                  <c:v>304.35549999999995</c:v>
                </c:pt>
                <c:pt idx="456">
                  <c:v>303.77849999999989</c:v>
                </c:pt>
                <c:pt idx="457">
                  <c:v>303.27499999999992</c:v>
                </c:pt>
                <c:pt idx="458">
                  <c:v>303.01499999999993</c:v>
                </c:pt>
                <c:pt idx="459">
                  <c:v>303.10949999999991</c:v>
                </c:pt>
                <c:pt idx="460">
                  <c:v>303.16399999999993</c:v>
                </c:pt>
                <c:pt idx="461">
                  <c:v>303.17249999999996</c:v>
                </c:pt>
                <c:pt idx="462">
                  <c:v>303.25049999999999</c:v>
                </c:pt>
                <c:pt idx="463">
                  <c:v>303.63300000000004</c:v>
                </c:pt>
                <c:pt idx="464">
                  <c:v>304.02750000000003</c:v>
                </c:pt>
                <c:pt idx="465">
                  <c:v>304.69350000000003</c:v>
                </c:pt>
                <c:pt idx="466">
                  <c:v>305.13950000000011</c:v>
                </c:pt>
                <c:pt idx="467">
                  <c:v>305.81650000000002</c:v>
                </c:pt>
                <c:pt idx="468">
                  <c:v>306.55250000000001</c:v>
                </c:pt>
                <c:pt idx="469">
                  <c:v>307.09949999999998</c:v>
                </c:pt>
                <c:pt idx="470">
                  <c:v>307.40199999999999</c:v>
                </c:pt>
                <c:pt idx="471">
                  <c:v>307.30249999999995</c:v>
                </c:pt>
                <c:pt idx="472">
                  <c:v>307.41849999999994</c:v>
                </c:pt>
                <c:pt idx="473">
                  <c:v>307.87649999999996</c:v>
                </c:pt>
                <c:pt idx="474">
                  <c:v>308.06849999999997</c:v>
                </c:pt>
                <c:pt idx="475">
                  <c:v>307.94749999999993</c:v>
                </c:pt>
                <c:pt idx="476">
                  <c:v>307.64</c:v>
                </c:pt>
                <c:pt idx="477">
                  <c:v>307.52199999999993</c:v>
                </c:pt>
                <c:pt idx="478">
                  <c:v>307.62849999999992</c:v>
                </c:pt>
                <c:pt idx="479">
                  <c:v>307.81049999999999</c:v>
                </c:pt>
                <c:pt idx="480">
                  <c:v>307.70049999999998</c:v>
                </c:pt>
                <c:pt idx="481">
                  <c:v>307.62700000000007</c:v>
                </c:pt>
                <c:pt idx="482">
                  <c:v>307.77100000000007</c:v>
                </c:pt>
                <c:pt idx="483">
                  <c:v>307.99200000000008</c:v>
                </c:pt>
                <c:pt idx="484">
                  <c:v>308.07299999999998</c:v>
                </c:pt>
                <c:pt idx="485">
                  <c:v>308.12300000000005</c:v>
                </c:pt>
                <c:pt idx="486">
                  <c:v>307.30400000000003</c:v>
                </c:pt>
                <c:pt idx="487">
                  <c:v>307.02850000000001</c:v>
                </c:pt>
                <c:pt idx="488">
                  <c:v>306.87700000000001</c:v>
                </c:pt>
                <c:pt idx="489">
                  <c:v>307.32900000000001</c:v>
                </c:pt>
                <c:pt idx="490">
                  <c:v>308.14949999999999</c:v>
                </c:pt>
                <c:pt idx="491">
                  <c:v>308.90850000000006</c:v>
                </c:pt>
                <c:pt idx="492">
                  <c:v>309.68700000000007</c:v>
                </c:pt>
                <c:pt idx="493">
                  <c:v>310.17350000000005</c:v>
                </c:pt>
                <c:pt idx="494">
                  <c:v>311.11500000000001</c:v>
                </c:pt>
                <c:pt idx="495">
                  <c:v>312.3685000000001</c:v>
                </c:pt>
                <c:pt idx="496">
                  <c:v>313.7650000000001</c:v>
                </c:pt>
                <c:pt idx="497">
                  <c:v>315.07350000000002</c:v>
                </c:pt>
                <c:pt idx="498">
                  <c:v>316.08700000000005</c:v>
                </c:pt>
                <c:pt idx="499">
                  <c:v>316.62050000000005</c:v>
                </c:pt>
                <c:pt idx="500">
                  <c:v>317.34550000000002</c:v>
                </c:pt>
                <c:pt idx="501">
                  <c:v>318.06250000000006</c:v>
                </c:pt>
                <c:pt idx="502">
                  <c:v>318.73</c:v>
                </c:pt>
                <c:pt idx="503">
                  <c:v>319.62700000000001</c:v>
                </c:pt>
                <c:pt idx="504">
                  <c:v>320.60550000000001</c:v>
                </c:pt>
                <c:pt idx="505">
                  <c:v>321.19449999999995</c:v>
                </c:pt>
                <c:pt idx="506">
                  <c:v>322.65849999999995</c:v>
                </c:pt>
                <c:pt idx="507">
                  <c:v>323.6124999999999</c:v>
                </c:pt>
                <c:pt idx="508">
                  <c:v>323.96799999999996</c:v>
                </c:pt>
                <c:pt idx="509">
                  <c:v>323.58699999999988</c:v>
                </c:pt>
                <c:pt idx="510">
                  <c:v>322.97949999999992</c:v>
                </c:pt>
                <c:pt idx="511">
                  <c:v>322.66499999999996</c:v>
                </c:pt>
                <c:pt idx="512">
                  <c:v>322.53949999999998</c:v>
                </c:pt>
                <c:pt idx="513">
                  <c:v>322.02649999999994</c:v>
                </c:pt>
                <c:pt idx="514">
                  <c:v>321.26799999999997</c:v>
                </c:pt>
                <c:pt idx="515">
                  <c:v>320.29500000000002</c:v>
                </c:pt>
                <c:pt idx="516">
                  <c:v>318.8845</c:v>
                </c:pt>
                <c:pt idx="517">
                  <c:v>317.47800000000007</c:v>
                </c:pt>
                <c:pt idx="518">
                  <c:v>316.09800000000007</c:v>
                </c:pt>
                <c:pt idx="519">
                  <c:v>314.94900000000007</c:v>
                </c:pt>
                <c:pt idx="520">
                  <c:v>314.09899999999999</c:v>
                </c:pt>
                <c:pt idx="521">
                  <c:v>313.28250000000003</c:v>
                </c:pt>
                <c:pt idx="522">
                  <c:v>312.41550000000007</c:v>
                </c:pt>
                <c:pt idx="523">
                  <c:v>311.45600000000013</c:v>
                </c:pt>
                <c:pt idx="524">
                  <c:v>310.58900000000011</c:v>
                </c:pt>
                <c:pt idx="525">
                  <c:v>309.74750000000006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40-48D2-A2C9-3511EAE82FD5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Data!$AB$2:$AB$527</c:f>
              <c:numCache>
                <c:formatCode>General</c:formatCode>
                <c:ptCount val="526"/>
                <c:pt idx="99">
                  <c:v>185.7259</c:v>
                </c:pt>
                <c:pt idx="100">
                  <c:v>186.01219999999998</c:v>
                </c:pt>
                <c:pt idx="101">
                  <c:v>186.29389999999995</c:v>
                </c:pt>
                <c:pt idx="102">
                  <c:v>186.5609</c:v>
                </c:pt>
                <c:pt idx="103">
                  <c:v>186.83150000000001</c:v>
                </c:pt>
                <c:pt idx="104">
                  <c:v>187.13760000000002</c:v>
                </c:pt>
                <c:pt idx="105">
                  <c:v>187.44920000000002</c:v>
                </c:pt>
                <c:pt idx="106">
                  <c:v>187.73060000000001</c:v>
                </c:pt>
                <c:pt idx="107">
                  <c:v>188.00020000000001</c:v>
                </c:pt>
                <c:pt idx="108">
                  <c:v>188.27880000000002</c:v>
                </c:pt>
                <c:pt idx="109">
                  <c:v>188.5984</c:v>
                </c:pt>
                <c:pt idx="110">
                  <c:v>188.92359999999999</c:v>
                </c:pt>
                <c:pt idx="111">
                  <c:v>189.19300000000004</c:v>
                </c:pt>
                <c:pt idx="112">
                  <c:v>189.40520000000004</c:v>
                </c:pt>
                <c:pt idx="113">
                  <c:v>189.64070000000004</c:v>
                </c:pt>
                <c:pt idx="114">
                  <c:v>189.8886</c:v>
                </c:pt>
                <c:pt idx="115">
                  <c:v>190.13339999999999</c:v>
                </c:pt>
                <c:pt idx="116">
                  <c:v>190.37399999999997</c:v>
                </c:pt>
                <c:pt idx="117">
                  <c:v>190.63789999999995</c:v>
                </c:pt>
                <c:pt idx="118">
                  <c:v>190.87359999999993</c:v>
                </c:pt>
                <c:pt idx="119">
                  <c:v>191.09969999999998</c:v>
                </c:pt>
                <c:pt idx="120">
                  <c:v>191.33679999999993</c:v>
                </c:pt>
                <c:pt idx="121">
                  <c:v>191.57379999999995</c:v>
                </c:pt>
                <c:pt idx="122">
                  <c:v>191.81819999999996</c:v>
                </c:pt>
                <c:pt idx="123">
                  <c:v>192.09579999999991</c:v>
                </c:pt>
                <c:pt idx="124">
                  <c:v>192.39929999999993</c:v>
                </c:pt>
                <c:pt idx="125">
                  <c:v>192.73329999999996</c:v>
                </c:pt>
                <c:pt idx="126">
                  <c:v>193.07219999999995</c:v>
                </c:pt>
                <c:pt idx="127">
                  <c:v>193.36999999999998</c:v>
                </c:pt>
                <c:pt idx="128">
                  <c:v>193.66379999999992</c:v>
                </c:pt>
                <c:pt idx="129">
                  <c:v>193.9975</c:v>
                </c:pt>
                <c:pt idx="130">
                  <c:v>194.31519999999998</c:v>
                </c:pt>
                <c:pt idx="131">
                  <c:v>194.59099999999998</c:v>
                </c:pt>
                <c:pt idx="132">
                  <c:v>194.8501</c:v>
                </c:pt>
                <c:pt idx="133">
                  <c:v>195.15329999999997</c:v>
                </c:pt>
                <c:pt idx="134">
                  <c:v>195.48049999999995</c:v>
                </c:pt>
                <c:pt idx="135">
                  <c:v>195.81849999999994</c:v>
                </c:pt>
                <c:pt idx="136">
                  <c:v>196.07839999999993</c:v>
                </c:pt>
                <c:pt idx="137">
                  <c:v>196.34259999999995</c:v>
                </c:pt>
                <c:pt idx="138">
                  <c:v>196.61089999999993</c:v>
                </c:pt>
                <c:pt idx="139">
                  <c:v>196.87039999999996</c:v>
                </c:pt>
                <c:pt idx="140">
                  <c:v>197.09569999999997</c:v>
                </c:pt>
                <c:pt idx="141">
                  <c:v>197.32949999999994</c:v>
                </c:pt>
                <c:pt idx="142">
                  <c:v>197.58509999999995</c:v>
                </c:pt>
                <c:pt idx="143">
                  <c:v>197.80809999999994</c:v>
                </c:pt>
                <c:pt idx="144">
                  <c:v>198.06469999999993</c:v>
                </c:pt>
                <c:pt idx="145">
                  <c:v>198.31399999999994</c:v>
                </c:pt>
                <c:pt idx="146">
                  <c:v>198.51139999999992</c:v>
                </c:pt>
                <c:pt idx="147">
                  <c:v>198.61989999999992</c:v>
                </c:pt>
                <c:pt idx="148">
                  <c:v>198.67049999999995</c:v>
                </c:pt>
                <c:pt idx="149">
                  <c:v>198.76009999999994</c:v>
                </c:pt>
                <c:pt idx="150">
                  <c:v>198.88439999999994</c:v>
                </c:pt>
                <c:pt idx="151">
                  <c:v>199.02200000000002</c:v>
                </c:pt>
                <c:pt idx="152">
                  <c:v>199.1534</c:v>
                </c:pt>
                <c:pt idx="153">
                  <c:v>199.27739999999997</c:v>
                </c:pt>
                <c:pt idx="154">
                  <c:v>199.39349999999999</c:v>
                </c:pt>
                <c:pt idx="155">
                  <c:v>199.50530000000003</c:v>
                </c:pt>
                <c:pt idx="156">
                  <c:v>199.65459999999999</c:v>
                </c:pt>
                <c:pt idx="157">
                  <c:v>199.84610000000001</c:v>
                </c:pt>
                <c:pt idx="158">
                  <c:v>200.04330000000004</c:v>
                </c:pt>
                <c:pt idx="159">
                  <c:v>200.19330000000005</c:v>
                </c:pt>
                <c:pt idx="160">
                  <c:v>200.33630000000005</c:v>
                </c:pt>
                <c:pt idx="161">
                  <c:v>200.51320000000007</c:v>
                </c:pt>
                <c:pt idx="162">
                  <c:v>200.7077000000001</c:v>
                </c:pt>
                <c:pt idx="163">
                  <c:v>200.91640000000007</c:v>
                </c:pt>
                <c:pt idx="164">
                  <c:v>201.16170000000005</c:v>
                </c:pt>
                <c:pt idx="165">
                  <c:v>201.40010000000007</c:v>
                </c:pt>
                <c:pt idx="166">
                  <c:v>201.63740000000004</c:v>
                </c:pt>
                <c:pt idx="167">
                  <c:v>201.91390000000004</c:v>
                </c:pt>
                <c:pt idx="168">
                  <c:v>202.16219999999998</c:v>
                </c:pt>
                <c:pt idx="169">
                  <c:v>202.40119999999999</c:v>
                </c:pt>
                <c:pt idx="170">
                  <c:v>202.74959999999999</c:v>
                </c:pt>
                <c:pt idx="171">
                  <c:v>203.0453</c:v>
                </c:pt>
                <c:pt idx="172">
                  <c:v>203.40540000000001</c:v>
                </c:pt>
                <c:pt idx="173">
                  <c:v>203.66020000000003</c:v>
                </c:pt>
                <c:pt idx="174">
                  <c:v>203.92000000000004</c:v>
                </c:pt>
                <c:pt idx="175">
                  <c:v>204.12799999999999</c:v>
                </c:pt>
                <c:pt idx="176">
                  <c:v>204.27709999999999</c:v>
                </c:pt>
                <c:pt idx="177">
                  <c:v>204.43430000000001</c:v>
                </c:pt>
                <c:pt idx="178">
                  <c:v>204.59600000000003</c:v>
                </c:pt>
                <c:pt idx="179">
                  <c:v>204.73759999999999</c:v>
                </c:pt>
                <c:pt idx="180">
                  <c:v>204.9075</c:v>
                </c:pt>
                <c:pt idx="181">
                  <c:v>205.08559999999997</c:v>
                </c:pt>
                <c:pt idx="182">
                  <c:v>205.28259999999995</c:v>
                </c:pt>
                <c:pt idx="183">
                  <c:v>205.47989999999993</c:v>
                </c:pt>
                <c:pt idx="184">
                  <c:v>205.66519999999994</c:v>
                </c:pt>
                <c:pt idx="185">
                  <c:v>205.85789999999994</c:v>
                </c:pt>
                <c:pt idx="186">
                  <c:v>206.04289999999995</c:v>
                </c:pt>
                <c:pt idx="187">
                  <c:v>206.23399999999995</c:v>
                </c:pt>
                <c:pt idx="188">
                  <c:v>206.34789999999998</c:v>
                </c:pt>
                <c:pt idx="189">
                  <c:v>206.44579999999993</c:v>
                </c:pt>
                <c:pt idx="190">
                  <c:v>206.51039999999995</c:v>
                </c:pt>
                <c:pt idx="191">
                  <c:v>206.63529999999994</c:v>
                </c:pt>
                <c:pt idx="192">
                  <c:v>206.72949999999994</c:v>
                </c:pt>
                <c:pt idx="193">
                  <c:v>206.81589999999994</c:v>
                </c:pt>
                <c:pt idx="194">
                  <c:v>206.92539999999991</c:v>
                </c:pt>
                <c:pt idx="195">
                  <c:v>207.00589999999988</c:v>
                </c:pt>
                <c:pt idx="196">
                  <c:v>207.27299999999991</c:v>
                </c:pt>
                <c:pt idx="197">
                  <c:v>207.49259999999987</c:v>
                </c:pt>
                <c:pt idx="198">
                  <c:v>207.7333999999999</c:v>
                </c:pt>
                <c:pt idx="199">
                  <c:v>208.00059999999991</c:v>
                </c:pt>
                <c:pt idx="200">
                  <c:v>208.2376999999999</c:v>
                </c:pt>
                <c:pt idx="201">
                  <c:v>208.49639999999985</c:v>
                </c:pt>
                <c:pt idx="202">
                  <c:v>208.74529999999987</c:v>
                </c:pt>
                <c:pt idx="203">
                  <c:v>208.99319999999986</c:v>
                </c:pt>
                <c:pt idx="204">
                  <c:v>209.20099999999985</c:v>
                </c:pt>
                <c:pt idx="205">
                  <c:v>209.43259999999987</c:v>
                </c:pt>
                <c:pt idx="206">
                  <c:v>209.66409999999993</c:v>
                </c:pt>
                <c:pt idx="207">
                  <c:v>209.94649999999993</c:v>
                </c:pt>
                <c:pt idx="208">
                  <c:v>210.20639999999992</c:v>
                </c:pt>
                <c:pt idx="209">
                  <c:v>210.45099999999994</c:v>
                </c:pt>
                <c:pt idx="210">
                  <c:v>210.67409999999992</c:v>
                </c:pt>
                <c:pt idx="211">
                  <c:v>210.95989999999995</c:v>
                </c:pt>
                <c:pt idx="212">
                  <c:v>211.24239999999992</c:v>
                </c:pt>
                <c:pt idx="213">
                  <c:v>211.52069999999992</c:v>
                </c:pt>
                <c:pt idx="214">
                  <c:v>212.05349999999996</c:v>
                </c:pt>
                <c:pt idx="215">
                  <c:v>212.46749999999997</c:v>
                </c:pt>
                <c:pt idx="216">
                  <c:v>212.86729999999997</c:v>
                </c:pt>
                <c:pt idx="217">
                  <c:v>213.27349999999996</c:v>
                </c:pt>
                <c:pt idx="218">
                  <c:v>213.70609999999999</c:v>
                </c:pt>
                <c:pt idx="219">
                  <c:v>214.12889999999999</c:v>
                </c:pt>
                <c:pt idx="220">
                  <c:v>214.56689999999998</c:v>
                </c:pt>
                <c:pt idx="221">
                  <c:v>215.04570000000001</c:v>
                </c:pt>
                <c:pt idx="222">
                  <c:v>215.5043</c:v>
                </c:pt>
                <c:pt idx="223">
                  <c:v>215.91260000000003</c:v>
                </c:pt>
                <c:pt idx="224">
                  <c:v>216.26589999999999</c:v>
                </c:pt>
                <c:pt idx="225">
                  <c:v>216.62520000000001</c:v>
                </c:pt>
                <c:pt idx="226">
                  <c:v>217.02380000000002</c:v>
                </c:pt>
                <c:pt idx="227">
                  <c:v>217.47880000000004</c:v>
                </c:pt>
                <c:pt idx="228">
                  <c:v>217.92680000000004</c:v>
                </c:pt>
                <c:pt idx="229">
                  <c:v>218.34840000000003</c:v>
                </c:pt>
                <c:pt idx="230">
                  <c:v>218.76760000000004</c:v>
                </c:pt>
                <c:pt idx="231">
                  <c:v>219.15560000000005</c:v>
                </c:pt>
                <c:pt idx="232">
                  <c:v>219.55440000000007</c:v>
                </c:pt>
                <c:pt idx="233">
                  <c:v>219.88790000000009</c:v>
                </c:pt>
                <c:pt idx="234">
                  <c:v>220.20650000000012</c:v>
                </c:pt>
                <c:pt idx="235">
                  <c:v>220.51140000000015</c:v>
                </c:pt>
                <c:pt idx="236">
                  <c:v>220.84970000000015</c:v>
                </c:pt>
                <c:pt idx="237">
                  <c:v>221.18050000000014</c:v>
                </c:pt>
                <c:pt idx="238">
                  <c:v>221.51300000000009</c:v>
                </c:pt>
                <c:pt idx="239">
                  <c:v>221.82500000000007</c:v>
                </c:pt>
                <c:pt idx="240">
                  <c:v>222.13850000000005</c:v>
                </c:pt>
                <c:pt idx="241">
                  <c:v>222.44760000000005</c:v>
                </c:pt>
                <c:pt idx="242">
                  <c:v>222.70880000000005</c:v>
                </c:pt>
                <c:pt idx="243">
                  <c:v>222.90400000000005</c:v>
                </c:pt>
                <c:pt idx="244">
                  <c:v>223.08170000000001</c:v>
                </c:pt>
                <c:pt idx="245">
                  <c:v>223.3297</c:v>
                </c:pt>
                <c:pt idx="246">
                  <c:v>223.63399999999999</c:v>
                </c:pt>
                <c:pt idx="247">
                  <c:v>224.06569999999999</c:v>
                </c:pt>
                <c:pt idx="248">
                  <c:v>224.54810000000001</c:v>
                </c:pt>
                <c:pt idx="249">
                  <c:v>224.9564</c:v>
                </c:pt>
                <c:pt idx="250">
                  <c:v>225.34559999999999</c:v>
                </c:pt>
                <c:pt idx="251">
                  <c:v>225.7021</c:v>
                </c:pt>
                <c:pt idx="252">
                  <c:v>226.04409999999996</c:v>
                </c:pt>
                <c:pt idx="253">
                  <c:v>226.41499999999996</c:v>
                </c:pt>
                <c:pt idx="254">
                  <c:v>226.74409999999997</c:v>
                </c:pt>
                <c:pt idx="255">
                  <c:v>227.07339999999988</c:v>
                </c:pt>
                <c:pt idx="256">
                  <c:v>227.3891999999999</c:v>
                </c:pt>
                <c:pt idx="257">
                  <c:v>227.64819999999989</c:v>
                </c:pt>
                <c:pt idx="258">
                  <c:v>227.93579999999992</c:v>
                </c:pt>
                <c:pt idx="259">
                  <c:v>228.26529999999988</c:v>
                </c:pt>
                <c:pt idx="260">
                  <c:v>228.64279999999988</c:v>
                </c:pt>
                <c:pt idx="261">
                  <c:v>229.01919999999987</c:v>
                </c:pt>
                <c:pt idx="262">
                  <c:v>229.4276999999999</c:v>
                </c:pt>
                <c:pt idx="263">
                  <c:v>229.86629999999985</c:v>
                </c:pt>
                <c:pt idx="264">
                  <c:v>230.29289999999986</c:v>
                </c:pt>
                <c:pt idx="265">
                  <c:v>230.73949999999991</c:v>
                </c:pt>
                <c:pt idx="266">
                  <c:v>231.1657999999999</c:v>
                </c:pt>
                <c:pt idx="267">
                  <c:v>231.57629999999989</c:v>
                </c:pt>
                <c:pt idx="268">
                  <c:v>232.04469999999989</c:v>
                </c:pt>
                <c:pt idx="269">
                  <c:v>232.51719999999989</c:v>
                </c:pt>
                <c:pt idx="270">
                  <c:v>233.02319999999992</c:v>
                </c:pt>
                <c:pt idx="271">
                  <c:v>233.57159999999993</c:v>
                </c:pt>
                <c:pt idx="272">
                  <c:v>234.07159999999993</c:v>
                </c:pt>
                <c:pt idx="273">
                  <c:v>234.69539999999989</c:v>
                </c:pt>
                <c:pt idx="274">
                  <c:v>235.32739999999995</c:v>
                </c:pt>
                <c:pt idx="275">
                  <c:v>236.03039999999993</c:v>
                </c:pt>
                <c:pt idx="276">
                  <c:v>236.74519999999993</c:v>
                </c:pt>
                <c:pt idx="277">
                  <c:v>237.37699999999992</c:v>
                </c:pt>
                <c:pt idx="278">
                  <c:v>238.03439999999998</c:v>
                </c:pt>
                <c:pt idx="279">
                  <c:v>238.71359999999996</c:v>
                </c:pt>
                <c:pt idx="280">
                  <c:v>239.37199999999996</c:v>
                </c:pt>
                <c:pt idx="281">
                  <c:v>240.02699999999996</c:v>
                </c:pt>
                <c:pt idx="282">
                  <c:v>240.71209999999999</c:v>
                </c:pt>
                <c:pt idx="283">
                  <c:v>241.3887</c:v>
                </c:pt>
                <c:pt idx="284">
                  <c:v>241.95480000000001</c:v>
                </c:pt>
                <c:pt idx="285">
                  <c:v>242.49940000000004</c:v>
                </c:pt>
                <c:pt idx="286">
                  <c:v>243.00780000000003</c:v>
                </c:pt>
                <c:pt idx="287">
                  <c:v>243.47320000000002</c:v>
                </c:pt>
                <c:pt idx="288">
                  <c:v>243.99070000000006</c:v>
                </c:pt>
                <c:pt idx="289">
                  <c:v>244.50830000000002</c:v>
                </c:pt>
                <c:pt idx="290">
                  <c:v>245.10250000000005</c:v>
                </c:pt>
                <c:pt idx="291">
                  <c:v>245.59650000000005</c:v>
                </c:pt>
                <c:pt idx="292">
                  <c:v>245.98970000000006</c:v>
                </c:pt>
                <c:pt idx="293">
                  <c:v>246.39750000000006</c:v>
                </c:pt>
                <c:pt idx="294">
                  <c:v>246.72870000000006</c:v>
                </c:pt>
                <c:pt idx="295">
                  <c:v>247.02310000000008</c:v>
                </c:pt>
                <c:pt idx="296">
                  <c:v>247.12240000000008</c:v>
                </c:pt>
                <c:pt idx="297">
                  <c:v>247.1990000000001</c:v>
                </c:pt>
                <c:pt idx="298">
                  <c:v>247.25410000000011</c:v>
                </c:pt>
                <c:pt idx="299">
                  <c:v>247.26960000000011</c:v>
                </c:pt>
                <c:pt idx="300">
                  <c:v>247.3498000000001</c:v>
                </c:pt>
                <c:pt idx="301">
                  <c:v>247.43540000000007</c:v>
                </c:pt>
                <c:pt idx="302">
                  <c:v>247.5551000000001</c:v>
                </c:pt>
                <c:pt idx="303">
                  <c:v>247.70500000000007</c:v>
                </c:pt>
                <c:pt idx="304">
                  <c:v>247.86100000000002</c:v>
                </c:pt>
                <c:pt idx="305">
                  <c:v>248.02750000000003</c:v>
                </c:pt>
                <c:pt idx="306">
                  <c:v>248.28500000000003</c:v>
                </c:pt>
                <c:pt idx="307">
                  <c:v>248.54130000000004</c:v>
                </c:pt>
                <c:pt idx="308">
                  <c:v>248.82260000000002</c:v>
                </c:pt>
                <c:pt idx="309">
                  <c:v>249.05970000000002</c:v>
                </c:pt>
                <c:pt idx="310">
                  <c:v>249.26899999999998</c:v>
                </c:pt>
                <c:pt idx="311">
                  <c:v>249.49259999999998</c:v>
                </c:pt>
                <c:pt idx="312">
                  <c:v>249.73140000000001</c:v>
                </c:pt>
                <c:pt idx="313">
                  <c:v>249.97469999999998</c:v>
                </c:pt>
                <c:pt idx="314">
                  <c:v>249.791</c:v>
                </c:pt>
                <c:pt idx="315">
                  <c:v>249.52999999999997</c:v>
                </c:pt>
                <c:pt idx="316">
                  <c:v>249.30459999999997</c:v>
                </c:pt>
                <c:pt idx="317">
                  <c:v>249.08039999999997</c:v>
                </c:pt>
                <c:pt idx="318">
                  <c:v>249.02819999999997</c:v>
                </c:pt>
                <c:pt idx="319">
                  <c:v>248.88769999999997</c:v>
                </c:pt>
                <c:pt idx="320">
                  <c:v>248.83099999999996</c:v>
                </c:pt>
                <c:pt idx="321">
                  <c:v>248.72509999999994</c:v>
                </c:pt>
                <c:pt idx="322">
                  <c:v>248.60609999999997</c:v>
                </c:pt>
                <c:pt idx="323">
                  <c:v>248.47129999999999</c:v>
                </c:pt>
                <c:pt idx="324">
                  <c:v>248.38309999999998</c:v>
                </c:pt>
                <c:pt idx="325">
                  <c:v>248.22540000000001</c:v>
                </c:pt>
                <c:pt idx="326">
                  <c:v>248.09579999999997</c:v>
                </c:pt>
                <c:pt idx="327">
                  <c:v>248.00170000000003</c:v>
                </c:pt>
                <c:pt idx="328">
                  <c:v>247.94840000000005</c:v>
                </c:pt>
                <c:pt idx="329">
                  <c:v>247.886</c:v>
                </c:pt>
                <c:pt idx="330">
                  <c:v>247.82100000000003</c:v>
                </c:pt>
                <c:pt idx="331">
                  <c:v>247.80470000000003</c:v>
                </c:pt>
                <c:pt idx="332">
                  <c:v>247.80269999999996</c:v>
                </c:pt>
                <c:pt idx="333">
                  <c:v>247.83759999999995</c:v>
                </c:pt>
                <c:pt idx="334">
                  <c:v>247.90789999999993</c:v>
                </c:pt>
                <c:pt idx="335">
                  <c:v>247.95989999999998</c:v>
                </c:pt>
                <c:pt idx="336">
                  <c:v>248.01429999999999</c:v>
                </c:pt>
                <c:pt idx="337">
                  <c:v>248.0796</c:v>
                </c:pt>
                <c:pt idx="338">
                  <c:v>248.17899999999997</c:v>
                </c:pt>
                <c:pt idx="339">
                  <c:v>248.29450000000006</c:v>
                </c:pt>
                <c:pt idx="340">
                  <c:v>248.49560000000002</c:v>
                </c:pt>
                <c:pt idx="341">
                  <c:v>248.72989999999999</c:v>
                </c:pt>
                <c:pt idx="342">
                  <c:v>249.00269999999998</c:v>
                </c:pt>
                <c:pt idx="343">
                  <c:v>249.37389999999999</c:v>
                </c:pt>
                <c:pt idx="344">
                  <c:v>249.71990000000002</c:v>
                </c:pt>
                <c:pt idx="345">
                  <c:v>249.99270000000004</c:v>
                </c:pt>
                <c:pt idx="346">
                  <c:v>250.26560000000006</c:v>
                </c:pt>
                <c:pt idx="347">
                  <c:v>250.45290000000006</c:v>
                </c:pt>
                <c:pt idx="348">
                  <c:v>250.62820000000002</c:v>
                </c:pt>
                <c:pt idx="349">
                  <c:v>250.8236</c:v>
                </c:pt>
                <c:pt idx="350">
                  <c:v>251.08330000000007</c:v>
                </c:pt>
                <c:pt idx="351">
                  <c:v>251.32110000000003</c:v>
                </c:pt>
                <c:pt idx="352">
                  <c:v>251.56480000000008</c:v>
                </c:pt>
                <c:pt idx="353">
                  <c:v>251.77200000000008</c:v>
                </c:pt>
                <c:pt idx="354">
                  <c:v>252.01010000000008</c:v>
                </c:pt>
                <c:pt idx="355">
                  <c:v>252.24110000000007</c:v>
                </c:pt>
                <c:pt idx="356">
                  <c:v>252.45200000000008</c:v>
                </c:pt>
                <c:pt idx="357">
                  <c:v>252.67280000000005</c:v>
                </c:pt>
                <c:pt idx="358">
                  <c:v>252.88800000000006</c:v>
                </c:pt>
                <c:pt idx="359">
                  <c:v>253.08070000000006</c:v>
                </c:pt>
                <c:pt idx="360">
                  <c:v>253.24320000000003</c:v>
                </c:pt>
                <c:pt idx="361">
                  <c:v>253.38200000000003</c:v>
                </c:pt>
                <c:pt idx="362">
                  <c:v>253.47280000000006</c:v>
                </c:pt>
                <c:pt idx="363">
                  <c:v>253.49200000000008</c:v>
                </c:pt>
                <c:pt idx="364">
                  <c:v>253.56720000000004</c:v>
                </c:pt>
                <c:pt idx="365">
                  <c:v>253.60290000000003</c:v>
                </c:pt>
                <c:pt idx="366">
                  <c:v>253.69410000000008</c:v>
                </c:pt>
                <c:pt idx="367">
                  <c:v>253.78560000000007</c:v>
                </c:pt>
                <c:pt idx="368">
                  <c:v>253.8969000000001</c:v>
                </c:pt>
                <c:pt idx="369">
                  <c:v>254.04370000000006</c:v>
                </c:pt>
                <c:pt idx="370">
                  <c:v>254.20200000000008</c:v>
                </c:pt>
                <c:pt idx="371">
                  <c:v>254.41650000000004</c:v>
                </c:pt>
                <c:pt idx="372">
                  <c:v>254.61950000000004</c:v>
                </c:pt>
                <c:pt idx="373">
                  <c:v>254.83920000000006</c:v>
                </c:pt>
                <c:pt idx="374">
                  <c:v>255.0390000000001</c:v>
                </c:pt>
                <c:pt idx="375">
                  <c:v>255.19000000000011</c:v>
                </c:pt>
                <c:pt idx="376">
                  <c:v>255.39200000000008</c:v>
                </c:pt>
                <c:pt idx="377">
                  <c:v>255.60130000000004</c:v>
                </c:pt>
                <c:pt idx="378">
                  <c:v>255.67920000000001</c:v>
                </c:pt>
                <c:pt idx="379">
                  <c:v>255.75630000000001</c:v>
                </c:pt>
                <c:pt idx="380">
                  <c:v>255.875</c:v>
                </c:pt>
                <c:pt idx="381">
                  <c:v>255.9777</c:v>
                </c:pt>
                <c:pt idx="382">
                  <c:v>256.06520000000006</c:v>
                </c:pt>
                <c:pt idx="383">
                  <c:v>256.13819999999998</c:v>
                </c:pt>
                <c:pt idx="384">
                  <c:v>256.32839999999999</c:v>
                </c:pt>
                <c:pt idx="385">
                  <c:v>256.58499999999998</c:v>
                </c:pt>
                <c:pt idx="386">
                  <c:v>256.8843</c:v>
                </c:pt>
                <c:pt idx="387">
                  <c:v>257.22000000000003</c:v>
                </c:pt>
                <c:pt idx="388">
                  <c:v>257.54640000000001</c:v>
                </c:pt>
                <c:pt idx="389">
                  <c:v>257.92349999999999</c:v>
                </c:pt>
                <c:pt idx="390">
                  <c:v>258.24250000000001</c:v>
                </c:pt>
                <c:pt idx="391">
                  <c:v>258.6225</c:v>
                </c:pt>
                <c:pt idx="392">
                  <c:v>259.10279999999995</c:v>
                </c:pt>
                <c:pt idx="393">
                  <c:v>259.55789999999996</c:v>
                </c:pt>
                <c:pt idx="394">
                  <c:v>260.08879999999999</c:v>
                </c:pt>
                <c:pt idx="395">
                  <c:v>260.6284</c:v>
                </c:pt>
                <c:pt idx="396">
                  <c:v>261.19989999999996</c:v>
                </c:pt>
                <c:pt idx="397">
                  <c:v>261.85109999999997</c:v>
                </c:pt>
                <c:pt idx="398">
                  <c:v>262.48579999999993</c:v>
                </c:pt>
                <c:pt idx="399">
                  <c:v>263.14739999999995</c:v>
                </c:pt>
                <c:pt idx="400">
                  <c:v>263.69239999999996</c:v>
                </c:pt>
                <c:pt idx="401">
                  <c:v>264.24069999999995</c:v>
                </c:pt>
                <c:pt idx="402">
                  <c:v>264.78659999999996</c:v>
                </c:pt>
                <c:pt idx="403">
                  <c:v>265.32399999999996</c:v>
                </c:pt>
                <c:pt idx="404">
                  <c:v>265.83919999999995</c:v>
                </c:pt>
                <c:pt idx="405">
                  <c:v>266.36449999999991</c:v>
                </c:pt>
                <c:pt idx="406">
                  <c:v>266.78879999999998</c:v>
                </c:pt>
                <c:pt idx="407">
                  <c:v>267.19279999999998</c:v>
                </c:pt>
                <c:pt idx="408">
                  <c:v>267.58909999999997</c:v>
                </c:pt>
                <c:pt idx="409">
                  <c:v>268.03030000000001</c:v>
                </c:pt>
                <c:pt idx="410">
                  <c:v>268.51650000000001</c:v>
                </c:pt>
                <c:pt idx="411">
                  <c:v>269.02589999999998</c:v>
                </c:pt>
                <c:pt idx="412">
                  <c:v>269.53829999999999</c:v>
                </c:pt>
                <c:pt idx="413">
                  <c:v>270.06580000000002</c:v>
                </c:pt>
                <c:pt idx="414">
                  <c:v>270.77170000000001</c:v>
                </c:pt>
                <c:pt idx="415">
                  <c:v>271.67960000000005</c:v>
                </c:pt>
                <c:pt idx="416">
                  <c:v>272.54939999999999</c:v>
                </c:pt>
                <c:pt idx="417">
                  <c:v>273.3777</c:v>
                </c:pt>
                <c:pt idx="418">
                  <c:v>274.02940000000001</c:v>
                </c:pt>
                <c:pt idx="419">
                  <c:v>274.79649999999992</c:v>
                </c:pt>
                <c:pt idx="420">
                  <c:v>275.37829999999997</c:v>
                </c:pt>
                <c:pt idx="421">
                  <c:v>275.96019999999999</c:v>
                </c:pt>
                <c:pt idx="422">
                  <c:v>276.60739999999998</c:v>
                </c:pt>
                <c:pt idx="423">
                  <c:v>277.31669999999997</c:v>
                </c:pt>
                <c:pt idx="424">
                  <c:v>278.05269999999996</c:v>
                </c:pt>
                <c:pt idx="425">
                  <c:v>278.83189999999996</c:v>
                </c:pt>
                <c:pt idx="426">
                  <c:v>279.56499999999994</c:v>
                </c:pt>
                <c:pt idx="427">
                  <c:v>280.24809999999997</c:v>
                </c:pt>
                <c:pt idx="428">
                  <c:v>280.91919999999993</c:v>
                </c:pt>
                <c:pt idx="429">
                  <c:v>281.61599999999993</c:v>
                </c:pt>
                <c:pt idx="430">
                  <c:v>282.33159999999998</c:v>
                </c:pt>
                <c:pt idx="431">
                  <c:v>283.00979999999998</c:v>
                </c:pt>
                <c:pt idx="432">
                  <c:v>283.69099999999997</c:v>
                </c:pt>
                <c:pt idx="433">
                  <c:v>284.35629999999992</c:v>
                </c:pt>
                <c:pt idx="434">
                  <c:v>284.96569999999991</c:v>
                </c:pt>
                <c:pt idx="435">
                  <c:v>285.6006999999999</c:v>
                </c:pt>
                <c:pt idx="436">
                  <c:v>286.2650999999999</c:v>
                </c:pt>
                <c:pt idx="437">
                  <c:v>286.92549999999994</c:v>
                </c:pt>
                <c:pt idx="438">
                  <c:v>287.49789999999996</c:v>
                </c:pt>
                <c:pt idx="439">
                  <c:v>288.04259999999994</c:v>
                </c:pt>
                <c:pt idx="440">
                  <c:v>288.54239999999999</c:v>
                </c:pt>
                <c:pt idx="441">
                  <c:v>289.00409999999994</c:v>
                </c:pt>
                <c:pt idx="442">
                  <c:v>289.4246</c:v>
                </c:pt>
                <c:pt idx="443">
                  <c:v>289.78999999999996</c:v>
                </c:pt>
                <c:pt idx="444">
                  <c:v>290.16969999999992</c:v>
                </c:pt>
                <c:pt idx="445">
                  <c:v>290.52979999999997</c:v>
                </c:pt>
                <c:pt idx="446">
                  <c:v>290.95269999999999</c:v>
                </c:pt>
                <c:pt idx="447">
                  <c:v>291.36310000000003</c:v>
                </c:pt>
                <c:pt idx="448">
                  <c:v>291.81329999999997</c:v>
                </c:pt>
                <c:pt idx="449">
                  <c:v>292.19159999999999</c:v>
                </c:pt>
                <c:pt idx="450">
                  <c:v>292.51430000000005</c:v>
                </c:pt>
                <c:pt idx="451">
                  <c:v>292.90300000000002</c:v>
                </c:pt>
                <c:pt idx="452">
                  <c:v>293.23020000000002</c:v>
                </c:pt>
                <c:pt idx="453">
                  <c:v>293.53129999999999</c:v>
                </c:pt>
                <c:pt idx="454">
                  <c:v>293.83009999999996</c:v>
                </c:pt>
                <c:pt idx="455">
                  <c:v>294.17179999999996</c:v>
                </c:pt>
                <c:pt idx="456">
                  <c:v>294.57109999999994</c:v>
                </c:pt>
                <c:pt idx="457">
                  <c:v>295.00519999999995</c:v>
                </c:pt>
                <c:pt idx="458">
                  <c:v>295.40299999999996</c:v>
                </c:pt>
                <c:pt idx="459">
                  <c:v>295.83</c:v>
                </c:pt>
                <c:pt idx="460">
                  <c:v>296.25519999999995</c:v>
                </c:pt>
                <c:pt idx="461">
                  <c:v>296.66719999999998</c:v>
                </c:pt>
                <c:pt idx="462">
                  <c:v>297.07729999999998</c:v>
                </c:pt>
                <c:pt idx="463">
                  <c:v>297.54459999999995</c:v>
                </c:pt>
                <c:pt idx="464">
                  <c:v>297.97519999999992</c:v>
                </c:pt>
                <c:pt idx="465">
                  <c:v>298.42209999999994</c:v>
                </c:pt>
                <c:pt idx="466">
                  <c:v>298.8513999999999</c:v>
                </c:pt>
                <c:pt idx="467">
                  <c:v>299.25759999999991</c:v>
                </c:pt>
                <c:pt idx="468">
                  <c:v>299.67899999999992</c:v>
                </c:pt>
                <c:pt idx="469">
                  <c:v>299.96119999999991</c:v>
                </c:pt>
                <c:pt idx="470">
                  <c:v>300.15669999999989</c:v>
                </c:pt>
                <c:pt idx="471">
                  <c:v>300.27289999999988</c:v>
                </c:pt>
                <c:pt idx="472">
                  <c:v>300.39589999999987</c:v>
                </c:pt>
                <c:pt idx="473">
                  <c:v>300.52949999999987</c:v>
                </c:pt>
                <c:pt idx="474">
                  <c:v>300.60919999999993</c:v>
                </c:pt>
                <c:pt idx="475">
                  <c:v>300.66939999999994</c:v>
                </c:pt>
                <c:pt idx="476">
                  <c:v>300.68939999999992</c:v>
                </c:pt>
                <c:pt idx="477">
                  <c:v>300.79969999999992</c:v>
                </c:pt>
                <c:pt idx="478">
                  <c:v>301.04829999999993</c:v>
                </c:pt>
                <c:pt idx="479">
                  <c:v>301.34749999999991</c:v>
                </c:pt>
                <c:pt idx="480">
                  <c:v>301.55479999999994</c:v>
                </c:pt>
                <c:pt idx="481">
                  <c:v>301.76499999999993</c:v>
                </c:pt>
                <c:pt idx="482">
                  <c:v>301.99929999999995</c:v>
                </c:pt>
                <c:pt idx="483">
                  <c:v>302.29479999999995</c:v>
                </c:pt>
                <c:pt idx="484">
                  <c:v>302.58699999999993</c:v>
                </c:pt>
                <c:pt idx="485">
                  <c:v>302.84009999999995</c:v>
                </c:pt>
                <c:pt idx="486">
                  <c:v>302.93249999999995</c:v>
                </c:pt>
                <c:pt idx="487">
                  <c:v>303.12389999999994</c:v>
                </c:pt>
                <c:pt idx="488">
                  <c:v>303.38339999999994</c:v>
                </c:pt>
                <c:pt idx="489">
                  <c:v>303.601</c:v>
                </c:pt>
                <c:pt idx="490">
                  <c:v>303.83569999999997</c:v>
                </c:pt>
                <c:pt idx="491">
                  <c:v>304.00499999999994</c:v>
                </c:pt>
                <c:pt idx="492">
                  <c:v>304.17199999999991</c:v>
                </c:pt>
                <c:pt idx="493">
                  <c:v>304.33159999999998</c:v>
                </c:pt>
                <c:pt idx="494">
                  <c:v>304.50739999999996</c:v>
                </c:pt>
                <c:pt idx="495">
                  <c:v>304.77589999999992</c:v>
                </c:pt>
                <c:pt idx="496">
                  <c:v>305.14149999999995</c:v>
                </c:pt>
                <c:pt idx="497">
                  <c:v>305.49059999999992</c:v>
                </c:pt>
                <c:pt idx="498">
                  <c:v>305.85599999999994</c:v>
                </c:pt>
                <c:pt idx="499">
                  <c:v>306.17999999999995</c:v>
                </c:pt>
                <c:pt idx="500">
                  <c:v>306.5447999999999</c:v>
                </c:pt>
                <c:pt idx="501">
                  <c:v>306.87939999999998</c:v>
                </c:pt>
                <c:pt idx="502">
                  <c:v>307.23859999999991</c:v>
                </c:pt>
                <c:pt idx="503">
                  <c:v>307.65049999999997</c:v>
                </c:pt>
                <c:pt idx="504">
                  <c:v>308.09129999999993</c:v>
                </c:pt>
                <c:pt idx="505">
                  <c:v>308.41959999999995</c:v>
                </c:pt>
                <c:pt idx="506">
                  <c:v>308.81259999999997</c:v>
                </c:pt>
                <c:pt idx="507">
                  <c:v>309.18920000000003</c:v>
                </c:pt>
                <c:pt idx="508">
                  <c:v>309.52749999999997</c:v>
                </c:pt>
                <c:pt idx="509">
                  <c:v>309.71410000000003</c:v>
                </c:pt>
                <c:pt idx="510">
                  <c:v>309.87810000000002</c:v>
                </c:pt>
                <c:pt idx="511">
                  <c:v>310.00830000000008</c:v>
                </c:pt>
                <c:pt idx="512">
                  <c:v>310.18400000000003</c:v>
                </c:pt>
                <c:pt idx="513">
                  <c:v>310.22570000000007</c:v>
                </c:pt>
                <c:pt idx="514">
                  <c:v>310.25330000000008</c:v>
                </c:pt>
                <c:pt idx="515">
                  <c:v>310.27890000000008</c:v>
                </c:pt>
                <c:pt idx="516">
                  <c:v>310.2419000000001</c:v>
                </c:pt>
                <c:pt idx="517">
                  <c:v>310.25530000000009</c:v>
                </c:pt>
                <c:pt idx="518">
                  <c:v>310.26330000000019</c:v>
                </c:pt>
                <c:pt idx="519">
                  <c:v>310.23280000000011</c:v>
                </c:pt>
                <c:pt idx="520">
                  <c:v>310.35320000000013</c:v>
                </c:pt>
                <c:pt idx="521">
                  <c:v>310.48300000000012</c:v>
                </c:pt>
                <c:pt idx="522">
                  <c:v>310.58590000000009</c:v>
                </c:pt>
                <c:pt idx="523">
                  <c:v>310.7290000000001</c:v>
                </c:pt>
                <c:pt idx="524">
                  <c:v>310.84610000000009</c:v>
                </c:pt>
                <c:pt idx="525">
                  <c:v>310.87860000000006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40-48D2-A2C9-3511EAE82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98848"/>
        <c:axId val="164394048"/>
      </c:lineChart>
      <c:dateAx>
        <c:axId val="164398848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4048"/>
        <c:crosses val="autoZero"/>
        <c:auto val="1"/>
        <c:lblOffset val="100"/>
        <c:baseTimeUnit val="days"/>
      </c:dateAx>
      <c:valAx>
        <c:axId val="164394048"/>
        <c:scaling>
          <c:orientation val="minMax"/>
          <c:min val="2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64-451E-A093-4E7C2FF7C401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Data!$F$2:$F$527</c:f>
              <c:numCache>
                <c:formatCode>General</c:formatCode>
                <c:ptCount val="526"/>
                <c:pt idx="0">
                  <c:v>172.08</c:v>
                </c:pt>
                <c:pt idx="1">
                  <c:v>171.70736555446791</c:v>
                </c:pt>
                <c:pt idx="2">
                  <c:v>171.59541698362483</c:v>
                </c:pt>
                <c:pt idx="3">
                  <c:v>171.75760094747503</c:v>
                </c:pt>
                <c:pt idx="4">
                  <c:v>171.81309654994462</c:v>
                </c:pt>
                <c:pt idx="5">
                  <c:v>171.63152621758547</c:v>
                </c:pt>
                <c:pt idx="6">
                  <c:v>171.55017498298335</c:v>
                </c:pt>
                <c:pt idx="7">
                  <c:v>171.374058952913</c:v>
                </c:pt>
                <c:pt idx="8">
                  <c:v>170.93991761281481</c:v>
                </c:pt>
                <c:pt idx="9">
                  <c:v>170.52131448090606</c:v>
                </c:pt>
                <c:pt idx="10">
                  <c:v>170.23336768914425</c:v>
                </c:pt>
                <c:pt idx="11">
                  <c:v>170.04714683764217</c:v>
                </c:pt>
                <c:pt idx="12">
                  <c:v>170.06940885427642</c:v>
                </c:pt>
                <c:pt idx="13">
                  <c:v>170.07251617143348</c:v>
                </c:pt>
                <c:pt idx="14">
                  <c:v>170.02110856505331</c:v>
                </c:pt>
                <c:pt idx="15">
                  <c:v>170.04676711642733</c:v>
                </c:pt>
                <c:pt idx="16">
                  <c:v>170.17849214391433</c:v>
                </c:pt>
                <c:pt idx="17">
                  <c:v>170.25579418188633</c:v>
                </c:pt>
                <c:pt idx="18">
                  <c:v>170.33819790216867</c:v>
                </c:pt>
                <c:pt idx="19">
                  <c:v>170.62981171594782</c:v>
                </c:pt>
                <c:pt idx="20">
                  <c:v>170.81533855599264</c:v>
                </c:pt>
                <c:pt idx="21">
                  <c:v>170.92847031769031</c:v>
                </c:pt>
                <c:pt idx="22">
                  <c:v>171.05956168260724</c:v>
                </c:pt>
                <c:pt idx="23">
                  <c:v>171.16407076446947</c:v>
                </c:pt>
                <c:pt idx="24">
                  <c:v>171.26486076850188</c:v>
                </c:pt>
                <c:pt idx="25">
                  <c:v>171.37573663115873</c:v>
                </c:pt>
                <c:pt idx="26">
                  <c:v>171.45052106405655</c:v>
                </c:pt>
                <c:pt idx="27">
                  <c:v>171.52949935246329</c:v>
                </c:pt>
                <c:pt idx="28">
                  <c:v>171.6539550054047</c:v>
                </c:pt>
                <c:pt idx="29">
                  <c:v>171.72672788122873</c:v>
                </c:pt>
                <c:pt idx="30">
                  <c:v>171.82539123434043</c:v>
                </c:pt>
                <c:pt idx="31">
                  <c:v>172.04711381412085</c:v>
                </c:pt>
                <c:pt idx="32">
                  <c:v>172.22246481104841</c:v>
                </c:pt>
                <c:pt idx="33">
                  <c:v>172.43956630013881</c:v>
                </c:pt>
                <c:pt idx="34">
                  <c:v>172.6137515958907</c:v>
                </c:pt>
                <c:pt idx="35">
                  <c:v>172.89096865858869</c:v>
                </c:pt>
                <c:pt idx="36">
                  <c:v>173.11142048155503</c:v>
                </c:pt>
                <c:pt idx="37">
                  <c:v>173.3121053788129</c:v>
                </c:pt>
                <c:pt idx="38">
                  <c:v>173.46849012422237</c:v>
                </c:pt>
                <c:pt idx="39">
                  <c:v>173.64607518007966</c:v>
                </c:pt>
                <c:pt idx="40">
                  <c:v>173.95588343714923</c:v>
                </c:pt>
                <c:pt idx="41">
                  <c:v>174.13805826881759</c:v>
                </c:pt>
                <c:pt idx="42">
                  <c:v>174.35966498075391</c:v>
                </c:pt>
                <c:pt idx="43">
                  <c:v>174.59074882603193</c:v>
                </c:pt>
                <c:pt idx="44">
                  <c:v>174.86404481531318</c:v>
                </c:pt>
                <c:pt idx="45">
                  <c:v>175.09907404104158</c:v>
                </c:pt>
                <c:pt idx="46">
                  <c:v>175.28840209424382</c:v>
                </c:pt>
                <c:pt idx="47">
                  <c:v>175.46122915763837</c:v>
                </c:pt>
                <c:pt idx="48">
                  <c:v>175.64810469743705</c:v>
                </c:pt>
                <c:pt idx="49">
                  <c:v>175.92245408099717</c:v>
                </c:pt>
                <c:pt idx="50">
                  <c:v>176.19407954151615</c:v>
                </c:pt>
                <c:pt idx="51">
                  <c:v>176.70577926496145</c:v>
                </c:pt>
                <c:pt idx="52">
                  <c:v>177.00317844503678</c:v>
                </c:pt>
                <c:pt idx="53">
                  <c:v>177.29244871954901</c:v>
                </c:pt>
                <c:pt idx="54">
                  <c:v>177.64810351538918</c:v>
                </c:pt>
                <c:pt idx="55">
                  <c:v>178.11609496857895</c:v>
                </c:pt>
                <c:pt idx="56">
                  <c:v>178.40424815504525</c:v>
                </c:pt>
                <c:pt idx="57">
                  <c:v>178.6715731374527</c:v>
                </c:pt>
                <c:pt idx="58">
                  <c:v>178.86154982561953</c:v>
                </c:pt>
                <c:pt idx="59">
                  <c:v>179.19289871361593</c:v>
                </c:pt>
                <c:pt idx="60">
                  <c:v>179.52243646670141</c:v>
                </c:pt>
                <c:pt idx="61">
                  <c:v>179.77588970773135</c:v>
                </c:pt>
                <c:pt idx="62">
                  <c:v>180.01200162242057</c:v>
                </c:pt>
                <c:pt idx="63">
                  <c:v>180.30880488041544</c:v>
                </c:pt>
                <c:pt idx="64">
                  <c:v>180.55098067164698</c:v>
                </c:pt>
                <c:pt idx="65">
                  <c:v>180.73741658264512</c:v>
                </c:pt>
                <c:pt idx="66">
                  <c:v>180.9739722095664</c:v>
                </c:pt>
                <c:pt idx="67">
                  <c:v>181.16992435450439</c:v>
                </c:pt>
                <c:pt idx="68">
                  <c:v>181.34849138952896</c:v>
                </c:pt>
                <c:pt idx="69">
                  <c:v>181.57679538566578</c:v>
                </c:pt>
                <c:pt idx="70">
                  <c:v>181.63503896142041</c:v>
                </c:pt>
                <c:pt idx="71">
                  <c:v>181.6626328550291</c:v>
                </c:pt>
                <c:pt idx="72">
                  <c:v>181.64200608879426</c:v>
                </c:pt>
                <c:pt idx="73">
                  <c:v>181.62179981459886</c:v>
                </c:pt>
                <c:pt idx="74">
                  <c:v>181.61677076424255</c:v>
                </c:pt>
                <c:pt idx="75">
                  <c:v>181.69463781851991</c:v>
                </c:pt>
                <c:pt idx="76">
                  <c:v>181.81623851962806</c:v>
                </c:pt>
                <c:pt idx="77">
                  <c:v>181.94369434514547</c:v>
                </c:pt>
                <c:pt idx="78">
                  <c:v>182.04743749659684</c:v>
                </c:pt>
                <c:pt idx="79">
                  <c:v>182.19396438045109</c:v>
                </c:pt>
                <c:pt idx="80">
                  <c:v>182.28880970304314</c:v>
                </c:pt>
                <c:pt idx="81">
                  <c:v>182.36612247300064</c:v>
                </c:pt>
                <c:pt idx="82">
                  <c:v>182.4644358621849</c:v>
                </c:pt>
                <c:pt idx="83">
                  <c:v>182.55357869250824</c:v>
                </c:pt>
                <c:pt idx="84">
                  <c:v>182.6283936748346</c:v>
                </c:pt>
                <c:pt idx="85">
                  <c:v>182.71626803825083</c:v>
                </c:pt>
                <c:pt idx="86">
                  <c:v>182.80714144924235</c:v>
                </c:pt>
                <c:pt idx="87">
                  <c:v>182.89141605455475</c:v>
                </c:pt>
                <c:pt idx="88">
                  <c:v>183.03409788591281</c:v>
                </c:pt>
                <c:pt idx="89">
                  <c:v>183.17261443329113</c:v>
                </c:pt>
                <c:pt idx="90">
                  <c:v>183.31232451635881</c:v>
                </c:pt>
                <c:pt idx="91">
                  <c:v>183.44053622602061</c:v>
                </c:pt>
                <c:pt idx="92">
                  <c:v>183.62193528849491</c:v>
                </c:pt>
                <c:pt idx="93">
                  <c:v>183.80090337824845</c:v>
                </c:pt>
                <c:pt idx="94">
                  <c:v>183.98260081637312</c:v>
                </c:pt>
                <c:pt idx="95">
                  <c:v>184.20096552596004</c:v>
                </c:pt>
                <c:pt idx="96">
                  <c:v>184.42067548222059</c:v>
                </c:pt>
                <c:pt idx="97">
                  <c:v>184.6588551964044</c:v>
                </c:pt>
                <c:pt idx="98">
                  <c:v>184.79816103562089</c:v>
                </c:pt>
                <c:pt idx="99">
                  <c:v>184.9031485545157</c:v>
                </c:pt>
                <c:pt idx="100">
                  <c:v>185.02697426484903</c:v>
                </c:pt>
                <c:pt idx="101">
                  <c:v>185.13269889333429</c:v>
                </c:pt>
                <c:pt idx="102">
                  <c:v>185.21611773496412</c:v>
                </c:pt>
                <c:pt idx="103">
                  <c:v>185.31664184005015</c:v>
                </c:pt>
                <c:pt idx="104">
                  <c:v>185.5731035070236</c:v>
                </c:pt>
                <c:pt idx="105">
                  <c:v>185.67996479988702</c:v>
                </c:pt>
                <c:pt idx="106">
                  <c:v>185.77353225915027</c:v>
                </c:pt>
                <c:pt idx="107">
                  <c:v>185.86994710125938</c:v>
                </c:pt>
                <c:pt idx="108">
                  <c:v>185.95407628084581</c:v>
                </c:pt>
                <c:pt idx="109">
                  <c:v>186.05062594637889</c:v>
                </c:pt>
                <c:pt idx="110">
                  <c:v>186.13167907684769</c:v>
                </c:pt>
                <c:pt idx="111">
                  <c:v>186.2058248972902</c:v>
                </c:pt>
                <c:pt idx="112">
                  <c:v>186.2712526656899</c:v>
                </c:pt>
                <c:pt idx="113">
                  <c:v>186.33190210666677</c:v>
                </c:pt>
                <c:pt idx="114">
                  <c:v>186.38051902098258</c:v>
                </c:pt>
                <c:pt idx="115">
                  <c:v>186.45118444393526</c:v>
                </c:pt>
                <c:pt idx="116">
                  <c:v>186.5400688398129</c:v>
                </c:pt>
                <c:pt idx="117">
                  <c:v>186.63816930100242</c:v>
                </c:pt>
                <c:pt idx="118">
                  <c:v>186.82228856160091</c:v>
                </c:pt>
                <c:pt idx="119">
                  <c:v>186.92855889317795</c:v>
                </c:pt>
                <c:pt idx="120">
                  <c:v>186.99752552978671</c:v>
                </c:pt>
                <c:pt idx="121">
                  <c:v>187.06947251973747</c:v>
                </c:pt>
                <c:pt idx="122">
                  <c:v>187.15399438909287</c:v>
                </c:pt>
                <c:pt idx="123">
                  <c:v>187.35537944843591</c:v>
                </c:pt>
                <c:pt idx="124">
                  <c:v>187.51479292276269</c:v>
                </c:pt>
                <c:pt idx="125">
                  <c:v>187.65740591031999</c:v>
                </c:pt>
                <c:pt idx="126">
                  <c:v>187.75721853001491</c:v>
                </c:pt>
                <c:pt idx="127">
                  <c:v>187.87404915035336</c:v>
                </c:pt>
                <c:pt idx="128">
                  <c:v>188.00074858437983</c:v>
                </c:pt>
                <c:pt idx="129">
                  <c:v>188.14924286638399</c:v>
                </c:pt>
                <c:pt idx="130">
                  <c:v>188.2849496413624</c:v>
                </c:pt>
                <c:pt idx="131">
                  <c:v>188.45297741985246</c:v>
                </c:pt>
                <c:pt idx="132">
                  <c:v>188.65962948442547</c:v>
                </c:pt>
                <c:pt idx="133">
                  <c:v>188.84412720732485</c:v>
                </c:pt>
                <c:pt idx="134">
                  <c:v>189.07239581440015</c:v>
                </c:pt>
                <c:pt idx="135">
                  <c:v>189.3265027870118</c:v>
                </c:pt>
                <c:pt idx="136">
                  <c:v>189.52708364773173</c:v>
                </c:pt>
                <c:pt idx="137">
                  <c:v>189.65453829458698</c:v>
                </c:pt>
                <c:pt idx="138">
                  <c:v>189.77667294122489</c:v>
                </c:pt>
                <c:pt idx="139">
                  <c:v>189.86455612426218</c:v>
                </c:pt>
                <c:pt idx="140">
                  <c:v>189.96656522633995</c:v>
                </c:pt>
                <c:pt idx="141">
                  <c:v>190.05777151955755</c:v>
                </c:pt>
                <c:pt idx="142">
                  <c:v>190.19255033661037</c:v>
                </c:pt>
                <c:pt idx="143">
                  <c:v>190.29420093146464</c:v>
                </c:pt>
                <c:pt idx="144">
                  <c:v>190.45905394161883</c:v>
                </c:pt>
                <c:pt idx="145">
                  <c:v>190.60966004255349</c:v>
                </c:pt>
                <c:pt idx="146">
                  <c:v>190.7493041062618</c:v>
                </c:pt>
                <c:pt idx="147">
                  <c:v>190.85942836086534</c:v>
                </c:pt>
                <c:pt idx="148">
                  <c:v>190.89995406616441</c:v>
                </c:pt>
                <c:pt idx="149">
                  <c:v>190.97150948436934</c:v>
                </c:pt>
                <c:pt idx="150">
                  <c:v>191.03312888013946</c:v>
                </c:pt>
                <c:pt idx="151">
                  <c:v>191.1045226667313</c:v>
                </c:pt>
                <c:pt idx="152">
                  <c:v>191.16179014092205</c:v>
                </c:pt>
                <c:pt idx="153">
                  <c:v>191.23475194735454</c:v>
                </c:pt>
                <c:pt idx="154">
                  <c:v>191.30911521103039</c:v>
                </c:pt>
                <c:pt idx="155">
                  <c:v>191.40100946717183</c:v>
                </c:pt>
                <c:pt idx="156">
                  <c:v>191.49836071789039</c:v>
                </c:pt>
                <c:pt idx="157">
                  <c:v>191.62069064729553</c:v>
                </c:pt>
                <c:pt idx="158">
                  <c:v>191.71989540070999</c:v>
                </c:pt>
                <c:pt idx="159">
                  <c:v>191.80745574606328</c:v>
                </c:pt>
                <c:pt idx="160">
                  <c:v>191.88790855852872</c:v>
                </c:pt>
                <c:pt idx="161">
                  <c:v>191.97567952592257</c:v>
                </c:pt>
                <c:pt idx="162">
                  <c:v>192.10349381867198</c:v>
                </c:pt>
                <c:pt idx="163">
                  <c:v>192.19614307739016</c:v>
                </c:pt>
                <c:pt idx="164">
                  <c:v>192.29309596182341</c:v>
                </c:pt>
                <c:pt idx="165">
                  <c:v>192.41861062587907</c:v>
                </c:pt>
                <c:pt idx="166">
                  <c:v>192.54523499573324</c:v>
                </c:pt>
                <c:pt idx="167">
                  <c:v>192.72740470503854</c:v>
                </c:pt>
                <c:pt idx="168">
                  <c:v>192.88911355987369</c:v>
                </c:pt>
                <c:pt idx="169">
                  <c:v>193.01644358628315</c:v>
                </c:pt>
                <c:pt idx="170">
                  <c:v>193.1451787936374</c:v>
                </c:pt>
                <c:pt idx="171">
                  <c:v>193.24206957637898</c:v>
                </c:pt>
                <c:pt idx="172">
                  <c:v>193.3771223671873</c:v>
                </c:pt>
                <c:pt idx="173">
                  <c:v>193.59510246056303</c:v>
                </c:pt>
                <c:pt idx="174">
                  <c:v>193.71140397968884</c:v>
                </c:pt>
                <c:pt idx="175">
                  <c:v>193.78388161210361</c:v>
                </c:pt>
                <c:pt idx="176">
                  <c:v>193.8503691582037</c:v>
                </c:pt>
                <c:pt idx="177">
                  <c:v>193.92462016299768</c:v>
                </c:pt>
                <c:pt idx="178">
                  <c:v>193.99552917079589</c:v>
                </c:pt>
                <c:pt idx="179">
                  <c:v>194.06348569290162</c:v>
                </c:pt>
                <c:pt idx="180">
                  <c:v>194.17878032683785</c:v>
                </c:pt>
                <c:pt idx="181">
                  <c:v>194.38931503828243</c:v>
                </c:pt>
                <c:pt idx="182">
                  <c:v>194.46241847596423</c:v>
                </c:pt>
                <c:pt idx="183">
                  <c:v>194.53654343412231</c:v>
                </c:pt>
                <c:pt idx="184">
                  <c:v>194.61914450675877</c:v>
                </c:pt>
                <c:pt idx="185">
                  <c:v>194.68840942510238</c:v>
                </c:pt>
                <c:pt idx="186">
                  <c:v>194.75320978718929</c:v>
                </c:pt>
                <c:pt idx="187">
                  <c:v>194.8341660576119</c:v>
                </c:pt>
                <c:pt idx="188">
                  <c:v>194.89430976307958</c:v>
                </c:pt>
                <c:pt idx="189">
                  <c:v>194.93573112427319</c:v>
                </c:pt>
                <c:pt idx="190">
                  <c:v>194.97847890894366</c:v>
                </c:pt>
                <c:pt idx="191">
                  <c:v>195.07292101945603</c:v>
                </c:pt>
                <c:pt idx="192">
                  <c:v>195.13334802905482</c:v>
                </c:pt>
                <c:pt idx="193">
                  <c:v>195.18650269191698</c:v>
                </c:pt>
                <c:pt idx="194">
                  <c:v>195.25860723979699</c:v>
                </c:pt>
                <c:pt idx="195">
                  <c:v>195.33672311748313</c:v>
                </c:pt>
                <c:pt idx="196">
                  <c:v>195.61068487472778</c:v>
                </c:pt>
                <c:pt idx="197">
                  <c:v>195.73990928365001</c:v>
                </c:pt>
                <c:pt idx="198">
                  <c:v>195.87509425628102</c:v>
                </c:pt>
                <c:pt idx="199">
                  <c:v>195.97208322359884</c:v>
                </c:pt>
                <c:pt idx="200">
                  <c:v>196.07246764333414</c:v>
                </c:pt>
                <c:pt idx="201">
                  <c:v>196.18389886429432</c:v>
                </c:pt>
                <c:pt idx="202">
                  <c:v>196.26914839204557</c:v>
                </c:pt>
                <c:pt idx="203">
                  <c:v>196.4130031018704</c:v>
                </c:pt>
                <c:pt idx="204">
                  <c:v>196.50260341223677</c:v>
                </c:pt>
                <c:pt idx="205">
                  <c:v>196.59409514002127</c:v>
                </c:pt>
                <c:pt idx="206">
                  <c:v>196.68147571143709</c:v>
                </c:pt>
                <c:pt idx="207">
                  <c:v>196.7862912731475</c:v>
                </c:pt>
                <c:pt idx="208">
                  <c:v>196.87730120162419</c:v>
                </c:pt>
                <c:pt idx="209">
                  <c:v>196.98060999393203</c:v>
                </c:pt>
                <c:pt idx="210">
                  <c:v>197.0832258809609</c:v>
                </c:pt>
                <c:pt idx="211">
                  <c:v>197.1769584683887</c:v>
                </c:pt>
                <c:pt idx="212">
                  <c:v>197.27393602131031</c:v>
                </c:pt>
                <c:pt idx="213">
                  <c:v>197.34443856356981</c:v>
                </c:pt>
                <c:pt idx="214">
                  <c:v>197.9567324994085</c:v>
                </c:pt>
                <c:pt idx="215">
                  <c:v>198.27855298659085</c:v>
                </c:pt>
                <c:pt idx="216">
                  <c:v>198.46488010504052</c:v>
                </c:pt>
                <c:pt idx="217">
                  <c:v>198.65055062663674</c:v>
                </c:pt>
                <c:pt idx="218">
                  <c:v>198.79162808161718</c:v>
                </c:pt>
                <c:pt idx="219">
                  <c:v>199.0345430057184</c:v>
                </c:pt>
                <c:pt idx="220">
                  <c:v>199.25119785432545</c:v>
                </c:pt>
                <c:pt idx="221">
                  <c:v>199.5134934377227</c:v>
                </c:pt>
                <c:pt idx="222">
                  <c:v>199.71629507073624</c:v>
                </c:pt>
                <c:pt idx="223">
                  <c:v>199.86082149355448</c:v>
                </c:pt>
                <c:pt idx="224">
                  <c:v>200.0409867578048</c:v>
                </c:pt>
                <c:pt idx="225">
                  <c:v>200.23200112325188</c:v>
                </c:pt>
                <c:pt idx="226">
                  <c:v>200.41918670334422</c:v>
                </c:pt>
                <c:pt idx="227">
                  <c:v>200.66667045912251</c:v>
                </c:pt>
                <c:pt idx="228">
                  <c:v>200.81386044882726</c:v>
                </c:pt>
                <c:pt idx="229">
                  <c:v>200.94232156756254</c:v>
                </c:pt>
                <c:pt idx="230">
                  <c:v>201.07045212152832</c:v>
                </c:pt>
                <c:pt idx="231">
                  <c:v>201.26185706328118</c:v>
                </c:pt>
                <c:pt idx="232">
                  <c:v>201.39946797385909</c:v>
                </c:pt>
                <c:pt idx="233">
                  <c:v>201.54537283135983</c:v>
                </c:pt>
                <c:pt idx="234">
                  <c:v>201.68149867753928</c:v>
                </c:pt>
                <c:pt idx="235">
                  <c:v>201.80004890368406</c:v>
                </c:pt>
                <c:pt idx="236">
                  <c:v>201.93936396123246</c:v>
                </c:pt>
                <c:pt idx="237">
                  <c:v>202.1132886389606</c:v>
                </c:pt>
                <c:pt idx="238">
                  <c:v>202.26510944962524</c:v>
                </c:pt>
                <c:pt idx="239">
                  <c:v>202.37640186769718</c:v>
                </c:pt>
                <c:pt idx="240">
                  <c:v>202.55652196072472</c:v>
                </c:pt>
                <c:pt idx="241">
                  <c:v>202.7101681311612</c:v>
                </c:pt>
                <c:pt idx="242">
                  <c:v>202.84208872407604</c:v>
                </c:pt>
                <c:pt idx="243">
                  <c:v>202.98403153433927</c:v>
                </c:pt>
                <c:pt idx="244">
                  <c:v>203.14413214560329</c:v>
                </c:pt>
                <c:pt idx="245">
                  <c:v>203.64172722127873</c:v>
                </c:pt>
                <c:pt idx="246">
                  <c:v>203.77480541066575</c:v>
                </c:pt>
                <c:pt idx="247">
                  <c:v>203.83860743348959</c:v>
                </c:pt>
                <c:pt idx="248">
                  <c:v>203.91614205033815</c:v>
                </c:pt>
                <c:pt idx="249">
                  <c:v>204.01050176724098</c:v>
                </c:pt>
                <c:pt idx="250">
                  <c:v>204.09960444848073</c:v>
                </c:pt>
                <c:pt idx="251">
                  <c:v>204.17591386394227</c:v>
                </c:pt>
                <c:pt idx="252">
                  <c:v>204.32064990581296</c:v>
                </c:pt>
                <c:pt idx="253">
                  <c:v>204.48199338251214</c:v>
                </c:pt>
                <c:pt idx="254">
                  <c:v>204.63869964485988</c:v>
                </c:pt>
                <c:pt idx="255">
                  <c:v>204.78467843390695</c:v>
                </c:pt>
                <c:pt idx="256">
                  <c:v>204.92811831148157</c:v>
                </c:pt>
                <c:pt idx="257">
                  <c:v>205.08197511585664</c:v>
                </c:pt>
                <c:pt idx="258">
                  <c:v>205.2493208280161</c:v>
                </c:pt>
                <c:pt idx="259">
                  <c:v>205.47206386625894</c:v>
                </c:pt>
                <c:pt idx="260">
                  <c:v>205.83693134396879</c:v>
                </c:pt>
                <c:pt idx="261">
                  <c:v>206.14740755376039</c:v>
                </c:pt>
                <c:pt idx="262">
                  <c:v>206.53736781068949</c:v>
                </c:pt>
                <c:pt idx="263">
                  <c:v>206.8578700009231</c:v>
                </c:pt>
                <c:pt idx="264">
                  <c:v>207.0660623501486</c:v>
                </c:pt>
                <c:pt idx="265">
                  <c:v>207.32583231221247</c:v>
                </c:pt>
                <c:pt idx="266">
                  <c:v>207.50621329028348</c:v>
                </c:pt>
                <c:pt idx="267">
                  <c:v>207.68520820797701</c:v>
                </c:pt>
                <c:pt idx="268">
                  <c:v>207.86351396334854</c:v>
                </c:pt>
                <c:pt idx="269">
                  <c:v>208.04642294861128</c:v>
                </c:pt>
                <c:pt idx="270">
                  <c:v>208.25921638656618</c:v>
                </c:pt>
                <c:pt idx="271">
                  <c:v>208.43033571737149</c:v>
                </c:pt>
                <c:pt idx="272">
                  <c:v>208.62674057509028</c:v>
                </c:pt>
                <c:pt idx="273">
                  <c:v>208.76038344651718</c:v>
                </c:pt>
                <c:pt idx="274">
                  <c:v>208.90095225597409</c:v>
                </c:pt>
                <c:pt idx="275">
                  <c:v>209.09776237770186</c:v>
                </c:pt>
                <c:pt idx="276">
                  <c:v>209.27951953651294</c:v>
                </c:pt>
                <c:pt idx="277">
                  <c:v>209.49051034259213</c:v>
                </c:pt>
                <c:pt idx="278">
                  <c:v>209.67662959080707</c:v>
                </c:pt>
                <c:pt idx="279">
                  <c:v>209.84976045863414</c:v>
                </c:pt>
                <c:pt idx="280">
                  <c:v>210.06888871597067</c:v>
                </c:pt>
                <c:pt idx="281">
                  <c:v>210.21709242755489</c:v>
                </c:pt>
                <c:pt idx="282">
                  <c:v>210.43271738084738</c:v>
                </c:pt>
                <c:pt idx="283">
                  <c:v>210.62047847141974</c:v>
                </c:pt>
                <c:pt idx="284">
                  <c:v>210.92174356249063</c:v>
                </c:pt>
                <c:pt idx="285">
                  <c:v>211.18547557665951</c:v>
                </c:pt>
                <c:pt idx="286">
                  <c:v>211.38515964501576</c:v>
                </c:pt>
                <c:pt idx="287">
                  <c:v>211.55423930565595</c:v>
                </c:pt>
                <c:pt idx="288">
                  <c:v>211.66136015181493</c:v>
                </c:pt>
                <c:pt idx="289">
                  <c:v>211.80924400429629</c:v>
                </c:pt>
                <c:pt idx="290">
                  <c:v>212.01878454002838</c:v>
                </c:pt>
                <c:pt idx="291">
                  <c:v>212.1850024789139</c:v>
                </c:pt>
                <c:pt idx="292">
                  <c:v>212.37754817943559</c:v>
                </c:pt>
                <c:pt idx="293">
                  <c:v>212.49283001651204</c:v>
                </c:pt>
                <c:pt idx="294">
                  <c:v>212.61966298506627</c:v>
                </c:pt>
                <c:pt idx="295">
                  <c:v>212.84481387620323</c:v>
                </c:pt>
                <c:pt idx="296">
                  <c:v>212.97938650056815</c:v>
                </c:pt>
                <c:pt idx="297">
                  <c:v>213.08649463129177</c:v>
                </c:pt>
                <c:pt idx="298">
                  <c:v>213.17286357134466</c:v>
                </c:pt>
                <c:pt idx="299">
                  <c:v>213.24430733943558</c:v>
                </c:pt>
                <c:pt idx="300">
                  <c:v>213.32684772069641</c:v>
                </c:pt>
                <c:pt idx="301">
                  <c:v>213.39759883136446</c:v>
                </c:pt>
                <c:pt idx="302">
                  <c:v>213.47724739375025</c:v>
                </c:pt>
                <c:pt idx="303">
                  <c:v>213.5695023451957</c:v>
                </c:pt>
                <c:pt idx="304">
                  <c:v>213.64462957411456</c:v>
                </c:pt>
                <c:pt idx="305">
                  <c:v>213.83510142687041</c:v>
                </c:pt>
                <c:pt idx="306">
                  <c:v>213.94829319485368</c:v>
                </c:pt>
                <c:pt idx="307">
                  <c:v>214.06910889350354</c:v>
                </c:pt>
                <c:pt idx="308">
                  <c:v>214.2336970989287</c:v>
                </c:pt>
                <c:pt idx="309">
                  <c:v>214.32811860418599</c:v>
                </c:pt>
                <c:pt idx="310">
                  <c:v>214.4462895169851</c:v>
                </c:pt>
                <c:pt idx="311">
                  <c:v>214.59077904162672</c:v>
                </c:pt>
                <c:pt idx="312">
                  <c:v>214.67116378423412</c:v>
                </c:pt>
                <c:pt idx="313">
                  <c:v>214.75391417923245</c:v>
                </c:pt>
                <c:pt idx="314">
                  <c:v>214.83545329699092</c:v>
                </c:pt>
                <c:pt idx="315">
                  <c:v>214.79370661350268</c:v>
                </c:pt>
                <c:pt idx="316">
                  <c:v>214.79099394158888</c:v>
                </c:pt>
                <c:pt idx="317">
                  <c:v>214.80446480825896</c:v>
                </c:pt>
                <c:pt idx="318">
                  <c:v>214.95927817359077</c:v>
                </c:pt>
                <c:pt idx="319">
                  <c:v>215.03455318843041</c:v>
                </c:pt>
                <c:pt idx="320">
                  <c:v>215.174376920491</c:v>
                </c:pt>
                <c:pt idx="321">
                  <c:v>215.25689341478576</c:v>
                </c:pt>
                <c:pt idx="322">
                  <c:v>215.3199249814011</c:v>
                </c:pt>
                <c:pt idx="323">
                  <c:v>215.36284608820762</c:v>
                </c:pt>
                <c:pt idx="324">
                  <c:v>215.41379970472315</c:v>
                </c:pt>
                <c:pt idx="325">
                  <c:v>215.45170212357525</c:v>
                </c:pt>
                <c:pt idx="326">
                  <c:v>215.52049443140857</c:v>
                </c:pt>
                <c:pt idx="327">
                  <c:v>215.634337367407</c:v>
                </c:pt>
                <c:pt idx="328">
                  <c:v>215.71756266296367</c:v>
                </c:pt>
                <c:pt idx="329">
                  <c:v>215.79310078030582</c:v>
                </c:pt>
                <c:pt idx="330">
                  <c:v>215.85703808975833</c:v>
                </c:pt>
                <c:pt idx="331">
                  <c:v>215.92233179484555</c:v>
                </c:pt>
                <c:pt idx="332">
                  <c:v>216.03912972815223</c:v>
                </c:pt>
                <c:pt idx="333">
                  <c:v>216.1228842222651</c:v>
                </c:pt>
                <c:pt idx="334">
                  <c:v>216.2041555525679</c:v>
                </c:pt>
                <c:pt idx="335">
                  <c:v>216.26582408304839</c:v>
                </c:pt>
                <c:pt idx="336">
                  <c:v>216.33107912905027</c:v>
                </c:pt>
                <c:pt idx="337">
                  <c:v>216.42041296551804</c:v>
                </c:pt>
                <c:pt idx="338">
                  <c:v>216.51564727767874</c:v>
                </c:pt>
                <c:pt idx="339">
                  <c:v>216.57302888143727</c:v>
                </c:pt>
                <c:pt idx="340">
                  <c:v>216.70144525302544</c:v>
                </c:pt>
                <c:pt idx="341">
                  <c:v>216.82344811477827</c:v>
                </c:pt>
                <c:pt idx="342">
                  <c:v>216.95252632292349</c:v>
                </c:pt>
                <c:pt idx="343">
                  <c:v>217.09459151718812</c:v>
                </c:pt>
                <c:pt idx="344">
                  <c:v>217.23174305661425</c:v>
                </c:pt>
                <c:pt idx="345">
                  <c:v>217.40715462394857</c:v>
                </c:pt>
                <c:pt idx="346">
                  <c:v>217.53028344962172</c:v>
                </c:pt>
                <c:pt idx="347">
                  <c:v>217.62825149574957</c:v>
                </c:pt>
                <c:pt idx="348">
                  <c:v>217.71266589867778</c:v>
                </c:pt>
                <c:pt idx="349">
                  <c:v>217.79886189234327</c:v>
                </c:pt>
                <c:pt idx="350">
                  <c:v>217.90573653326535</c:v>
                </c:pt>
                <c:pt idx="351">
                  <c:v>217.98125721386521</c:v>
                </c:pt>
                <c:pt idx="352">
                  <c:v>218.05170832165356</c:v>
                </c:pt>
                <c:pt idx="353">
                  <c:v>218.20195264201556</c:v>
                </c:pt>
                <c:pt idx="354">
                  <c:v>218.2849877062923</c:v>
                </c:pt>
                <c:pt idx="355">
                  <c:v>218.38462971665658</c:v>
                </c:pt>
                <c:pt idx="356">
                  <c:v>218.46494258649227</c:v>
                </c:pt>
                <c:pt idx="357">
                  <c:v>218.57003723626036</c:v>
                </c:pt>
                <c:pt idx="358">
                  <c:v>218.67762044411742</c:v>
                </c:pt>
                <c:pt idx="359">
                  <c:v>218.79472995098311</c:v>
                </c:pt>
                <c:pt idx="360">
                  <c:v>218.90489727336956</c:v>
                </c:pt>
                <c:pt idx="361">
                  <c:v>219.01208784306371</c:v>
                </c:pt>
                <c:pt idx="362">
                  <c:v>219.10729429615614</c:v>
                </c:pt>
                <c:pt idx="363">
                  <c:v>219.20219053775003</c:v>
                </c:pt>
                <c:pt idx="364">
                  <c:v>219.32966816954936</c:v>
                </c:pt>
                <c:pt idx="365">
                  <c:v>219.42787118933174</c:v>
                </c:pt>
                <c:pt idx="366">
                  <c:v>219.57922563472914</c:v>
                </c:pt>
                <c:pt idx="367">
                  <c:v>219.80247551924668</c:v>
                </c:pt>
                <c:pt idx="368">
                  <c:v>219.93862869044105</c:v>
                </c:pt>
                <c:pt idx="369">
                  <c:v>220.1016928731087</c:v>
                </c:pt>
                <c:pt idx="370">
                  <c:v>220.22672861244502</c:v>
                </c:pt>
                <c:pt idx="371">
                  <c:v>220.4017449974242</c:v>
                </c:pt>
                <c:pt idx="372">
                  <c:v>220.74048222992442</c:v>
                </c:pt>
                <c:pt idx="373">
                  <c:v>220.98901076769204</c:v>
                </c:pt>
                <c:pt idx="374">
                  <c:v>221.17208983556762</c:v>
                </c:pt>
                <c:pt idx="375">
                  <c:v>221.33490970031079</c:v>
                </c:pt>
                <c:pt idx="376">
                  <c:v>221.47227824827436</c:v>
                </c:pt>
                <c:pt idx="377">
                  <c:v>221.64683306222247</c:v>
                </c:pt>
                <c:pt idx="378">
                  <c:v>221.91051296337389</c:v>
                </c:pt>
                <c:pt idx="379">
                  <c:v>222.10279382194679</c:v>
                </c:pt>
                <c:pt idx="380">
                  <c:v>222.25726907211327</c:v>
                </c:pt>
                <c:pt idx="381">
                  <c:v>222.38953228040305</c:v>
                </c:pt>
                <c:pt idx="382">
                  <c:v>222.55603835320701</c:v>
                </c:pt>
                <c:pt idx="383">
                  <c:v>222.77694987631415</c:v>
                </c:pt>
                <c:pt idx="384">
                  <c:v>222.94986301895111</c:v>
                </c:pt>
                <c:pt idx="385">
                  <c:v>223.10607399992102</c:v>
                </c:pt>
                <c:pt idx="386">
                  <c:v>223.33364833228921</c:v>
                </c:pt>
                <c:pt idx="387">
                  <c:v>223.47931901650449</c:v>
                </c:pt>
                <c:pt idx="388">
                  <c:v>223.60356182752483</c:v>
                </c:pt>
                <c:pt idx="389">
                  <c:v>223.74434048696517</c:v>
                </c:pt>
                <c:pt idx="390">
                  <c:v>223.88255407678932</c:v>
                </c:pt>
                <c:pt idx="391">
                  <c:v>224.00230848102674</c:v>
                </c:pt>
                <c:pt idx="392">
                  <c:v>224.11956316751278</c:v>
                </c:pt>
                <c:pt idx="393">
                  <c:v>224.26974996626933</c:v>
                </c:pt>
                <c:pt idx="394">
                  <c:v>224.43326603400055</c:v>
                </c:pt>
                <c:pt idx="395">
                  <c:v>224.71719878985635</c:v>
                </c:pt>
                <c:pt idx="396">
                  <c:v>224.92464175799196</c:v>
                </c:pt>
                <c:pt idx="397">
                  <c:v>225.04762567677747</c:v>
                </c:pt>
                <c:pt idx="398">
                  <c:v>225.17444813707917</c:v>
                </c:pt>
                <c:pt idx="399">
                  <c:v>225.28578812617914</c:v>
                </c:pt>
                <c:pt idx="400">
                  <c:v>225.41753860428415</c:v>
                </c:pt>
                <c:pt idx="401">
                  <c:v>225.52880146329983</c:v>
                </c:pt>
                <c:pt idx="402">
                  <c:v>225.62207656288359</c:v>
                </c:pt>
                <c:pt idx="403">
                  <c:v>225.77408373647484</c:v>
                </c:pt>
                <c:pt idx="404">
                  <c:v>225.91759285825469</c:v>
                </c:pt>
                <c:pt idx="405">
                  <c:v>226.03095809925247</c:v>
                </c:pt>
                <c:pt idx="406">
                  <c:v>226.15504291435442</c:v>
                </c:pt>
                <c:pt idx="407">
                  <c:v>226.24726645280313</c:v>
                </c:pt>
                <c:pt idx="408">
                  <c:v>226.34884642047672</c:v>
                </c:pt>
                <c:pt idx="409">
                  <c:v>226.47564594650771</c:v>
                </c:pt>
                <c:pt idx="410">
                  <c:v>226.5878037350283</c:v>
                </c:pt>
                <c:pt idx="411">
                  <c:v>226.74265040551475</c:v>
                </c:pt>
                <c:pt idx="412">
                  <c:v>226.84624298827438</c:v>
                </c:pt>
                <c:pt idx="413">
                  <c:v>226.97101937007497</c:v>
                </c:pt>
                <c:pt idx="414">
                  <c:v>227.08430466289965</c:v>
                </c:pt>
                <c:pt idx="415">
                  <c:v>227.20678915253978</c:v>
                </c:pt>
                <c:pt idx="416">
                  <c:v>227.33681699259557</c:v>
                </c:pt>
                <c:pt idx="417">
                  <c:v>227.47129030242692</c:v>
                </c:pt>
                <c:pt idx="418">
                  <c:v>227.58819581748446</c:v>
                </c:pt>
                <c:pt idx="419">
                  <c:v>227.71734431312231</c:v>
                </c:pt>
                <c:pt idx="420">
                  <c:v>227.88511271057627</c:v>
                </c:pt>
                <c:pt idx="421">
                  <c:v>228.02104075016516</c:v>
                </c:pt>
                <c:pt idx="422">
                  <c:v>228.16066502624577</c:v>
                </c:pt>
                <c:pt idx="423">
                  <c:v>228.30398159366993</c:v>
                </c:pt>
                <c:pt idx="424">
                  <c:v>228.45968836220305</c:v>
                </c:pt>
                <c:pt idx="425">
                  <c:v>228.59575103091177</c:v>
                </c:pt>
                <c:pt idx="426">
                  <c:v>228.74036933142875</c:v>
                </c:pt>
                <c:pt idx="427">
                  <c:v>228.95391863969499</c:v>
                </c:pt>
                <c:pt idx="428">
                  <c:v>229.13430175014733</c:v>
                </c:pt>
                <c:pt idx="429">
                  <c:v>229.30432457187058</c:v>
                </c:pt>
                <c:pt idx="430">
                  <c:v>229.80726188273454</c:v>
                </c:pt>
                <c:pt idx="431">
                  <c:v>229.96210959332876</c:v>
                </c:pt>
                <c:pt idx="432">
                  <c:v>230.13880331916278</c:v>
                </c:pt>
                <c:pt idx="433">
                  <c:v>230.2899163401608</c:v>
                </c:pt>
                <c:pt idx="434">
                  <c:v>230.43586110682341</c:v>
                </c:pt>
                <c:pt idx="435">
                  <c:v>230.58956513244809</c:v>
                </c:pt>
                <c:pt idx="436">
                  <c:v>230.72536482258911</c:v>
                </c:pt>
                <c:pt idx="437">
                  <c:v>230.97194076357715</c:v>
                </c:pt>
                <c:pt idx="438">
                  <c:v>231.1528373496528</c:v>
                </c:pt>
                <c:pt idx="439">
                  <c:v>231.29520034634371</c:v>
                </c:pt>
                <c:pt idx="440">
                  <c:v>231.41143610259408</c:v>
                </c:pt>
                <c:pt idx="441">
                  <c:v>231.5485590777032</c:v>
                </c:pt>
                <c:pt idx="442">
                  <c:v>231.7055584286976</c:v>
                </c:pt>
                <c:pt idx="443">
                  <c:v>231.81985638130257</c:v>
                </c:pt>
                <c:pt idx="444">
                  <c:v>231.94636579742527</c:v>
                </c:pt>
                <c:pt idx="445">
                  <c:v>232.09015433256593</c:v>
                </c:pt>
                <c:pt idx="446">
                  <c:v>232.28822646382667</c:v>
                </c:pt>
                <c:pt idx="447">
                  <c:v>232.56035948305467</c:v>
                </c:pt>
                <c:pt idx="448">
                  <c:v>232.75993953358565</c:v>
                </c:pt>
                <c:pt idx="449">
                  <c:v>232.92630731181609</c:v>
                </c:pt>
                <c:pt idx="450">
                  <c:v>233.08325761053476</c:v>
                </c:pt>
                <c:pt idx="451">
                  <c:v>233.19730673328314</c:v>
                </c:pt>
                <c:pt idx="452">
                  <c:v>233.30958249839662</c:v>
                </c:pt>
                <c:pt idx="453">
                  <c:v>233.42607593472545</c:v>
                </c:pt>
                <c:pt idx="454">
                  <c:v>233.50504546981199</c:v>
                </c:pt>
                <c:pt idx="455">
                  <c:v>233.61979773864391</c:v>
                </c:pt>
                <c:pt idx="456">
                  <c:v>233.71405500764169</c:v>
                </c:pt>
                <c:pt idx="457">
                  <c:v>233.82141552223808</c:v>
                </c:pt>
                <c:pt idx="458">
                  <c:v>233.94869344929322</c:v>
                </c:pt>
                <c:pt idx="459">
                  <c:v>234.08238286310413</c:v>
                </c:pt>
                <c:pt idx="460">
                  <c:v>234.22230947117717</c:v>
                </c:pt>
                <c:pt idx="461">
                  <c:v>234.35937789494147</c:v>
                </c:pt>
                <c:pt idx="462">
                  <c:v>234.48376333697536</c:v>
                </c:pt>
                <c:pt idx="463">
                  <c:v>234.60779799195021</c:v>
                </c:pt>
                <c:pt idx="464">
                  <c:v>234.74049356099016</c:v>
                </c:pt>
                <c:pt idx="465">
                  <c:v>234.87585178308998</c:v>
                </c:pt>
                <c:pt idx="466">
                  <c:v>234.98654989095201</c:v>
                </c:pt>
                <c:pt idx="467">
                  <c:v>235.08091868011218</c:v>
                </c:pt>
                <c:pt idx="468">
                  <c:v>235.29041215543944</c:v>
                </c:pt>
                <c:pt idx="469">
                  <c:v>235.44459943050094</c:v>
                </c:pt>
                <c:pt idx="470">
                  <c:v>235.60724991393232</c:v>
                </c:pt>
                <c:pt idx="471">
                  <c:v>235.73186866301054</c:v>
                </c:pt>
                <c:pt idx="472">
                  <c:v>235.85026289035434</c:v>
                </c:pt>
                <c:pt idx="473">
                  <c:v>235.93622943204747</c:v>
                </c:pt>
                <c:pt idx="474">
                  <c:v>236.04373049213217</c:v>
                </c:pt>
                <c:pt idx="475">
                  <c:v>236.21064102632312</c:v>
                </c:pt>
                <c:pt idx="476">
                  <c:v>236.36497156819442</c:v>
                </c:pt>
                <c:pt idx="477">
                  <c:v>236.49974745485244</c:v>
                </c:pt>
                <c:pt idx="478">
                  <c:v>236.62774178185501</c:v>
                </c:pt>
                <c:pt idx="479">
                  <c:v>236.70282544965085</c:v>
                </c:pt>
                <c:pt idx="480">
                  <c:v>236.82939614609498</c:v>
                </c:pt>
                <c:pt idx="481">
                  <c:v>236.9460229946236</c:v>
                </c:pt>
                <c:pt idx="482">
                  <c:v>237.09105157155329</c:v>
                </c:pt>
                <c:pt idx="483">
                  <c:v>237.26259435535511</c:v>
                </c:pt>
                <c:pt idx="484">
                  <c:v>237.37676590662696</c:v>
                </c:pt>
                <c:pt idx="485">
                  <c:v>237.50654638835817</c:v>
                </c:pt>
                <c:pt idx="486">
                  <c:v>237.76115266507051</c:v>
                </c:pt>
                <c:pt idx="487">
                  <c:v>238.06560025026741</c:v>
                </c:pt>
                <c:pt idx="488">
                  <c:v>238.23714438910716</c:v>
                </c:pt>
                <c:pt idx="489">
                  <c:v>238.39726505454925</c:v>
                </c:pt>
                <c:pt idx="490">
                  <c:v>238.59367656599011</c:v>
                </c:pt>
                <c:pt idx="491">
                  <c:v>238.7354253822287</c:v>
                </c:pt>
                <c:pt idx="492">
                  <c:v>238.88210929696709</c:v>
                </c:pt>
                <c:pt idx="493">
                  <c:v>239.06881782181057</c:v>
                </c:pt>
                <c:pt idx="494">
                  <c:v>239.48784347635564</c:v>
                </c:pt>
                <c:pt idx="495">
                  <c:v>239.64047439825481</c:v>
                </c:pt>
                <c:pt idx="496">
                  <c:v>239.7660314642084</c:v>
                </c:pt>
                <c:pt idx="497">
                  <c:v>239.84963124886582</c:v>
                </c:pt>
                <c:pt idx="498">
                  <c:v>239.92938725556658</c:v>
                </c:pt>
                <c:pt idx="499">
                  <c:v>240.08674275450136</c:v>
                </c:pt>
                <c:pt idx="500">
                  <c:v>240.22969331397513</c:v>
                </c:pt>
                <c:pt idx="501">
                  <c:v>240.31942753241191</c:v>
                </c:pt>
                <c:pt idx="502">
                  <c:v>240.46785876147629</c:v>
                </c:pt>
                <c:pt idx="503">
                  <c:v>240.68509119580585</c:v>
                </c:pt>
                <c:pt idx="504">
                  <c:v>240.84018696751571</c:v>
                </c:pt>
                <c:pt idx="505">
                  <c:v>241.02206623671395</c:v>
                </c:pt>
                <c:pt idx="506">
                  <c:v>241.24560283831607</c:v>
                </c:pt>
                <c:pt idx="507">
                  <c:v>241.37255903789247</c:v>
                </c:pt>
                <c:pt idx="508">
                  <c:v>241.59995856431075</c:v>
                </c:pt>
                <c:pt idx="509">
                  <c:v>241.8855935096461</c:v>
                </c:pt>
                <c:pt idx="510">
                  <c:v>242.24794799315146</c:v>
                </c:pt>
                <c:pt idx="511">
                  <c:v>242.45647603150422</c:v>
                </c:pt>
                <c:pt idx="512">
                  <c:v>242.67221595461311</c:v>
                </c:pt>
                <c:pt idx="513">
                  <c:v>242.8347379591012</c:v>
                </c:pt>
                <c:pt idx="514">
                  <c:v>242.96198930154188</c:v>
                </c:pt>
                <c:pt idx="515">
                  <c:v>243.09546345605531</c:v>
                </c:pt>
                <c:pt idx="516">
                  <c:v>243.22187405994936</c:v>
                </c:pt>
                <c:pt idx="517">
                  <c:v>243.36309566357815</c:v>
                </c:pt>
                <c:pt idx="518">
                  <c:v>243.49919776407026</c:v>
                </c:pt>
                <c:pt idx="519">
                  <c:v>243.61244954779349</c:v>
                </c:pt>
                <c:pt idx="520">
                  <c:v>243.76258471244674</c:v>
                </c:pt>
                <c:pt idx="521">
                  <c:v>243.91550283878937</c:v>
                </c:pt>
                <c:pt idx="522">
                  <c:v>244.04536444074529</c:v>
                </c:pt>
                <c:pt idx="523">
                  <c:v>244.22949924683118</c:v>
                </c:pt>
                <c:pt idx="524">
                  <c:v>244.3766469974783</c:v>
                </c:pt>
                <c:pt idx="525">
                  <c:v>244.50273167841894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64-451E-A093-4E7C2FF7C401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Data!$H$2:$H$527</c:f>
              <c:numCache>
                <c:formatCode>General</c:formatCode>
                <c:ptCount val="526"/>
                <c:pt idx="0">
                  <c:v>172.08</c:v>
                </c:pt>
                <c:pt idx="1">
                  <c:v>172.08236555446791</c:v>
                </c:pt>
                <c:pt idx="2">
                  <c:v>171.93170389816194</c:v>
                </c:pt>
                <c:pt idx="3">
                  <c:v>172.16664709401599</c:v>
                </c:pt>
                <c:pt idx="4">
                  <c:v>172.19211633834624</c:v>
                </c:pt>
                <c:pt idx="5">
                  <c:v>172.18582507399981</c:v>
                </c:pt>
                <c:pt idx="6">
                  <c:v>172.10575520919295</c:v>
                </c:pt>
                <c:pt idx="7">
                  <c:v>172.03636434885962</c:v>
                </c:pt>
                <c:pt idx="8">
                  <c:v>171.90375254566263</c:v>
                </c:pt>
                <c:pt idx="9">
                  <c:v>171.83339717647064</c:v>
                </c:pt>
                <c:pt idx="10">
                  <c:v>171.87974864382451</c:v>
                </c:pt>
                <c:pt idx="11">
                  <c:v>171.83527901023643</c:v>
                </c:pt>
                <c:pt idx="12">
                  <c:v>171.78755805803917</c:v>
                </c:pt>
                <c:pt idx="13">
                  <c:v>171.72843998413424</c:v>
                </c:pt>
                <c:pt idx="14">
                  <c:v>171.64997183603575</c:v>
                </c:pt>
                <c:pt idx="15">
                  <c:v>171.62635752516468</c:v>
                </c:pt>
                <c:pt idx="16">
                  <c:v>171.84474459532555</c:v>
                </c:pt>
                <c:pt idx="17">
                  <c:v>171.93600663538408</c:v>
                </c:pt>
                <c:pt idx="18">
                  <c:v>172.0522323613975</c:v>
                </c:pt>
                <c:pt idx="19">
                  <c:v>172.71396927956914</c:v>
                </c:pt>
                <c:pt idx="20">
                  <c:v>172.98311880357633</c:v>
                </c:pt>
                <c:pt idx="21">
                  <c:v>173.12108809725717</c:v>
                </c:pt>
                <c:pt idx="22">
                  <c:v>173.32617303706041</c:v>
                </c:pt>
                <c:pt idx="23">
                  <c:v>173.4740066928137</c:v>
                </c:pt>
                <c:pt idx="24">
                  <c:v>173.64020963551067</c:v>
                </c:pt>
                <c:pt idx="25">
                  <c:v>173.82052241212051</c:v>
                </c:pt>
                <c:pt idx="26">
                  <c:v>173.91928365930841</c:v>
                </c:pt>
                <c:pt idx="27">
                  <c:v>174.02455351632673</c:v>
                </c:pt>
                <c:pt idx="28">
                  <c:v>174.20407640327505</c:v>
                </c:pt>
                <c:pt idx="29">
                  <c:v>174.26443673415537</c:v>
                </c:pt>
                <c:pt idx="30">
                  <c:v>174.41428044527899</c:v>
                </c:pt>
                <c:pt idx="31">
                  <c:v>174.91755197481601</c:v>
                </c:pt>
                <c:pt idx="32">
                  <c:v>175.26190150067796</c:v>
                </c:pt>
                <c:pt idx="33">
                  <c:v>175.66035823567913</c:v>
                </c:pt>
                <c:pt idx="34">
                  <c:v>176.0556108940857</c:v>
                </c:pt>
                <c:pt idx="35">
                  <c:v>176.6563537548092</c:v>
                </c:pt>
                <c:pt idx="36">
                  <c:v>177.20202778107543</c:v>
                </c:pt>
                <c:pt idx="37">
                  <c:v>177.634269156713</c:v>
                </c:pt>
                <c:pt idx="38">
                  <c:v>177.99091966682272</c:v>
                </c:pt>
                <c:pt idx="39">
                  <c:v>178.38587474730821</c:v>
                </c:pt>
                <c:pt idx="40">
                  <c:v>178.96798658745371</c:v>
                </c:pt>
                <c:pt idx="41">
                  <c:v>179.34477488864468</c:v>
                </c:pt>
                <c:pt idx="42">
                  <c:v>179.7986738340885</c:v>
                </c:pt>
                <c:pt idx="43">
                  <c:v>180.32062764778578</c:v>
                </c:pt>
                <c:pt idx="44">
                  <c:v>180.89225205039855</c:v>
                </c:pt>
                <c:pt idx="45">
                  <c:v>181.3126756566754</c:v>
                </c:pt>
                <c:pt idx="46">
                  <c:v>181.67808103153669</c:v>
                </c:pt>
                <c:pt idx="47">
                  <c:v>182.00832826875876</c:v>
                </c:pt>
                <c:pt idx="48">
                  <c:v>182.39142804940809</c:v>
                </c:pt>
                <c:pt idx="49">
                  <c:v>182.89859054755229</c:v>
                </c:pt>
                <c:pt idx="50">
                  <c:v>183.26104567845374</c:v>
                </c:pt>
                <c:pt idx="51">
                  <c:v>183.92483744442785</c:v>
                </c:pt>
                <c:pt idx="52">
                  <c:v>184.43938851608232</c:v>
                </c:pt>
                <c:pt idx="53">
                  <c:v>184.9630495619831</c:v>
                </c:pt>
                <c:pt idx="54">
                  <c:v>185.62387861438438</c:v>
                </c:pt>
                <c:pt idx="55">
                  <c:v>186.47338101550548</c:v>
                </c:pt>
                <c:pt idx="56">
                  <c:v>187.00729153345986</c:v>
                </c:pt>
                <c:pt idx="57">
                  <c:v>187.43791618470544</c:v>
                </c:pt>
                <c:pt idx="58">
                  <c:v>187.80191198246459</c:v>
                </c:pt>
                <c:pt idx="59">
                  <c:v>188.41142763940206</c:v>
                </c:pt>
                <c:pt idx="60">
                  <c:v>189.01764465579089</c:v>
                </c:pt>
                <c:pt idx="61">
                  <c:v>189.4781278824174</c:v>
                </c:pt>
                <c:pt idx="62">
                  <c:v>189.89970690968619</c:v>
                </c:pt>
                <c:pt idx="63">
                  <c:v>190.35004048665434</c:v>
                </c:pt>
                <c:pt idx="64">
                  <c:v>190.66999921750215</c:v>
                </c:pt>
                <c:pt idx="65">
                  <c:v>190.96626815999085</c:v>
                </c:pt>
                <c:pt idx="66">
                  <c:v>191.3266030810521</c:v>
                </c:pt>
                <c:pt idx="67">
                  <c:v>191.60646681726425</c:v>
                </c:pt>
                <c:pt idx="68">
                  <c:v>191.82918602540161</c:v>
                </c:pt>
                <c:pt idx="69">
                  <c:v>192.09615730179212</c:v>
                </c:pt>
                <c:pt idx="70">
                  <c:v>192.08007926061578</c:v>
                </c:pt>
                <c:pt idx="71">
                  <c:v>192.03493468977535</c:v>
                </c:pt>
                <c:pt idx="72">
                  <c:v>191.94518754382685</c:v>
                </c:pt>
                <c:pt idx="73">
                  <c:v>191.85924186882963</c:v>
                </c:pt>
                <c:pt idx="74">
                  <c:v>191.78684302794298</c:v>
                </c:pt>
                <c:pt idx="75">
                  <c:v>191.80439957760626</c:v>
                </c:pt>
                <c:pt idx="76">
                  <c:v>191.8898202232067</c:v>
                </c:pt>
                <c:pt idx="77">
                  <c:v>192.00899443803365</c:v>
                </c:pt>
                <c:pt idx="78">
                  <c:v>192.11471006143427</c:v>
                </c:pt>
                <c:pt idx="79">
                  <c:v>192.26520051361766</c:v>
                </c:pt>
                <c:pt idx="80">
                  <c:v>192.36378688811322</c:v>
                </c:pt>
                <c:pt idx="81">
                  <c:v>192.44060010407239</c:v>
                </c:pt>
                <c:pt idx="82">
                  <c:v>192.52021375106554</c:v>
                </c:pt>
                <c:pt idx="83">
                  <c:v>192.59125657404047</c:v>
                </c:pt>
                <c:pt idx="84">
                  <c:v>192.64547608508963</c:v>
                </c:pt>
                <c:pt idx="85">
                  <c:v>192.70241093322662</c:v>
                </c:pt>
                <c:pt idx="86">
                  <c:v>192.7752016108214</c:v>
                </c:pt>
                <c:pt idx="87">
                  <c:v>192.83860088448557</c:v>
                </c:pt>
                <c:pt idx="88">
                  <c:v>193.00284397676651</c:v>
                </c:pt>
                <c:pt idx="89">
                  <c:v>193.18625290819989</c:v>
                </c:pt>
                <c:pt idx="90">
                  <c:v>193.38668511425016</c:v>
                </c:pt>
                <c:pt idx="91">
                  <c:v>193.57087045532191</c:v>
                </c:pt>
                <c:pt idx="92">
                  <c:v>193.84975204870457</c:v>
                </c:pt>
                <c:pt idx="93">
                  <c:v>194.13058122897417</c:v>
                </c:pt>
                <c:pt idx="94">
                  <c:v>194.41410233820591</c:v>
                </c:pt>
                <c:pt idx="95">
                  <c:v>194.77022522808875</c:v>
                </c:pt>
                <c:pt idx="96">
                  <c:v>194.98714052422486</c:v>
                </c:pt>
                <c:pt idx="97">
                  <c:v>195.26744285899733</c:v>
                </c:pt>
                <c:pt idx="98">
                  <c:v>195.43067843952156</c:v>
                </c:pt>
                <c:pt idx="99">
                  <c:v>195.54202340996915</c:v>
                </c:pt>
                <c:pt idx="100">
                  <c:v>195.7165018823917</c:v>
                </c:pt>
                <c:pt idx="101">
                  <c:v>195.85408430529785</c:v>
                </c:pt>
                <c:pt idx="102">
                  <c:v>195.95111944794655</c:v>
                </c:pt>
                <c:pt idx="103">
                  <c:v>196.07734020446594</c:v>
                </c:pt>
                <c:pt idx="104">
                  <c:v>196.39992544384793</c:v>
                </c:pt>
                <c:pt idx="105">
                  <c:v>196.55810102738062</c:v>
                </c:pt>
                <c:pt idx="106">
                  <c:v>196.66845174766385</c:v>
                </c:pt>
                <c:pt idx="107">
                  <c:v>196.76162770009935</c:v>
                </c:pt>
                <c:pt idx="108">
                  <c:v>196.83870304630025</c:v>
                </c:pt>
                <c:pt idx="109">
                  <c:v>196.95663331399419</c:v>
                </c:pt>
                <c:pt idx="110">
                  <c:v>197.05382401846981</c:v>
                </c:pt>
                <c:pt idx="111">
                  <c:v>197.10055461777424</c:v>
                </c:pt>
                <c:pt idx="112">
                  <c:v>197.1253867218968</c:v>
                </c:pt>
                <c:pt idx="113">
                  <c:v>197.15510728521841</c:v>
                </c:pt>
                <c:pt idx="114">
                  <c:v>197.17357653684167</c:v>
                </c:pt>
                <c:pt idx="115">
                  <c:v>197.22097288228619</c:v>
                </c:pt>
                <c:pt idx="116">
                  <c:v>197.30024885694192</c:v>
                </c:pt>
                <c:pt idx="117">
                  <c:v>197.40181586524605</c:v>
                </c:pt>
                <c:pt idx="118">
                  <c:v>197.57029615430233</c:v>
                </c:pt>
                <c:pt idx="119">
                  <c:v>197.68044587355905</c:v>
                </c:pt>
                <c:pt idx="120">
                  <c:v>197.74578999450301</c:v>
                </c:pt>
                <c:pt idx="121">
                  <c:v>197.80869328872598</c:v>
                </c:pt>
                <c:pt idx="122">
                  <c:v>197.89735367758541</c:v>
                </c:pt>
                <c:pt idx="123">
                  <c:v>198.13129921399209</c:v>
                </c:pt>
                <c:pt idx="124">
                  <c:v>198.35831722247264</c:v>
                </c:pt>
                <c:pt idx="125">
                  <c:v>198.61135840885385</c:v>
                </c:pt>
                <c:pt idx="126">
                  <c:v>198.81441050522221</c:v>
                </c:pt>
                <c:pt idx="127">
                  <c:v>198.98031375069505</c:v>
                </c:pt>
                <c:pt idx="128">
                  <c:v>199.15797553494281</c:v>
                </c:pt>
                <c:pt idx="129">
                  <c:v>199.38443311870802</c:v>
                </c:pt>
                <c:pt idx="130">
                  <c:v>199.59671311326366</c:v>
                </c:pt>
                <c:pt idx="131">
                  <c:v>199.83359161779879</c:v>
                </c:pt>
                <c:pt idx="132">
                  <c:v>200.07822334628625</c:v>
                </c:pt>
                <c:pt idx="133">
                  <c:v>200.35860011633127</c:v>
                </c:pt>
                <c:pt idx="134">
                  <c:v>200.72892263761156</c:v>
                </c:pt>
                <c:pt idx="135">
                  <c:v>201.16997261621117</c:v>
                </c:pt>
                <c:pt idx="136">
                  <c:v>201.4505326881096</c:v>
                </c:pt>
                <c:pt idx="137">
                  <c:v>201.65215330385124</c:v>
                </c:pt>
                <c:pt idx="138">
                  <c:v>201.85115398513256</c:v>
                </c:pt>
                <c:pt idx="139">
                  <c:v>202.01322781007178</c:v>
                </c:pt>
                <c:pt idx="140">
                  <c:v>202.16723894351475</c:v>
                </c:pt>
                <c:pt idx="141">
                  <c:v>202.30900210946442</c:v>
                </c:pt>
                <c:pt idx="142">
                  <c:v>202.5318453959917</c:v>
                </c:pt>
                <c:pt idx="143">
                  <c:v>202.70198147657243</c:v>
                </c:pt>
                <c:pt idx="144">
                  <c:v>202.98483280381487</c:v>
                </c:pt>
                <c:pt idx="145">
                  <c:v>203.21920353599396</c:v>
                </c:pt>
                <c:pt idx="146">
                  <c:v>203.39004288036261</c:v>
                </c:pt>
                <c:pt idx="147">
                  <c:v>203.47317335143734</c:v>
                </c:pt>
                <c:pt idx="148">
                  <c:v>203.47437945275692</c:v>
                </c:pt>
                <c:pt idx="149">
                  <c:v>203.52451150672769</c:v>
                </c:pt>
                <c:pt idx="150">
                  <c:v>203.56496169292654</c:v>
                </c:pt>
                <c:pt idx="151">
                  <c:v>203.6354093781915</c:v>
                </c:pt>
                <c:pt idx="152">
                  <c:v>203.70313190674588</c:v>
                </c:pt>
                <c:pt idx="153">
                  <c:v>203.78858632634459</c:v>
                </c:pt>
                <c:pt idx="154">
                  <c:v>203.88811957384166</c:v>
                </c:pt>
                <c:pt idx="155">
                  <c:v>204.02382427145255</c:v>
                </c:pt>
                <c:pt idx="156">
                  <c:v>204.17550571869458</c:v>
                </c:pt>
                <c:pt idx="157">
                  <c:v>204.37457685296712</c:v>
                </c:pt>
                <c:pt idx="158">
                  <c:v>204.56375149510168</c:v>
                </c:pt>
                <c:pt idx="159">
                  <c:v>204.7279087529181</c:v>
                </c:pt>
                <c:pt idx="160">
                  <c:v>204.88296884066784</c:v>
                </c:pt>
                <c:pt idx="161">
                  <c:v>205.06433977670812</c:v>
                </c:pt>
                <c:pt idx="162">
                  <c:v>205.30138881259776</c:v>
                </c:pt>
                <c:pt idx="163">
                  <c:v>205.50931406267844</c:v>
                </c:pt>
                <c:pt idx="164">
                  <c:v>205.7292919102583</c:v>
                </c:pt>
                <c:pt idx="165">
                  <c:v>205.98670987820958</c:v>
                </c:pt>
                <c:pt idx="166">
                  <c:v>206.25164405745082</c:v>
                </c:pt>
                <c:pt idx="167">
                  <c:v>206.59992986684955</c:v>
                </c:pt>
                <c:pt idx="168">
                  <c:v>206.86741240680456</c:v>
                </c:pt>
                <c:pt idx="169">
                  <c:v>207.08643344974024</c:v>
                </c:pt>
                <c:pt idx="170">
                  <c:v>207.28675393714295</c:v>
                </c:pt>
                <c:pt idx="171">
                  <c:v>207.4092480800544</c:v>
                </c:pt>
                <c:pt idx="172">
                  <c:v>207.60423266970102</c:v>
                </c:pt>
                <c:pt idx="173">
                  <c:v>207.80533979990591</c:v>
                </c:pt>
                <c:pt idx="174">
                  <c:v>207.91249312492769</c:v>
                </c:pt>
                <c:pt idx="175">
                  <c:v>207.97251558579029</c:v>
                </c:pt>
                <c:pt idx="176">
                  <c:v>208.01675177563081</c:v>
                </c:pt>
                <c:pt idx="177">
                  <c:v>208.08443337685156</c:v>
                </c:pt>
                <c:pt idx="178">
                  <c:v>208.15589397080407</c:v>
                </c:pt>
                <c:pt idx="179">
                  <c:v>208.21498580533137</c:v>
                </c:pt>
                <c:pt idx="180">
                  <c:v>208.33709895124593</c:v>
                </c:pt>
                <c:pt idx="181">
                  <c:v>208.55754302104717</c:v>
                </c:pt>
                <c:pt idx="182">
                  <c:v>208.64205624811055</c:v>
                </c:pt>
                <c:pt idx="183">
                  <c:v>208.72783983291058</c:v>
                </c:pt>
                <c:pt idx="184">
                  <c:v>208.81324026835657</c:v>
                </c:pt>
                <c:pt idx="185">
                  <c:v>208.88260132003325</c:v>
                </c:pt>
                <c:pt idx="186">
                  <c:v>208.95101068477314</c:v>
                </c:pt>
                <c:pt idx="187">
                  <c:v>209.03710802675624</c:v>
                </c:pt>
                <c:pt idx="188">
                  <c:v>209.08321768355395</c:v>
                </c:pt>
                <c:pt idx="189">
                  <c:v>209.11153895314516</c:v>
                </c:pt>
                <c:pt idx="190">
                  <c:v>209.13319834415009</c:v>
                </c:pt>
                <c:pt idx="191">
                  <c:v>209.2335341982907</c:v>
                </c:pt>
                <c:pt idx="192">
                  <c:v>209.29776183344401</c:v>
                </c:pt>
                <c:pt idx="193">
                  <c:v>209.35330105483453</c:v>
                </c:pt>
                <c:pt idx="194">
                  <c:v>209.4426632324377</c:v>
                </c:pt>
                <c:pt idx="195">
                  <c:v>209.53379853401358</c:v>
                </c:pt>
                <c:pt idx="196">
                  <c:v>209.8912476408122</c:v>
                </c:pt>
                <c:pt idx="197">
                  <c:v>210.09424436184815</c:v>
                </c:pt>
                <c:pt idx="198">
                  <c:v>210.3089882137474</c:v>
                </c:pt>
                <c:pt idx="199">
                  <c:v>210.49443134425414</c:v>
                </c:pt>
                <c:pt idx="200">
                  <c:v>210.68782034878009</c:v>
                </c:pt>
                <c:pt idx="201">
                  <c:v>210.89837080592801</c:v>
                </c:pt>
                <c:pt idx="202">
                  <c:v>211.05856892606573</c:v>
                </c:pt>
                <c:pt idx="203">
                  <c:v>211.28485089642163</c:v>
                </c:pt>
                <c:pt idx="204">
                  <c:v>211.44840614213146</c:v>
                </c:pt>
                <c:pt idx="205">
                  <c:v>211.62518184303019</c:v>
                </c:pt>
                <c:pt idx="206">
                  <c:v>211.77330483559783</c:v>
                </c:pt>
                <c:pt idx="207">
                  <c:v>211.96341251196066</c:v>
                </c:pt>
                <c:pt idx="208">
                  <c:v>212.11593869303044</c:v>
                </c:pt>
                <c:pt idx="209">
                  <c:v>212.2909942325835</c:v>
                </c:pt>
                <c:pt idx="210">
                  <c:v>212.44422672434499</c:v>
                </c:pt>
                <c:pt idx="211">
                  <c:v>212.59462883891604</c:v>
                </c:pt>
                <c:pt idx="212">
                  <c:v>212.72473653157903</c:v>
                </c:pt>
                <c:pt idx="213">
                  <c:v>212.83872018450108</c:v>
                </c:pt>
                <c:pt idx="214">
                  <c:v>213.76276037407357</c:v>
                </c:pt>
                <c:pt idx="215">
                  <c:v>214.25275056062975</c:v>
                </c:pt>
                <c:pt idx="216">
                  <c:v>214.60854767468942</c:v>
                </c:pt>
                <c:pt idx="217">
                  <c:v>214.98372685907839</c:v>
                </c:pt>
                <c:pt idx="218">
                  <c:v>215.31139264513075</c:v>
                </c:pt>
                <c:pt idx="219">
                  <c:v>215.75284049722342</c:v>
                </c:pt>
                <c:pt idx="220">
                  <c:v>216.16974613204829</c:v>
                </c:pt>
                <c:pt idx="221">
                  <c:v>216.6654041302547</c:v>
                </c:pt>
                <c:pt idx="222">
                  <c:v>217.09076995286341</c:v>
                </c:pt>
                <c:pt idx="223">
                  <c:v>217.42936879692266</c:v>
                </c:pt>
                <c:pt idx="224">
                  <c:v>217.77390427918991</c:v>
                </c:pt>
                <c:pt idx="225">
                  <c:v>218.16576244633848</c:v>
                </c:pt>
                <c:pt idx="226">
                  <c:v>218.58967448624932</c:v>
                </c:pt>
                <c:pt idx="227">
                  <c:v>219.08638257842398</c:v>
                </c:pt>
                <c:pt idx="228">
                  <c:v>219.4712341988488</c:v>
                </c:pt>
                <c:pt idx="229">
                  <c:v>219.82798534453332</c:v>
                </c:pt>
                <c:pt idx="230">
                  <c:v>220.17670461357983</c:v>
                </c:pt>
                <c:pt idx="231">
                  <c:v>220.54658360668193</c:v>
                </c:pt>
                <c:pt idx="232">
                  <c:v>220.84403530511005</c:v>
                </c:pt>
                <c:pt idx="233">
                  <c:v>221.13254917676659</c:v>
                </c:pt>
                <c:pt idx="234">
                  <c:v>221.42624274722897</c:v>
                </c:pt>
                <c:pt idx="235">
                  <c:v>221.71556439223374</c:v>
                </c:pt>
                <c:pt idx="236">
                  <c:v>221.98925781588315</c:v>
                </c:pt>
                <c:pt idx="237">
                  <c:v>222.28614923989846</c:v>
                </c:pt>
                <c:pt idx="238">
                  <c:v>222.56331032348862</c:v>
                </c:pt>
                <c:pt idx="239">
                  <c:v>222.78084323943554</c:v>
                </c:pt>
                <c:pt idx="240">
                  <c:v>223.05263955820178</c:v>
                </c:pt>
                <c:pt idx="241">
                  <c:v>223.29310978736075</c:v>
                </c:pt>
                <c:pt idx="242">
                  <c:v>223.50122583160953</c:v>
                </c:pt>
                <c:pt idx="243">
                  <c:v>223.66964407165764</c:v>
                </c:pt>
                <c:pt idx="244">
                  <c:v>223.86942894251973</c:v>
                </c:pt>
                <c:pt idx="245">
                  <c:v>224.43374868736439</c:v>
                </c:pt>
                <c:pt idx="246">
                  <c:v>224.63706729527414</c:v>
                </c:pt>
                <c:pt idx="247">
                  <c:v>224.79637948613788</c:v>
                </c:pt>
                <c:pt idx="248">
                  <c:v>224.97314429396255</c:v>
                </c:pt>
                <c:pt idx="249">
                  <c:v>225.15049211823199</c:v>
                </c:pt>
                <c:pt idx="250">
                  <c:v>225.30839305008163</c:v>
                </c:pt>
                <c:pt idx="251">
                  <c:v>225.45435879318228</c:v>
                </c:pt>
                <c:pt idx="252">
                  <c:v>225.66895429211698</c:v>
                </c:pt>
                <c:pt idx="253">
                  <c:v>225.92030016499368</c:v>
                </c:pt>
                <c:pt idx="254">
                  <c:v>226.14877192602489</c:v>
                </c:pt>
                <c:pt idx="255">
                  <c:v>226.38005296676931</c:v>
                </c:pt>
                <c:pt idx="256">
                  <c:v>226.60655171901664</c:v>
                </c:pt>
                <c:pt idx="257">
                  <c:v>226.82095895844944</c:v>
                </c:pt>
                <c:pt idx="258">
                  <c:v>227.07497801036453</c:v>
                </c:pt>
                <c:pt idx="259">
                  <c:v>227.40499637578594</c:v>
                </c:pt>
                <c:pt idx="260">
                  <c:v>227.91145029867815</c:v>
                </c:pt>
                <c:pt idx="261">
                  <c:v>228.37552621717279</c:v>
                </c:pt>
                <c:pt idx="262">
                  <c:v>228.95675664034104</c:v>
                </c:pt>
                <c:pt idx="263">
                  <c:v>229.49871524454616</c:v>
                </c:pt>
                <c:pt idx="264">
                  <c:v>229.92087302783455</c:v>
                </c:pt>
                <c:pt idx="265">
                  <c:v>230.41794066685995</c:v>
                </c:pt>
                <c:pt idx="266">
                  <c:v>230.81912342069188</c:v>
                </c:pt>
                <c:pt idx="267">
                  <c:v>231.22247489495612</c:v>
                </c:pt>
                <c:pt idx="268">
                  <c:v>231.63118296942065</c:v>
                </c:pt>
                <c:pt idx="269">
                  <c:v>232.03355478635149</c:v>
                </c:pt>
                <c:pt idx="270">
                  <c:v>232.47509272661082</c:v>
                </c:pt>
                <c:pt idx="271">
                  <c:v>232.86094452547221</c:v>
                </c:pt>
                <c:pt idx="272">
                  <c:v>233.26256773002788</c:v>
                </c:pt>
                <c:pt idx="273">
                  <c:v>233.60610361658084</c:v>
                </c:pt>
                <c:pt idx="274">
                  <c:v>233.97303897614597</c:v>
                </c:pt>
                <c:pt idx="275">
                  <c:v>234.44981369565548</c:v>
                </c:pt>
                <c:pt idx="276">
                  <c:v>234.8939022214625</c:v>
                </c:pt>
                <c:pt idx="277">
                  <c:v>235.31866968886791</c:v>
                </c:pt>
                <c:pt idx="278">
                  <c:v>235.74746942173942</c:v>
                </c:pt>
                <c:pt idx="279">
                  <c:v>236.16133610782089</c:v>
                </c:pt>
                <c:pt idx="280">
                  <c:v>236.62289549736749</c:v>
                </c:pt>
                <c:pt idx="281">
                  <c:v>237.00995948036379</c:v>
                </c:pt>
                <c:pt idx="282">
                  <c:v>237.4880514865705</c:v>
                </c:pt>
                <c:pt idx="283">
                  <c:v>237.92565914364977</c:v>
                </c:pt>
                <c:pt idx="284">
                  <c:v>238.3735344358702</c:v>
                </c:pt>
                <c:pt idx="285">
                  <c:v>238.76337333077484</c:v>
                </c:pt>
                <c:pt idx="286">
                  <c:v>239.06805013755564</c:v>
                </c:pt>
                <c:pt idx="287">
                  <c:v>239.31678214895712</c:v>
                </c:pt>
                <c:pt idx="288">
                  <c:v>239.50977961996836</c:v>
                </c:pt>
                <c:pt idx="289">
                  <c:v>239.7432559603044</c:v>
                </c:pt>
                <c:pt idx="290">
                  <c:v>240.07028617653683</c:v>
                </c:pt>
                <c:pt idx="291">
                  <c:v>240.32725188630232</c:v>
                </c:pt>
                <c:pt idx="292">
                  <c:v>240.55562427081725</c:v>
                </c:pt>
                <c:pt idx="293">
                  <c:v>240.71168461945547</c:v>
                </c:pt>
                <c:pt idx="294">
                  <c:v>240.85700944371177</c:v>
                </c:pt>
                <c:pt idx="295">
                  <c:v>241.0843057284491</c:v>
                </c:pt>
                <c:pt idx="296">
                  <c:v>241.19222718624516</c:v>
                </c:pt>
                <c:pt idx="297">
                  <c:v>241.26642841358495</c:v>
                </c:pt>
                <c:pt idx="298">
                  <c:v>241.31778180442035</c:v>
                </c:pt>
                <c:pt idx="299">
                  <c:v>241.3501816755757</c:v>
                </c:pt>
                <c:pt idx="300">
                  <c:v>241.40678626024246</c:v>
                </c:pt>
                <c:pt idx="301">
                  <c:v>241.45502264089478</c:v>
                </c:pt>
                <c:pt idx="302">
                  <c:v>241.51464954088996</c:v>
                </c:pt>
                <c:pt idx="303">
                  <c:v>241.59805341362721</c:v>
                </c:pt>
                <c:pt idx="304">
                  <c:v>241.66384823483787</c:v>
                </c:pt>
                <c:pt idx="305">
                  <c:v>241.85281596785859</c:v>
                </c:pt>
                <c:pt idx="306">
                  <c:v>241.98711157657863</c:v>
                </c:pt>
                <c:pt idx="307">
                  <c:v>242.14096598613111</c:v>
                </c:pt>
                <c:pt idx="308">
                  <c:v>242.33741326068068</c:v>
                </c:pt>
                <c:pt idx="309">
                  <c:v>242.45127893322504</c:v>
                </c:pt>
                <c:pt idx="310">
                  <c:v>242.5697842239214</c:v>
                </c:pt>
                <c:pt idx="311">
                  <c:v>242.72249823708526</c:v>
                </c:pt>
                <c:pt idx="312">
                  <c:v>242.80519774560426</c:v>
                </c:pt>
                <c:pt idx="313">
                  <c:v>242.89722941383482</c:v>
                </c:pt>
                <c:pt idx="314">
                  <c:v>242.94467824090955</c:v>
                </c:pt>
                <c:pt idx="315">
                  <c:v>242.85967234452036</c:v>
                </c:pt>
                <c:pt idx="316">
                  <c:v>242.81267336080876</c:v>
                </c:pt>
                <c:pt idx="317">
                  <c:v>242.78224946161535</c:v>
                </c:pt>
                <c:pt idx="318">
                  <c:v>242.91411069964815</c:v>
                </c:pt>
                <c:pt idx="319">
                  <c:v>242.95378617059674</c:v>
                </c:pt>
                <c:pt idx="320">
                  <c:v>243.07490332549781</c:v>
                </c:pt>
                <c:pt idx="321">
                  <c:v>243.1353261741898</c:v>
                </c:pt>
                <c:pt idx="322">
                  <c:v>243.17295599975122</c:v>
                </c:pt>
                <c:pt idx="323">
                  <c:v>243.18423305095334</c:v>
                </c:pt>
                <c:pt idx="324">
                  <c:v>243.20764434950351</c:v>
                </c:pt>
                <c:pt idx="325">
                  <c:v>243.21311016962568</c:v>
                </c:pt>
                <c:pt idx="326">
                  <c:v>243.26181207886683</c:v>
                </c:pt>
                <c:pt idx="327">
                  <c:v>243.36873773002662</c:v>
                </c:pt>
                <c:pt idx="328">
                  <c:v>243.45605175655507</c:v>
                </c:pt>
                <c:pt idx="329">
                  <c:v>243.53199557624907</c:v>
                </c:pt>
                <c:pt idx="330">
                  <c:v>243.59508919079741</c:v>
                </c:pt>
                <c:pt idx="331">
                  <c:v>243.66355904689081</c:v>
                </c:pt>
                <c:pt idx="332">
                  <c:v>243.78324459274089</c:v>
                </c:pt>
                <c:pt idx="333">
                  <c:v>243.87687457095791</c:v>
                </c:pt>
                <c:pt idx="334">
                  <c:v>243.98790671126076</c:v>
                </c:pt>
                <c:pt idx="335">
                  <c:v>244.07889963492528</c:v>
                </c:pt>
                <c:pt idx="336">
                  <c:v>244.16067781500996</c:v>
                </c:pt>
                <c:pt idx="337">
                  <c:v>244.26657520466014</c:v>
                </c:pt>
                <c:pt idx="338">
                  <c:v>244.39297415747706</c:v>
                </c:pt>
                <c:pt idx="339">
                  <c:v>244.4793763606969</c:v>
                </c:pt>
                <c:pt idx="340">
                  <c:v>244.66527467232237</c:v>
                </c:pt>
                <c:pt idx="341">
                  <c:v>244.85749949588717</c:v>
                </c:pt>
                <c:pt idx="342">
                  <c:v>245.06845545046971</c:v>
                </c:pt>
                <c:pt idx="343">
                  <c:v>245.30038364477812</c:v>
                </c:pt>
                <c:pt idx="344">
                  <c:v>245.52620209582804</c:v>
                </c:pt>
                <c:pt idx="345">
                  <c:v>245.77546093830063</c:v>
                </c:pt>
                <c:pt idx="346">
                  <c:v>245.97502395054312</c:v>
                </c:pt>
                <c:pt idx="347">
                  <c:v>246.12680756410245</c:v>
                </c:pt>
                <c:pt idx="348">
                  <c:v>246.26249488951581</c:v>
                </c:pt>
                <c:pt idx="349">
                  <c:v>246.39922692995901</c:v>
                </c:pt>
                <c:pt idx="350">
                  <c:v>246.57615505789511</c:v>
                </c:pt>
                <c:pt idx="351">
                  <c:v>246.71233572438732</c:v>
                </c:pt>
                <c:pt idx="352">
                  <c:v>246.84634490040798</c:v>
                </c:pt>
                <c:pt idx="353">
                  <c:v>247.05741177992243</c:v>
                </c:pt>
                <c:pt idx="354">
                  <c:v>247.20316598292484</c:v>
                </c:pt>
                <c:pt idx="355">
                  <c:v>247.37174095910129</c:v>
                </c:pt>
                <c:pt idx="356">
                  <c:v>247.51067908067765</c:v>
                </c:pt>
                <c:pt idx="357">
                  <c:v>247.66381372033266</c:v>
                </c:pt>
                <c:pt idx="358">
                  <c:v>247.83472550211835</c:v>
                </c:pt>
                <c:pt idx="359">
                  <c:v>248.01860535720658</c:v>
                </c:pt>
                <c:pt idx="360">
                  <c:v>248.20290961901148</c:v>
                </c:pt>
                <c:pt idx="361">
                  <c:v>248.38094899964804</c:v>
                </c:pt>
                <c:pt idx="362">
                  <c:v>248.54624373863291</c:v>
                </c:pt>
                <c:pt idx="363">
                  <c:v>248.6957588066627</c:v>
                </c:pt>
                <c:pt idx="364">
                  <c:v>248.90083605979194</c:v>
                </c:pt>
                <c:pt idx="365">
                  <c:v>249.07151751043821</c:v>
                </c:pt>
                <c:pt idx="366">
                  <c:v>249.3151135914683</c:v>
                </c:pt>
                <c:pt idx="367">
                  <c:v>249.63422629124409</c:v>
                </c:pt>
                <c:pt idx="368">
                  <c:v>249.88127827580021</c:v>
                </c:pt>
                <c:pt idx="369">
                  <c:v>250.1692902834061</c:v>
                </c:pt>
                <c:pt idx="370">
                  <c:v>250.43263385879621</c:v>
                </c:pt>
                <c:pt idx="371">
                  <c:v>250.77076004222155</c:v>
                </c:pt>
                <c:pt idx="372">
                  <c:v>251.26018852605122</c:v>
                </c:pt>
                <c:pt idx="373">
                  <c:v>251.67321813097377</c:v>
                </c:pt>
                <c:pt idx="374">
                  <c:v>252.02092911144825</c:v>
                </c:pt>
                <c:pt idx="375">
                  <c:v>252.35501485560633</c:v>
                </c:pt>
                <c:pt idx="376">
                  <c:v>252.68516841375379</c:v>
                </c:pt>
                <c:pt idx="377">
                  <c:v>253.02471911294379</c:v>
                </c:pt>
                <c:pt idx="378">
                  <c:v>253.40059278086869</c:v>
                </c:pt>
                <c:pt idx="379">
                  <c:v>253.70519241094968</c:v>
                </c:pt>
                <c:pt idx="380">
                  <c:v>253.99640512294079</c:v>
                </c:pt>
                <c:pt idx="381">
                  <c:v>254.25612173576073</c:v>
                </c:pt>
                <c:pt idx="382">
                  <c:v>254.55775630115573</c:v>
                </c:pt>
                <c:pt idx="383">
                  <c:v>254.90039340003977</c:v>
                </c:pt>
                <c:pt idx="384">
                  <c:v>255.18940890936429</c:v>
                </c:pt>
                <c:pt idx="385">
                  <c:v>255.48090055854783</c:v>
                </c:pt>
                <c:pt idx="386">
                  <c:v>255.84887140819754</c:v>
                </c:pt>
                <c:pt idx="387">
                  <c:v>256.13109381153231</c:v>
                </c:pt>
                <c:pt idx="388">
                  <c:v>256.39213392840446</c:v>
                </c:pt>
                <c:pt idx="389">
                  <c:v>256.69651491629952</c:v>
                </c:pt>
                <c:pt idx="390">
                  <c:v>256.99447974067493</c:v>
                </c:pt>
                <c:pt idx="391">
                  <c:v>257.28296694014153</c:v>
                </c:pt>
                <c:pt idx="392">
                  <c:v>257.56428418194167</c:v>
                </c:pt>
                <c:pt idx="393">
                  <c:v>257.86906430938438</c:v>
                </c:pt>
                <c:pt idx="394">
                  <c:v>258.19890724399443</c:v>
                </c:pt>
                <c:pt idx="395">
                  <c:v>258.6281620907065</c:v>
                </c:pt>
                <c:pt idx="396">
                  <c:v>258.94444501892929</c:v>
                </c:pt>
                <c:pt idx="397">
                  <c:v>259.19841573188381</c:v>
                </c:pt>
                <c:pt idx="398">
                  <c:v>259.44006162460767</c:v>
                </c:pt>
                <c:pt idx="399">
                  <c:v>259.66439343870394</c:v>
                </c:pt>
                <c:pt idx="400">
                  <c:v>259.88735494197613</c:v>
                </c:pt>
                <c:pt idx="401">
                  <c:v>260.09653041895967</c:v>
                </c:pt>
                <c:pt idx="402">
                  <c:v>260.28985219344781</c:v>
                </c:pt>
                <c:pt idx="403">
                  <c:v>260.55553792470528</c:v>
                </c:pt>
                <c:pt idx="404">
                  <c:v>260.80037897504303</c:v>
                </c:pt>
                <c:pt idx="405">
                  <c:v>261.03028117373378</c:v>
                </c:pt>
                <c:pt idx="406">
                  <c:v>261.25242765734106</c:v>
                </c:pt>
                <c:pt idx="407">
                  <c:v>261.44588835676757</c:v>
                </c:pt>
                <c:pt idx="408">
                  <c:v>261.64338678746157</c:v>
                </c:pt>
                <c:pt idx="409">
                  <c:v>261.87165647802431</c:v>
                </c:pt>
                <c:pt idx="410">
                  <c:v>262.08042197609319</c:v>
                </c:pt>
                <c:pt idx="411">
                  <c:v>262.3519142248411</c:v>
                </c:pt>
                <c:pt idx="412">
                  <c:v>262.56431363364487</c:v>
                </c:pt>
                <c:pt idx="413">
                  <c:v>262.81325326371854</c:v>
                </c:pt>
                <c:pt idx="414">
                  <c:v>263.05223092017235</c:v>
                </c:pt>
                <c:pt idx="415">
                  <c:v>263.30709426862984</c:v>
                </c:pt>
                <c:pt idx="416">
                  <c:v>263.56922907906818</c:v>
                </c:pt>
                <c:pt idx="417">
                  <c:v>263.82576531868187</c:v>
                </c:pt>
                <c:pt idx="418">
                  <c:v>264.06208600902744</c:v>
                </c:pt>
                <c:pt idx="419">
                  <c:v>264.3292136380004</c:v>
                </c:pt>
                <c:pt idx="420">
                  <c:v>264.59042574138408</c:v>
                </c:pt>
                <c:pt idx="421">
                  <c:v>264.81241213660292</c:v>
                </c:pt>
                <c:pt idx="422">
                  <c:v>265.05765370626068</c:v>
                </c:pt>
                <c:pt idx="423">
                  <c:v>265.31696531366492</c:v>
                </c:pt>
                <c:pt idx="424">
                  <c:v>265.61021439504702</c:v>
                </c:pt>
                <c:pt idx="425">
                  <c:v>265.88828045909082</c:v>
                </c:pt>
                <c:pt idx="426">
                  <c:v>266.18247867528464</c:v>
                </c:pt>
                <c:pt idx="427">
                  <c:v>266.54483554459688</c:v>
                </c:pt>
                <c:pt idx="428">
                  <c:v>266.88444791131292</c:v>
                </c:pt>
                <c:pt idx="429">
                  <c:v>267.21875380448716</c:v>
                </c:pt>
                <c:pt idx="430">
                  <c:v>267.89136740129254</c:v>
                </c:pt>
                <c:pt idx="431">
                  <c:v>268.20173942596523</c:v>
                </c:pt>
                <c:pt idx="432">
                  <c:v>268.53316087274078</c:v>
                </c:pt>
                <c:pt idx="433">
                  <c:v>268.84006683134379</c:v>
                </c:pt>
                <c:pt idx="434">
                  <c:v>269.13969895847606</c:v>
                </c:pt>
                <c:pt idx="435">
                  <c:v>269.45760092348883</c:v>
                </c:pt>
                <c:pt idx="436">
                  <c:v>269.75340359997347</c:v>
                </c:pt>
                <c:pt idx="437">
                  <c:v>270.15642034261788</c:v>
                </c:pt>
                <c:pt idx="438">
                  <c:v>270.46956030379357</c:v>
                </c:pt>
                <c:pt idx="439">
                  <c:v>270.7284493953361</c:v>
                </c:pt>
                <c:pt idx="440">
                  <c:v>270.9703793726427</c:v>
                </c:pt>
                <c:pt idx="441">
                  <c:v>271.22776712435501</c:v>
                </c:pt>
                <c:pt idx="442">
                  <c:v>271.49704822325759</c:v>
                </c:pt>
                <c:pt idx="443">
                  <c:v>271.7071730647628</c:v>
                </c:pt>
                <c:pt idx="444">
                  <c:v>271.93421062573935</c:v>
                </c:pt>
                <c:pt idx="445">
                  <c:v>272.15918780929985</c:v>
                </c:pt>
                <c:pt idx="446">
                  <c:v>272.46511443219805</c:v>
                </c:pt>
                <c:pt idx="447">
                  <c:v>272.82054213307833</c:v>
                </c:pt>
                <c:pt idx="448">
                  <c:v>273.11615888962837</c:v>
                </c:pt>
                <c:pt idx="449">
                  <c:v>273.35073059964463</c:v>
                </c:pt>
                <c:pt idx="450">
                  <c:v>273.57156752675536</c:v>
                </c:pt>
                <c:pt idx="451">
                  <c:v>273.76570166819295</c:v>
                </c:pt>
                <c:pt idx="452">
                  <c:v>273.93846088769408</c:v>
                </c:pt>
                <c:pt idx="453">
                  <c:v>274.1048560545039</c:v>
                </c:pt>
                <c:pt idx="454">
                  <c:v>274.23440477812846</c:v>
                </c:pt>
                <c:pt idx="455">
                  <c:v>274.41874952420824</c:v>
                </c:pt>
                <c:pt idx="456">
                  <c:v>274.59494669850119</c:v>
                </c:pt>
                <c:pt idx="457">
                  <c:v>274.78763354262145</c:v>
                </c:pt>
                <c:pt idx="458">
                  <c:v>274.99968105502774</c:v>
                </c:pt>
                <c:pt idx="459">
                  <c:v>275.23188907909554</c:v>
                </c:pt>
                <c:pt idx="460">
                  <c:v>275.47560707603708</c:v>
                </c:pt>
                <c:pt idx="461">
                  <c:v>275.70826932891021</c:v>
                </c:pt>
                <c:pt idx="462">
                  <c:v>275.92663472454103</c:v>
                </c:pt>
                <c:pt idx="463">
                  <c:v>276.15275083796774</c:v>
                </c:pt>
                <c:pt idx="464">
                  <c:v>276.39302142609648</c:v>
                </c:pt>
                <c:pt idx="465">
                  <c:v>276.63768928881177</c:v>
                </c:pt>
                <c:pt idx="466">
                  <c:v>276.86704043233652</c:v>
                </c:pt>
                <c:pt idx="467">
                  <c:v>277.07342523604331</c:v>
                </c:pt>
                <c:pt idx="468">
                  <c:v>277.41303580982139</c:v>
                </c:pt>
                <c:pt idx="469">
                  <c:v>277.65306676580968</c:v>
                </c:pt>
                <c:pt idx="470">
                  <c:v>277.88019526935113</c:v>
                </c:pt>
                <c:pt idx="471">
                  <c:v>278.05806483523781</c:v>
                </c:pt>
                <c:pt idx="472">
                  <c:v>278.2260418664369</c:v>
                </c:pt>
                <c:pt idx="473">
                  <c:v>278.3730570102465</c:v>
                </c:pt>
                <c:pt idx="474">
                  <c:v>278.52566510698313</c:v>
                </c:pt>
                <c:pt idx="475">
                  <c:v>278.73600636674058</c:v>
                </c:pt>
                <c:pt idx="476">
                  <c:v>278.93311513868031</c:v>
                </c:pt>
                <c:pt idx="477">
                  <c:v>279.12526307790256</c:v>
                </c:pt>
                <c:pt idx="478">
                  <c:v>279.32498423673593</c:v>
                </c:pt>
                <c:pt idx="479">
                  <c:v>279.48981290054815</c:v>
                </c:pt>
                <c:pt idx="480">
                  <c:v>279.69050961429645</c:v>
                </c:pt>
                <c:pt idx="481">
                  <c:v>279.87686261372852</c:v>
                </c:pt>
                <c:pt idx="482">
                  <c:v>280.10519287467423</c:v>
                </c:pt>
                <c:pt idx="483">
                  <c:v>280.37319723054298</c:v>
                </c:pt>
                <c:pt idx="484">
                  <c:v>280.57880343737224</c:v>
                </c:pt>
                <c:pt idx="485">
                  <c:v>280.79950238057734</c:v>
                </c:pt>
                <c:pt idx="486">
                  <c:v>281.09667465620237</c:v>
                </c:pt>
                <c:pt idx="487">
                  <c:v>281.47266893589153</c:v>
                </c:pt>
                <c:pt idx="488">
                  <c:v>281.73999019861998</c:v>
                </c:pt>
                <c:pt idx="489">
                  <c:v>281.99885452805773</c:v>
                </c:pt>
                <c:pt idx="490">
                  <c:v>282.29830458131613</c:v>
                </c:pt>
                <c:pt idx="491">
                  <c:v>282.52586100366005</c:v>
                </c:pt>
                <c:pt idx="492">
                  <c:v>282.75535291000023</c:v>
                </c:pt>
                <c:pt idx="493">
                  <c:v>283.01721647877906</c:v>
                </c:pt>
                <c:pt idx="494">
                  <c:v>283.52475870333126</c:v>
                </c:pt>
                <c:pt idx="495">
                  <c:v>283.78599867126024</c:v>
                </c:pt>
                <c:pt idx="496">
                  <c:v>284.02956202740245</c:v>
                </c:pt>
                <c:pt idx="497">
                  <c:v>284.24231410610486</c:v>
                </c:pt>
                <c:pt idx="498">
                  <c:v>284.44472714609293</c:v>
                </c:pt>
                <c:pt idx="499">
                  <c:v>284.70763443664907</c:v>
                </c:pt>
                <c:pt idx="500">
                  <c:v>284.9536740556735</c:v>
                </c:pt>
                <c:pt idx="501">
                  <c:v>285.14097677303164</c:v>
                </c:pt>
                <c:pt idx="502">
                  <c:v>285.3975452610801</c:v>
                </c:pt>
                <c:pt idx="503">
                  <c:v>285.75443611402011</c:v>
                </c:pt>
                <c:pt idx="504">
                  <c:v>286.04976599764086</c:v>
                </c:pt>
                <c:pt idx="505">
                  <c:v>286.34103174797701</c:v>
                </c:pt>
                <c:pt idx="506">
                  <c:v>286.683006911809</c:v>
                </c:pt>
                <c:pt idx="507">
                  <c:v>286.92475943183871</c:v>
                </c:pt>
                <c:pt idx="508">
                  <c:v>287.24875677720615</c:v>
                </c:pt>
                <c:pt idx="509">
                  <c:v>287.5867477677312</c:v>
                </c:pt>
                <c:pt idx="510">
                  <c:v>287.99232000269728</c:v>
                </c:pt>
                <c:pt idx="511">
                  <c:v>288.24734433537208</c:v>
                </c:pt>
                <c:pt idx="512">
                  <c:v>288.51811213624694</c:v>
                </c:pt>
                <c:pt idx="513">
                  <c:v>288.70884899860596</c:v>
                </c:pt>
                <c:pt idx="514">
                  <c:v>288.86218710593062</c:v>
                </c:pt>
                <c:pt idx="515">
                  <c:v>289.02527714054708</c:v>
                </c:pt>
                <c:pt idx="516">
                  <c:v>289.16692222120395</c:v>
                </c:pt>
                <c:pt idx="517">
                  <c:v>289.33071639091128</c:v>
                </c:pt>
                <c:pt idx="518">
                  <c:v>289.48732579503451</c:v>
                </c:pt>
                <c:pt idx="519">
                  <c:v>289.62181882143346</c:v>
                </c:pt>
                <c:pt idx="520">
                  <c:v>289.80666055897632</c:v>
                </c:pt>
                <c:pt idx="521">
                  <c:v>289.99247984066471</c:v>
                </c:pt>
                <c:pt idx="522">
                  <c:v>290.16056503343884</c:v>
                </c:pt>
                <c:pt idx="523">
                  <c:v>290.4007817484387</c:v>
                </c:pt>
                <c:pt idx="524">
                  <c:v>290.61038666502202</c:v>
                </c:pt>
                <c:pt idx="525">
                  <c:v>290.77831880737745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64-451E-A093-4E7C2FF7C401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Data!$I$2:$I$527</c:f>
              <c:numCache>
                <c:formatCode>General</c:formatCode>
                <c:ptCount val="526"/>
                <c:pt idx="0">
                  <c:v>172.08</c:v>
                </c:pt>
                <c:pt idx="1">
                  <c:v>171.33236555446791</c:v>
                </c:pt>
                <c:pt idx="2">
                  <c:v>171.25913006908772</c:v>
                </c:pt>
                <c:pt idx="3">
                  <c:v>171.34855480093407</c:v>
                </c:pt>
                <c:pt idx="4">
                  <c:v>171.434076761543</c:v>
                </c:pt>
                <c:pt idx="5">
                  <c:v>171.07722736117114</c:v>
                </c:pt>
                <c:pt idx="6">
                  <c:v>170.99459475677375</c:v>
                </c:pt>
                <c:pt idx="7">
                  <c:v>170.71175355696639</c:v>
                </c:pt>
                <c:pt idx="8">
                  <c:v>169.97608267996699</c:v>
                </c:pt>
                <c:pt idx="9">
                  <c:v>169.20923178534147</c:v>
                </c:pt>
                <c:pt idx="10">
                  <c:v>168.58698673446398</c:v>
                </c:pt>
                <c:pt idx="11">
                  <c:v>168.25901466504791</c:v>
                </c:pt>
                <c:pt idx="12">
                  <c:v>168.35125965051367</c:v>
                </c:pt>
                <c:pt idx="13">
                  <c:v>168.41659235873271</c:v>
                </c:pt>
                <c:pt idx="14">
                  <c:v>168.39224529407088</c:v>
                </c:pt>
                <c:pt idx="15">
                  <c:v>168.46717670768999</c:v>
                </c:pt>
                <c:pt idx="16">
                  <c:v>168.5122396925031</c:v>
                </c:pt>
                <c:pt idx="17">
                  <c:v>168.57558172838858</c:v>
                </c:pt>
                <c:pt idx="18">
                  <c:v>168.62416344293985</c:v>
                </c:pt>
                <c:pt idx="19">
                  <c:v>168.54565415232651</c:v>
                </c:pt>
                <c:pt idx="20">
                  <c:v>168.64755830840895</c:v>
                </c:pt>
                <c:pt idx="21">
                  <c:v>168.73585253812345</c:v>
                </c:pt>
                <c:pt idx="22">
                  <c:v>168.79295032815406</c:v>
                </c:pt>
                <c:pt idx="23">
                  <c:v>168.85413483612524</c:v>
                </c:pt>
                <c:pt idx="24">
                  <c:v>168.88951190149308</c:v>
                </c:pt>
                <c:pt idx="25">
                  <c:v>168.93095085019695</c:v>
                </c:pt>
                <c:pt idx="26">
                  <c:v>168.98175846880468</c:v>
                </c:pt>
                <c:pt idx="27">
                  <c:v>169.03444518859985</c:v>
                </c:pt>
                <c:pt idx="28">
                  <c:v>169.10383360753434</c:v>
                </c:pt>
                <c:pt idx="29">
                  <c:v>169.18901902830208</c:v>
                </c:pt>
                <c:pt idx="30">
                  <c:v>169.23650202340187</c:v>
                </c:pt>
                <c:pt idx="31">
                  <c:v>169.17667565342569</c:v>
                </c:pt>
                <c:pt idx="32">
                  <c:v>169.18302812141886</c:v>
                </c:pt>
                <c:pt idx="33">
                  <c:v>169.21877436459849</c:v>
                </c:pt>
                <c:pt idx="34">
                  <c:v>169.17189229769571</c:v>
                </c:pt>
                <c:pt idx="35">
                  <c:v>169.12558356236818</c:v>
                </c:pt>
                <c:pt idx="36">
                  <c:v>169.02081318203463</c:v>
                </c:pt>
                <c:pt idx="37">
                  <c:v>168.9899416009128</c:v>
                </c:pt>
                <c:pt idx="38">
                  <c:v>168.94606058162202</c:v>
                </c:pt>
                <c:pt idx="39">
                  <c:v>168.90627561285112</c:v>
                </c:pt>
                <c:pt idx="40">
                  <c:v>168.94378028684474</c:v>
                </c:pt>
                <c:pt idx="41">
                  <c:v>168.9313416489905</c:v>
                </c:pt>
                <c:pt idx="42">
                  <c:v>168.92065612741931</c:v>
                </c:pt>
                <c:pt idx="43">
                  <c:v>168.86087000427807</c:v>
                </c:pt>
                <c:pt idx="44">
                  <c:v>168.8358375802278</c:v>
                </c:pt>
                <c:pt idx="45">
                  <c:v>168.88547242540776</c:v>
                </c:pt>
                <c:pt idx="46">
                  <c:v>168.89872315695095</c:v>
                </c:pt>
                <c:pt idx="47">
                  <c:v>168.91413004651798</c:v>
                </c:pt>
                <c:pt idx="48">
                  <c:v>168.90478134546601</c:v>
                </c:pt>
                <c:pt idx="49">
                  <c:v>168.94631761444205</c:v>
                </c:pt>
                <c:pt idx="50">
                  <c:v>169.12711340457855</c:v>
                </c:pt>
                <c:pt idx="51">
                  <c:v>169.48672108549505</c:v>
                </c:pt>
                <c:pt idx="52">
                  <c:v>169.56696837399124</c:v>
                </c:pt>
                <c:pt idx="53">
                  <c:v>169.62184787711493</c:v>
                </c:pt>
                <c:pt idx="54">
                  <c:v>169.67232841639398</c:v>
                </c:pt>
                <c:pt idx="55">
                  <c:v>169.75880892165242</c:v>
                </c:pt>
                <c:pt idx="56">
                  <c:v>169.80120477663064</c:v>
                </c:pt>
                <c:pt idx="57">
                  <c:v>169.90523009019995</c:v>
                </c:pt>
                <c:pt idx="58">
                  <c:v>169.92118766877448</c:v>
                </c:pt>
                <c:pt idx="59">
                  <c:v>169.9743697878298</c:v>
                </c:pt>
                <c:pt idx="60">
                  <c:v>170.02722827761193</c:v>
                </c:pt>
                <c:pt idx="61">
                  <c:v>170.07365153304531</c:v>
                </c:pt>
                <c:pt idx="62">
                  <c:v>170.12429633515495</c:v>
                </c:pt>
                <c:pt idx="63">
                  <c:v>170.26756927417654</c:v>
                </c:pt>
                <c:pt idx="64">
                  <c:v>170.43196212579181</c:v>
                </c:pt>
                <c:pt idx="65">
                  <c:v>170.5085650052994</c:v>
                </c:pt>
                <c:pt idx="66">
                  <c:v>170.6213413380807</c:v>
                </c:pt>
                <c:pt idx="67">
                  <c:v>170.73338189174453</c:v>
                </c:pt>
                <c:pt idx="68">
                  <c:v>170.86779675365631</c:v>
                </c:pt>
                <c:pt idx="69">
                  <c:v>171.05743346953943</c:v>
                </c:pt>
                <c:pt idx="70">
                  <c:v>171.18999866222504</c:v>
                </c:pt>
                <c:pt idx="71">
                  <c:v>171.29033102028285</c:v>
                </c:pt>
                <c:pt idx="72">
                  <c:v>171.33882463376167</c:v>
                </c:pt>
                <c:pt idx="73">
                  <c:v>171.38435776036809</c:v>
                </c:pt>
                <c:pt idx="74">
                  <c:v>171.44669850054211</c:v>
                </c:pt>
                <c:pt idx="75">
                  <c:v>171.58487605943355</c:v>
                </c:pt>
                <c:pt idx="76">
                  <c:v>171.74265681604942</c:v>
                </c:pt>
                <c:pt idx="77">
                  <c:v>171.87839425225729</c:v>
                </c:pt>
                <c:pt idx="78">
                  <c:v>171.98016493175942</c:v>
                </c:pt>
                <c:pt idx="79">
                  <c:v>172.12272824728453</c:v>
                </c:pt>
                <c:pt idx="80">
                  <c:v>172.21383251797306</c:v>
                </c:pt>
                <c:pt idx="81">
                  <c:v>172.2916448419289</c:v>
                </c:pt>
                <c:pt idx="82">
                  <c:v>172.40865797330426</c:v>
                </c:pt>
                <c:pt idx="83">
                  <c:v>172.51590081097601</c:v>
                </c:pt>
                <c:pt idx="84">
                  <c:v>172.61131126457957</c:v>
                </c:pt>
                <c:pt idx="85">
                  <c:v>172.73012514327505</c:v>
                </c:pt>
                <c:pt idx="86">
                  <c:v>172.8390812876633</c:v>
                </c:pt>
                <c:pt idx="87">
                  <c:v>172.94423122462393</c:v>
                </c:pt>
                <c:pt idx="88">
                  <c:v>173.06535179505912</c:v>
                </c:pt>
                <c:pt idx="89">
                  <c:v>173.15897595838237</c:v>
                </c:pt>
                <c:pt idx="90">
                  <c:v>173.23796391846747</c:v>
                </c:pt>
                <c:pt idx="91">
                  <c:v>173.31020199671931</c:v>
                </c:pt>
                <c:pt idx="92">
                  <c:v>173.39411852828525</c:v>
                </c:pt>
                <c:pt idx="93">
                  <c:v>173.47122552752273</c:v>
                </c:pt>
                <c:pt idx="94">
                  <c:v>173.55109929454034</c:v>
                </c:pt>
                <c:pt idx="95">
                  <c:v>173.63170582383134</c:v>
                </c:pt>
                <c:pt idx="96">
                  <c:v>173.85421044021632</c:v>
                </c:pt>
                <c:pt idx="97">
                  <c:v>174.05026753381148</c:v>
                </c:pt>
                <c:pt idx="98">
                  <c:v>174.16564363172023</c:v>
                </c:pt>
                <c:pt idx="99">
                  <c:v>174.26427369906224</c:v>
                </c:pt>
                <c:pt idx="100">
                  <c:v>174.33744664730636</c:v>
                </c:pt>
                <c:pt idx="101">
                  <c:v>174.41131348137074</c:v>
                </c:pt>
                <c:pt idx="102">
                  <c:v>174.48111602198168</c:v>
                </c:pt>
                <c:pt idx="103">
                  <c:v>174.55594347563436</c:v>
                </c:pt>
                <c:pt idx="104">
                  <c:v>174.74628157019927</c:v>
                </c:pt>
                <c:pt idx="105">
                  <c:v>174.80182857239342</c:v>
                </c:pt>
                <c:pt idx="106">
                  <c:v>174.87861277063669</c:v>
                </c:pt>
                <c:pt idx="107">
                  <c:v>174.97826650241942</c:v>
                </c:pt>
                <c:pt idx="108">
                  <c:v>175.06944951539137</c:v>
                </c:pt>
                <c:pt idx="109">
                  <c:v>175.14461857876358</c:v>
                </c:pt>
                <c:pt idx="110">
                  <c:v>175.20953413522557</c:v>
                </c:pt>
                <c:pt idx="111">
                  <c:v>175.31109517680616</c:v>
                </c:pt>
                <c:pt idx="112">
                  <c:v>175.417118609483</c:v>
                </c:pt>
                <c:pt idx="113">
                  <c:v>175.50869692811514</c:v>
                </c:pt>
                <c:pt idx="114">
                  <c:v>175.58746150512349</c:v>
                </c:pt>
                <c:pt idx="115">
                  <c:v>175.68139600558433</c:v>
                </c:pt>
                <c:pt idx="116">
                  <c:v>175.77988882268389</c:v>
                </c:pt>
                <c:pt idx="117">
                  <c:v>175.87452273675879</c:v>
                </c:pt>
                <c:pt idx="118">
                  <c:v>176.0742809688995</c:v>
                </c:pt>
                <c:pt idx="119">
                  <c:v>176.17667191279685</c:v>
                </c:pt>
                <c:pt idx="120">
                  <c:v>176.24926106507041</c:v>
                </c:pt>
                <c:pt idx="121">
                  <c:v>176.33025175074897</c:v>
                </c:pt>
                <c:pt idx="122">
                  <c:v>176.41063510060033</c:v>
                </c:pt>
                <c:pt idx="123">
                  <c:v>176.57945968287973</c:v>
                </c:pt>
                <c:pt idx="124">
                  <c:v>176.67126862305275</c:v>
                </c:pt>
                <c:pt idx="125">
                  <c:v>176.70345341178614</c:v>
                </c:pt>
                <c:pt idx="126">
                  <c:v>176.70002655480761</c:v>
                </c:pt>
                <c:pt idx="127">
                  <c:v>176.76778455001167</c:v>
                </c:pt>
                <c:pt idx="128">
                  <c:v>176.84352163381686</c:v>
                </c:pt>
                <c:pt idx="129">
                  <c:v>176.91405261405995</c:v>
                </c:pt>
                <c:pt idx="130">
                  <c:v>176.97318616946114</c:v>
                </c:pt>
                <c:pt idx="131">
                  <c:v>177.07236322190613</c:v>
                </c:pt>
                <c:pt idx="132">
                  <c:v>177.24103562256468</c:v>
                </c:pt>
                <c:pt idx="133">
                  <c:v>177.32965429831842</c:v>
                </c:pt>
                <c:pt idx="134">
                  <c:v>177.41586899118874</c:v>
                </c:pt>
                <c:pt idx="135">
                  <c:v>177.48303295781244</c:v>
                </c:pt>
                <c:pt idx="136">
                  <c:v>177.60363460735385</c:v>
                </c:pt>
                <c:pt idx="137">
                  <c:v>177.65692328532273</c:v>
                </c:pt>
                <c:pt idx="138">
                  <c:v>177.70219189731722</c:v>
                </c:pt>
                <c:pt idx="139">
                  <c:v>177.71588443845258</c:v>
                </c:pt>
                <c:pt idx="140">
                  <c:v>177.76589150916516</c:v>
                </c:pt>
                <c:pt idx="141">
                  <c:v>177.80654092965068</c:v>
                </c:pt>
                <c:pt idx="142">
                  <c:v>177.85325527722904</c:v>
                </c:pt>
                <c:pt idx="143">
                  <c:v>177.88642038635686</c:v>
                </c:pt>
                <c:pt idx="144">
                  <c:v>177.9332750794228</c:v>
                </c:pt>
                <c:pt idx="145">
                  <c:v>178.00011654911302</c:v>
                </c:pt>
                <c:pt idx="146">
                  <c:v>178.10856533216099</c:v>
                </c:pt>
                <c:pt idx="147">
                  <c:v>178.24568337029334</c:v>
                </c:pt>
                <c:pt idx="148">
                  <c:v>178.3255286795719</c:v>
                </c:pt>
                <c:pt idx="149">
                  <c:v>178.41850746201098</c:v>
                </c:pt>
                <c:pt idx="150">
                  <c:v>178.50129606735237</c:v>
                </c:pt>
                <c:pt idx="151">
                  <c:v>178.5736359552711</c:v>
                </c:pt>
                <c:pt idx="152">
                  <c:v>178.62044837509822</c:v>
                </c:pt>
                <c:pt idx="153">
                  <c:v>178.68091756836449</c:v>
                </c:pt>
                <c:pt idx="154">
                  <c:v>178.73011084821911</c:v>
                </c:pt>
                <c:pt idx="155">
                  <c:v>178.77819466289111</c:v>
                </c:pt>
                <c:pt idx="156">
                  <c:v>178.8212157170862</c:v>
                </c:pt>
                <c:pt idx="157">
                  <c:v>178.86680444162394</c:v>
                </c:pt>
                <c:pt idx="158">
                  <c:v>178.87603930631829</c:v>
                </c:pt>
                <c:pt idx="159">
                  <c:v>178.88700273920847</c:v>
                </c:pt>
                <c:pt idx="160">
                  <c:v>178.8928482763896</c:v>
                </c:pt>
                <c:pt idx="161">
                  <c:v>178.88701927513702</c:v>
                </c:pt>
                <c:pt idx="162">
                  <c:v>178.90559882474619</c:v>
                </c:pt>
                <c:pt idx="163">
                  <c:v>178.88297209210188</c:v>
                </c:pt>
                <c:pt idx="164">
                  <c:v>178.85690001338853</c:v>
                </c:pt>
                <c:pt idx="165">
                  <c:v>178.85051137354856</c:v>
                </c:pt>
                <c:pt idx="166">
                  <c:v>178.83882593401566</c:v>
                </c:pt>
                <c:pt idx="167">
                  <c:v>178.85487954322753</c:v>
                </c:pt>
                <c:pt idx="168">
                  <c:v>178.91081471294282</c:v>
                </c:pt>
                <c:pt idx="169">
                  <c:v>178.94645372282605</c:v>
                </c:pt>
                <c:pt idx="170">
                  <c:v>179.00360365013185</c:v>
                </c:pt>
                <c:pt idx="171">
                  <c:v>179.07489107270356</c:v>
                </c:pt>
                <c:pt idx="172">
                  <c:v>179.15001206467358</c:v>
                </c:pt>
                <c:pt idx="173">
                  <c:v>179.38486512122014</c:v>
                </c:pt>
                <c:pt idx="174">
                  <c:v>179.51031483444999</c:v>
                </c:pt>
                <c:pt idx="175">
                  <c:v>179.59524763841694</c:v>
                </c:pt>
                <c:pt idx="176">
                  <c:v>179.6839865407766</c:v>
                </c:pt>
                <c:pt idx="177">
                  <c:v>179.7648069491438</c:v>
                </c:pt>
                <c:pt idx="178">
                  <c:v>179.83516437078771</c:v>
                </c:pt>
                <c:pt idx="179">
                  <c:v>179.91198558047188</c:v>
                </c:pt>
                <c:pt idx="180">
                  <c:v>180.02046170242977</c:v>
                </c:pt>
                <c:pt idx="181">
                  <c:v>180.2210870555177</c:v>
                </c:pt>
                <c:pt idx="182">
                  <c:v>180.28278070381791</c:v>
                </c:pt>
                <c:pt idx="183">
                  <c:v>180.34524703533404</c:v>
                </c:pt>
                <c:pt idx="184">
                  <c:v>180.42504874516098</c:v>
                </c:pt>
                <c:pt idx="185">
                  <c:v>180.49421753017151</c:v>
                </c:pt>
                <c:pt idx="186">
                  <c:v>180.55540888960545</c:v>
                </c:pt>
                <c:pt idx="187">
                  <c:v>180.63122408846755</c:v>
                </c:pt>
                <c:pt idx="188">
                  <c:v>180.7054018426052</c:v>
                </c:pt>
                <c:pt idx="189">
                  <c:v>180.75992329540122</c:v>
                </c:pt>
                <c:pt idx="190">
                  <c:v>180.82375947373723</c:v>
                </c:pt>
                <c:pt idx="191">
                  <c:v>180.91230784062137</c:v>
                </c:pt>
                <c:pt idx="192">
                  <c:v>180.96893422466562</c:v>
                </c:pt>
                <c:pt idx="193">
                  <c:v>181.01970432899944</c:v>
                </c:pt>
                <c:pt idx="194">
                  <c:v>181.07455124715628</c:v>
                </c:pt>
                <c:pt idx="195">
                  <c:v>181.13964770095268</c:v>
                </c:pt>
                <c:pt idx="196">
                  <c:v>181.33012210864337</c:v>
                </c:pt>
                <c:pt idx="197">
                  <c:v>181.38557420545186</c:v>
                </c:pt>
                <c:pt idx="198">
                  <c:v>181.44120029881464</c:v>
                </c:pt>
                <c:pt idx="199">
                  <c:v>181.44973510294355</c:v>
                </c:pt>
                <c:pt idx="200">
                  <c:v>181.45711493788818</c:v>
                </c:pt>
                <c:pt idx="201">
                  <c:v>181.46942692266063</c:v>
                </c:pt>
                <c:pt idx="202">
                  <c:v>181.4797278580254</c:v>
                </c:pt>
                <c:pt idx="203">
                  <c:v>181.54115530731917</c:v>
                </c:pt>
                <c:pt idx="204">
                  <c:v>181.55680068234207</c:v>
                </c:pt>
                <c:pt idx="205">
                  <c:v>181.56300843701234</c:v>
                </c:pt>
                <c:pt idx="206">
                  <c:v>181.58964658727635</c:v>
                </c:pt>
                <c:pt idx="207">
                  <c:v>181.60917003433434</c:v>
                </c:pt>
                <c:pt idx="208">
                  <c:v>181.63866371021794</c:v>
                </c:pt>
                <c:pt idx="209">
                  <c:v>181.67022575528057</c:v>
                </c:pt>
                <c:pt idx="210">
                  <c:v>181.72222503757681</c:v>
                </c:pt>
                <c:pt idx="211">
                  <c:v>181.75928809786137</c:v>
                </c:pt>
                <c:pt idx="212">
                  <c:v>181.82313551104158</c:v>
                </c:pt>
                <c:pt idx="213">
                  <c:v>181.85015694263853</c:v>
                </c:pt>
                <c:pt idx="214">
                  <c:v>182.15070462474344</c:v>
                </c:pt>
                <c:pt idx="215">
                  <c:v>182.30435541255196</c:v>
                </c:pt>
                <c:pt idx="216">
                  <c:v>182.32121253539162</c:v>
                </c:pt>
                <c:pt idx="217">
                  <c:v>182.3173743941951</c:v>
                </c:pt>
                <c:pt idx="218">
                  <c:v>182.2718635181036</c:v>
                </c:pt>
                <c:pt idx="219">
                  <c:v>182.31624551421339</c:v>
                </c:pt>
                <c:pt idx="220">
                  <c:v>182.33264957660262</c:v>
                </c:pt>
                <c:pt idx="221">
                  <c:v>182.3615827451907</c:v>
                </c:pt>
                <c:pt idx="222">
                  <c:v>182.34182018860906</c:v>
                </c:pt>
                <c:pt idx="223">
                  <c:v>182.2922741901863</c:v>
                </c:pt>
                <c:pt idx="224">
                  <c:v>182.3080692364197</c:v>
                </c:pt>
                <c:pt idx="225">
                  <c:v>182.29823980016528</c:v>
                </c:pt>
                <c:pt idx="226">
                  <c:v>182.24869892043913</c:v>
                </c:pt>
                <c:pt idx="227">
                  <c:v>182.24695833982105</c:v>
                </c:pt>
                <c:pt idx="228">
                  <c:v>182.15648669880571</c:v>
                </c:pt>
                <c:pt idx="229">
                  <c:v>182.05665779059177</c:v>
                </c:pt>
                <c:pt idx="230">
                  <c:v>181.96419962947681</c:v>
                </c:pt>
                <c:pt idx="231">
                  <c:v>181.97713051988043</c:v>
                </c:pt>
                <c:pt idx="232">
                  <c:v>181.95490064260812</c:v>
                </c:pt>
                <c:pt idx="233">
                  <c:v>181.95819648595307</c:v>
                </c:pt>
                <c:pt idx="234">
                  <c:v>181.93675460784959</c:v>
                </c:pt>
                <c:pt idx="235">
                  <c:v>181.88453341513437</c:v>
                </c:pt>
                <c:pt idx="236">
                  <c:v>181.88947010658177</c:v>
                </c:pt>
                <c:pt idx="237">
                  <c:v>181.94042803802273</c:v>
                </c:pt>
                <c:pt idx="238">
                  <c:v>181.96690857576186</c:v>
                </c:pt>
                <c:pt idx="239">
                  <c:v>181.97196049595883</c:v>
                </c:pt>
                <c:pt idx="240">
                  <c:v>182.06040436324767</c:v>
                </c:pt>
                <c:pt idx="241">
                  <c:v>182.12722647496165</c:v>
                </c:pt>
                <c:pt idx="242">
                  <c:v>182.18295161654254</c:v>
                </c:pt>
                <c:pt idx="243">
                  <c:v>182.29841899702089</c:v>
                </c:pt>
                <c:pt idx="244">
                  <c:v>182.41883534868686</c:v>
                </c:pt>
                <c:pt idx="245">
                  <c:v>182.84970575519307</c:v>
                </c:pt>
                <c:pt idx="246">
                  <c:v>182.91254352605736</c:v>
                </c:pt>
                <c:pt idx="247">
                  <c:v>182.88083538084129</c:v>
                </c:pt>
                <c:pt idx="248">
                  <c:v>182.85913980671376</c:v>
                </c:pt>
                <c:pt idx="249">
                  <c:v>182.87051141624997</c:v>
                </c:pt>
                <c:pt idx="250">
                  <c:v>182.89081584687983</c:v>
                </c:pt>
                <c:pt idx="251">
                  <c:v>182.89746893470226</c:v>
                </c:pt>
                <c:pt idx="252">
                  <c:v>182.97234551950893</c:v>
                </c:pt>
                <c:pt idx="253">
                  <c:v>183.04368660003061</c:v>
                </c:pt>
                <c:pt idx="254">
                  <c:v>183.12862736369487</c:v>
                </c:pt>
                <c:pt idx="255">
                  <c:v>183.18930390104458</c:v>
                </c:pt>
                <c:pt idx="256">
                  <c:v>183.2496849039465</c:v>
                </c:pt>
                <c:pt idx="257">
                  <c:v>183.34299127326383</c:v>
                </c:pt>
                <c:pt idx="258">
                  <c:v>183.42366364566766</c:v>
                </c:pt>
                <c:pt idx="259">
                  <c:v>183.53913135673193</c:v>
                </c:pt>
                <c:pt idx="260">
                  <c:v>183.76241238925942</c:v>
                </c:pt>
                <c:pt idx="261">
                  <c:v>183.91928889034799</c:v>
                </c:pt>
                <c:pt idx="262">
                  <c:v>184.11797898103794</c:v>
                </c:pt>
                <c:pt idx="263">
                  <c:v>184.21702475730004</c:v>
                </c:pt>
                <c:pt idx="264">
                  <c:v>184.21125167246265</c:v>
                </c:pt>
                <c:pt idx="265">
                  <c:v>184.23372395756499</c:v>
                </c:pt>
                <c:pt idx="266">
                  <c:v>184.19330315987509</c:v>
                </c:pt>
                <c:pt idx="267">
                  <c:v>184.1479415209979</c:v>
                </c:pt>
                <c:pt idx="268">
                  <c:v>184.09584495727643</c:v>
                </c:pt>
                <c:pt idx="269">
                  <c:v>184.05929111087107</c:v>
                </c:pt>
                <c:pt idx="270">
                  <c:v>184.04334004652154</c:v>
                </c:pt>
                <c:pt idx="271">
                  <c:v>183.99972690927078</c:v>
                </c:pt>
                <c:pt idx="272">
                  <c:v>183.99091342015268</c:v>
                </c:pt>
                <c:pt idx="273">
                  <c:v>183.91466327645352</c:v>
                </c:pt>
                <c:pt idx="274">
                  <c:v>183.82886553580221</c:v>
                </c:pt>
                <c:pt idx="275">
                  <c:v>183.74571105974823</c:v>
                </c:pt>
                <c:pt idx="276">
                  <c:v>183.66513685156337</c:v>
                </c:pt>
                <c:pt idx="277">
                  <c:v>183.66235099631635</c:v>
                </c:pt>
                <c:pt idx="278">
                  <c:v>183.60578975987471</c:v>
                </c:pt>
                <c:pt idx="279">
                  <c:v>183.53818480944739</c:v>
                </c:pt>
                <c:pt idx="280">
                  <c:v>183.51488193457385</c:v>
                </c:pt>
                <c:pt idx="281">
                  <c:v>183.42422537474599</c:v>
                </c:pt>
                <c:pt idx="282">
                  <c:v>183.37738327512426</c:v>
                </c:pt>
                <c:pt idx="283">
                  <c:v>183.31529779918972</c:v>
                </c:pt>
                <c:pt idx="284">
                  <c:v>183.46995268911107</c:v>
                </c:pt>
                <c:pt idx="285">
                  <c:v>183.60757782254419</c:v>
                </c:pt>
                <c:pt idx="286">
                  <c:v>183.70226915247588</c:v>
                </c:pt>
                <c:pt idx="287">
                  <c:v>183.79169646235479</c:v>
                </c:pt>
                <c:pt idx="288">
                  <c:v>183.81294068366151</c:v>
                </c:pt>
                <c:pt idx="289">
                  <c:v>183.87523204828818</c:v>
                </c:pt>
                <c:pt idx="290">
                  <c:v>183.96728290351993</c:v>
                </c:pt>
                <c:pt idx="291">
                  <c:v>184.04275307152548</c:v>
                </c:pt>
                <c:pt idx="292">
                  <c:v>184.19947208805394</c:v>
                </c:pt>
                <c:pt idx="293">
                  <c:v>184.27397541356862</c:v>
                </c:pt>
                <c:pt idx="294">
                  <c:v>184.38231652642077</c:v>
                </c:pt>
                <c:pt idx="295">
                  <c:v>184.60532202395737</c:v>
                </c:pt>
                <c:pt idx="296">
                  <c:v>184.76654581489115</c:v>
                </c:pt>
                <c:pt idx="297">
                  <c:v>184.90656084899859</c:v>
                </c:pt>
                <c:pt idx="298">
                  <c:v>185.02794533826898</c:v>
                </c:pt>
                <c:pt idx="299">
                  <c:v>185.13843300329546</c:v>
                </c:pt>
                <c:pt idx="300">
                  <c:v>185.24690918115036</c:v>
                </c:pt>
                <c:pt idx="301">
                  <c:v>185.34017502183414</c:v>
                </c:pt>
                <c:pt idx="302">
                  <c:v>185.43984524661053</c:v>
                </c:pt>
                <c:pt idx="303">
                  <c:v>185.54095127676419</c:v>
                </c:pt>
                <c:pt idx="304">
                  <c:v>185.62541091339125</c:v>
                </c:pt>
                <c:pt idx="305">
                  <c:v>185.81738688588223</c:v>
                </c:pt>
                <c:pt idx="306">
                  <c:v>185.90947481312872</c:v>
                </c:pt>
                <c:pt idx="307">
                  <c:v>185.99725180087597</c:v>
                </c:pt>
                <c:pt idx="308">
                  <c:v>186.12998093717673</c:v>
                </c:pt>
                <c:pt idx="309">
                  <c:v>186.20495827514694</c:v>
                </c:pt>
                <c:pt idx="310">
                  <c:v>186.3227948100488</c:v>
                </c:pt>
                <c:pt idx="311">
                  <c:v>186.45905984616817</c:v>
                </c:pt>
                <c:pt idx="312">
                  <c:v>186.53712982286399</c:v>
                </c:pt>
                <c:pt idx="313">
                  <c:v>186.61059894463008</c:v>
                </c:pt>
                <c:pt idx="314">
                  <c:v>186.72622835307229</c:v>
                </c:pt>
                <c:pt idx="315">
                  <c:v>186.72774088248499</c:v>
                </c:pt>
                <c:pt idx="316">
                  <c:v>186.769314522369</c:v>
                </c:pt>
                <c:pt idx="317">
                  <c:v>186.82668015490256</c:v>
                </c:pt>
                <c:pt idx="318">
                  <c:v>187.0044456475334</c:v>
                </c:pt>
                <c:pt idx="319">
                  <c:v>187.11532020626407</c:v>
                </c:pt>
                <c:pt idx="320">
                  <c:v>187.27385051548418</c:v>
                </c:pt>
                <c:pt idx="321">
                  <c:v>187.37846065538173</c:v>
                </c:pt>
                <c:pt idx="322">
                  <c:v>187.46689396305098</c:v>
                </c:pt>
                <c:pt idx="323">
                  <c:v>187.5414591254619</c:v>
                </c:pt>
                <c:pt idx="324">
                  <c:v>187.61995505994278</c:v>
                </c:pt>
                <c:pt idx="325">
                  <c:v>187.69029407752481</c:v>
                </c:pt>
                <c:pt idx="326">
                  <c:v>187.77917678395031</c:v>
                </c:pt>
                <c:pt idx="327">
                  <c:v>187.89993700478738</c:v>
                </c:pt>
                <c:pt idx="328">
                  <c:v>187.97907356937228</c:v>
                </c:pt>
                <c:pt idx="329">
                  <c:v>188.05420598436257</c:v>
                </c:pt>
                <c:pt idx="330">
                  <c:v>188.11898698871926</c:v>
                </c:pt>
                <c:pt idx="331">
                  <c:v>188.18110454280028</c:v>
                </c:pt>
                <c:pt idx="332">
                  <c:v>188.29501486356358</c:v>
                </c:pt>
                <c:pt idx="333">
                  <c:v>188.36889387357229</c:v>
                </c:pt>
                <c:pt idx="334">
                  <c:v>188.42040439387503</c:v>
                </c:pt>
                <c:pt idx="335">
                  <c:v>188.45274853117149</c:v>
                </c:pt>
                <c:pt idx="336">
                  <c:v>188.50148044309057</c:v>
                </c:pt>
                <c:pt idx="337">
                  <c:v>188.57425072637594</c:v>
                </c:pt>
                <c:pt idx="338">
                  <c:v>188.63832039788042</c:v>
                </c:pt>
                <c:pt idx="339">
                  <c:v>188.66668140217763</c:v>
                </c:pt>
                <c:pt idx="340">
                  <c:v>188.73761583372851</c:v>
                </c:pt>
                <c:pt idx="341">
                  <c:v>188.78939673366938</c:v>
                </c:pt>
                <c:pt idx="342">
                  <c:v>188.83659719537727</c:v>
                </c:pt>
                <c:pt idx="343">
                  <c:v>188.88879938959812</c:v>
                </c:pt>
                <c:pt idx="344">
                  <c:v>188.93728401740046</c:v>
                </c:pt>
                <c:pt idx="345">
                  <c:v>189.03884830959652</c:v>
                </c:pt>
                <c:pt idx="346">
                  <c:v>189.08554294870032</c:v>
                </c:pt>
                <c:pt idx="347">
                  <c:v>189.12969542739668</c:v>
                </c:pt>
                <c:pt idx="348">
                  <c:v>189.16283690783976</c:v>
                </c:pt>
                <c:pt idx="349">
                  <c:v>189.19849685472752</c:v>
                </c:pt>
                <c:pt idx="350">
                  <c:v>189.2353180086356</c:v>
                </c:pt>
                <c:pt idx="351">
                  <c:v>189.2501787033431</c:v>
                </c:pt>
                <c:pt idx="352">
                  <c:v>189.25707174289914</c:v>
                </c:pt>
                <c:pt idx="353">
                  <c:v>189.34649350410868</c:v>
                </c:pt>
                <c:pt idx="354">
                  <c:v>189.36680942965975</c:v>
                </c:pt>
                <c:pt idx="355">
                  <c:v>189.39751847421186</c:v>
                </c:pt>
                <c:pt idx="356">
                  <c:v>189.41920609230689</c:v>
                </c:pt>
                <c:pt idx="357">
                  <c:v>189.47626075218807</c:v>
                </c:pt>
                <c:pt idx="358">
                  <c:v>189.5205153861165</c:v>
                </c:pt>
                <c:pt idx="359">
                  <c:v>189.57085454475964</c:v>
                </c:pt>
                <c:pt idx="360">
                  <c:v>189.60688492772763</c:v>
                </c:pt>
                <c:pt idx="361">
                  <c:v>189.64322668647938</c:v>
                </c:pt>
                <c:pt idx="362">
                  <c:v>189.66834485367937</c:v>
                </c:pt>
                <c:pt idx="363">
                  <c:v>189.70862226883736</c:v>
                </c:pt>
                <c:pt idx="364">
                  <c:v>189.75850027930679</c:v>
                </c:pt>
                <c:pt idx="365">
                  <c:v>189.78422486822527</c:v>
                </c:pt>
                <c:pt idx="366">
                  <c:v>189.84333767798998</c:v>
                </c:pt>
                <c:pt idx="367">
                  <c:v>189.97072474724928</c:v>
                </c:pt>
                <c:pt idx="368">
                  <c:v>189.99597910508189</c:v>
                </c:pt>
                <c:pt idx="369">
                  <c:v>190.03409546281131</c:v>
                </c:pt>
                <c:pt idx="370">
                  <c:v>190.02082336609382</c:v>
                </c:pt>
                <c:pt idx="371">
                  <c:v>190.03272995262685</c:v>
                </c:pt>
                <c:pt idx="372">
                  <c:v>190.22077593379763</c:v>
                </c:pt>
                <c:pt idx="373">
                  <c:v>190.30480340441031</c:v>
                </c:pt>
                <c:pt idx="374">
                  <c:v>190.32325055968698</c:v>
                </c:pt>
                <c:pt idx="375">
                  <c:v>190.31480454501525</c:v>
                </c:pt>
                <c:pt idx="376">
                  <c:v>190.25938808279494</c:v>
                </c:pt>
                <c:pt idx="377">
                  <c:v>190.26894701150115</c:v>
                </c:pt>
                <c:pt idx="378">
                  <c:v>190.42043314587909</c:v>
                </c:pt>
                <c:pt idx="379">
                  <c:v>190.5003952329439</c:v>
                </c:pt>
                <c:pt idx="380">
                  <c:v>190.51813302128576</c:v>
                </c:pt>
                <c:pt idx="381">
                  <c:v>190.52294282504536</c:v>
                </c:pt>
                <c:pt idx="382">
                  <c:v>190.5543204052583</c:v>
                </c:pt>
                <c:pt idx="383">
                  <c:v>190.65350635258852</c:v>
                </c:pt>
                <c:pt idx="384">
                  <c:v>190.71031712853792</c:v>
                </c:pt>
                <c:pt idx="385">
                  <c:v>190.73124744129422</c:v>
                </c:pt>
                <c:pt idx="386">
                  <c:v>190.81842525638089</c:v>
                </c:pt>
                <c:pt idx="387">
                  <c:v>190.82754422147667</c:v>
                </c:pt>
                <c:pt idx="388">
                  <c:v>190.81498972664517</c:v>
                </c:pt>
                <c:pt idx="389">
                  <c:v>190.79216605763079</c:v>
                </c:pt>
                <c:pt idx="390">
                  <c:v>190.7706284129037</c:v>
                </c:pt>
                <c:pt idx="391">
                  <c:v>190.72165002191196</c:v>
                </c:pt>
                <c:pt idx="392">
                  <c:v>190.67484215308389</c:v>
                </c:pt>
                <c:pt idx="393">
                  <c:v>190.6704356231543</c:v>
                </c:pt>
                <c:pt idx="394">
                  <c:v>190.66762482400665</c:v>
                </c:pt>
                <c:pt idx="395">
                  <c:v>190.80623548900624</c:v>
                </c:pt>
                <c:pt idx="396">
                  <c:v>190.90483849705461</c:v>
                </c:pt>
                <c:pt idx="397">
                  <c:v>190.89683562167113</c:v>
                </c:pt>
                <c:pt idx="398">
                  <c:v>190.90883464955067</c:v>
                </c:pt>
                <c:pt idx="399">
                  <c:v>190.90718281365437</c:v>
                </c:pt>
                <c:pt idx="400">
                  <c:v>190.94772226659217</c:v>
                </c:pt>
                <c:pt idx="401">
                  <c:v>190.96107250763998</c:v>
                </c:pt>
                <c:pt idx="402">
                  <c:v>190.95430093231934</c:v>
                </c:pt>
                <c:pt idx="403">
                  <c:v>190.99262954824437</c:v>
                </c:pt>
                <c:pt idx="404">
                  <c:v>191.03480674146635</c:v>
                </c:pt>
                <c:pt idx="405">
                  <c:v>191.03163502477116</c:v>
                </c:pt>
                <c:pt idx="406">
                  <c:v>191.05765817136779</c:v>
                </c:pt>
                <c:pt idx="407">
                  <c:v>191.04864454883869</c:v>
                </c:pt>
                <c:pt idx="408">
                  <c:v>191.05430605349187</c:v>
                </c:pt>
                <c:pt idx="409">
                  <c:v>191.07963541499109</c:v>
                </c:pt>
                <c:pt idx="410">
                  <c:v>191.09518549396341</c:v>
                </c:pt>
                <c:pt idx="411">
                  <c:v>191.13338658618841</c:v>
                </c:pt>
                <c:pt idx="412">
                  <c:v>191.12817234290392</c:v>
                </c:pt>
                <c:pt idx="413">
                  <c:v>191.1287854764314</c:v>
                </c:pt>
                <c:pt idx="414">
                  <c:v>191.11637840562696</c:v>
                </c:pt>
                <c:pt idx="415">
                  <c:v>191.10648403644973</c:v>
                </c:pt>
                <c:pt idx="416">
                  <c:v>191.10440490612297</c:v>
                </c:pt>
                <c:pt idx="417">
                  <c:v>191.11681528617197</c:v>
                </c:pt>
                <c:pt idx="418">
                  <c:v>191.11430562594148</c:v>
                </c:pt>
                <c:pt idx="419">
                  <c:v>191.1054749882442</c:v>
                </c:pt>
                <c:pt idx="420">
                  <c:v>191.17979967976845</c:v>
                </c:pt>
                <c:pt idx="421">
                  <c:v>191.2296693637274</c:v>
                </c:pt>
                <c:pt idx="422">
                  <c:v>191.26367634623085</c:v>
                </c:pt>
                <c:pt idx="423">
                  <c:v>191.29099787367491</c:v>
                </c:pt>
                <c:pt idx="424">
                  <c:v>191.30916232935908</c:v>
                </c:pt>
                <c:pt idx="425">
                  <c:v>191.30322160273272</c:v>
                </c:pt>
                <c:pt idx="426">
                  <c:v>191.29825998757286</c:v>
                </c:pt>
                <c:pt idx="427">
                  <c:v>191.3630017347931</c:v>
                </c:pt>
                <c:pt idx="428">
                  <c:v>191.38415558898174</c:v>
                </c:pt>
                <c:pt idx="429">
                  <c:v>191.389895339254</c:v>
                </c:pt>
                <c:pt idx="430">
                  <c:v>191.7231563641765</c:v>
                </c:pt>
                <c:pt idx="431">
                  <c:v>191.72247976069232</c:v>
                </c:pt>
                <c:pt idx="432">
                  <c:v>191.74444576558477</c:v>
                </c:pt>
                <c:pt idx="433">
                  <c:v>191.73976584897778</c:v>
                </c:pt>
                <c:pt idx="434">
                  <c:v>191.73202325517079</c:v>
                </c:pt>
                <c:pt idx="435">
                  <c:v>191.72152934140738</c:v>
                </c:pt>
                <c:pt idx="436">
                  <c:v>191.69732604520476</c:v>
                </c:pt>
                <c:pt idx="437">
                  <c:v>191.78746118453643</c:v>
                </c:pt>
                <c:pt idx="438">
                  <c:v>191.83611439551203</c:v>
                </c:pt>
                <c:pt idx="439">
                  <c:v>191.86195129735131</c:v>
                </c:pt>
                <c:pt idx="440">
                  <c:v>191.85249283254549</c:v>
                </c:pt>
                <c:pt idx="441">
                  <c:v>191.86935103105139</c:v>
                </c:pt>
                <c:pt idx="442">
                  <c:v>191.91406863413764</c:v>
                </c:pt>
                <c:pt idx="443">
                  <c:v>191.93253969784234</c:v>
                </c:pt>
                <c:pt idx="444">
                  <c:v>191.95852096911122</c:v>
                </c:pt>
                <c:pt idx="445">
                  <c:v>192.02112085583198</c:v>
                </c:pt>
                <c:pt idx="446">
                  <c:v>192.1113384954553</c:v>
                </c:pt>
                <c:pt idx="447">
                  <c:v>192.30017683303097</c:v>
                </c:pt>
                <c:pt idx="448">
                  <c:v>192.40372017754297</c:v>
                </c:pt>
                <c:pt idx="449">
                  <c:v>192.50188402398754</c:v>
                </c:pt>
                <c:pt idx="450">
                  <c:v>192.59494769431416</c:v>
                </c:pt>
                <c:pt idx="451">
                  <c:v>192.62891179837331</c:v>
                </c:pt>
                <c:pt idx="452">
                  <c:v>192.68070410909917</c:v>
                </c:pt>
                <c:pt idx="453">
                  <c:v>192.74729581494699</c:v>
                </c:pt>
                <c:pt idx="454">
                  <c:v>192.77568616149551</c:v>
                </c:pt>
                <c:pt idx="455">
                  <c:v>192.82084595307956</c:v>
                </c:pt>
                <c:pt idx="456">
                  <c:v>192.83316331678219</c:v>
                </c:pt>
                <c:pt idx="457">
                  <c:v>192.85519750185475</c:v>
                </c:pt>
                <c:pt idx="458">
                  <c:v>192.8977058435587</c:v>
                </c:pt>
                <c:pt idx="459">
                  <c:v>192.93287664711272</c:v>
                </c:pt>
                <c:pt idx="460">
                  <c:v>192.96901186631726</c:v>
                </c:pt>
                <c:pt idx="461">
                  <c:v>193.01048646097271</c:v>
                </c:pt>
                <c:pt idx="462">
                  <c:v>193.04089194940968</c:v>
                </c:pt>
                <c:pt idx="463">
                  <c:v>193.06284514593267</c:v>
                </c:pt>
                <c:pt idx="464">
                  <c:v>193.08796569588384</c:v>
                </c:pt>
                <c:pt idx="465">
                  <c:v>193.11401427736817</c:v>
                </c:pt>
                <c:pt idx="466">
                  <c:v>193.10605934956749</c:v>
                </c:pt>
                <c:pt idx="467">
                  <c:v>193.08841212418105</c:v>
                </c:pt>
                <c:pt idx="468">
                  <c:v>193.16778850105749</c:v>
                </c:pt>
                <c:pt idx="469">
                  <c:v>193.2361320951922</c:v>
                </c:pt>
                <c:pt idx="470">
                  <c:v>193.33430455851351</c:v>
                </c:pt>
                <c:pt idx="471">
                  <c:v>193.40567249078325</c:v>
                </c:pt>
                <c:pt idx="472">
                  <c:v>193.47448391427179</c:v>
                </c:pt>
                <c:pt idx="473">
                  <c:v>193.49940185384841</c:v>
                </c:pt>
                <c:pt idx="474">
                  <c:v>193.56179587728118</c:v>
                </c:pt>
                <c:pt idx="475">
                  <c:v>193.68527568590565</c:v>
                </c:pt>
                <c:pt idx="476">
                  <c:v>193.79682799770853</c:v>
                </c:pt>
                <c:pt idx="477">
                  <c:v>193.87423183180229</c:v>
                </c:pt>
                <c:pt idx="478">
                  <c:v>193.93049932697409</c:v>
                </c:pt>
                <c:pt idx="479">
                  <c:v>193.91583799875357</c:v>
                </c:pt>
                <c:pt idx="480">
                  <c:v>193.96828267789351</c:v>
                </c:pt>
                <c:pt idx="481">
                  <c:v>194.01518337551869</c:v>
                </c:pt>
                <c:pt idx="482">
                  <c:v>194.07691026843233</c:v>
                </c:pt>
                <c:pt idx="483">
                  <c:v>194.1519914801672</c:v>
                </c:pt>
                <c:pt idx="484">
                  <c:v>194.1747283758817</c:v>
                </c:pt>
                <c:pt idx="485">
                  <c:v>194.21359039613901</c:v>
                </c:pt>
                <c:pt idx="486">
                  <c:v>194.42563067393868</c:v>
                </c:pt>
                <c:pt idx="487">
                  <c:v>194.65853156464328</c:v>
                </c:pt>
                <c:pt idx="488">
                  <c:v>194.73429857959431</c:v>
                </c:pt>
                <c:pt idx="489">
                  <c:v>194.79567558104077</c:v>
                </c:pt>
                <c:pt idx="490">
                  <c:v>194.88904855066409</c:v>
                </c:pt>
                <c:pt idx="491">
                  <c:v>194.94498976079731</c:v>
                </c:pt>
                <c:pt idx="492">
                  <c:v>195.00886568393395</c:v>
                </c:pt>
                <c:pt idx="493">
                  <c:v>195.12041916484205</c:v>
                </c:pt>
                <c:pt idx="494">
                  <c:v>195.45092824938001</c:v>
                </c:pt>
                <c:pt idx="495">
                  <c:v>195.4949501252494</c:v>
                </c:pt>
                <c:pt idx="496">
                  <c:v>195.50250090101434</c:v>
                </c:pt>
                <c:pt idx="497">
                  <c:v>195.45694839162678</c:v>
                </c:pt>
                <c:pt idx="498">
                  <c:v>195.41404736504023</c:v>
                </c:pt>
                <c:pt idx="499">
                  <c:v>195.46585107235367</c:v>
                </c:pt>
                <c:pt idx="500">
                  <c:v>195.50571257227676</c:v>
                </c:pt>
                <c:pt idx="501">
                  <c:v>195.4978782917922</c:v>
                </c:pt>
                <c:pt idx="502">
                  <c:v>195.53817226187249</c:v>
                </c:pt>
                <c:pt idx="503">
                  <c:v>195.61574627759157</c:v>
                </c:pt>
                <c:pt idx="504">
                  <c:v>195.63060793739055</c:v>
                </c:pt>
                <c:pt idx="505">
                  <c:v>195.70310072545092</c:v>
                </c:pt>
                <c:pt idx="506">
                  <c:v>195.80819876482315</c:v>
                </c:pt>
                <c:pt idx="507">
                  <c:v>195.82035864394621</c:v>
                </c:pt>
                <c:pt idx="508">
                  <c:v>195.95116035141535</c:v>
                </c:pt>
                <c:pt idx="509">
                  <c:v>196.18443925156103</c:v>
                </c:pt>
                <c:pt idx="510">
                  <c:v>196.50357598360563</c:v>
                </c:pt>
                <c:pt idx="511">
                  <c:v>196.66560772763637</c:v>
                </c:pt>
                <c:pt idx="512">
                  <c:v>196.82631977297925</c:v>
                </c:pt>
                <c:pt idx="513">
                  <c:v>196.96062691959642</c:v>
                </c:pt>
                <c:pt idx="514">
                  <c:v>197.06179149715317</c:v>
                </c:pt>
                <c:pt idx="515">
                  <c:v>197.16564977156355</c:v>
                </c:pt>
                <c:pt idx="516">
                  <c:v>197.27682589869477</c:v>
                </c:pt>
                <c:pt idx="517">
                  <c:v>197.39547493624502</c:v>
                </c:pt>
                <c:pt idx="518">
                  <c:v>197.51106973310601</c:v>
                </c:pt>
                <c:pt idx="519">
                  <c:v>197.60308027415348</c:v>
                </c:pt>
                <c:pt idx="520">
                  <c:v>197.71850886591716</c:v>
                </c:pt>
                <c:pt idx="521">
                  <c:v>197.83852583691399</c:v>
                </c:pt>
                <c:pt idx="522">
                  <c:v>197.93016384805176</c:v>
                </c:pt>
                <c:pt idx="523">
                  <c:v>198.05821674522369</c:v>
                </c:pt>
                <c:pt idx="524">
                  <c:v>198.14290732993459</c:v>
                </c:pt>
                <c:pt idx="525">
                  <c:v>198.22714454946043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64-451E-A093-4E7C2FF7C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7600"/>
        <c:axId val="196606160"/>
      </c:lineChart>
      <c:dateAx>
        <c:axId val="196607600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6160"/>
        <c:crosses val="autoZero"/>
        <c:auto val="1"/>
        <c:lblOffset val="100"/>
        <c:baseTimeUnit val="days"/>
      </c:dateAx>
      <c:valAx>
        <c:axId val="196606160"/>
        <c:scaling>
          <c:orientation val="minMax"/>
          <c:min val="1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14-4125-B774-D256FFE22051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170.83850000000001</c:v>
                </c:pt>
                <c:pt idx="20">
                  <c:v>170.95250000000004</c:v>
                </c:pt>
                <c:pt idx="21">
                  <c:v>171.07250000000005</c:v>
                </c:pt>
                <c:pt idx="22">
                  <c:v>171.23849999999999</c:v>
                </c:pt>
                <c:pt idx="23">
                  <c:v>171.35</c:v>
                </c:pt>
                <c:pt idx="24">
                  <c:v>171.50399999999999</c:v>
                </c:pt>
                <c:pt idx="25">
                  <c:v>171.74250000000001</c:v>
                </c:pt>
                <c:pt idx="26">
                  <c:v>171.9315</c:v>
                </c:pt>
                <c:pt idx="27">
                  <c:v>172.167</c:v>
                </c:pt>
                <c:pt idx="28">
                  <c:v>172.50399999999999</c:v>
                </c:pt>
                <c:pt idx="29">
                  <c:v>172.81750000000002</c:v>
                </c:pt>
                <c:pt idx="30">
                  <c:v>173.26450000000003</c:v>
                </c:pt>
                <c:pt idx="31">
                  <c:v>173.887</c:v>
                </c:pt>
                <c:pt idx="32">
                  <c:v>174.32300000000001</c:v>
                </c:pt>
                <c:pt idx="33">
                  <c:v>174.80400000000003</c:v>
                </c:pt>
                <c:pt idx="34">
                  <c:v>175.39950000000005</c:v>
                </c:pt>
                <c:pt idx="35">
                  <c:v>176.02800000000005</c:v>
                </c:pt>
                <c:pt idx="36">
                  <c:v>176.58050000000003</c:v>
                </c:pt>
                <c:pt idx="37">
                  <c:v>177.13450000000006</c:v>
                </c:pt>
                <c:pt idx="38">
                  <c:v>177.6705</c:v>
                </c:pt>
                <c:pt idx="39">
                  <c:v>178.07600000000005</c:v>
                </c:pt>
                <c:pt idx="40">
                  <c:v>178.661</c:v>
                </c:pt>
                <c:pt idx="41">
                  <c:v>179.23899999999998</c:v>
                </c:pt>
                <c:pt idx="42">
                  <c:v>179.8365</c:v>
                </c:pt>
                <c:pt idx="43">
                  <c:v>180.53900000000002</c:v>
                </c:pt>
                <c:pt idx="44">
                  <c:v>181.26050000000001</c:v>
                </c:pt>
                <c:pt idx="45">
                  <c:v>181.88249999999999</c:v>
                </c:pt>
                <c:pt idx="46">
                  <c:v>182.55349999999999</c:v>
                </c:pt>
                <c:pt idx="47">
                  <c:v>183.21749999999997</c:v>
                </c:pt>
                <c:pt idx="48">
                  <c:v>183.92</c:v>
                </c:pt>
                <c:pt idx="49">
                  <c:v>184.77600000000001</c:v>
                </c:pt>
                <c:pt idx="50">
                  <c:v>185.37299999999999</c:v>
                </c:pt>
                <c:pt idx="51">
                  <c:v>185.89449999999999</c:v>
                </c:pt>
                <c:pt idx="52">
                  <c:v>186.57599999999999</c:v>
                </c:pt>
                <c:pt idx="53">
                  <c:v>187.279</c:v>
                </c:pt>
                <c:pt idx="54">
                  <c:v>188.0505</c:v>
                </c:pt>
                <c:pt idx="55">
                  <c:v>188.85</c:v>
                </c:pt>
                <c:pt idx="56">
                  <c:v>189.48150000000001</c:v>
                </c:pt>
                <c:pt idx="57">
                  <c:v>190.05449999999999</c:v>
                </c:pt>
                <c:pt idx="58">
                  <c:v>190.66849999999999</c:v>
                </c:pt>
                <c:pt idx="59">
                  <c:v>191.4255</c:v>
                </c:pt>
                <c:pt idx="60">
                  <c:v>192.13749999999999</c:v>
                </c:pt>
                <c:pt idx="61">
                  <c:v>192.82</c:v>
                </c:pt>
                <c:pt idx="62">
                  <c:v>193.42900000000003</c:v>
                </c:pt>
                <c:pt idx="63">
                  <c:v>193.91650000000004</c:v>
                </c:pt>
                <c:pt idx="64">
                  <c:v>194.22250000000003</c:v>
                </c:pt>
                <c:pt idx="65">
                  <c:v>194.70150000000004</c:v>
                </c:pt>
                <c:pt idx="66">
                  <c:v>195.21450000000002</c:v>
                </c:pt>
                <c:pt idx="67">
                  <c:v>195.6575</c:v>
                </c:pt>
                <c:pt idx="68">
                  <c:v>195.93900000000002</c:v>
                </c:pt>
                <c:pt idx="69">
                  <c:v>196.14150000000001</c:v>
                </c:pt>
                <c:pt idx="70">
                  <c:v>195.88249999999999</c:v>
                </c:pt>
                <c:pt idx="71">
                  <c:v>195.512</c:v>
                </c:pt>
                <c:pt idx="72">
                  <c:v>194.91900000000001</c:v>
                </c:pt>
                <c:pt idx="73">
                  <c:v>194.23349999999996</c:v>
                </c:pt>
                <c:pt idx="74">
                  <c:v>193.47949999999997</c:v>
                </c:pt>
                <c:pt idx="75">
                  <c:v>192.81649999999999</c:v>
                </c:pt>
                <c:pt idx="76">
                  <c:v>192.45599999999999</c:v>
                </c:pt>
                <c:pt idx="77">
                  <c:v>192.322</c:v>
                </c:pt>
                <c:pt idx="78">
                  <c:v>192.18950000000001</c:v>
                </c:pt>
                <c:pt idx="79">
                  <c:v>191.88200000000001</c:v>
                </c:pt>
                <c:pt idx="80">
                  <c:v>191.54149999999998</c:v>
                </c:pt>
                <c:pt idx="81">
                  <c:v>191.25850000000003</c:v>
                </c:pt>
                <c:pt idx="82">
                  <c:v>190.9025</c:v>
                </c:pt>
                <c:pt idx="83">
                  <c:v>190.5805</c:v>
                </c:pt>
                <c:pt idx="84">
                  <c:v>190.38099999999997</c:v>
                </c:pt>
                <c:pt idx="85">
                  <c:v>190.03399999999996</c:v>
                </c:pt>
                <c:pt idx="86">
                  <c:v>189.70999999999998</c:v>
                </c:pt>
                <c:pt idx="87">
                  <c:v>189.44</c:v>
                </c:pt>
                <c:pt idx="88">
                  <c:v>189.44900000000001</c:v>
                </c:pt>
                <c:pt idx="89">
                  <c:v>189.55250000000004</c:v>
                </c:pt>
                <c:pt idx="90">
                  <c:v>190.35149999999999</c:v>
                </c:pt>
                <c:pt idx="91">
                  <c:v>191.14349999999996</c:v>
                </c:pt>
                <c:pt idx="92">
                  <c:v>192.179</c:v>
                </c:pt>
                <c:pt idx="93">
                  <c:v>193.28050000000002</c:v>
                </c:pt>
                <c:pt idx="94">
                  <c:v>194.3415</c:v>
                </c:pt>
                <c:pt idx="95">
                  <c:v>195.291</c:v>
                </c:pt>
                <c:pt idx="96">
                  <c:v>195.59949999999998</c:v>
                </c:pt>
                <c:pt idx="97">
                  <c:v>195.96850000000001</c:v>
                </c:pt>
                <c:pt idx="98">
                  <c:v>196.23000000000002</c:v>
                </c:pt>
                <c:pt idx="99">
                  <c:v>196.40749999999997</c:v>
                </c:pt>
                <c:pt idx="100">
                  <c:v>196.76849999999999</c:v>
                </c:pt>
                <c:pt idx="101">
                  <c:v>197.0795</c:v>
                </c:pt>
                <c:pt idx="102">
                  <c:v>197.398</c:v>
                </c:pt>
                <c:pt idx="103">
                  <c:v>197.7715</c:v>
                </c:pt>
                <c:pt idx="104">
                  <c:v>198.32000000000002</c:v>
                </c:pt>
                <c:pt idx="105">
                  <c:v>198.88550000000004</c:v>
                </c:pt>
                <c:pt idx="106">
                  <c:v>199.24350000000001</c:v>
                </c:pt>
                <c:pt idx="107">
                  <c:v>199.51900000000001</c:v>
                </c:pt>
                <c:pt idx="108">
                  <c:v>199.58199999999997</c:v>
                </c:pt>
                <c:pt idx="109">
                  <c:v>199.7045</c:v>
                </c:pt>
                <c:pt idx="110">
                  <c:v>199.7465</c:v>
                </c:pt>
                <c:pt idx="111">
                  <c:v>199.52800000000002</c:v>
                </c:pt>
                <c:pt idx="112">
                  <c:v>199.02900000000002</c:v>
                </c:pt>
                <c:pt idx="113">
                  <c:v>198.60650000000004</c:v>
                </c:pt>
                <c:pt idx="114">
                  <c:v>198.17200000000003</c:v>
                </c:pt>
                <c:pt idx="115">
                  <c:v>197.68150000000003</c:v>
                </c:pt>
                <c:pt idx="116">
                  <c:v>197.75250000000003</c:v>
                </c:pt>
                <c:pt idx="117">
                  <c:v>197.71000000000004</c:v>
                </c:pt>
                <c:pt idx="118">
                  <c:v>197.60950000000005</c:v>
                </c:pt>
                <c:pt idx="119">
                  <c:v>197.70750000000004</c:v>
                </c:pt>
                <c:pt idx="120">
                  <c:v>197.57550000000006</c:v>
                </c:pt>
                <c:pt idx="121">
                  <c:v>197.47200000000004</c:v>
                </c:pt>
                <c:pt idx="122">
                  <c:v>197.52500000000003</c:v>
                </c:pt>
                <c:pt idx="123">
                  <c:v>197.67150000000007</c:v>
                </c:pt>
                <c:pt idx="124">
                  <c:v>197.8125</c:v>
                </c:pt>
                <c:pt idx="125">
                  <c:v>198.16300000000001</c:v>
                </c:pt>
                <c:pt idx="126">
                  <c:v>198.63950000000003</c:v>
                </c:pt>
                <c:pt idx="127">
                  <c:v>199.01600000000002</c:v>
                </c:pt>
                <c:pt idx="128">
                  <c:v>199.42900000000003</c:v>
                </c:pt>
                <c:pt idx="129">
                  <c:v>199.81299999999999</c:v>
                </c:pt>
                <c:pt idx="130">
                  <c:v>200.22250000000003</c:v>
                </c:pt>
                <c:pt idx="131">
                  <c:v>200.87700000000001</c:v>
                </c:pt>
                <c:pt idx="132">
                  <c:v>201.54749999999999</c:v>
                </c:pt>
                <c:pt idx="133">
                  <c:v>202.36700000000002</c:v>
                </c:pt>
                <c:pt idx="134">
                  <c:v>203.35900000000004</c:v>
                </c:pt>
                <c:pt idx="135">
                  <c:v>204.45350000000002</c:v>
                </c:pt>
                <c:pt idx="136">
                  <c:v>205.10250000000002</c:v>
                </c:pt>
                <c:pt idx="137">
                  <c:v>205.65799999999999</c:v>
                </c:pt>
                <c:pt idx="138">
                  <c:v>206.35700000000003</c:v>
                </c:pt>
                <c:pt idx="139">
                  <c:v>206.92950000000002</c:v>
                </c:pt>
                <c:pt idx="140">
                  <c:v>207.45550000000003</c:v>
                </c:pt>
                <c:pt idx="141">
                  <c:v>208.01750000000001</c:v>
                </c:pt>
                <c:pt idx="142">
                  <c:v>208.67100000000005</c:v>
                </c:pt>
                <c:pt idx="143">
                  <c:v>209.10050000000007</c:v>
                </c:pt>
                <c:pt idx="144">
                  <c:v>209.58750000000001</c:v>
                </c:pt>
                <c:pt idx="145">
                  <c:v>209.786</c:v>
                </c:pt>
                <c:pt idx="146">
                  <c:v>209.74950000000004</c:v>
                </c:pt>
                <c:pt idx="147">
                  <c:v>209.46700000000004</c:v>
                </c:pt>
                <c:pt idx="148">
                  <c:v>208.95349999999999</c:v>
                </c:pt>
                <c:pt idx="149">
                  <c:v>208.58900000000003</c:v>
                </c:pt>
                <c:pt idx="150">
                  <c:v>208.21899999999999</c:v>
                </c:pt>
                <c:pt idx="151">
                  <c:v>208.04949999999999</c:v>
                </c:pt>
                <c:pt idx="152">
                  <c:v>208.09250000000003</c:v>
                </c:pt>
                <c:pt idx="153">
                  <c:v>207.89950000000005</c:v>
                </c:pt>
                <c:pt idx="154">
                  <c:v>207.61550000000003</c:v>
                </c:pt>
                <c:pt idx="155">
                  <c:v>207.28400000000002</c:v>
                </c:pt>
                <c:pt idx="156">
                  <c:v>207.36250000000004</c:v>
                </c:pt>
                <c:pt idx="157">
                  <c:v>207.57200000000006</c:v>
                </c:pt>
                <c:pt idx="158">
                  <c:v>207.83050000000003</c:v>
                </c:pt>
                <c:pt idx="159">
                  <c:v>208.04000000000002</c:v>
                </c:pt>
                <c:pt idx="160">
                  <c:v>208.34050000000002</c:v>
                </c:pt>
                <c:pt idx="161">
                  <c:v>208.73849999999999</c:v>
                </c:pt>
                <c:pt idx="162">
                  <c:v>209.042</c:v>
                </c:pt>
                <c:pt idx="163">
                  <c:v>209.458</c:v>
                </c:pt>
                <c:pt idx="164">
                  <c:v>209.70749999999998</c:v>
                </c:pt>
                <c:pt idx="165">
                  <c:v>210.13199999999998</c:v>
                </c:pt>
                <c:pt idx="166">
                  <c:v>210.84449999999998</c:v>
                </c:pt>
                <c:pt idx="167">
                  <c:v>212.12749999999997</c:v>
                </c:pt>
                <c:pt idx="168">
                  <c:v>213.39749999999998</c:v>
                </c:pt>
                <c:pt idx="169">
                  <c:v>214.34700000000004</c:v>
                </c:pt>
                <c:pt idx="170">
                  <c:v>215.20850000000002</c:v>
                </c:pt>
                <c:pt idx="171">
                  <c:v>215.62849999999997</c:v>
                </c:pt>
                <c:pt idx="172">
                  <c:v>216.17900000000003</c:v>
                </c:pt>
                <c:pt idx="173">
                  <c:v>216.14750000000004</c:v>
                </c:pt>
                <c:pt idx="174">
                  <c:v>216.11199999999999</c:v>
                </c:pt>
                <c:pt idx="175">
                  <c:v>215.93</c:v>
                </c:pt>
                <c:pt idx="176">
                  <c:v>215.5685</c:v>
                </c:pt>
                <c:pt idx="177">
                  <c:v>215.26300000000001</c:v>
                </c:pt>
                <c:pt idx="178">
                  <c:v>214.95300000000003</c:v>
                </c:pt>
                <c:pt idx="179">
                  <c:v>214.6035</c:v>
                </c:pt>
                <c:pt idx="180">
                  <c:v>214.39749999999998</c:v>
                </c:pt>
                <c:pt idx="181">
                  <c:v>214.12049999999999</c:v>
                </c:pt>
                <c:pt idx="182">
                  <c:v>213.77699999999999</c:v>
                </c:pt>
                <c:pt idx="183">
                  <c:v>213.398</c:v>
                </c:pt>
                <c:pt idx="184">
                  <c:v>212.89850000000001</c:v>
                </c:pt>
                <c:pt idx="185">
                  <c:v>212.32300000000004</c:v>
                </c:pt>
                <c:pt idx="186">
                  <c:v>211.73750000000004</c:v>
                </c:pt>
                <c:pt idx="187">
                  <c:v>211.04050000000001</c:v>
                </c:pt>
                <c:pt idx="188">
                  <c:v>210.37750000000005</c:v>
                </c:pt>
                <c:pt idx="189">
                  <c:v>209.77550000000005</c:v>
                </c:pt>
                <c:pt idx="190">
                  <c:v>209.15549999999999</c:v>
                </c:pt>
                <c:pt idx="191">
                  <c:v>209.09350000000003</c:v>
                </c:pt>
                <c:pt idx="192">
                  <c:v>208.79950000000002</c:v>
                </c:pt>
                <c:pt idx="193">
                  <c:v>209.05900000000003</c:v>
                </c:pt>
                <c:pt idx="194">
                  <c:v>209.36849999999998</c:v>
                </c:pt>
                <c:pt idx="195">
                  <c:v>209.68049999999999</c:v>
                </c:pt>
                <c:pt idx="196">
                  <c:v>210.57900000000001</c:v>
                </c:pt>
                <c:pt idx="197">
                  <c:v>211.26</c:v>
                </c:pt>
                <c:pt idx="198">
                  <c:v>211.917</c:v>
                </c:pt>
                <c:pt idx="199">
                  <c:v>212.7225</c:v>
                </c:pt>
                <c:pt idx="200">
                  <c:v>213.41949999999997</c:v>
                </c:pt>
                <c:pt idx="201">
                  <c:v>214.1335</c:v>
                </c:pt>
                <c:pt idx="202">
                  <c:v>214.71149999999997</c:v>
                </c:pt>
                <c:pt idx="203">
                  <c:v>215.33800000000002</c:v>
                </c:pt>
                <c:pt idx="204">
                  <c:v>215.99899999999997</c:v>
                </c:pt>
                <c:pt idx="205">
                  <c:v>216.75899999999996</c:v>
                </c:pt>
                <c:pt idx="206">
                  <c:v>217.34949999999998</c:v>
                </c:pt>
                <c:pt idx="207">
                  <c:v>218.08149999999995</c:v>
                </c:pt>
                <c:pt idx="208">
                  <c:v>218.87449999999998</c:v>
                </c:pt>
                <c:pt idx="209">
                  <c:v>219.73049999999995</c:v>
                </c:pt>
                <c:pt idx="210">
                  <c:v>220.56499999999997</c:v>
                </c:pt>
                <c:pt idx="211">
                  <c:v>221.15099999999993</c:v>
                </c:pt>
                <c:pt idx="212">
                  <c:v>221.59349999999995</c:v>
                </c:pt>
                <c:pt idx="213">
                  <c:v>222.13049999999998</c:v>
                </c:pt>
                <c:pt idx="214">
                  <c:v>223.8125</c:v>
                </c:pt>
                <c:pt idx="215">
                  <c:v>224.98950000000005</c:v>
                </c:pt>
                <c:pt idx="216">
                  <c:v>225.72399999999999</c:v>
                </c:pt>
                <c:pt idx="217">
                  <c:v>226.61450000000005</c:v>
                </c:pt>
                <c:pt idx="218">
                  <c:v>227.47300000000004</c:v>
                </c:pt>
                <c:pt idx="219">
                  <c:v>228.34900000000002</c:v>
                </c:pt>
                <c:pt idx="220">
                  <c:v>229.22150000000002</c:v>
                </c:pt>
                <c:pt idx="221">
                  <c:v>230.21850000000003</c:v>
                </c:pt>
                <c:pt idx="222">
                  <c:v>231.32000000000002</c:v>
                </c:pt>
                <c:pt idx="223">
                  <c:v>232.26849999999999</c:v>
                </c:pt>
                <c:pt idx="224">
                  <c:v>233.137</c:v>
                </c:pt>
                <c:pt idx="225">
                  <c:v>234.12599999999998</c:v>
                </c:pt>
                <c:pt idx="226">
                  <c:v>235.43800000000002</c:v>
                </c:pt>
                <c:pt idx="227">
                  <c:v>236.67750000000001</c:v>
                </c:pt>
                <c:pt idx="228">
                  <c:v>238.03100000000003</c:v>
                </c:pt>
                <c:pt idx="229">
                  <c:v>239.30000000000004</c:v>
                </c:pt>
                <c:pt idx="230">
                  <c:v>240.69000000000005</c:v>
                </c:pt>
                <c:pt idx="231">
                  <c:v>241.85550000000003</c:v>
                </c:pt>
                <c:pt idx="232">
                  <c:v>243.10750000000002</c:v>
                </c:pt>
                <c:pt idx="233">
                  <c:v>244.20299999999997</c:v>
                </c:pt>
                <c:pt idx="234">
                  <c:v>244.12399999999994</c:v>
                </c:pt>
                <c:pt idx="235">
                  <c:v>244.67299999999992</c:v>
                </c:pt>
                <c:pt idx="236">
                  <c:v>245.01449999999994</c:v>
                </c:pt>
                <c:pt idx="237">
                  <c:v>245.19299999999998</c:v>
                </c:pt>
                <c:pt idx="238">
                  <c:v>245.39149999999995</c:v>
                </c:pt>
                <c:pt idx="239">
                  <c:v>245.41</c:v>
                </c:pt>
                <c:pt idx="240">
                  <c:v>245.31349999999998</c:v>
                </c:pt>
                <c:pt idx="241">
                  <c:v>245.02699999999999</c:v>
                </c:pt>
                <c:pt idx="242">
                  <c:v>244.6935</c:v>
                </c:pt>
                <c:pt idx="243">
                  <c:v>244.05749999999998</c:v>
                </c:pt>
                <c:pt idx="244">
                  <c:v>243.66650000000004</c:v>
                </c:pt>
                <c:pt idx="245">
                  <c:v>243.30850000000004</c:v>
                </c:pt>
                <c:pt idx="246">
                  <c:v>242.80050000000006</c:v>
                </c:pt>
                <c:pt idx="247">
                  <c:v>242.40150000000008</c:v>
                </c:pt>
                <c:pt idx="248">
                  <c:v>242.06000000000009</c:v>
                </c:pt>
                <c:pt idx="249">
                  <c:v>241.62900000000005</c:v>
                </c:pt>
                <c:pt idx="250">
                  <c:v>241.10900000000001</c:v>
                </c:pt>
                <c:pt idx="251">
                  <c:v>240.78199999999998</c:v>
                </c:pt>
                <c:pt idx="252">
                  <c:v>240.541</c:v>
                </c:pt>
                <c:pt idx="253">
                  <c:v>240.535</c:v>
                </c:pt>
                <c:pt idx="254">
                  <c:v>240.30349999999999</c:v>
                </c:pt>
                <c:pt idx="255">
                  <c:v>240.09399999999999</c:v>
                </c:pt>
                <c:pt idx="256">
                  <c:v>240.06</c:v>
                </c:pt>
                <c:pt idx="257">
                  <c:v>239.91050000000001</c:v>
                </c:pt>
                <c:pt idx="258">
                  <c:v>239.94450000000001</c:v>
                </c:pt>
                <c:pt idx="259">
                  <c:v>240.24150000000003</c:v>
                </c:pt>
                <c:pt idx="260">
                  <c:v>240.86200000000002</c:v>
                </c:pt>
                <c:pt idx="261">
                  <c:v>241.59650000000005</c:v>
                </c:pt>
                <c:pt idx="262">
                  <c:v>242.63650000000001</c:v>
                </c:pt>
                <c:pt idx="263">
                  <c:v>244.26950000000002</c:v>
                </c:pt>
                <c:pt idx="264">
                  <c:v>245.76349999999996</c:v>
                </c:pt>
                <c:pt idx="265">
                  <c:v>247.18099999999998</c:v>
                </c:pt>
                <c:pt idx="266">
                  <c:v>248.50349999999997</c:v>
                </c:pt>
                <c:pt idx="267">
                  <c:v>249.68049999999999</c:v>
                </c:pt>
                <c:pt idx="268">
                  <c:v>250.88050000000004</c:v>
                </c:pt>
                <c:pt idx="269">
                  <c:v>252.15100000000001</c:v>
                </c:pt>
                <c:pt idx="270">
                  <c:v>253.59650000000002</c:v>
                </c:pt>
                <c:pt idx="271">
                  <c:v>254.97599999999997</c:v>
                </c:pt>
                <c:pt idx="272">
                  <c:v>256.31650000000002</c:v>
                </c:pt>
                <c:pt idx="273">
                  <c:v>257.54950000000002</c:v>
                </c:pt>
                <c:pt idx="274">
                  <c:v>259.02850000000001</c:v>
                </c:pt>
                <c:pt idx="275">
                  <c:v>260.71499999999997</c:v>
                </c:pt>
                <c:pt idx="276">
                  <c:v>262.3485</c:v>
                </c:pt>
                <c:pt idx="277">
                  <c:v>263.90699999999998</c:v>
                </c:pt>
                <c:pt idx="278">
                  <c:v>265.44599999999997</c:v>
                </c:pt>
                <c:pt idx="279">
                  <c:v>266.84499999999997</c:v>
                </c:pt>
                <c:pt idx="280">
                  <c:v>268.04349999999994</c:v>
                </c:pt>
                <c:pt idx="281">
                  <c:v>269.15949999999998</c:v>
                </c:pt>
                <c:pt idx="282">
                  <c:v>270.19899999999996</c:v>
                </c:pt>
                <c:pt idx="283">
                  <c:v>271.01</c:v>
                </c:pt>
                <c:pt idx="284">
                  <c:v>271.20799999999997</c:v>
                </c:pt>
                <c:pt idx="285">
                  <c:v>271.1225</c:v>
                </c:pt>
                <c:pt idx="286">
                  <c:v>270.94750000000005</c:v>
                </c:pt>
                <c:pt idx="287">
                  <c:v>270.52499999999998</c:v>
                </c:pt>
                <c:pt idx="288">
                  <c:v>270.10749999999996</c:v>
                </c:pt>
                <c:pt idx="289">
                  <c:v>269.73100000000005</c:v>
                </c:pt>
                <c:pt idx="290">
                  <c:v>269.55200000000002</c:v>
                </c:pt>
                <c:pt idx="291">
                  <c:v>269.21799999999996</c:v>
                </c:pt>
                <c:pt idx="292">
                  <c:v>268.39</c:v>
                </c:pt>
                <c:pt idx="293">
                  <c:v>267.56949999999995</c:v>
                </c:pt>
                <c:pt idx="294">
                  <c:v>266.375</c:v>
                </c:pt>
                <c:pt idx="295">
                  <c:v>264.64400000000001</c:v>
                </c:pt>
                <c:pt idx="296">
                  <c:v>262.46500000000003</c:v>
                </c:pt>
                <c:pt idx="297">
                  <c:v>260.37</c:v>
                </c:pt>
                <c:pt idx="298">
                  <c:v>258.01550000000003</c:v>
                </c:pt>
                <c:pt idx="299">
                  <c:v>255.5025</c:v>
                </c:pt>
                <c:pt idx="300">
                  <c:v>253.30849999999995</c:v>
                </c:pt>
                <c:pt idx="301">
                  <c:v>251.17549999999997</c:v>
                </c:pt>
                <c:pt idx="302">
                  <c:v>248.92649999999998</c:v>
                </c:pt>
                <c:pt idx="303">
                  <c:v>246.91949999999997</c:v>
                </c:pt>
                <c:pt idx="304">
                  <c:v>245.53000000000003</c:v>
                </c:pt>
                <c:pt idx="305">
                  <c:v>244.39949999999999</c:v>
                </c:pt>
                <c:pt idx="306">
                  <c:v>243.7355</c:v>
                </c:pt>
                <c:pt idx="307">
                  <c:v>243.42200000000003</c:v>
                </c:pt>
                <c:pt idx="308">
                  <c:v>243.03400000000002</c:v>
                </c:pt>
                <c:pt idx="309">
                  <c:v>242.48750000000001</c:v>
                </c:pt>
                <c:pt idx="310">
                  <c:v>241.39750000000004</c:v>
                </c:pt>
                <c:pt idx="311">
                  <c:v>240.63150000000005</c:v>
                </c:pt>
                <c:pt idx="312">
                  <c:v>240.30200000000005</c:v>
                </c:pt>
                <c:pt idx="313">
                  <c:v>240.01650000000001</c:v>
                </c:pt>
                <c:pt idx="314">
                  <c:v>239.12400000000002</c:v>
                </c:pt>
                <c:pt idx="315">
                  <c:v>237.52399999999997</c:v>
                </c:pt>
                <c:pt idx="316">
                  <c:v>236.63499999999999</c:v>
                </c:pt>
                <c:pt idx="317">
                  <c:v>236.02149999999997</c:v>
                </c:pt>
                <c:pt idx="318">
                  <c:v>236.34350000000001</c:v>
                </c:pt>
                <c:pt idx="319">
                  <c:v>236.43950000000004</c:v>
                </c:pt>
                <c:pt idx="320">
                  <c:v>236.6275</c:v>
                </c:pt>
                <c:pt idx="321">
                  <c:v>236.667</c:v>
                </c:pt>
                <c:pt idx="322">
                  <c:v>236.57500000000005</c:v>
                </c:pt>
                <c:pt idx="323">
                  <c:v>236.1</c:v>
                </c:pt>
                <c:pt idx="324">
                  <c:v>235.7475</c:v>
                </c:pt>
                <c:pt idx="325">
                  <c:v>235.11549999999997</c:v>
                </c:pt>
                <c:pt idx="326">
                  <c:v>234.49200000000002</c:v>
                </c:pt>
                <c:pt idx="327">
                  <c:v>233.9795</c:v>
                </c:pt>
                <c:pt idx="328">
                  <c:v>233.66000000000003</c:v>
                </c:pt>
                <c:pt idx="329">
                  <c:v>233.43150000000006</c:v>
                </c:pt>
                <c:pt idx="330">
                  <c:v>233.45000000000005</c:v>
                </c:pt>
                <c:pt idx="331">
                  <c:v>233.416</c:v>
                </c:pt>
                <c:pt idx="332">
                  <c:v>233.464</c:v>
                </c:pt>
                <c:pt idx="333">
                  <c:v>233.51750000000001</c:v>
                </c:pt>
                <c:pt idx="334">
                  <c:v>234.70850000000004</c:v>
                </c:pt>
                <c:pt idx="335">
                  <c:v>236.82250000000005</c:v>
                </c:pt>
                <c:pt idx="336">
                  <c:v>238.56300000000002</c:v>
                </c:pt>
                <c:pt idx="337">
                  <c:v>240.18900000000002</c:v>
                </c:pt>
                <c:pt idx="338">
                  <c:v>241.1455</c:v>
                </c:pt>
                <c:pt idx="339">
                  <c:v>242.44399999999996</c:v>
                </c:pt>
                <c:pt idx="340">
                  <c:v>243.63649999999998</c:v>
                </c:pt>
                <c:pt idx="341">
                  <c:v>245.05099999999999</c:v>
                </c:pt>
                <c:pt idx="342">
                  <c:v>246.67650000000003</c:v>
                </c:pt>
                <c:pt idx="343">
                  <c:v>248.57049999999995</c:v>
                </c:pt>
                <c:pt idx="344">
                  <c:v>250.35050000000001</c:v>
                </c:pt>
                <c:pt idx="345">
                  <c:v>252.14499999999998</c:v>
                </c:pt>
                <c:pt idx="346">
                  <c:v>253.64950000000005</c:v>
                </c:pt>
                <c:pt idx="347">
                  <c:v>254.65750000000003</c:v>
                </c:pt>
                <c:pt idx="348">
                  <c:v>255.459</c:v>
                </c:pt>
                <c:pt idx="349">
                  <c:v>256.31700000000001</c:v>
                </c:pt>
                <c:pt idx="350">
                  <c:v>257.42050000000006</c:v>
                </c:pt>
                <c:pt idx="351">
                  <c:v>258.36399999999998</c:v>
                </c:pt>
                <c:pt idx="352">
                  <c:v>259.35149999999999</c:v>
                </c:pt>
                <c:pt idx="353">
                  <c:v>260.20699999999999</c:v>
                </c:pt>
                <c:pt idx="354">
                  <c:v>260.81449999999995</c:v>
                </c:pt>
                <c:pt idx="355">
                  <c:v>261.5</c:v>
                </c:pt>
                <c:pt idx="356">
                  <c:v>262.24850000000004</c:v>
                </c:pt>
                <c:pt idx="357">
                  <c:v>262.87649999999996</c:v>
                </c:pt>
                <c:pt idx="358">
                  <c:v>263.48949999999996</c:v>
                </c:pt>
                <c:pt idx="359">
                  <c:v>264.17249999999996</c:v>
                </c:pt>
                <c:pt idx="360">
                  <c:v>264.60000000000002</c:v>
                </c:pt>
                <c:pt idx="361">
                  <c:v>264.85699999999997</c:v>
                </c:pt>
                <c:pt idx="362">
                  <c:v>264.98699999999997</c:v>
                </c:pt>
                <c:pt idx="363">
                  <c:v>264.86</c:v>
                </c:pt>
                <c:pt idx="364">
                  <c:v>264.99999999999994</c:v>
                </c:pt>
                <c:pt idx="365">
                  <c:v>265.23199999999997</c:v>
                </c:pt>
                <c:pt idx="366">
                  <c:v>265.64599999999996</c:v>
                </c:pt>
                <c:pt idx="367">
                  <c:v>266.34399999999999</c:v>
                </c:pt>
                <c:pt idx="368">
                  <c:v>267.22399999999999</c:v>
                </c:pt>
                <c:pt idx="369">
                  <c:v>268.25150000000002</c:v>
                </c:pt>
                <c:pt idx="370">
                  <c:v>269.19</c:v>
                </c:pt>
                <c:pt idx="371">
                  <c:v>270.45300000000003</c:v>
                </c:pt>
                <c:pt idx="372">
                  <c:v>271.59000000000003</c:v>
                </c:pt>
                <c:pt idx="373">
                  <c:v>272.88549999999998</c:v>
                </c:pt>
                <c:pt idx="374">
                  <c:v>274.173</c:v>
                </c:pt>
                <c:pt idx="375">
                  <c:v>275.45949999999999</c:v>
                </c:pt>
                <c:pt idx="376">
                  <c:v>277.04849999999999</c:v>
                </c:pt>
                <c:pt idx="377">
                  <c:v>278.54949999999997</c:v>
                </c:pt>
                <c:pt idx="378">
                  <c:v>279.40199999999999</c:v>
                </c:pt>
                <c:pt idx="379">
                  <c:v>280.22300000000001</c:v>
                </c:pt>
                <c:pt idx="380">
                  <c:v>281.20249999999999</c:v>
                </c:pt>
                <c:pt idx="381">
                  <c:v>282.13799999999998</c:v>
                </c:pt>
                <c:pt idx="382">
                  <c:v>283.16099999999994</c:v>
                </c:pt>
                <c:pt idx="383">
                  <c:v>284.24099999999993</c:v>
                </c:pt>
                <c:pt idx="384">
                  <c:v>285.0139999999999</c:v>
                </c:pt>
                <c:pt idx="385">
                  <c:v>286.0329999999999</c:v>
                </c:pt>
                <c:pt idx="386">
                  <c:v>286.89849999999996</c:v>
                </c:pt>
                <c:pt idx="387">
                  <c:v>287.697</c:v>
                </c:pt>
                <c:pt idx="388">
                  <c:v>288.35499999999996</c:v>
                </c:pt>
                <c:pt idx="389">
                  <c:v>289.13</c:v>
                </c:pt>
                <c:pt idx="390">
                  <c:v>289.75450000000012</c:v>
                </c:pt>
                <c:pt idx="391">
                  <c:v>290.2480000000001</c:v>
                </c:pt>
                <c:pt idx="392">
                  <c:v>290.80650000000003</c:v>
                </c:pt>
                <c:pt idx="393">
                  <c:v>291.16300000000007</c:v>
                </c:pt>
                <c:pt idx="394">
                  <c:v>291.62399999999997</c:v>
                </c:pt>
                <c:pt idx="395">
                  <c:v>291.83599999999996</c:v>
                </c:pt>
                <c:pt idx="396">
                  <c:v>291.50449999999995</c:v>
                </c:pt>
                <c:pt idx="397">
                  <c:v>291.61899999999997</c:v>
                </c:pt>
                <c:pt idx="398">
                  <c:v>292.04849999999999</c:v>
                </c:pt>
                <c:pt idx="399">
                  <c:v>292.45799999999997</c:v>
                </c:pt>
                <c:pt idx="400">
                  <c:v>292.39549999999997</c:v>
                </c:pt>
                <c:pt idx="401">
                  <c:v>292.4905</c:v>
                </c:pt>
                <c:pt idx="402">
                  <c:v>292.5335</c:v>
                </c:pt>
                <c:pt idx="403">
                  <c:v>292.84850000000006</c:v>
                </c:pt>
                <c:pt idx="404">
                  <c:v>293.084</c:v>
                </c:pt>
                <c:pt idx="405">
                  <c:v>293.29700000000003</c:v>
                </c:pt>
                <c:pt idx="406">
                  <c:v>293.25800000000004</c:v>
                </c:pt>
                <c:pt idx="407">
                  <c:v>293.286</c:v>
                </c:pt>
                <c:pt idx="408">
                  <c:v>293.2475</c:v>
                </c:pt>
                <c:pt idx="409">
                  <c:v>293.02149999999995</c:v>
                </c:pt>
                <c:pt idx="410">
                  <c:v>292.76749999999998</c:v>
                </c:pt>
                <c:pt idx="411">
                  <c:v>292.6484999999999</c:v>
                </c:pt>
                <c:pt idx="412">
                  <c:v>292.47949999999992</c:v>
                </c:pt>
                <c:pt idx="413">
                  <c:v>292.55599999999993</c:v>
                </c:pt>
                <c:pt idx="414">
                  <c:v>292.53849999999994</c:v>
                </c:pt>
                <c:pt idx="415">
                  <c:v>292.77999999999986</c:v>
                </c:pt>
                <c:pt idx="416">
                  <c:v>293.38249999999988</c:v>
                </c:pt>
                <c:pt idx="417">
                  <c:v>293.65449999999993</c:v>
                </c:pt>
                <c:pt idx="418">
                  <c:v>294.06149999999997</c:v>
                </c:pt>
                <c:pt idx="419">
                  <c:v>294.685</c:v>
                </c:pt>
                <c:pt idx="420">
                  <c:v>295.05699999999996</c:v>
                </c:pt>
                <c:pt idx="421">
                  <c:v>295.2645</c:v>
                </c:pt>
                <c:pt idx="422">
                  <c:v>295.67899999999997</c:v>
                </c:pt>
                <c:pt idx="423">
                  <c:v>296.06350000000009</c:v>
                </c:pt>
                <c:pt idx="424">
                  <c:v>296.815</c:v>
                </c:pt>
                <c:pt idx="425">
                  <c:v>297.45249999999999</c:v>
                </c:pt>
                <c:pt idx="426">
                  <c:v>298.37299999999999</c:v>
                </c:pt>
                <c:pt idx="427">
                  <c:v>299.25600000000003</c:v>
                </c:pt>
                <c:pt idx="428">
                  <c:v>300.31049999999993</c:v>
                </c:pt>
                <c:pt idx="429">
                  <c:v>301.35999999999996</c:v>
                </c:pt>
                <c:pt idx="430">
                  <c:v>302.52549999999997</c:v>
                </c:pt>
                <c:pt idx="431">
                  <c:v>303.33549999999997</c:v>
                </c:pt>
                <c:pt idx="432">
                  <c:v>304.22749999999985</c:v>
                </c:pt>
                <c:pt idx="433">
                  <c:v>304.96999999999991</c:v>
                </c:pt>
                <c:pt idx="434">
                  <c:v>305.67849999999993</c:v>
                </c:pt>
                <c:pt idx="435">
                  <c:v>306.428</c:v>
                </c:pt>
                <c:pt idx="436">
                  <c:v>307.14149999999995</c:v>
                </c:pt>
                <c:pt idx="437">
                  <c:v>307.928</c:v>
                </c:pt>
                <c:pt idx="438">
                  <c:v>308.488</c:v>
                </c:pt>
                <c:pt idx="439">
                  <c:v>308.67450000000002</c:v>
                </c:pt>
                <c:pt idx="440">
                  <c:v>309.45699999999999</c:v>
                </c:pt>
                <c:pt idx="441">
                  <c:v>310.27050000000003</c:v>
                </c:pt>
                <c:pt idx="442">
                  <c:v>310.76249999999999</c:v>
                </c:pt>
                <c:pt idx="443">
                  <c:v>310.93700000000001</c:v>
                </c:pt>
                <c:pt idx="444">
                  <c:v>310.93549999999993</c:v>
                </c:pt>
                <c:pt idx="445">
                  <c:v>310.63449999999995</c:v>
                </c:pt>
                <c:pt idx="446">
                  <c:v>310.58800000000002</c:v>
                </c:pt>
                <c:pt idx="447">
                  <c:v>310.23249999999996</c:v>
                </c:pt>
                <c:pt idx="448">
                  <c:v>309.92950000000002</c:v>
                </c:pt>
                <c:pt idx="449">
                  <c:v>309.19499999999999</c:v>
                </c:pt>
                <c:pt idx="450">
                  <c:v>308.334</c:v>
                </c:pt>
                <c:pt idx="451">
                  <c:v>307.83</c:v>
                </c:pt>
                <c:pt idx="452">
                  <c:v>307.04749999999996</c:v>
                </c:pt>
                <c:pt idx="453">
                  <c:v>306.08199999999994</c:v>
                </c:pt>
                <c:pt idx="454">
                  <c:v>305.13649999999996</c:v>
                </c:pt>
                <c:pt idx="455">
                  <c:v>304.35549999999995</c:v>
                </c:pt>
                <c:pt idx="456">
                  <c:v>303.77849999999989</c:v>
                </c:pt>
                <c:pt idx="457">
                  <c:v>303.27499999999992</c:v>
                </c:pt>
                <c:pt idx="458">
                  <c:v>303.01499999999993</c:v>
                </c:pt>
                <c:pt idx="459">
                  <c:v>303.10949999999991</c:v>
                </c:pt>
                <c:pt idx="460">
                  <c:v>303.16399999999993</c:v>
                </c:pt>
                <c:pt idx="461">
                  <c:v>303.17249999999996</c:v>
                </c:pt>
                <c:pt idx="462">
                  <c:v>303.25049999999999</c:v>
                </c:pt>
                <c:pt idx="463">
                  <c:v>303.63300000000004</c:v>
                </c:pt>
                <c:pt idx="464">
                  <c:v>304.02750000000003</c:v>
                </c:pt>
                <c:pt idx="465">
                  <c:v>304.69350000000003</c:v>
                </c:pt>
                <c:pt idx="466">
                  <c:v>305.13950000000011</c:v>
                </c:pt>
                <c:pt idx="467">
                  <c:v>305.81650000000002</c:v>
                </c:pt>
                <c:pt idx="468">
                  <c:v>306.55250000000001</c:v>
                </c:pt>
                <c:pt idx="469">
                  <c:v>307.09949999999998</c:v>
                </c:pt>
                <c:pt idx="470">
                  <c:v>307.40199999999999</c:v>
                </c:pt>
                <c:pt idx="471">
                  <c:v>307.30249999999995</c:v>
                </c:pt>
                <c:pt idx="472">
                  <c:v>307.41849999999994</c:v>
                </c:pt>
                <c:pt idx="473">
                  <c:v>307.87649999999996</c:v>
                </c:pt>
                <c:pt idx="474">
                  <c:v>308.06849999999997</c:v>
                </c:pt>
                <c:pt idx="475">
                  <c:v>307.94749999999993</c:v>
                </c:pt>
                <c:pt idx="476">
                  <c:v>307.64</c:v>
                </c:pt>
                <c:pt idx="477">
                  <c:v>307.52199999999993</c:v>
                </c:pt>
                <c:pt idx="478">
                  <c:v>307.62849999999992</c:v>
                </c:pt>
                <c:pt idx="479">
                  <c:v>307.81049999999999</c:v>
                </c:pt>
                <c:pt idx="480">
                  <c:v>307.70049999999998</c:v>
                </c:pt>
                <c:pt idx="481">
                  <c:v>307.62700000000007</c:v>
                </c:pt>
                <c:pt idx="482">
                  <c:v>307.77100000000007</c:v>
                </c:pt>
                <c:pt idx="483">
                  <c:v>307.99200000000008</c:v>
                </c:pt>
                <c:pt idx="484">
                  <c:v>308.07299999999998</c:v>
                </c:pt>
                <c:pt idx="485">
                  <c:v>308.12300000000005</c:v>
                </c:pt>
                <c:pt idx="486">
                  <c:v>307.30400000000003</c:v>
                </c:pt>
                <c:pt idx="487">
                  <c:v>307.02850000000001</c:v>
                </c:pt>
                <c:pt idx="488">
                  <c:v>306.87700000000001</c:v>
                </c:pt>
                <c:pt idx="489">
                  <c:v>307.32900000000001</c:v>
                </c:pt>
                <c:pt idx="490">
                  <c:v>308.14949999999999</c:v>
                </c:pt>
                <c:pt idx="491">
                  <c:v>308.90850000000006</c:v>
                </c:pt>
                <c:pt idx="492">
                  <c:v>309.68700000000007</c:v>
                </c:pt>
                <c:pt idx="493">
                  <c:v>310.17350000000005</c:v>
                </c:pt>
                <c:pt idx="494">
                  <c:v>311.11500000000001</c:v>
                </c:pt>
                <c:pt idx="495">
                  <c:v>312.3685000000001</c:v>
                </c:pt>
                <c:pt idx="496">
                  <c:v>313.7650000000001</c:v>
                </c:pt>
                <c:pt idx="497">
                  <c:v>315.07350000000002</c:v>
                </c:pt>
                <c:pt idx="498">
                  <c:v>316.08700000000005</c:v>
                </c:pt>
                <c:pt idx="499">
                  <c:v>316.62050000000005</c:v>
                </c:pt>
                <c:pt idx="500">
                  <c:v>317.34550000000002</c:v>
                </c:pt>
                <c:pt idx="501">
                  <c:v>318.06250000000006</c:v>
                </c:pt>
                <c:pt idx="502">
                  <c:v>318.73</c:v>
                </c:pt>
                <c:pt idx="503">
                  <c:v>319.62700000000001</c:v>
                </c:pt>
                <c:pt idx="504">
                  <c:v>320.60550000000001</c:v>
                </c:pt>
                <c:pt idx="505">
                  <c:v>321.19449999999995</c:v>
                </c:pt>
                <c:pt idx="506">
                  <c:v>322.65849999999995</c:v>
                </c:pt>
                <c:pt idx="507">
                  <c:v>323.6124999999999</c:v>
                </c:pt>
                <c:pt idx="508">
                  <c:v>323.96799999999996</c:v>
                </c:pt>
                <c:pt idx="509">
                  <c:v>323.58699999999988</c:v>
                </c:pt>
                <c:pt idx="510">
                  <c:v>322.97949999999992</c:v>
                </c:pt>
                <c:pt idx="511">
                  <c:v>322.66499999999996</c:v>
                </c:pt>
                <c:pt idx="512">
                  <c:v>322.53949999999998</c:v>
                </c:pt>
                <c:pt idx="513">
                  <c:v>322.02649999999994</c:v>
                </c:pt>
                <c:pt idx="514">
                  <c:v>321.26799999999997</c:v>
                </c:pt>
                <c:pt idx="515">
                  <c:v>320.29500000000002</c:v>
                </c:pt>
                <c:pt idx="516">
                  <c:v>318.8845</c:v>
                </c:pt>
                <c:pt idx="517">
                  <c:v>317.47800000000007</c:v>
                </c:pt>
                <c:pt idx="518">
                  <c:v>316.09800000000007</c:v>
                </c:pt>
                <c:pt idx="519">
                  <c:v>314.94900000000007</c:v>
                </c:pt>
                <c:pt idx="520">
                  <c:v>314.09899999999999</c:v>
                </c:pt>
                <c:pt idx="521">
                  <c:v>313.28250000000003</c:v>
                </c:pt>
                <c:pt idx="522">
                  <c:v>312.41550000000007</c:v>
                </c:pt>
                <c:pt idx="523">
                  <c:v>311.45600000000013</c:v>
                </c:pt>
                <c:pt idx="524">
                  <c:v>310.58900000000011</c:v>
                </c:pt>
                <c:pt idx="525">
                  <c:v>309.74750000000006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14-4125-B774-D256FFE22051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Data!$L$2:$L$527</c:f>
              <c:numCache>
                <c:formatCode>General</c:formatCode>
                <c:ptCount val="526"/>
                <c:pt idx="19">
                  <c:v>175.11510108522006</c:v>
                </c:pt>
                <c:pt idx="20">
                  <c:v>175.48249302892464</c:v>
                </c:pt>
                <c:pt idx="21">
                  <c:v>175.76870171269465</c:v>
                </c:pt>
                <c:pt idx="22">
                  <c:v>176.21148501908058</c:v>
                </c:pt>
                <c:pt idx="23">
                  <c:v>176.51659309511851</c:v>
                </c:pt>
                <c:pt idx="24">
                  <c:v>176.93169273458369</c:v>
                </c:pt>
                <c:pt idx="25">
                  <c:v>177.42715663454106</c:v>
                </c:pt>
                <c:pt idx="26">
                  <c:v>177.76443110392691</c:v>
                </c:pt>
                <c:pt idx="27">
                  <c:v>178.10201332415477</c:v>
                </c:pt>
                <c:pt idx="28">
                  <c:v>178.45918137953478</c:v>
                </c:pt>
                <c:pt idx="29">
                  <c:v>178.42194513428029</c:v>
                </c:pt>
                <c:pt idx="30">
                  <c:v>178.34731511307311</c:v>
                </c:pt>
                <c:pt idx="31">
                  <c:v>179.00540065480985</c:v>
                </c:pt>
                <c:pt idx="32">
                  <c:v>179.64018603853779</c:v>
                </c:pt>
                <c:pt idx="33">
                  <c:v>180.25528241792702</c:v>
                </c:pt>
                <c:pt idx="34">
                  <c:v>180.77820058657298</c:v>
                </c:pt>
                <c:pt idx="35">
                  <c:v>181.9101893525241</c:v>
                </c:pt>
                <c:pt idx="36">
                  <c:v>183.26281436428715</c:v>
                </c:pt>
                <c:pt idx="37">
                  <c:v>184.14475256696451</c:v>
                </c:pt>
                <c:pt idx="38">
                  <c:v>184.89869472256859</c:v>
                </c:pt>
                <c:pt idx="39">
                  <c:v>185.86181273856499</c:v>
                </c:pt>
                <c:pt idx="40">
                  <c:v>187.00909502379531</c:v>
                </c:pt>
                <c:pt idx="41">
                  <c:v>187.748783595492</c:v>
                </c:pt>
                <c:pt idx="42">
                  <c:v>188.68463694335824</c:v>
                </c:pt>
                <c:pt idx="43">
                  <c:v>189.82341795925333</c:v>
                </c:pt>
                <c:pt idx="44">
                  <c:v>190.99698693804584</c:v>
                </c:pt>
                <c:pt idx="45">
                  <c:v>191.64007924034331</c:v>
                </c:pt>
                <c:pt idx="46">
                  <c:v>192.10388114422665</c:v>
                </c:pt>
                <c:pt idx="47">
                  <c:v>192.39907852498828</c:v>
                </c:pt>
                <c:pt idx="48">
                  <c:v>192.85545510283256</c:v>
                </c:pt>
                <c:pt idx="49">
                  <c:v>193.07225762174224</c:v>
                </c:pt>
                <c:pt idx="50">
                  <c:v>192.67856269672566</c:v>
                </c:pt>
                <c:pt idx="51">
                  <c:v>193.03322309089106</c:v>
                </c:pt>
                <c:pt idx="52">
                  <c:v>193.55609621408578</c:v>
                </c:pt>
                <c:pt idx="53">
                  <c:v>194.1877005404703</c:v>
                </c:pt>
                <c:pt idx="54">
                  <c:v>195.39241850733995</c:v>
                </c:pt>
                <c:pt idx="55">
                  <c:v>197.30623532013351</c:v>
                </c:pt>
                <c:pt idx="56">
                  <c:v>198.28867476654241</c:v>
                </c:pt>
                <c:pt idx="57">
                  <c:v>198.67394307640396</c:v>
                </c:pt>
                <c:pt idx="58">
                  <c:v>199.05335169187487</c:v>
                </c:pt>
                <c:pt idx="59">
                  <c:v>200.14686028742983</c:v>
                </c:pt>
                <c:pt idx="60">
                  <c:v>201.32701776983455</c:v>
                </c:pt>
                <c:pt idx="61">
                  <c:v>201.89505545872572</c:v>
                </c:pt>
                <c:pt idx="62">
                  <c:v>202.40333041044232</c:v>
                </c:pt>
                <c:pt idx="63">
                  <c:v>202.83398436322832</c:v>
                </c:pt>
                <c:pt idx="64">
                  <c:v>202.92359702702393</c:v>
                </c:pt>
                <c:pt idx="65">
                  <c:v>202.9743707548418</c:v>
                </c:pt>
                <c:pt idx="66">
                  <c:v>203.05630020953836</c:v>
                </c:pt>
                <c:pt idx="67">
                  <c:v>202.8242092205999</c:v>
                </c:pt>
                <c:pt idx="68">
                  <c:v>202.56550467520597</c:v>
                </c:pt>
                <c:pt idx="69">
                  <c:v>202.41977758813547</c:v>
                </c:pt>
                <c:pt idx="70">
                  <c:v>203.79487771170156</c:v>
                </c:pt>
                <c:pt idx="71">
                  <c:v>205.05164050961207</c:v>
                </c:pt>
                <c:pt idx="72">
                  <c:v>206.46796741795788</c:v>
                </c:pt>
                <c:pt idx="73">
                  <c:v>207.55599111366502</c:v>
                </c:pt>
                <c:pt idx="74">
                  <c:v>207.95908486610497</c:v>
                </c:pt>
                <c:pt idx="75">
                  <c:v>207.43385561800278</c:v>
                </c:pt>
                <c:pt idx="76">
                  <c:v>207.03397242417475</c:v>
                </c:pt>
                <c:pt idx="77">
                  <c:v>206.85768617684005</c:v>
                </c:pt>
                <c:pt idx="78">
                  <c:v>206.64246032324394</c:v>
                </c:pt>
                <c:pt idx="79">
                  <c:v>205.9344170612446</c:v>
                </c:pt>
                <c:pt idx="80">
                  <c:v>205.05475785644367</c:v>
                </c:pt>
                <c:pt idx="81">
                  <c:v>204.34985074048996</c:v>
                </c:pt>
                <c:pt idx="82">
                  <c:v>203.50146215441657</c:v>
                </c:pt>
                <c:pt idx="83">
                  <c:v>202.70360447473183</c:v>
                </c:pt>
                <c:pt idx="84">
                  <c:v>202.28213112713505</c:v>
                </c:pt>
                <c:pt idx="85">
                  <c:v>201.46261671419595</c:v>
                </c:pt>
                <c:pt idx="86">
                  <c:v>200.47880289491238</c:v>
                </c:pt>
                <c:pt idx="87">
                  <c:v>199.68123553401432</c:v>
                </c:pt>
                <c:pt idx="88">
                  <c:v>199.71283923244485</c:v>
                </c:pt>
                <c:pt idx="89">
                  <c:v>200.10789148841411</c:v>
                </c:pt>
                <c:pt idx="90">
                  <c:v>201.16757239737527</c:v>
                </c:pt>
                <c:pt idx="91">
                  <c:v>201.97882483179555</c:v>
                </c:pt>
                <c:pt idx="92">
                  <c:v>202.80866435079332</c:v>
                </c:pt>
                <c:pt idx="93">
                  <c:v>203.17121116595877</c:v>
                </c:pt>
                <c:pt idx="94">
                  <c:v>203.30779777497233</c:v>
                </c:pt>
                <c:pt idx="95">
                  <c:v>204.46828064297915</c:v>
                </c:pt>
                <c:pt idx="96">
                  <c:v>204.3492451992976</c:v>
                </c:pt>
                <c:pt idx="97">
                  <c:v>204.72640956792773</c:v>
                </c:pt>
                <c:pt idx="98">
                  <c:v>204.9369385519463</c:v>
                </c:pt>
                <c:pt idx="99">
                  <c:v>205.01309885068707</c:v>
                </c:pt>
                <c:pt idx="100">
                  <c:v>205.4640627522862</c:v>
                </c:pt>
                <c:pt idx="101">
                  <c:v>205.69427183007249</c:v>
                </c:pt>
                <c:pt idx="102">
                  <c:v>205.64473102699361</c:v>
                </c:pt>
                <c:pt idx="103">
                  <c:v>205.62963497358999</c:v>
                </c:pt>
                <c:pt idx="104">
                  <c:v>205.90879229001908</c:v>
                </c:pt>
                <c:pt idx="105">
                  <c:v>205.66642518140333</c:v>
                </c:pt>
                <c:pt idx="106">
                  <c:v>205.19968130931841</c:v>
                </c:pt>
                <c:pt idx="107">
                  <c:v>204.43460736730199</c:v>
                </c:pt>
                <c:pt idx="108">
                  <c:v>204.31783250059416</c:v>
                </c:pt>
                <c:pt idx="109">
                  <c:v>204.3392450960396</c:v>
                </c:pt>
                <c:pt idx="110">
                  <c:v>204.36076746196255</c:v>
                </c:pt>
                <c:pt idx="111">
                  <c:v>204.72234348214732</c:v>
                </c:pt>
                <c:pt idx="112">
                  <c:v>205.23969332514073</c:v>
                </c:pt>
                <c:pt idx="113">
                  <c:v>205.07885180554467</c:v>
                </c:pt>
                <c:pt idx="114">
                  <c:v>204.71861857273223</c:v>
                </c:pt>
                <c:pt idx="115">
                  <c:v>203.57807625906318</c:v>
                </c:pt>
                <c:pt idx="116">
                  <c:v>203.57628019755845</c:v>
                </c:pt>
                <c:pt idx="117">
                  <c:v>203.49172438309762</c:v>
                </c:pt>
                <c:pt idx="118">
                  <c:v>203.41713009913869</c:v>
                </c:pt>
                <c:pt idx="119">
                  <c:v>203.53226337897541</c:v>
                </c:pt>
                <c:pt idx="120">
                  <c:v>203.23096396253919</c:v>
                </c:pt>
                <c:pt idx="121">
                  <c:v>203.05446351957349</c:v>
                </c:pt>
                <c:pt idx="122">
                  <c:v>203.15290977371288</c:v>
                </c:pt>
                <c:pt idx="123">
                  <c:v>203.63951042400677</c:v>
                </c:pt>
                <c:pt idx="124">
                  <c:v>204.37719304208827</c:v>
                </c:pt>
                <c:pt idx="125">
                  <c:v>206.20984207428114</c:v>
                </c:pt>
                <c:pt idx="126">
                  <c:v>207.96239874731202</c:v>
                </c:pt>
                <c:pt idx="127">
                  <c:v>208.70531782944497</c:v>
                </c:pt>
                <c:pt idx="128">
                  <c:v>209.43919248986808</c:v>
                </c:pt>
                <c:pt idx="129">
                  <c:v>210.47532541042969</c:v>
                </c:pt>
                <c:pt idx="130">
                  <c:v>211.46529207689136</c:v>
                </c:pt>
                <c:pt idx="131">
                  <c:v>212.2065349465573</c:v>
                </c:pt>
                <c:pt idx="132">
                  <c:v>212.10912243318006</c:v>
                </c:pt>
                <c:pt idx="133">
                  <c:v>212.89516393249431</c:v>
                </c:pt>
                <c:pt idx="134">
                  <c:v>214.21414944501848</c:v>
                </c:pt>
                <c:pt idx="135">
                  <c:v>216.1342863379862</c:v>
                </c:pt>
                <c:pt idx="136">
                  <c:v>216.47797847461004</c:v>
                </c:pt>
                <c:pt idx="137">
                  <c:v>216.79341075271043</c:v>
                </c:pt>
                <c:pt idx="138">
                  <c:v>216.74936784730434</c:v>
                </c:pt>
                <c:pt idx="139">
                  <c:v>216.83781968334534</c:v>
                </c:pt>
                <c:pt idx="140">
                  <c:v>216.45916352337235</c:v>
                </c:pt>
                <c:pt idx="141">
                  <c:v>215.69125259878561</c:v>
                </c:pt>
                <c:pt idx="142">
                  <c:v>215.33150069241682</c:v>
                </c:pt>
                <c:pt idx="143">
                  <c:v>215.09485690769603</c:v>
                </c:pt>
                <c:pt idx="144">
                  <c:v>215.90690994913791</c:v>
                </c:pt>
                <c:pt idx="145">
                  <c:v>216.2529081524815</c:v>
                </c:pt>
                <c:pt idx="146">
                  <c:v>216.25060427866728</c:v>
                </c:pt>
                <c:pt idx="147">
                  <c:v>217.24178271823658</c:v>
                </c:pt>
                <c:pt idx="148">
                  <c:v>218.95964605866655</c:v>
                </c:pt>
                <c:pt idx="149">
                  <c:v>219.30414010027036</c:v>
                </c:pt>
                <c:pt idx="150">
                  <c:v>219.54262950926767</c:v>
                </c:pt>
                <c:pt idx="151">
                  <c:v>219.52210439390061</c:v>
                </c:pt>
                <c:pt idx="152">
                  <c:v>219.52239961737016</c:v>
                </c:pt>
                <c:pt idx="153">
                  <c:v>219.32058018672402</c:v>
                </c:pt>
                <c:pt idx="154">
                  <c:v>218.71561375000988</c:v>
                </c:pt>
                <c:pt idx="155">
                  <c:v>217.58784578178154</c:v>
                </c:pt>
                <c:pt idx="156">
                  <c:v>217.77616485870726</c:v>
                </c:pt>
                <c:pt idx="157">
                  <c:v>218.35256653134905</c:v>
                </c:pt>
                <c:pt idx="158">
                  <c:v>219.12037524988187</c:v>
                </c:pt>
                <c:pt idx="159">
                  <c:v>219.6753834216334</c:v>
                </c:pt>
                <c:pt idx="160">
                  <c:v>220.3404148681191</c:v>
                </c:pt>
                <c:pt idx="161">
                  <c:v>221.29933683936954</c:v>
                </c:pt>
                <c:pt idx="162">
                  <c:v>222.23641923494051</c:v>
                </c:pt>
                <c:pt idx="163">
                  <c:v>223.39610921255291</c:v>
                </c:pt>
                <c:pt idx="164">
                  <c:v>224.24346030901512</c:v>
                </c:pt>
                <c:pt idx="165">
                  <c:v>225.51917114317874</c:v>
                </c:pt>
                <c:pt idx="166">
                  <c:v>227.10320646113868</c:v>
                </c:pt>
                <c:pt idx="167">
                  <c:v>228.54623240186982</c:v>
                </c:pt>
                <c:pt idx="168">
                  <c:v>228.03864731627414</c:v>
                </c:pt>
                <c:pt idx="169">
                  <c:v>227.84078351998474</c:v>
                </c:pt>
                <c:pt idx="170">
                  <c:v>227.05227300303281</c:v>
                </c:pt>
                <c:pt idx="171">
                  <c:v>226.35027572684868</c:v>
                </c:pt>
                <c:pt idx="172">
                  <c:v>225.85565427173759</c:v>
                </c:pt>
                <c:pt idx="173">
                  <c:v>225.96415582461503</c:v>
                </c:pt>
                <c:pt idx="174">
                  <c:v>226.0579118287497</c:v>
                </c:pt>
                <c:pt idx="175">
                  <c:v>226.44526008888238</c:v>
                </c:pt>
                <c:pt idx="176">
                  <c:v>227.15982938200384</c:v>
                </c:pt>
                <c:pt idx="177">
                  <c:v>227.3434672269351</c:v>
                </c:pt>
                <c:pt idx="178">
                  <c:v>227.32787454481866</c:v>
                </c:pt>
                <c:pt idx="179">
                  <c:v>227.41692761982216</c:v>
                </c:pt>
                <c:pt idx="180">
                  <c:v>227.34295785004795</c:v>
                </c:pt>
                <c:pt idx="181">
                  <c:v>227.10185582084432</c:v>
                </c:pt>
                <c:pt idx="182">
                  <c:v>226.65474432683644</c:v>
                </c:pt>
                <c:pt idx="183">
                  <c:v>226.05167115442038</c:v>
                </c:pt>
                <c:pt idx="184">
                  <c:v>225.20899064822359</c:v>
                </c:pt>
                <c:pt idx="185">
                  <c:v>224.04376537827767</c:v>
                </c:pt>
                <c:pt idx="186">
                  <c:v>222.51029199504111</c:v>
                </c:pt>
                <c:pt idx="187">
                  <c:v>219.88627680977885</c:v>
                </c:pt>
                <c:pt idx="188">
                  <c:v>218.23345550153553</c:v>
                </c:pt>
                <c:pt idx="189">
                  <c:v>216.50780225734192</c:v>
                </c:pt>
                <c:pt idx="190">
                  <c:v>215.07725107459555</c:v>
                </c:pt>
                <c:pt idx="191">
                  <c:v>214.89430674970032</c:v>
                </c:pt>
                <c:pt idx="192">
                  <c:v>213.43197336459525</c:v>
                </c:pt>
                <c:pt idx="193">
                  <c:v>213.50510722696657</c:v>
                </c:pt>
                <c:pt idx="194">
                  <c:v>214.12918670411494</c:v>
                </c:pt>
                <c:pt idx="195">
                  <c:v>214.49483156534245</c:v>
                </c:pt>
                <c:pt idx="196">
                  <c:v>217.44942448700073</c:v>
                </c:pt>
                <c:pt idx="197">
                  <c:v>219.54920159954472</c:v>
                </c:pt>
                <c:pt idx="198">
                  <c:v>221.51503071906996</c:v>
                </c:pt>
                <c:pt idx="199">
                  <c:v>223.41225677927238</c:v>
                </c:pt>
                <c:pt idx="200">
                  <c:v>225.25053229913422</c:v>
                </c:pt>
                <c:pt idx="201">
                  <c:v>227.04669402781511</c:v>
                </c:pt>
                <c:pt idx="202">
                  <c:v>228.1415797897069</c:v>
                </c:pt>
                <c:pt idx="203">
                  <c:v>229.31293636177961</c:v>
                </c:pt>
                <c:pt idx="204">
                  <c:v>230.19749050538746</c:v>
                </c:pt>
                <c:pt idx="205">
                  <c:v>231.18132757330028</c:v>
                </c:pt>
                <c:pt idx="206">
                  <c:v>231.65946336749144</c:v>
                </c:pt>
                <c:pt idx="207">
                  <c:v>232.49116090400531</c:v>
                </c:pt>
                <c:pt idx="208">
                  <c:v>232.44698218387404</c:v>
                </c:pt>
                <c:pt idx="209">
                  <c:v>232.35290860324872</c:v>
                </c:pt>
                <c:pt idx="210">
                  <c:v>231.20154375997646</c:v>
                </c:pt>
                <c:pt idx="211">
                  <c:v>230.87173183296503</c:v>
                </c:pt>
                <c:pt idx="212">
                  <c:v>230.08293188229987</c:v>
                </c:pt>
                <c:pt idx="213">
                  <c:v>228.92053131532967</c:v>
                </c:pt>
                <c:pt idx="214">
                  <c:v>236.02139386773774</c:v>
                </c:pt>
                <c:pt idx="215">
                  <c:v>237.28293765891726</c:v>
                </c:pt>
                <c:pt idx="216">
                  <c:v>239.05031650453145</c:v>
                </c:pt>
                <c:pt idx="217">
                  <c:v>241.0783998526459</c:v>
                </c:pt>
                <c:pt idx="218">
                  <c:v>242.88809868176077</c:v>
                </c:pt>
                <c:pt idx="219">
                  <c:v>244.80317611364811</c:v>
                </c:pt>
                <c:pt idx="220">
                  <c:v>246.62186209544595</c:v>
                </c:pt>
                <c:pt idx="221">
                  <c:v>248.92563601529474</c:v>
                </c:pt>
                <c:pt idx="222">
                  <c:v>250.81522586632298</c:v>
                </c:pt>
                <c:pt idx="223">
                  <c:v>252.13120271003842</c:v>
                </c:pt>
                <c:pt idx="224">
                  <c:v>252.88749537020328</c:v>
                </c:pt>
                <c:pt idx="225">
                  <c:v>254.1359179619034</c:v>
                </c:pt>
                <c:pt idx="226">
                  <c:v>255.62602104427799</c:v>
                </c:pt>
                <c:pt idx="227">
                  <c:v>257.33502201474016</c:v>
                </c:pt>
                <c:pt idx="228">
                  <c:v>258.4333454792</c:v>
                </c:pt>
                <c:pt idx="229">
                  <c:v>259.28815333351764</c:v>
                </c:pt>
                <c:pt idx="230">
                  <c:v>259.41583242475491</c:v>
                </c:pt>
                <c:pt idx="231">
                  <c:v>258.74089135029544</c:v>
                </c:pt>
                <c:pt idx="232">
                  <c:v>256.44058962496575</c:v>
                </c:pt>
                <c:pt idx="233">
                  <c:v>252.82586336616663</c:v>
                </c:pt>
                <c:pt idx="234">
                  <c:v>252.66521746529571</c:v>
                </c:pt>
                <c:pt idx="235">
                  <c:v>252.50005187491627</c:v>
                </c:pt>
                <c:pt idx="236">
                  <c:v>251.97647332884708</c:v>
                </c:pt>
                <c:pt idx="237">
                  <c:v>251.70554368608438</c:v>
                </c:pt>
                <c:pt idx="238">
                  <c:v>251.40393719739598</c:v>
                </c:pt>
                <c:pt idx="239">
                  <c:v>251.36966088756205</c:v>
                </c:pt>
                <c:pt idx="240">
                  <c:v>251.56963728143893</c:v>
                </c:pt>
                <c:pt idx="241">
                  <c:v>251.78823345956465</c:v>
                </c:pt>
                <c:pt idx="242">
                  <c:v>252.08292708412355</c:v>
                </c:pt>
                <c:pt idx="243">
                  <c:v>253.83253560365031</c:v>
                </c:pt>
                <c:pt idx="244">
                  <c:v>254.55564142862661</c:v>
                </c:pt>
                <c:pt idx="245">
                  <c:v>254.51251295589176</c:v>
                </c:pt>
                <c:pt idx="246">
                  <c:v>253.92490744725905</c:v>
                </c:pt>
                <c:pt idx="247">
                  <c:v>252.95250948026458</c:v>
                </c:pt>
                <c:pt idx="248">
                  <c:v>252.00425303484653</c:v>
                </c:pt>
                <c:pt idx="249">
                  <c:v>250.88606307865007</c:v>
                </c:pt>
                <c:pt idx="250">
                  <c:v>249.58810099504723</c:v>
                </c:pt>
                <c:pt idx="251">
                  <c:v>248.92403802238078</c:v>
                </c:pt>
                <c:pt idx="252">
                  <c:v>248.46212671411413</c:v>
                </c:pt>
                <c:pt idx="253">
                  <c:v>248.44718513965708</c:v>
                </c:pt>
                <c:pt idx="254">
                  <c:v>247.86986678438134</c:v>
                </c:pt>
                <c:pt idx="255">
                  <c:v>247.04468160232088</c:v>
                </c:pt>
                <c:pt idx="256">
                  <c:v>246.94044368214418</c:v>
                </c:pt>
                <c:pt idx="257">
                  <c:v>246.66353432773587</c:v>
                </c:pt>
                <c:pt idx="258">
                  <c:v>246.7806006891048</c:v>
                </c:pt>
                <c:pt idx="259">
                  <c:v>247.84113233182683</c:v>
                </c:pt>
                <c:pt idx="260">
                  <c:v>250.1883398360151</c:v>
                </c:pt>
                <c:pt idx="261">
                  <c:v>252.65137798975738</c:v>
                </c:pt>
                <c:pt idx="262">
                  <c:v>256.06756105460892</c:v>
                </c:pt>
                <c:pt idx="263">
                  <c:v>259.27099252223718</c:v>
                </c:pt>
                <c:pt idx="264">
                  <c:v>261.92896452032522</c:v>
                </c:pt>
                <c:pt idx="265">
                  <c:v>265.19822322200559</c:v>
                </c:pt>
                <c:pt idx="266">
                  <c:v>267.65126367318675</c:v>
                </c:pt>
                <c:pt idx="267">
                  <c:v>270.07843640233455</c:v>
                </c:pt>
                <c:pt idx="268">
                  <c:v>272.44858604836031</c:v>
                </c:pt>
                <c:pt idx="269">
                  <c:v>274.29651483638213</c:v>
                </c:pt>
                <c:pt idx="270">
                  <c:v>275.98833805717942</c:v>
                </c:pt>
                <c:pt idx="271">
                  <c:v>277.16425711236036</c:v>
                </c:pt>
                <c:pt idx="272">
                  <c:v>277.92711267063015</c:v>
                </c:pt>
                <c:pt idx="273">
                  <c:v>278.83991244563532</c:v>
                </c:pt>
                <c:pt idx="274">
                  <c:v>279.52945276348214</c:v>
                </c:pt>
                <c:pt idx="275">
                  <c:v>281.27242099327481</c:v>
                </c:pt>
                <c:pt idx="276">
                  <c:v>282.20241094973483</c:v>
                </c:pt>
                <c:pt idx="277">
                  <c:v>281.03822860988697</c:v>
                </c:pt>
                <c:pt idx="278">
                  <c:v>280.53531919220381</c:v>
                </c:pt>
                <c:pt idx="279">
                  <c:v>279.97844705623572</c:v>
                </c:pt>
                <c:pt idx="280">
                  <c:v>279.92234324511878</c:v>
                </c:pt>
                <c:pt idx="281">
                  <c:v>279.70945230720071</c:v>
                </c:pt>
                <c:pt idx="282">
                  <c:v>280.6972783550948</c:v>
                </c:pt>
                <c:pt idx="283">
                  <c:v>281.68103704327501</c:v>
                </c:pt>
                <c:pt idx="284">
                  <c:v>281.37583908109025</c:v>
                </c:pt>
                <c:pt idx="285">
                  <c:v>281.50303618937613</c:v>
                </c:pt>
                <c:pt idx="286">
                  <c:v>281.87745666192598</c:v>
                </c:pt>
                <c:pt idx="287">
                  <c:v>282.84899371359103</c:v>
                </c:pt>
                <c:pt idx="288">
                  <c:v>283.43890159252027</c:v>
                </c:pt>
                <c:pt idx="289">
                  <c:v>283.88198865804088</c:v>
                </c:pt>
                <c:pt idx="290">
                  <c:v>283.87248602527166</c:v>
                </c:pt>
                <c:pt idx="291">
                  <c:v>284.06168034942101</c:v>
                </c:pt>
                <c:pt idx="292">
                  <c:v>285.47717832639125</c:v>
                </c:pt>
                <c:pt idx="293">
                  <c:v>286.24939684970951</c:v>
                </c:pt>
                <c:pt idx="294">
                  <c:v>287.21513789226026</c:v>
                </c:pt>
                <c:pt idx="295">
                  <c:v>287.46063788139099</c:v>
                </c:pt>
                <c:pt idx="296">
                  <c:v>288.84179881618456</c:v>
                </c:pt>
                <c:pt idx="297">
                  <c:v>290.29618357154641</c:v>
                </c:pt>
                <c:pt idx="298">
                  <c:v>290.40676358822867</c:v>
                </c:pt>
                <c:pt idx="299">
                  <c:v>289.93296256778405</c:v>
                </c:pt>
                <c:pt idx="300">
                  <c:v>287.74580368747172</c:v>
                </c:pt>
                <c:pt idx="301">
                  <c:v>284.8165203706568</c:v>
                </c:pt>
                <c:pt idx="302">
                  <c:v>280.41299854344419</c:v>
                </c:pt>
                <c:pt idx="303">
                  <c:v>275.22399506796808</c:v>
                </c:pt>
                <c:pt idx="304">
                  <c:v>272.41825922611071</c:v>
                </c:pt>
                <c:pt idx="305">
                  <c:v>269.83769380794411</c:v>
                </c:pt>
                <c:pt idx="306">
                  <c:v>267.97697769944381</c:v>
                </c:pt>
                <c:pt idx="307">
                  <c:v>267.07443203251268</c:v>
                </c:pt>
                <c:pt idx="308">
                  <c:v>265.86529744797468</c:v>
                </c:pt>
                <c:pt idx="309">
                  <c:v>264.20048701844496</c:v>
                </c:pt>
                <c:pt idx="310">
                  <c:v>260.45198462201296</c:v>
                </c:pt>
                <c:pt idx="311">
                  <c:v>257.54358509040992</c:v>
                </c:pt>
                <c:pt idx="312">
                  <c:v>256.6731769824126</c:v>
                </c:pt>
                <c:pt idx="313">
                  <c:v>255.74996052208479</c:v>
                </c:pt>
                <c:pt idx="314">
                  <c:v>255.31773420086984</c:v>
                </c:pt>
                <c:pt idx="315">
                  <c:v>258.12773946641721</c:v>
                </c:pt>
                <c:pt idx="316">
                  <c:v>259.60121821169884</c:v>
                </c:pt>
                <c:pt idx="317">
                  <c:v>260.4403307621285</c:v>
                </c:pt>
                <c:pt idx="318">
                  <c:v>260.4796125156563</c:v>
                </c:pt>
                <c:pt idx="319">
                  <c:v>260.40348304034404</c:v>
                </c:pt>
                <c:pt idx="320">
                  <c:v>260.51825476325297</c:v>
                </c:pt>
                <c:pt idx="321">
                  <c:v>260.54158291727174</c:v>
                </c:pt>
                <c:pt idx="322">
                  <c:v>260.49126136951048</c:v>
                </c:pt>
                <c:pt idx="323">
                  <c:v>260.18106222521624</c:v>
                </c:pt>
                <c:pt idx="324">
                  <c:v>259.85558894606908</c:v>
                </c:pt>
                <c:pt idx="325">
                  <c:v>259.23699639680444</c:v>
                </c:pt>
                <c:pt idx="326">
                  <c:v>257.83683520023897</c:v>
                </c:pt>
                <c:pt idx="327">
                  <c:v>256.20983344921211</c:v>
                </c:pt>
                <c:pt idx="328">
                  <c:v>255.02537681193081</c:v>
                </c:pt>
                <c:pt idx="329">
                  <c:v>254.23612021055095</c:v>
                </c:pt>
                <c:pt idx="330">
                  <c:v>254.29051115647502</c:v>
                </c:pt>
                <c:pt idx="331">
                  <c:v>254.17717875164834</c:v>
                </c:pt>
                <c:pt idx="332">
                  <c:v>254.32908077601124</c:v>
                </c:pt>
                <c:pt idx="333">
                  <c:v>254.52100634887825</c:v>
                </c:pt>
                <c:pt idx="334">
                  <c:v>257.20757719745063</c:v>
                </c:pt>
                <c:pt idx="335">
                  <c:v>257.53117997521309</c:v>
                </c:pt>
                <c:pt idx="336">
                  <c:v>257.08703514072289</c:v>
                </c:pt>
                <c:pt idx="337">
                  <c:v>256.23941124247699</c:v>
                </c:pt>
                <c:pt idx="338">
                  <c:v>257.9887456867184</c:v>
                </c:pt>
                <c:pt idx="339">
                  <c:v>258.72615607085834</c:v>
                </c:pt>
                <c:pt idx="340">
                  <c:v>261.41767546881056</c:v>
                </c:pt>
                <c:pt idx="341">
                  <c:v>264.28704500328536</c:v>
                </c:pt>
                <c:pt idx="342">
                  <c:v>267.12706918523298</c:v>
                </c:pt>
                <c:pt idx="343">
                  <c:v>269.3792233478755</c:v>
                </c:pt>
                <c:pt idx="344">
                  <c:v>271.26681694961718</c:v>
                </c:pt>
                <c:pt idx="345">
                  <c:v>271.44059153360109</c:v>
                </c:pt>
                <c:pt idx="346">
                  <c:v>272.18752405299648</c:v>
                </c:pt>
                <c:pt idx="347">
                  <c:v>272.44936789400975</c:v>
                </c:pt>
                <c:pt idx="348">
                  <c:v>272.7890285783468</c:v>
                </c:pt>
                <c:pt idx="349">
                  <c:v>272.84507767343035</c:v>
                </c:pt>
                <c:pt idx="350">
                  <c:v>273.19670790270828</c:v>
                </c:pt>
                <c:pt idx="351">
                  <c:v>273.14238877336908</c:v>
                </c:pt>
                <c:pt idx="352">
                  <c:v>272.846723755482</c:v>
                </c:pt>
                <c:pt idx="353">
                  <c:v>272.49098203909637</c:v>
                </c:pt>
                <c:pt idx="354">
                  <c:v>272.69071501817365</c:v>
                </c:pt>
                <c:pt idx="355">
                  <c:v>272.94496027906928</c:v>
                </c:pt>
                <c:pt idx="356">
                  <c:v>272.17793158387974</c:v>
                </c:pt>
                <c:pt idx="357">
                  <c:v>270.75959390237637</c:v>
                </c:pt>
                <c:pt idx="358">
                  <c:v>270.09611383128976</c:v>
                </c:pt>
                <c:pt idx="359">
                  <c:v>268.76547346641121</c:v>
                </c:pt>
                <c:pt idx="360">
                  <c:v>269.16890635307379</c:v>
                </c:pt>
                <c:pt idx="361">
                  <c:v>269.62331204667879</c:v>
                </c:pt>
                <c:pt idx="362">
                  <c:v>269.97968559731976</c:v>
                </c:pt>
                <c:pt idx="363">
                  <c:v>269.71183850123901</c:v>
                </c:pt>
                <c:pt idx="364">
                  <c:v>270.3189749705034</c:v>
                </c:pt>
                <c:pt idx="365">
                  <c:v>270.92084633573262</c:v>
                </c:pt>
                <c:pt idx="366">
                  <c:v>272.54792162410314</c:v>
                </c:pt>
                <c:pt idx="367">
                  <c:v>274.06016867022544</c:v>
                </c:pt>
                <c:pt idx="368">
                  <c:v>276.13713259362714</c:v>
                </c:pt>
                <c:pt idx="369">
                  <c:v>278.62170686998655</c:v>
                </c:pt>
                <c:pt idx="370">
                  <c:v>281.62376726583909</c:v>
                </c:pt>
                <c:pt idx="371">
                  <c:v>285.33883516034803</c:v>
                </c:pt>
                <c:pt idx="372">
                  <c:v>287.92298760822791</c:v>
                </c:pt>
                <c:pt idx="373">
                  <c:v>290.72447976195298</c:v>
                </c:pt>
                <c:pt idx="374">
                  <c:v>293.19035949350655</c:v>
                </c:pt>
                <c:pt idx="375">
                  <c:v>295.66959489808181</c:v>
                </c:pt>
                <c:pt idx="376">
                  <c:v>298.49716603630264</c:v>
                </c:pt>
                <c:pt idx="377">
                  <c:v>299.74950742303741</c:v>
                </c:pt>
                <c:pt idx="378">
                  <c:v>299.78705086938385</c:v>
                </c:pt>
                <c:pt idx="379">
                  <c:v>299.76609365156105</c:v>
                </c:pt>
                <c:pt idx="380">
                  <c:v>300.25019622760055</c:v>
                </c:pt>
                <c:pt idx="381">
                  <c:v>300.30393874607961</c:v>
                </c:pt>
                <c:pt idx="382">
                  <c:v>300.30731266175718</c:v>
                </c:pt>
                <c:pt idx="383">
                  <c:v>299.13004917256831</c:v>
                </c:pt>
                <c:pt idx="384">
                  <c:v>298.39787466515691</c:v>
                </c:pt>
                <c:pt idx="385">
                  <c:v>297.40147182249865</c:v>
                </c:pt>
                <c:pt idx="386">
                  <c:v>296.9571412705954</c:v>
                </c:pt>
                <c:pt idx="387">
                  <c:v>296.19267097192198</c:v>
                </c:pt>
                <c:pt idx="388">
                  <c:v>295.74269531757113</c:v>
                </c:pt>
                <c:pt idx="389">
                  <c:v>296.63492049118094</c:v>
                </c:pt>
                <c:pt idx="390">
                  <c:v>297.55584529559195</c:v>
                </c:pt>
                <c:pt idx="391">
                  <c:v>298.97553561406306</c:v>
                </c:pt>
                <c:pt idx="392">
                  <c:v>300.09978512535008</c:v>
                </c:pt>
                <c:pt idx="393">
                  <c:v>300.85016372591241</c:v>
                </c:pt>
                <c:pt idx="394">
                  <c:v>302.01243567576336</c:v>
                </c:pt>
                <c:pt idx="395">
                  <c:v>302.4278069627822</c:v>
                </c:pt>
                <c:pt idx="396">
                  <c:v>301.96172812221283</c:v>
                </c:pt>
                <c:pt idx="397">
                  <c:v>302.14759344831964</c:v>
                </c:pt>
                <c:pt idx="398">
                  <c:v>301.72525734074065</c:v>
                </c:pt>
                <c:pt idx="399">
                  <c:v>301.19891311621745</c:v>
                </c:pt>
                <c:pt idx="400">
                  <c:v>301.28157775650971</c:v>
                </c:pt>
                <c:pt idx="401">
                  <c:v>301.16552033973045</c:v>
                </c:pt>
                <c:pt idx="402">
                  <c:v>301.13764655237446</c:v>
                </c:pt>
                <c:pt idx="403">
                  <c:v>300.97852563600549</c:v>
                </c:pt>
                <c:pt idx="404">
                  <c:v>300.60699884214716</c:v>
                </c:pt>
                <c:pt idx="405">
                  <c:v>300.6803556769691</c:v>
                </c:pt>
                <c:pt idx="406">
                  <c:v>300.69448643690799</c:v>
                </c:pt>
                <c:pt idx="407">
                  <c:v>300.6903611615403</c:v>
                </c:pt>
                <c:pt idx="408">
                  <c:v>300.70034368193569</c:v>
                </c:pt>
                <c:pt idx="409">
                  <c:v>300.29790823772998</c:v>
                </c:pt>
                <c:pt idx="410">
                  <c:v>299.87806404602554</c:v>
                </c:pt>
                <c:pt idx="411">
                  <c:v>299.41815139427422</c:v>
                </c:pt>
                <c:pt idx="412">
                  <c:v>298.81184129811311</c:v>
                </c:pt>
                <c:pt idx="413">
                  <c:v>299.1518053656132</c:v>
                </c:pt>
                <c:pt idx="414">
                  <c:v>299.05667951659245</c:v>
                </c:pt>
                <c:pt idx="415">
                  <c:v>300.17460116002121</c:v>
                </c:pt>
                <c:pt idx="416">
                  <c:v>301.53230755342679</c:v>
                </c:pt>
                <c:pt idx="417">
                  <c:v>302.27702979119232</c:v>
                </c:pt>
                <c:pt idx="418">
                  <c:v>302.99291180565001</c:v>
                </c:pt>
                <c:pt idx="419">
                  <c:v>304.51523370713238</c:v>
                </c:pt>
                <c:pt idx="420">
                  <c:v>304.19165834927031</c:v>
                </c:pt>
                <c:pt idx="421">
                  <c:v>303.97560235334919</c:v>
                </c:pt>
                <c:pt idx="422">
                  <c:v>304.02863573110255</c:v>
                </c:pt>
                <c:pt idx="423">
                  <c:v>304.57135711161044</c:v>
                </c:pt>
                <c:pt idx="424">
                  <c:v>305.90045511996192</c:v>
                </c:pt>
                <c:pt idx="425">
                  <c:v>307.49266119602197</c:v>
                </c:pt>
                <c:pt idx="426">
                  <c:v>309.07907717238447</c:v>
                </c:pt>
                <c:pt idx="427">
                  <c:v>310.48596442793263</c:v>
                </c:pt>
                <c:pt idx="428">
                  <c:v>312.08917738978488</c:v>
                </c:pt>
                <c:pt idx="429">
                  <c:v>313.83104773380916</c:v>
                </c:pt>
                <c:pt idx="430">
                  <c:v>315.45339635673668</c:v>
                </c:pt>
                <c:pt idx="431">
                  <c:v>316.63003940137588</c:v>
                </c:pt>
                <c:pt idx="432">
                  <c:v>317.53291144362726</c:v>
                </c:pt>
                <c:pt idx="433">
                  <c:v>318.59953449411654</c:v>
                </c:pt>
                <c:pt idx="434">
                  <c:v>319.53395573715306</c:v>
                </c:pt>
                <c:pt idx="435">
                  <c:v>320.84419790739787</c:v>
                </c:pt>
                <c:pt idx="436">
                  <c:v>321.92199963545488</c:v>
                </c:pt>
                <c:pt idx="437">
                  <c:v>322.71527561114624</c:v>
                </c:pt>
                <c:pt idx="438">
                  <c:v>322.77274725749555</c:v>
                </c:pt>
                <c:pt idx="439">
                  <c:v>322.79913689333006</c:v>
                </c:pt>
                <c:pt idx="440">
                  <c:v>321.8786196926759</c:v>
                </c:pt>
                <c:pt idx="441">
                  <c:v>319.95985275661411</c:v>
                </c:pt>
                <c:pt idx="442">
                  <c:v>318.62307149388806</c:v>
                </c:pt>
                <c:pt idx="443">
                  <c:v>317.95147856035533</c:v>
                </c:pt>
                <c:pt idx="444">
                  <c:v>317.95483112722883</c:v>
                </c:pt>
                <c:pt idx="445">
                  <c:v>318.80289474019088</c:v>
                </c:pt>
                <c:pt idx="446">
                  <c:v>318.8083921023142</c:v>
                </c:pt>
                <c:pt idx="447">
                  <c:v>319.2807283814073</c:v>
                </c:pt>
                <c:pt idx="448">
                  <c:v>319.16763486530016</c:v>
                </c:pt>
                <c:pt idx="449">
                  <c:v>319.59153282286178</c:v>
                </c:pt>
                <c:pt idx="450">
                  <c:v>319.59896272799682</c:v>
                </c:pt>
                <c:pt idx="451">
                  <c:v>319.22271419996594</c:v>
                </c:pt>
                <c:pt idx="452">
                  <c:v>319.14808350050237</c:v>
                </c:pt>
                <c:pt idx="453">
                  <c:v>319.08921192666827</c:v>
                </c:pt>
                <c:pt idx="454">
                  <c:v>318.62873445268849</c:v>
                </c:pt>
                <c:pt idx="455">
                  <c:v>316.96482733294971</c:v>
                </c:pt>
                <c:pt idx="456">
                  <c:v>315.20459805848446</c:v>
                </c:pt>
                <c:pt idx="457">
                  <c:v>313.34646150477198</c:v>
                </c:pt>
                <c:pt idx="458">
                  <c:v>312.53149094992472</c:v>
                </c:pt>
                <c:pt idx="459">
                  <c:v>312.85049200611292</c:v>
                </c:pt>
                <c:pt idx="460">
                  <c:v>313.07867046988019</c:v>
                </c:pt>
                <c:pt idx="461">
                  <c:v>313.10915383686495</c:v>
                </c:pt>
                <c:pt idx="462">
                  <c:v>313.35946105859603</c:v>
                </c:pt>
                <c:pt idx="463">
                  <c:v>314.42217996005849</c:v>
                </c:pt>
                <c:pt idx="464">
                  <c:v>315.65328418407711</c:v>
                </c:pt>
                <c:pt idx="465">
                  <c:v>317.06471323242414</c:v>
                </c:pt>
                <c:pt idx="466">
                  <c:v>318.60300775439424</c:v>
                </c:pt>
                <c:pt idx="467">
                  <c:v>319.97594880729179</c:v>
                </c:pt>
                <c:pt idx="468">
                  <c:v>322.14229271325007</c:v>
                </c:pt>
                <c:pt idx="469">
                  <c:v>322.26756683723892</c:v>
                </c:pt>
                <c:pt idx="470">
                  <c:v>321.99960701369628</c:v>
                </c:pt>
                <c:pt idx="471">
                  <c:v>322.07093985631087</c:v>
                </c:pt>
                <c:pt idx="472">
                  <c:v>321.88249999272233</c:v>
                </c:pt>
                <c:pt idx="473">
                  <c:v>321.09238561661982</c:v>
                </c:pt>
                <c:pt idx="474">
                  <c:v>320.56032684377016</c:v>
                </c:pt>
                <c:pt idx="475">
                  <c:v>320.79234557691274</c:v>
                </c:pt>
                <c:pt idx="476">
                  <c:v>321.14511326166968</c:v>
                </c:pt>
                <c:pt idx="477">
                  <c:v>321.15165899098452</c:v>
                </c:pt>
                <c:pt idx="478">
                  <c:v>321.22521055420151</c:v>
                </c:pt>
                <c:pt idx="479">
                  <c:v>321.6053113434001</c:v>
                </c:pt>
                <c:pt idx="480">
                  <c:v>321.41907054852061</c:v>
                </c:pt>
                <c:pt idx="481">
                  <c:v>321.32409473613029</c:v>
                </c:pt>
                <c:pt idx="482">
                  <c:v>321.59986059164527</c:v>
                </c:pt>
                <c:pt idx="483">
                  <c:v>322.21942141078284</c:v>
                </c:pt>
                <c:pt idx="484">
                  <c:v>322.44821712421833</c:v>
                </c:pt>
                <c:pt idx="485">
                  <c:v>322.59472648195174</c:v>
                </c:pt>
                <c:pt idx="486">
                  <c:v>321.53871575520844</c:v>
                </c:pt>
                <c:pt idx="487">
                  <c:v>320.79098642620875</c:v>
                </c:pt>
                <c:pt idx="488">
                  <c:v>320.074357151698</c:v>
                </c:pt>
                <c:pt idx="489">
                  <c:v>321.48606169335551</c:v>
                </c:pt>
                <c:pt idx="490">
                  <c:v>323.26848419728964</c:v>
                </c:pt>
                <c:pt idx="491">
                  <c:v>323.90672905335305</c:v>
                </c:pt>
                <c:pt idx="492">
                  <c:v>324.21840352550487</c:v>
                </c:pt>
                <c:pt idx="493">
                  <c:v>324.44959304507296</c:v>
                </c:pt>
                <c:pt idx="494">
                  <c:v>324.57667816237517</c:v>
                </c:pt>
                <c:pt idx="495">
                  <c:v>325.35655973921723</c:v>
                </c:pt>
                <c:pt idx="496">
                  <c:v>326.24430750440411</c:v>
                </c:pt>
                <c:pt idx="497">
                  <c:v>328.26773841562755</c:v>
                </c:pt>
                <c:pt idx="498">
                  <c:v>329.97294761089904</c:v>
                </c:pt>
                <c:pt idx="499">
                  <c:v>330.83598373762703</c:v>
                </c:pt>
                <c:pt idx="500">
                  <c:v>331.38531477610616</c:v>
                </c:pt>
                <c:pt idx="501">
                  <c:v>331.51953631249432</c:v>
                </c:pt>
                <c:pt idx="502">
                  <c:v>332.27213541428927</c:v>
                </c:pt>
                <c:pt idx="503">
                  <c:v>334.72309095445786</c:v>
                </c:pt>
                <c:pt idx="504">
                  <c:v>336.93620917337222</c:v>
                </c:pt>
                <c:pt idx="505">
                  <c:v>337.55555320892461</c:v>
                </c:pt>
                <c:pt idx="506">
                  <c:v>336.22833849727419</c:v>
                </c:pt>
                <c:pt idx="507">
                  <c:v>336.10806363379874</c:v>
                </c:pt>
                <c:pt idx="508">
                  <c:v>336.11671983725898</c:v>
                </c:pt>
                <c:pt idx="509">
                  <c:v>336.87924403849644</c:v>
                </c:pt>
                <c:pt idx="510">
                  <c:v>337.96136479152636</c:v>
                </c:pt>
                <c:pt idx="511">
                  <c:v>338.54094207731009</c:v>
                </c:pt>
                <c:pt idx="512">
                  <c:v>338.70821635044206</c:v>
                </c:pt>
                <c:pt idx="513">
                  <c:v>340.01792986038214</c:v>
                </c:pt>
                <c:pt idx="514">
                  <c:v>341.28004858131851</c:v>
                </c:pt>
                <c:pt idx="515">
                  <c:v>341.77269810267092</c:v>
                </c:pt>
                <c:pt idx="516">
                  <c:v>342.41151423783663</c:v>
                </c:pt>
                <c:pt idx="517">
                  <c:v>341.76701298074812</c:v>
                </c:pt>
                <c:pt idx="518">
                  <c:v>341.01942312401758</c:v>
                </c:pt>
                <c:pt idx="519">
                  <c:v>340.49609904223348</c:v>
                </c:pt>
                <c:pt idx="520">
                  <c:v>339.5905621953205</c:v>
                </c:pt>
                <c:pt idx="521">
                  <c:v>338.72489054888723</c:v>
                </c:pt>
                <c:pt idx="522">
                  <c:v>337.28306456447683</c:v>
                </c:pt>
                <c:pt idx="523">
                  <c:v>334.2006922900361</c:v>
                </c:pt>
                <c:pt idx="524">
                  <c:v>330.79809633647301</c:v>
                </c:pt>
                <c:pt idx="525">
                  <c:v>328.42461673341705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14-4125-B774-D256FFE22051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Data!$M$2:$M$527</c:f>
              <c:numCache>
                <c:formatCode>General</c:formatCode>
                <c:ptCount val="526"/>
                <c:pt idx="19">
                  <c:v>166.56189891477996</c:v>
                </c:pt>
                <c:pt idx="20">
                  <c:v>166.42250697107545</c:v>
                </c:pt>
                <c:pt idx="21">
                  <c:v>166.37629828730545</c:v>
                </c:pt>
                <c:pt idx="22">
                  <c:v>166.26551498091939</c:v>
                </c:pt>
                <c:pt idx="23">
                  <c:v>166.18340690488148</c:v>
                </c:pt>
                <c:pt idx="24">
                  <c:v>166.07630726541629</c:v>
                </c:pt>
                <c:pt idx="25">
                  <c:v>166.05784336545895</c:v>
                </c:pt>
                <c:pt idx="26">
                  <c:v>166.09856889607309</c:v>
                </c:pt>
                <c:pt idx="27">
                  <c:v>166.23198667584523</c:v>
                </c:pt>
                <c:pt idx="28">
                  <c:v>166.5488186204652</c:v>
                </c:pt>
                <c:pt idx="29">
                  <c:v>167.21305486571976</c:v>
                </c:pt>
                <c:pt idx="30">
                  <c:v>168.18168488692694</c:v>
                </c:pt>
                <c:pt idx="31">
                  <c:v>168.76859934519015</c:v>
                </c:pt>
                <c:pt idx="32">
                  <c:v>169.00581396146222</c:v>
                </c:pt>
                <c:pt idx="33">
                  <c:v>169.35271758207304</c:v>
                </c:pt>
                <c:pt idx="34">
                  <c:v>170.02079941342711</c:v>
                </c:pt>
                <c:pt idx="35">
                  <c:v>170.145810647476</c:v>
                </c:pt>
                <c:pt idx="36">
                  <c:v>169.89818563571291</c:v>
                </c:pt>
                <c:pt idx="37">
                  <c:v>170.12424743303561</c:v>
                </c:pt>
                <c:pt idx="38">
                  <c:v>170.44230527743142</c:v>
                </c:pt>
                <c:pt idx="39">
                  <c:v>170.29018726143511</c:v>
                </c:pt>
                <c:pt idx="40">
                  <c:v>170.31290497620469</c:v>
                </c:pt>
                <c:pt idx="41">
                  <c:v>170.72921640450795</c:v>
                </c:pt>
                <c:pt idx="42">
                  <c:v>170.98836305664176</c:v>
                </c:pt>
                <c:pt idx="43">
                  <c:v>171.2545820407467</c:v>
                </c:pt>
                <c:pt idx="44">
                  <c:v>171.52401306195418</c:v>
                </c:pt>
                <c:pt idx="45">
                  <c:v>172.12492075965667</c:v>
                </c:pt>
                <c:pt idx="46">
                  <c:v>173.00311885577332</c:v>
                </c:pt>
                <c:pt idx="47">
                  <c:v>174.03592147501166</c:v>
                </c:pt>
                <c:pt idx="48">
                  <c:v>174.98454489716741</c:v>
                </c:pt>
                <c:pt idx="49">
                  <c:v>176.47974237825778</c:v>
                </c:pt>
                <c:pt idx="50">
                  <c:v>178.06743730327432</c:v>
                </c:pt>
                <c:pt idx="51">
                  <c:v>178.75577690910893</c:v>
                </c:pt>
                <c:pt idx="52">
                  <c:v>179.5959037859142</c:v>
                </c:pt>
                <c:pt idx="53">
                  <c:v>180.37029945952969</c:v>
                </c:pt>
                <c:pt idx="54">
                  <c:v>180.70858149266004</c:v>
                </c:pt>
                <c:pt idx="55">
                  <c:v>180.39376467986648</c:v>
                </c:pt>
                <c:pt idx="56">
                  <c:v>180.67432523345761</c:v>
                </c:pt>
                <c:pt idx="57">
                  <c:v>181.43505692359602</c:v>
                </c:pt>
                <c:pt idx="58">
                  <c:v>182.28364830812512</c:v>
                </c:pt>
                <c:pt idx="59">
                  <c:v>182.70413971257017</c:v>
                </c:pt>
                <c:pt idx="60">
                  <c:v>182.94798223016542</c:v>
                </c:pt>
                <c:pt idx="61">
                  <c:v>183.74494454127426</c:v>
                </c:pt>
                <c:pt idx="62">
                  <c:v>184.45466958955774</c:v>
                </c:pt>
                <c:pt idx="63">
                  <c:v>184.99901563677176</c:v>
                </c:pt>
                <c:pt idx="64">
                  <c:v>185.52140297297612</c:v>
                </c:pt>
                <c:pt idx="65">
                  <c:v>186.42862924515828</c:v>
                </c:pt>
                <c:pt idx="66">
                  <c:v>187.37269979046167</c:v>
                </c:pt>
                <c:pt idx="67">
                  <c:v>188.4907907794001</c:v>
                </c:pt>
                <c:pt idx="68">
                  <c:v>189.31249532479407</c:v>
                </c:pt>
                <c:pt idx="69">
                  <c:v>189.86322241186454</c:v>
                </c:pt>
                <c:pt idx="70">
                  <c:v>187.97012228829843</c:v>
                </c:pt>
                <c:pt idx="71">
                  <c:v>185.97235949038793</c:v>
                </c:pt>
                <c:pt idx="72">
                  <c:v>183.37003258204214</c:v>
                </c:pt>
                <c:pt idx="73">
                  <c:v>180.91100888633491</c:v>
                </c:pt>
                <c:pt idx="74">
                  <c:v>178.99991513389497</c:v>
                </c:pt>
                <c:pt idx="75">
                  <c:v>178.1991443819972</c:v>
                </c:pt>
                <c:pt idx="76">
                  <c:v>177.87802757582523</c:v>
                </c:pt>
                <c:pt idx="77">
                  <c:v>177.78631382315996</c:v>
                </c:pt>
                <c:pt idx="78">
                  <c:v>177.73653967675608</c:v>
                </c:pt>
                <c:pt idx="79">
                  <c:v>177.82958293875541</c:v>
                </c:pt>
                <c:pt idx="80">
                  <c:v>178.0282421435563</c:v>
                </c:pt>
                <c:pt idx="81">
                  <c:v>178.1671492595101</c:v>
                </c:pt>
                <c:pt idx="82">
                  <c:v>178.30353784558343</c:v>
                </c:pt>
                <c:pt idx="83">
                  <c:v>178.45739552526817</c:v>
                </c:pt>
                <c:pt idx="84">
                  <c:v>178.4798688728649</c:v>
                </c:pt>
                <c:pt idx="85">
                  <c:v>178.60538328580398</c:v>
                </c:pt>
                <c:pt idx="86">
                  <c:v>178.94119710508758</c:v>
                </c:pt>
                <c:pt idx="87">
                  <c:v>179.19876446598568</c:v>
                </c:pt>
                <c:pt idx="88">
                  <c:v>179.18516076755517</c:v>
                </c:pt>
                <c:pt idx="89">
                  <c:v>178.99710851158596</c:v>
                </c:pt>
                <c:pt idx="90">
                  <c:v>179.53542760262471</c:v>
                </c:pt>
                <c:pt idx="91">
                  <c:v>180.30817516820437</c:v>
                </c:pt>
                <c:pt idx="92">
                  <c:v>181.54933564920668</c:v>
                </c:pt>
                <c:pt idx="93">
                  <c:v>183.38978883404127</c:v>
                </c:pt>
                <c:pt idx="94">
                  <c:v>185.37520222502766</c:v>
                </c:pt>
                <c:pt idx="95">
                  <c:v>186.11371935702084</c:v>
                </c:pt>
                <c:pt idx="96">
                  <c:v>186.84975480070236</c:v>
                </c:pt>
                <c:pt idx="97">
                  <c:v>187.21059043207228</c:v>
                </c:pt>
                <c:pt idx="98">
                  <c:v>187.52306144805374</c:v>
                </c:pt>
                <c:pt idx="99">
                  <c:v>187.80190114931287</c:v>
                </c:pt>
                <c:pt idx="100">
                  <c:v>188.07293724771378</c:v>
                </c:pt>
                <c:pt idx="101">
                  <c:v>188.4647281699275</c:v>
                </c:pt>
                <c:pt idx="102">
                  <c:v>189.15126897300638</c:v>
                </c:pt>
                <c:pt idx="103">
                  <c:v>189.91336502641002</c:v>
                </c:pt>
                <c:pt idx="104">
                  <c:v>190.73120770998096</c:v>
                </c:pt>
                <c:pt idx="105">
                  <c:v>192.10457481859675</c:v>
                </c:pt>
                <c:pt idx="106">
                  <c:v>193.28731869068162</c:v>
                </c:pt>
                <c:pt idx="107">
                  <c:v>194.60339263269802</c:v>
                </c:pt>
                <c:pt idx="108">
                  <c:v>194.84616749940577</c:v>
                </c:pt>
                <c:pt idx="109">
                  <c:v>195.06975490396039</c:v>
                </c:pt>
                <c:pt idx="110">
                  <c:v>195.13223253803744</c:v>
                </c:pt>
                <c:pt idx="111">
                  <c:v>194.33365651785272</c:v>
                </c:pt>
                <c:pt idx="112">
                  <c:v>192.81830667485931</c:v>
                </c:pt>
                <c:pt idx="113">
                  <c:v>192.13414819445541</c:v>
                </c:pt>
                <c:pt idx="114">
                  <c:v>191.62538142726783</c:v>
                </c:pt>
                <c:pt idx="115">
                  <c:v>191.78492374093688</c:v>
                </c:pt>
                <c:pt idx="116">
                  <c:v>191.92871980244161</c:v>
                </c:pt>
                <c:pt idx="117">
                  <c:v>191.92827561690245</c:v>
                </c:pt>
                <c:pt idx="118">
                  <c:v>191.80186990086142</c:v>
                </c:pt>
                <c:pt idx="119">
                  <c:v>191.88273662102466</c:v>
                </c:pt>
                <c:pt idx="120">
                  <c:v>191.92003603746093</c:v>
                </c:pt>
                <c:pt idx="121">
                  <c:v>191.88953648042659</c:v>
                </c:pt>
                <c:pt idx="122">
                  <c:v>191.89709022628719</c:v>
                </c:pt>
                <c:pt idx="123">
                  <c:v>191.70348957599336</c:v>
                </c:pt>
                <c:pt idx="124">
                  <c:v>191.24780695791173</c:v>
                </c:pt>
                <c:pt idx="125">
                  <c:v>190.11615792571888</c:v>
                </c:pt>
                <c:pt idx="126">
                  <c:v>189.31660125268803</c:v>
                </c:pt>
                <c:pt idx="127">
                  <c:v>189.32668217055507</c:v>
                </c:pt>
                <c:pt idx="128">
                  <c:v>189.41880751013198</c:v>
                </c:pt>
                <c:pt idx="129">
                  <c:v>189.15067458957029</c:v>
                </c:pt>
                <c:pt idx="130">
                  <c:v>188.97970792310869</c:v>
                </c:pt>
                <c:pt idx="131">
                  <c:v>189.54746505344272</c:v>
                </c:pt>
                <c:pt idx="132">
                  <c:v>190.98587756681991</c:v>
                </c:pt>
                <c:pt idx="133">
                  <c:v>191.83883606750572</c:v>
                </c:pt>
                <c:pt idx="134">
                  <c:v>192.5038505549816</c:v>
                </c:pt>
                <c:pt idx="135">
                  <c:v>192.77271366201384</c:v>
                </c:pt>
                <c:pt idx="136">
                  <c:v>193.72702152539</c:v>
                </c:pt>
                <c:pt idx="137">
                  <c:v>194.52258924728955</c:v>
                </c:pt>
                <c:pt idx="138">
                  <c:v>195.96463215269571</c:v>
                </c:pt>
                <c:pt idx="139">
                  <c:v>197.02118031665469</c:v>
                </c:pt>
                <c:pt idx="140">
                  <c:v>198.4518364766277</c:v>
                </c:pt>
                <c:pt idx="141">
                  <c:v>200.34374740121442</c:v>
                </c:pt>
                <c:pt idx="142">
                  <c:v>202.01049930758327</c:v>
                </c:pt>
                <c:pt idx="143">
                  <c:v>203.10614309230411</c:v>
                </c:pt>
                <c:pt idx="144">
                  <c:v>203.2680900508621</c:v>
                </c:pt>
                <c:pt idx="145">
                  <c:v>203.31909184751851</c:v>
                </c:pt>
                <c:pt idx="146">
                  <c:v>203.2483957213328</c:v>
                </c:pt>
                <c:pt idx="147">
                  <c:v>201.6922172817635</c:v>
                </c:pt>
                <c:pt idx="148">
                  <c:v>198.94735394133343</c:v>
                </c:pt>
                <c:pt idx="149">
                  <c:v>197.87385989972969</c:v>
                </c:pt>
                <c:pt idx="150">
                  <c:v>196.89537049073232</c:v>
                </c:pt>
                <c:pt idx="151">
                  <c:v>196.57689560609938</c:v>
                </c:pt>
                <c:pt idx="152">
                  <c:v>196.6626003826299</c:v>
                </c:pt>
                <c:pt idx="153">
                  <c:v>196.47841981327608</c:v>
                </c:pt>
                <c:pt idx="154">
                  <c:v>196.51538624999017</c:v>
                </c:pt>
                <c:pt idx="155">
                  <c:v>196.9801542182185</c:v>
                </c:pt>
                <c:pt idx="156">
                  <c:v>196.94883514129282</c:v>
                </c:pt>
                <c:pt idx="157">
                  <c:v>196.79143346865106</c:v>
                </c:pt>
                <c:pt idx="158">
                  <c:v>196.54062475011818</c:v>
                </c:pt>
                <c:pt idx="159">
                  <c:v>196.40461657836664</c:v>
                </c:pt>
                <c:pt idx="160">
                  <c:v>196.34058513188094</c:v>
                </c:pt>
                <c:pt idx="161">
                  <c:v>196.17766316063043</c:v>
                </c:pt>
                <c:pt idx="162">
                  <c:v>195.84758076505949</c:v>
                </c:pt>
                <c:pt idx="163">
                  <c:v>195.51989078744708</c:v>
                </c:pt>
                <c:pt idx="164">
                  <c:v>195.17153969098484</c:v>
                </c:pt>
                <c:pt idx="165">
                  <c:v>194.74482885682121</c:v>
                </c:pt>
                <c:pt idx="166">
                  <c:v>194.58579353886128</c:v>
                </c:pt>
                <c:pt idx="167">
                  <c:v>195.70876759813012</c:v>
                </c:pt>
                <c:pt idx="168">
                  <c:v>198.75635268372582</c:v>
                </c:pt>
                <c:pt idx="169">
                  <c:v>200.85321648001533</c:v>
                </c:pt>
                <c:pt idx="170">
                  <c:v>203.36472699696722</c:v>
                </c:pt>
                <c:pt idx="171">
                  <c:v>204.90672427315127</c:v>
                </c:pt>
                <c:pt idx="172">
                  <c:v>206.50234572826247</c:v>
                </c:pt>
                <c:pt idx="173">
                  <c:v>206.33084417538504</c:v>
                </c:pt>
                <c:pt idx="174">
                  <c:v>206.16608817125029</c:v>
                </c:pt>
                <c:pt idx="175">
                  <c:v>205.41473991111764</c:v>
                </c:pt>
                <c:pt idx="176">
                  <c:v>203.97717061799617</c:v>
                </c:pt>
                <c:pt idx="177">
                  <c:v>203.18253277306491</c:v>
                </c:pt>
                <c:pt idx="178">
                  <c:v>202.57812545518141</c:v>
                </c:pt>
                <c:pt idx="179">
                  <c:v>201.79007238017783</c:v>
                </c:pt>
                <c:pt idx="180">
                  <c:v>201.45204214995201</c:v>
                </c:pt>
                <c:pt idx="181">
                  <c:v>201.13914417915566</c:v>
                </c:pt>
                <c:pt idx="182">
                  <c:v>200.89925567316354</c:v>
                </c:pt>
                <c:pt idx="183">
                  <c:v>200.74432884557962</c:v>
                </c:pt>
                <c:pt idx="184">
                  <c:v>200.58800935177644</c:v>
                </c:pt>
                <c:pt idx="185">
                  <c:v>200.6022346217224</c:v>
                </c:pt>
                <c:pt idx="186">
                  <c:v>200.96470800495896</c:v>
                </c:pt>
                <c:pt idx="187">
                  <c:v>202.19472319022117</c:v>
                </c:pt>
                <c:pt idx="188">
                  <c:v>202.52154449846458</c:v>
                </c:pt>
                <c:pt idx="189">
                  <c:v>203.04319774265818</c:v>
                </c:pt>
                <c:pt idx="190">
                  <c:v>203.23374892540443</c:v>
                </c:pt>
                <c:pt idx="191">
                  <c:v>203.29269325029975</c:v>
                </c:pt>
                <c:pt idx="192">
                  <c:v>204.1670266354048</c:v>
                </c:pt>
                <c:pt idx="193">
                  <c:v>204.61289277303348</c:v>
                </c:pt>
                <c:pt idx="194">
                  <c:v>204.60781329588502</c:v>
                </c:pt>
                <c:pt idx="195">
                  <c:v>204.86616843465754</c:v>
                </c:pt>
                <c:pt idx="196">
                  <c:v>203.70857551299929</c:v>
                </c:pt>
                <c:pt idx="197">
                  <c:v>202.97079840045527</c:v>
                </c:pt>
                <c:pt idx="198">
                  <c:v>202.31896928093005</c:v>
                </c:pt>
                <c:pt idx="199">
                  <c:v>202.03274322072761</c:v>
                </c:pt>
                <c:pt idx="200">
                  <c:v>201.58846770086572</c:v>
                </c:pt>
                <c:pt idx="201">
                  <c:v>201.22030597218489</c:v>
                </c:pt>
                <c:pt idx="202">
                  <c:v>201.28142021029305</c:v>
                </c:pt>
                <c:pt idx="203">
                  <c:v>201.36306363822044</c:v>
                </c:pt>
                <c:pt idx="204">
                  <c:v>201.80050949461247</c:v>
                </c:pt>
                <c:pt idx="205">
                  <c:v>202.33667242669964</c:v>
                </c:pt>
                <c:pt idx="206">
                  <c:v>203.03953663250851</c:v>
                </c:pt>
                <c:pt idx="207">
                  <c:v>203.67183909599459</c:v>
                </c:pt>
                <c:pt idx="208">
                  <c:v>205.30201781612593</c:v>
                </c:pt>
                <c:pt idx="209">
                  <c:v>207.10809139675118</c:v>
                </c:pt>
                <c:pt idx="210">
                  <c:v>209.92845624002348</c:v>
                </c:pt>
                <c:pt idx="211">
                  <c:v>211.43026816703482</c:v>
                </c:pt>
                <c:pt idx="212">
                  <c:v>213.10406811770002</c:v>
                </c:pt>
                <c:pt idx="213">
                  <c:v>215.3404686846703</c:v>
                </c:pt>
                <c:pt idx="214">
                  <c:v>211.60360613226226</c:v>
                </c:pt>
                <c:pt idx="215">
                  <c:v>212.69606234108284</c:v>
                </c:pt>
                <c:pt idx="216">
                  <c:v>212.39768349546853</c:v>
                </c:pt>
                <c:pt idx="217">
                  <c:v>212.1506001473542</c:v>
                </c:pt>
                <c:pt idx="218">
                  <c:v>212.05790131823932</c:v>
                </c:pt>
                <c:pt idx="219">
                  <c:v>211.89482388635193</c:v>
                </c:pt>
                <c:pt idx="220">
                  <c:v>211.82113790455409</c:v>
                </c:pt>
                <c:pt idx="221">
                  <c:v>211.51136398470533</c:v>
                </c:pt>
                <c:pt idx="222">
                  <c:v>211.82477413367707</c:v>
                </c:pt>
                <c:pt idx="223">
                  <c:v>212.40579728996155</c:v>
                </c:pt>
                <c:pt idx="224">
                  <c:v>213.38650462979672</c:v>
                </c:pt>
                <c:pt idx="225">
                  <c:v>214.11608203809655</c:v>
                </c:pt>
                <c:pt idx="226">
                  <c:v>215.24997895572204</c:v>
                </c:pt>
                <c:pt idx="227">
                  <c:v>216.01997798525986</c:v>
                </c:pt>
                <c:pt idx="228">
                  <c:v>217.62865452080007</c:v>
                </c:pt>
                <c:pt idx="229">
                  <c:v>219.31184666648244</c:v>
                </c:pt>
                <c:pt idx="230">
                  <c:v>221.9641675752452</c:v>
                </c:pt>
                <c:pt idx="231">
                  <c:v>224.9701086497046</c:v>
                </c:pt>
                <c:pt idx="232">
                  <c:v>229.77441037503431</c:v>
                </c:pt>
                <c:pt idx="233">
                  <c:v>235.58013663383332</c:v>
                </c:pt>
                <c:pt idx="234">
                  <c:v>235.58278253470417</c:v>
                </c:pt>
                <c:pt idx="235">
                  <c:v>236.84594812508357</c:v>
                </c:pt>
                <c:pt idx="236">
                  <c:v>238.0525266711528</c:v>
                </c:pt>
                <c:pt idx="237">
                  <c:v>238.68045631391558</c:v>
                </c:pt>
                <c:pt idx="238">
                  <c:v>239.37906280260393</c:v>
                </c:pt>
                <c:pt idx="239">
                  <c:v>239.45033911243794</c:v>
                </c:pt>
                <c:pt idx="240">
                  <c:v>239.05736271856102</c:v>
                </c:pt>
                <c:pt idx="241">
                  <c:v>238.26576654043532</c:v>
                </c:pt>
                <c:pt idx="242">
                  <c:v>237.30407291587645</c:v>
                </c:pt>
                <c:pt idx="243">
                  <c:v>234.28246439634964</c:v>
                </c:pt>
                <c:pt idx="244">
                  <c:v>232.77735857137347</c:v>
                </c:pt>
                <c:pt idx="245">
                  <c:v>232.10448704410831</c:v>
                </c:pt>
                <c:pt idx="246">
                  <c:v>231.67609255274107</c:v>
                </c:pt>
                <c:pt idx="247">
                  <c:v>231.85049051973559</c:v>
                </c:pt>
                <c:pt idx="248">
                  <c:v>232.11574696515365</c:v>
                </c:pt>
                <c:pt idx="249">
                  <c:v>232.37193692135003</c:v>
                </c:pt>
                <c:pt idx="250">
                  <c:v>232.62989900495279</c:v>
                </c:pt>
                <c:pt idx="251">
                  <c:v>232.63996197761918</c:v>
                </c:pt>
                <c:pt idx="252">
                  <c:v>232.61987328588586</c:v>
                </c:pt>
                <c:pt idx="253">
                  <c:v>232.62281486034291</c:v>
                </c:pt>
                <c:pt idx="254">
                  <c:v>232.73713321561863</c:v>
                </c:pt>
                <c:pt idx="255">
                  <c:v>233.14331839767911</c:v>
                </c:pt>
                <c:pt idx="256">
                  <c:v>233.17955631785583</c:v>
                </c:pt>
                <c:pt idx="257">
                  <c:v>233.15746567226415</c:v>
                </c:pt>
                <c:pt idx="258">
                  <c:v>233.10839931089521</c:v>
                </c:pt>
                <c:pt idx="259">
                  <c:v>232.64186766817323</c:v>
                </c:pt>
                <c:pt idx="260">
                  <c:v>231.53566016398494</c:v>
                </c:pt>
                <c:pt idx="261">
                  <c:v>230.54162201024272</c:v>
                </c:pt>
                <c:pt idx="262">
                  <c:v>229.20543894539111</c:v>
                </c:pt>
                <c:pt idx="263">
                  <c:v>229.26800747776289</c:v>
                </c:pt>
                <c:pt idx="264">
                  <c:v>229.59803547967471</c:v>
                </c:pt>
                <c:pt idx="265">
                  <c:v>229.16377677799437</c:v>
                </c:pt>
                <c:pt idx="266">
                  <c:v>229.35573632681323</c:v>
                </c:pt>
                <c:pt idx="267">
                  <c:v>229.28256359766547</c:v>
                </c:pt>
                <c:pt idx="268">
                  <c:v>229.31241395163977</c:v>
                </c:pt>
                <c:pt idx="269">
                  <c:v>230.00548516361789</c:v>
                </c:pt>
                <c:pt idx="270">
                  <c:v>231.20466194282062</c:v>
                </c:pt>
                <c:pt idx="271">
                  <c:v>232.78774288763961</c:v>
                </c:pt>
                <c:pt idx="272">
                  <c:v>234.70588732936989</c:v>
                </c:pt>
                <c:pt idx="273">
                  <c:v>236.2590875543647</c:v>
                </c:pt>
                <c:pt idx="274">
                  <c:v>238.52754723651788</c:v>
                </c:pt>
                <c:pt idx="275">
                  <c:v>240.15757900672514</c:v>
                </c:pt>
                <c:pt idx="276">
                  <c:v>242.49458905026518</c:v>
                </c:pt>
                <c:pt idx="277">
                  <c:v>246.77577139011299</c:v>
                </c:pt>
                <c:pt idx="278">
                  <c:v>250.35668080779615</c:v>
                </c:pt>
                <c:pt idx="279">
                  <c:v>253.71155294376422</c:v>
                </c:pt>
                <c:pt idx="280">
                  <c:v>256.16465675488109</c:v>
                </c:pt>
                <c:pt idx="281">
                  <c:v>258.60954769279925</c:v>
                </c:pt>
                <c:pt idx="282">
                  <c:v>259.70072164490512</c:v>
                </c:pt>
                <c:pt idx="283">
                  <c:v>260.33896295672497</c:v>
                </c:pt>
                <c:pt idx="284">
                  <c:v>261.04016091890969</c:v>
                </c:pt>
                <c:pt idx="285">
                  <c:v>260.74196381062387</c:v>
                </c:pt>
                <c:pt idx="286">
                  <c:v>260.01754333807412</c:v>
                </c:pt>
                <c:pt idx="287">
                  <c:v>258.20100628640893</c:v>
                </c:pt>
                <c:pt idx="288">
                  <c:v>256.77609840747965</c:v>
                </c:pt>
                <c:pt idx="289">
                  <c:v>255.58001134195922</c:v>
                </c:pt>
                <c:pt idx="290">
                  <c:v>255.23151397472839</c:v>
                </c:pt>
                <c:pt idx="291">
                  <c:v>254.37431965057888</c:v>
                </c:pt>
                <c:pt idx="292">
                  <c:v>251.30282167360875</c:v>
                </c:pt>
                <c:pt idx="293">
                  <c:v>248.88960315029038</c:v>
                </c:pt>
                <c:pt idx="294">
                  <c:v>245.53486210773977</c:v>
                </c:pt>
                <c:pt idx="295">
                  <c:v>241.82736211860902</c:v>
                </c:pt>
                <c:pt idx="296">
                  <c:v>236.0882011838155</c:v>
                </c:pt>
                <c:pt idx="297">
                  <c:v>230.4438164284536</c:v>
                </c:pt>
                <c:pt idx="298">
                  <c:v>225.62423641177142</c:v>
                </c:pt>
                <c:pt idx="299">
                  <c:v>221.07203743221595</c:v>
                </c:pt>
                <c:pt idx="300">
                  <c:v>218.87119631252818</c:v>
                </c:pt>
                <c:pt idx="301">
                  <c:v>217.53447962934314</c:v>
                </c:pt>
                <c:pt idx="302">
                  <c:v>217.44000145655573</c:v>
                </c:pt>
                <c:pt idx="303">
                  <c:v>218.61500493203187</c:v>
                </c:pt>
                <c:pt idx="304">
                  <c:v>218.64174077388935</c:v>
                </c:pt>
                <c:pt idx="305">
                  <c:v>218.96130619205587</c:v>
                </c:pt>
                <c:pt idx="306">
                  <c:v>219.4940223005562</c:v>
                </c:pt>
                <c:pt idx="307">
                  <c:v>219.76956796748735</c:v>
                </c:pt>
                <c:pt idx="308">
                  <c:v>220.20270255202536</c:v>
                </c:pt>
                <c:pt idx="309">
                  <c:v>220.77451298155509</c:v>
                </c:pt>
                <c:pt idx="310">
                  <c:v>222.34301537798711</c:v>
                </c:pt>
                <c:pt idx="311">
                  <c:v>223.7194149095902</c:v>
                </c:pt>
                <c:pt idx="312">
                  <c:v>223.93082301758753</c:v>
                </c:pt>
                <c:pt idx="313">
                  <c:v>224.28303947791522</c:v>
                </c:pt>
                <c:pt idx="314">
                  <c:v>222.93026579913021</c:v>
                </c:pt>
                <c:pt idx="315">
                  <c:v>216.92026053358271</c:v>
                </c:pt>
                <c:pt idx="316">
                  <c:v>213.66878178830112</c:v>
                </c:pt>
                <c:pt idx="317">
                  <c:v>211.60266923787145</c:v>
                </c:pt>
                <c:pt idx="318">
                  <c:v>212.20738748434371</c:v>
                </c:pt>
                <c:pt idx="319">
                  <c:v>212.47551695965603</c:v>
                </c:pt>
                <c:pt idx="320">
                  <c:v>212.73674523674703</c:v>
                </c:pt>
                <c:pt idx="321">
                  <c:v>212.79241708272826</c:v>
                </c:pt>
                <c:pt idx="322">
                  <c:v>212.65873863048961</c:v>
                </c:pt>
                <c:pt idx="323">
                  <c:v>212.01893777478375</c:v>
                </c:pt>
                <c:pt idx="324">
                  <c:v>211.6394110539309</c:v>
                </c:pt>
                <c:pt idx="325">
                  <c:v>210.99400360319547</c:v>
                </c:pt>
                <c:pt idx="326">
                  <c:v>211.14716479976107</c:v>
                </c:pt>
                <c:pt idx="327">
                  <c:v>211.74916655078792</c:v>
                </c:pt>
                <c:pt idx="328">
                  <c:v>212.29462318806924</c:v>
                </c:pt>
                <c:pt idx="329">
                  <c:v>212.62687978944916</c:v>
                </c:pt>
                <c:pt idx="330">
                  <c:v>212.60948884352507</c:v>
                </c:pt>
                <c:pt idx="331">
                  <c:v>212.65482124835165</c:v>
                </c:pt>
                <c:pt idx="332">
                  <c:v>212.59891922398876</c:v>
                </c:pt>
                <c:pt idx="333">
                  <c:v>212.51399365112178</c:v>
                </c:pt>
                <c:pt idx="334">
                  <c:v>212.20942280254943</c:v>
                </c:pt>
                <c:pt idx="335">
                  <c:v>216.113820024787</c:v>
                </c:pt>
                <c:pt idx="336">
                  <c:v>220.03896485927712</c:v>
                </c:pt>
                <c:pt idx="337">
                  <c:v>224.13858875752305</c:v>
                </c:pt>
                <c:pt idx="338">
                  <c:v>224.30225431328162</c:v>
                </c:pt>
                <c:pt idx="339">
                  <c:v>226.16184392914161</c:v>
                </c:pt>
                <c:pt idx="340">
                  <c:v>225.85532453118941</c:v>
                </c:pt>
                <c:pt idx="341">
                  <c:v>225.81495499671459</c:v>
                </c:pt>
                <c:pt idx="342">
                  <c:v>226.22593081476708</c:v>
                </c:pt>
                <c:pt idx="343">
                  <c:v>227.76177665212441</c:v>
                </c:pt>
                <c:pt idx="344">
                  <c:v>229.43418305038284</c:v>
                </c:pt>
                <c:pt idx="345">
                  <c:v>232.84940846639887</c:v>
                </c:pt>
                <c:pt idx="346">
                  <c:v>235.11147594700361</c:v>
                </c:pt>
                <c:pt idx="347">
                  <c:v>236.86563210599027</c:v>
                </c:pt>
                <c:pt idx="348">
                  <c:v>238.12897142165323</c:v>
                </c:pt>
                <c:pt idx="349">
                  <c:v>239.78892232656963</c:v>
                </c:pt>
                <c:pt idx="350">
                  <c:v>241.64429209729184</c:v>
                </c:pt>
                <c:pt idx="351">
                  <c:v>243.58561122663087</c:v>
                </c:pt>
                <c:pt idx="352">
                  <c:v>245.85627624451797</c:v>
                </c:pt>
                <c:pt idx="353">
                  <c:v>247.92301796090362</c:v>
                </c:pt>
                <c:pt idx="354">
                  <c:v>248.93828498182623</c:v>
                </c:pt>
                <c:pt idx="355">
                  <c:v>250.05503972093072</c:v>
                </c:pt>
                <c:pt idx="356">
                  <c:v>252.31906841612036</c:v>
                </c:pt>
                <c:pt idx="357">
                  <c:v>254.99340609762356</c:v>
                </c:pt>
                <c:pt idx="358">
                  <c:v>256.88288616871017</c:v>
                </c:pt>
                <c:pt idx="359">
                  <c:v>259.57952653358871</c:v>
                </c:pt>
                <c:pt idx="360">
                  <c:v>260.03109364692625</c:v>
                </c:pt>
                <c:pt idx="361">
                  <c:v>260.09068795332115</c:v>
                </c:pt>
                <c:pt idx="362">
                  <c:v>259.99431440268017</c:v>
                </c:pt>
                <c:pt idx="363">
                  <c:v>260.00816149876101</c:v>
                </c:pt>
                <c:pt idx="364">
                  <c:v>259.68102502949648</c:v>
                </c:pt>
                <c:pt idx="365">
                  <c:v>259.54315366426732</c:v>
                </c:pt>
                <c:pt idx="366">
                  <c:v>258.74407837589678</c:v>
                </c:pt>
                <c:pt idx="367">
                  <c:v>258.62783132977455</c:v>
                </c:pt>
                <c:pt idx="368">
                  <c:v>258.31086740637284</c:v>
                </c:pt>
                <c:pt idx="369">
                  <c:v>257.88129313001349</c:v>
                </c:pt>
                <c:pt idx="370">
                  <c:v>256.7562327341609</c:v>
                </c:pt>
                <c:pt idx="371">
                  <c:v>255.56716483965204</c:v>
                </c:pt>
                <c:pt idx="372">
                  <c:v>255.25701239177212</c:v>
                </c:pt>
                <c:pt idx="373">
                  <c:v>255.04652023804698</c:v>
                </c:pt>
                <c:pt idx="374">
                  <c:v>255.15564050649346</c:v>
                </c:pt>
                <c:pt idx="375">
                  <c:v>255.24940510191814</c:v>
                </c:pt>
                <c:pt idx="376">
                  <c:v>255.59983396369734</c:v>
                </c:pt>
                <c:pt idx="377">
                  <c:v>257.34949257696252</c:v>
                </c:pt>
                <c:pt idx="378">
                  <c:v>259.01694913061613</c:v>
                </c:pt>
                <c:pt idx="379">
                  <c:v>260.67990634843898</c:v>
                </c:pt>
                <c:pt idx="380">
                  <c:v>262.15480377239942</c:v>
                </c:pt>
                <c:pt idx="381">
                  <c:v>263.97206125392034</c:v>
                </c:pt>
                <c:pt idx="382">
                  <c:v>266.01468733824271</c:v>
                </c:pt>
                <c:pt idx="383">
                  <c:v>269.35195082743155</c:v>
                </c:pt>
                <c:pt idx="384">
                  <c:v>271.63012533484289</c:v>
                </c:pt>
                <c:pt idx="385">
                  <c:v>274.66452817750115</c:v>
                </c:pt>
                <c:pt idx="386">
                  <c:v>276.83985872940451</c:v>
                </c:pt>
                <c:pt idx="387">
                  <c:v>279.20132902807802</c:v>
                </c:pt>
                <c:pt idx="388">
                  <c:v>280.96730468242879</c:v>
                </c:pt>
                <c:pt idx="389">
                  <c:v>281.62507950881906</c:v>
                </c:pt>
                <c:pt idx="390">
                  <c:v>281.95315470440829</c:v>
                </c:pt>
                <c:pt idx="391">
                  <c:v>281.52046438593715</c:v>
                </c:pt>
                <c:pt idx="392">
                  <c:v>281.51321487464998</c:v>
                </c:pt>
                <c:pt idx="393">
                  <c:v>281.47583627408773</c:v>
                </c:pt>
                <c:pt idx="394">
                  <c:v>281.23556432423658</c:v>
                </c:pt>
                <c:pt idx="395">
                  <c:v>281.24419303721771</c:v>
                </c:pt>
                <c:pt idx="396">
                  <c:v>281.04727187778707</c:v>
                </c:pt>
                <c:pt idx="397">
                  <c:v>281.0904065516803</c:v>
                </c:pt>
                <c:pt idx="398">
                  <c:v>282.37174265925933</c:v>
                </c:pt>
                <c:pt idx="399">
                  <c:v>283.71708688378249</c:v>
                </c:pt>
                <c:pt idx="400">
                  <c:v>283.50942224349023</c:v>
                </c:pt>
                <c:pt idx="401">
                  <c:v>283.81547966026955</c:v>
                </c:pt>
                <c:pt idx="402">
                  <c:v>283.92935344762554</c:v>
                </c:pt>
                <c:pt idx="403">
                  <c:v>284.71847436399463</c:v>
                </c:pt>
                <c:pt idx="404">
                  <c:v>285.56100115785284</c:v>
                </c:pt>
                <c:pt idx="405">
                  <c:v>285.91364432303095</c:v>
                </c:pt>
                <c:pt idx="406">
                  <c:v>285.82151356309208</c:v>
                </c:pt>
                <c:pt idx="407">
                  <c:v>285.88163883845971</c:v>
                </c:pt>
                <c:pt idx="408">
                  <c:v>285.79465631806431</c:v>
                </c:pt>
                <c:pt idx="409">
                  <c:v>285.74509176226991</c:v>
                </c:pt>
                <c:pt idx="410">
                  <c:v>285.65693595397443</c:v>
                </c:pt>
                <c:pt idx="411">
                  <c:v>285.87884860572558</c:v>
                </c:pt>
                <c:pt idx="412">
                  <c:v>286.14715870188672</c:v>
                </c:pt>
                <c:pt idx="413">
                  <c:v>285.96019463438665</c:v>
                </c:pt>
                <c:pt idx="414">
                  <c:v>286.02032048340743</c:v>
                </c:pt>
                <c:pt idx="415">
                  <c:v>285.38539883997851</c:v>
                </c:pt>
                <c:pt idx="416">
                  <c:v>285.23269244657297</c:v>
                </c:pt>
                <c:pt idx="417">
                  <c:v>285.03197020880754</c:v>
                </c:pt>
                <c:pt idx="418">
                  <c:v>285.13008819434992</c:v>
                </c:pt>
                <c:pt idx="419">
                  <c:v>284.85476629286762</c:v>
                </c:pt>
                <c:pt idx="420">
                  <c:v>285.92234165072961</c:v>
                </c:pt>
                <c:pt idx="421">
                  <c:v>286.55339764665081</c:v>
                </c:pt>
                <c:pt idx="422">
                  <c:v>287.32936426889739</c:v>
                </c:pt>
                <c:pt idx="423">
                  <c:v>287.55564288838974</c:v>
                </c:pt>
                <c:pt idx="424">
                  <c:v>287.72954488003808</c:v>
                </c:pt>
                <c:pt idx="425">
                  <c:v>287.412338803978</c:v>
                </c:pt>
                <c:pt idx="426">
                  <c:v>287.66692282761551</c:v>
                </c:pt>
                <c:pt idx="427">
                  <c:v>288.02603557206743</c:v>
                </c:pt>
                <c:pt idx="428">
                  <c:v>288.53182261021499</c:v>
                </c:pt>
                <c:pt idx="429">
                  <c:v>288.88895226619076</c:v>
                </c:pt>
                <c:pt idx="430">
                  <c:v>289.59760364326326</c:v>
                </c:pt>
                <c:pt idx="431">
                  <c:v>290.04096059862405</c:v>
                </c:pt>
                <c:pt idx="432">
                  <c:v>290.92208855637244</c:v>
                </c:pt>
                <c:pt idx="433">
                  <c:v>291.34046550588329</c:v>
                </c:pt>
                <c:pt idx="434">
                  <c:v>291.82304426284679</c:v>
                </c:pt>
                <c:pt idx="435">
                  <c:v>292.01180209260212</c:v>
                </c:pt>
                <c:pt idx="436">
                  <c:v>292.36100036454502</c:v>
                </c:pt>
                <c:pt idx="437">
                  <c:v>293.14072438885376</c:v>
                </c:pt>
                <c:pt idx="438">
                  <c:v>294.20325274250445</c:v>
                </c:pt>
                <c:pt idx="439">
                  <c:v>294.54986310666999</c:v>
                </c:pt>
                <c:pt idx="440">
                  <c:v>297.03538030732409</c:v>
                </c:pt>
                <c:pt idx="441">
                  <c:v>300.58114724338594</c:v>
                </c:pt>
                <c:pt idx="442">
                  <c:v>302.90192850611191</c:v>
                </c:pt>
                <c:pt idx="443">
                  <c:v>303.9225214396447</c:v>
                </c:pt>
                <c:pt idx="444">
                  <c:v>303.91616887277104</c:v>
                </c:pt>
                <c:pt idx="445">
                  <c:v>302.46610525980901</c:v>
                </c:pt>
                <c:pt idx="446">
                  <c:v>302.36760789768584</c:v>
                </c:pt>
                <c:pt idx="447">
                  <c:v>301.18427161859262</c:v>
                </c:pt>
                <c:pt idx="448">
                  <c:v>300.69136513469988</c:v>
                </c:pt>
                <c:pt idx="449">
                  <c:v>298.79846717713821</c:v>
                </c:pt>
                <c:pt idx="450">
                  <c:v>297.06903727200319</c:v>
                </c:pt>
                <c:pt idx="451">
                  <c:v>296.43728580003403</c:v>
                </c:pt>
                <c:pt idx="452">
                  <c:v>294.94691649949755</c:v>
                </c:pt>
                <c:pt idx="453">
                  <c:v>293.0747880733316</c:v>
                </c:pt>
                <c:pt idx="454">
                  <c:v>291.64426554731142</c:v>
                </c:pt>
                <c:pt idx="455">
                  <c:v>291.74617266705019</c:v>
                </c:pt>
                <c:pt idx="456">
                  <c:v>292.35240194151532</c:v>
                </c:pt>
                <c:pt idx="457">
                  <c:v>293.20353849522786</c:v>
                </c:pt>
                <c:pt idx="458">
                  <c:v>293.49850905007514</c:v>
                </c:pt>
                <c:pt idx="459">
                  <c:v>293.36850799388691</c:v>
                </c:pt>
                <c:pt idx="460">
                  <c:v>293.24932953011967</c:v>
                </c:pt>
                <c:pt idx="461">
                  <c:v>293.23584616313497</c:v>
                </c:pt>
                <c:pt idx="462">
                  <c:v>293.14153894140395</c:v>
                </c:pt>
                <c:pt idx="463">
                  <c:v>292.84382003994159</c:v>
                </c:pt>
                <c:pt idx="464">
                  <c:v>292.40171581592296</c:v>
                </c:pt>
                <c:pt idx="465">
                  <c:v>292.32228676757592</c:v>
                </c:pt>
                <c:pt idx="466">
                  <c:v>291.67599224560598</c:v>
                </c:pt>
                <c:pt idx="467">
                  <c:v>291.65705119270825</c:v>
                </c:pt>
                <c:pt idx="468">
                  <c:v>290.96270728674995</c:v>
                </c:pt>
                <c:pt idx="469">
                  <c:v>291.93143316276104</c:v>
                </c:pt>
                <c:pt idx="470">
                  <c:v>292.8043929863037</c:v>
                </c:pt>
                <c:pt idx="471">
                  <c:v>292.53406014368903</c:v>
                </c:pt>
                <c:pt idx="472">
                  <c:v>292.95450000727755</c:v>
                </c:pt>
                <c:pt idx="473">
                  <c:v>294.66061438338011</c:v>
                </c:pt>
                <c:pt idx="474">
                  <c:v>295.57667315622979</c:v>
                </c:pt>
                <c:pt idx="475">
                  <c:v>295.10265442308713</c:v>
                </c:pt>
                <c:pt idx="476">
                  <c:v>294.13488673833029</c:v>
                </c:pt>
                <c:pt idx="477">
                  <c:v>293.89234100901535</c:v>
                </c:pt>
                <c:pt idx="478">
                  <c:v>294.03178944579832</c:v>
                </c:pt>
                <c:pt idx="479">
                  <c:v>294.01568865659988</c:v>
                </c:pt>
                <c:pt idx="480">
                  <c:v>293.98192945147935</c:v>
                </c:pt>
                <c:pt idx="481">
                  <c:v>293.92990526386984</c:v>
                </c:pt>
                <c:pt idx="482">
                  <c:v>293.94213940835488</c:v>
                </c:pt>
                <c:pt idx="483">
                  <c:v>293.76457858921731</c:v>
                </c:pt>
                <c:pt idx="484">
                  <c:v>293.69778287578163</c:v>
                </c:pt>
                <c:pt idx="485">
                  <c:v>293.65127351804836</c:v>
                </c:pt>
                <c:pt idx="486">
                  <c:v>293.06928424479162</c:v>
                </c:pt>
                <c:pt idx="487">
                  <c:v>293.26601357379127</c:v>
                </c:pt>
                <c:pt idx="488">
                  <c:v>293.67964284830202</c:v>
                </c:pt>
                <c:pt idx="489">
                  <c:v>293.17193830664451</c:v>
                </c:pt>
                <c:pt idx="490">
                  <c:v>293.03051580271034</c:v>
                </c:pt>
                <c:pt idx="491">
                  <c:v>293.91027094664707</c:v>
                </c:pt>
                <c:pt idx="492">
                  <c:v>295.15559647449527</c:v>
                </c:pt>
                <c:pt idx="493">
                  <c:v>295.89740695492713</c:v>
                </c:pt>
                <c:pt idx="494">
                  <c:v>297.65332183762484</c:v>
                </c:pt>
                <c:pt idx="495">
                  <c:v>299.38044026078296</c:v>
                </c:pt>
                <c:pt idx="496">
                  <c:v>301.28569249559609</c:v>
                </c:pt>
                <c:pt idx="497">
                  <c:v>301.8792615843725</c:v>
                </c:pt>
                <c:pt idx="498">
                  <c:v>302.20105238910105</c:v>
                </c:pt>
                <c:pt idx="499">
                  <c:v>302.40501626237307</c:v>
                </c:pt>
                <c:pt idx="500">
                  <c:v>303.30568522389387</c:v>
                </c:pt>
                <c:pt idx="501">
                  <c:v>304.60546368750579</c:v>
                </c:pt>
                <c:pt idx="502">
                  <c:v>305.18786458571077</c:v>
                </c:pt>
                <c:pt idx="503">
                  <c:v>304.53090904554216</c:v>
                </c:pt>
                <c:pt idx="504">
                  <c:v>304.27479082662779</c:v>
                </c:pt>
                <c:pt idx="505">
                  <c:v>304.83344679107529</c:v>
                </c:pt>
                <c:pt idx="506">
                  <c:v>309.0886615027257</c:v>
                </c:pt>
                <c:pt idx="507">
                  <c:v>311.11693636620106</c:v>
                </c:pt>
                <c:pt idx="508">
                  <c:v>311.81928016274094</c:v>
                </c:pt>
                <c:pt idx="509">
                  <c:v>310.29475596150331</c:v>
                </c:pt>
                <c:pt idx="510">
                  <c:v>307.99763520847347</c:v>
                </c:pt>
                <c:pt idx="511">
                  <c:v>306.78905792268984</c:v>
                </c:pt>
                <c:pt idx="512">
                  <c:v>306.37078364955789</c:v>
                </c:pt>
                <c:pt idx="513">
                  <c:v>304.03507013961774</c:v>
                </c:pt>
                <c:pt idx="514">
                  <c:v>301.25595141868143</c:v>
                </c:pt>
                <c:pt idx="515">
                  <c:v>298.81730189732912</c:v>
                </c:pt>
                <c:pt idx="516">
                  <c:v>295.35748576216338</c:v>
                </c:pt>
                <c:pt idx="517">
                  <c:v>293.18898701925201</c:v>
                </c:pt>
                <c:pt idx="518">
                  <c:v>291.17657687598256</c:v>
                </c:pt>
                <c:pt idx="519">
                  <c:v>289.40190095776666</c:v>
                </c:pt>
                <c:pt idx="520">
                  <c:v>288.60743780467948</c:v>
                </c:pt>
                <c:pt idx="521">
                  <c:v>287.84010945111282</c:v>
                </c:pt>
                <c:pt idx="522">
                  <c:v>287.5479354355233</c:v>
                </c:pt>
                <c:pt idx="523">
                  <c:v>288.71130770996416</c:v>
                </c:pt>
                <c:pt idx="524">
                  <c:v>290.37990366352722</c:v>
                </c:pt>
                <c:pt idx="525">
                  <c:v>291.07038326658306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14-4125-B774-D256FFE220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5088"/>
        <c:axId val="164406048"/>
      </c:lineChart>
      <c:dateAx>
        <c:axId val="164405088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6048"/>
        <c:crosses val="autoZero"/>
        <c:auto val="1"/>
        <c:lblOffset val="100"/>
        <c:baseTimeUnit val="days"/>
      </c:dateAx>
      <c:valAx>
        <c:axId val="164406048"/>
        <c:scaling>
          <c:orientation val="minMax"/>
          <c:max val="350"/>
          <c:min val="2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171.77250000000001</c:v>
                </c:pt>
                <c:pt idx="1">
                  <c:v>170.61</c:v>
                </c:pt>
                <c:pt idx="2">
                  <c:v>168.20249999999999</c:v>
                </c:pt>
                <c:pt idx="3">
                  <c:v>170.964</c:v>
                </c:pt>
                <c:pt idx="4">
                  <c:v>174.364</c:v>
                </c:pt>
                <c:pt idx="5">
                  <c:v>174.96799999999999</c:v>
                </c:pt>
                <c:pt idx="6">
                  <c:v>176.99600000000001</c:v>
                </c:pt>
                <c:pt idx="7">
                  <c:v>181.92250000000001</c:v>
                </c:pt>
                <c:pt idx="8">
                  <c:v>184.50800000000001</c:v>
                </c:pt>
                <c:pt idx="9">
                  <c:v>188.17000000000002</c:v>
                </c:pt>
                <c:pt idx="10">
                  <c:v>189.55600000000001</c:v>
                </c:pt>
                <c:pt idx="11">
                  <c:v>195.69200000000001</c:v>
                </c:pt>
                <c:pt idx="12">
                  <c:v>197.5925</c:v>
                </c:pt>
                <c:pt idx="13">
                  <c:v>197.84</c:v>
                </c:pt>
                <c:pt idx="14">
                  <c:v>193.864</c:v>
                </c:pt>
                <c:pt idx="15">
                  <c:v>182.16400000000002</c:v>
                </c:pt>
                <c:pt idx="16">
                  <c:v>192.298</c:v>
                </c:pt>
                <c:pt idx="17">
                  <c:v>191.81</c:v>
                </c:pt>
                <c:pt idx="18">
                  <c:v>195.13400000000001</c:v>
                </c:pt>
                <c:pt idx="19">
                  <c:v>201.922</c:v>
                </c:pt>
                <c:pt idx="20">
                  <c:v>198.208</c:v>
                </c:pt>
                <c:pt idx="21">
                  <c:v>199.89250000000001</c:v>
                </c:pt>
                <c:pt idx="22">
                  <c:v>199.01999999999998</c:v>
                </c:pt>
                <c:pt idx="23">
                  <c:v>194.58799999999999</c:v>
                </c:pt>
                <c:pt idx="24">
                  <c:v>196.73750000000001</c:v>
                </c:pt>
                <c:pt idx="25">
                  <c:v>199.16200000000001</c:v>
                </c:pt>
                <c:pt idx="26">
                  <c:v>206.94</c:v>
                </c:pt>
                <c:pt idx="27">
                  <c:v>206.59799999999998</c:v>
                </c:pt>
                <c:pt idx="28">
                  <c:v>212.06</c:v>
                </c:pt>
                <c:pt idx="29">
                  <c:v>210.02199999999999</c:v>
                </c:pt>
                <c:pt idx="30">
                  <c:v>209.18799999999999</c:v>
                </c:pt>
                <c:pt idx="31">
                  <c:v>201.1</c:v>
                </c:pt>
                <c:pt idx="32">
                  <c:v>209.97800000000001</c:v>
                </c:pt>
                <c:pt idx="33">
                  <c:v>215.90199999999999</c:v>
                </c:pt>
                <c:pt idx="34">
                  <c:v>221.53</c:v>
                </c:pt>
                <c:pt idx="35">
                  <c:v>217.43</c:v>
                </c:pt>
                <c:pt idx="36">
                  <c:v>208.10399999999998</c:v>
                </c:pt>
                <c:pt idx="37">
                  <c:v>209.24199999999999</c:v>
                </c:pt>
                <c:pt idx="38">
                  <c:v>210.7</c:v>
                </c:pt>
                <c:pt idx="39">
                  <c:v>208.328</c:v>
                </c:pt>
                <c:pt idx="40">
                  <c:v>214.04599999999999</c:v>
                </c:pt>
                <c:pt idx="41">
                  <c:v>223.45999999999998</c:v>
                </c:pt>
                <c:pt idx="42">
                  <c:v>223.56399999999999</c:v>
                </c:pt>
                <c:pt idx="43">
                  <c:v>223.53399999999999</c:v>
                </c:pt>
                <c:pt idx="44">
                  <c:v>232.33799999999999</c:v>
                </c:pt>
                <c:pt idx="45">
                  <c:v>241.43799999999999</c:v>
                </c:pt>
                <c:pt idx="46">
                  <c:v>244.44200000000001</c:v>
                </c:pt>
                <c:pt idx="47">
                  <c:v>249.9425</c:v>
                </c:pt>
                <c:pt idx="48">
                  <c:v>245.46199999999999</c:v>
                </c:pt>
                <c:pt idx="49">
                  <c:v>242.334</c:v>
                </c:pt>
                <c:pt idx="50">
                  <c:v>235.774</c:v>
                </c:pt>
                <c:pt idx="51">
                  <c:v>241.2525</c:v>
                </c:pt>
                <c:pt idx="52">
                  <c:v>240.57749999999999</c:v>
                </c:pt>
                <c:pt idx="53">
                  <c:v>241.755</c:v>
                </c:pt>
                <c:pt idx="54">
                  <c:v>251.49200000000002</c:v>
                </c:pt>
                <c:pt idx="55">
                  <c:v>264.16499999999996</c:v>
                </c:pt>
                <c:pt idx="56">
                  <c:v>267.02</c:v>
                </c:pt>
                <c:pt idx="57">
                  <c:v>271.57600000000002</c:v>
                </c:pt>
                <c:pt idx="58">
                  <c:v>274.87799999999999</c:v>
                </c:pt>
                <c:pt idx="59">
                  <c:v>272.56</c:v>
                </c:pt>
                <c:pt idx="60">
                  <c:v>260.24599999999998</c:v>
                </c:pt>
                <c:pt idx="61">
                  <c:v>250.244</c:v>
                </c:pt>
                <c:pt idx="62">
                  <c:v>229.37799999999999</c:v>
                </c:pt>
                <c:pt idx="63">
                  <c:v>237.73</c:v>
                </c:pt>
                <c:pt idx="64">
                  <c:v>248.238</c:v>
                </c:pt>
                <c:pt idx="65">
                  <c:v>234.75</c:v>
                </c:pt>
                <c:pt idx="66">
                  <c:v>225.792</c:v>
                </c:pt>
                <c:pt idx="67">
                  <c:v>232.35500000000002</c:v>
                </c:pt>
                <c:pt idx="68">
                  <c:v>238.73</c:v>
                </c:pt>
                <c:pt idx="69">
                  <c:v>246.37199999999999</c:v>
                </c:pt>
                <c:pt idx="70">
                  <c:v>251.55</c:v>
                </c:pt>
                <c:pt idx="71">
                  <c:v>264.75</c:v>
                </c:pt>
                <c:pt idx="72">
                  <c:v>262.596</c:v>
                </c:pt>
                <c:pt idx="73">
                  <c:v>264.28750000000002</c:v>
                </c:pt>
                <c:pt idx="74">
                  <c:v>264.56600000000003</c:v>
                </c:pt>
                <c:pt idx="75">
                  <c:v>267.33600000000001</c:v>
                </c:pt>
                <c:pt idx="76">
                  <c:v>272.20999999999998</c:v>
                </c:pt>
                <c:pt idx="77">
                  <c:v>283.89</c:v>
                </c:pt>
                <c:pt idx="78">
                  <c:v>292.08000000000004</c:v>
                </c:pt>
                <c:pt idx="79">
                  <c:v>286.59199999999998</c:v>
                </c:pt>
                <c:pt idx="80">
                  <c:v>288.44799999999998</c:v>
                </c:pt>
                <c:pt idx="81">
                  <c:v>294.86599999999999</c:v>
                </c:pt>
                <c:pt idx="82">
                  <c:v>296.11200000000002</c:v>
                </c:pt>
                <c:pt idx="83">
                  <c:v>290.536</c:v>
                </c:pt>
                <c:pt idx="84">
                  <c:v>291.51800000000003</c:v>
                </c:pt>
                <c:pt idx="85">
                  <c:v>292.428</c:v>
                </c:pt>
                <c:pt idx="86">
                  <c:v>299.048</c:v>
                </c:pt>
                <c:pt idx="87">
                  <c:v>299.35249999999996</c:v>
                </c:pt>
                <c:pt idx="88">
                  <c:v>300.75400000000002</c:v>
                </c:pt>
                <c:pt idx="89">
                  <c:v>311.57</c:v>
                </c:pt>
                <c:pt idx="90">
                  <c:v>313.62200000000001</c:v>
                </c:pt>
                <c:pt idx="91">
                  <c:v>311.88200000000001</c:v>
                </c:pt>
                <c:pt idx="92">
                  <c:v>305.464</c:v>
                </c:pt>
                <c:pt idx="93">
                  <c:v>302.36799999999999</c:v>
                </c:pt>
                <c:pt idx="94">
                  <c:v>297.70800000000003</c:v>
                </c:pt>
                <c:pt idx="95">
                  <c:v>307.11599999999999</c:v>
                </c:pt>
                <c:pt idx="96">
                  <c:v>311.58199999999999</c:v>
                </c:pt>
                <c:pt idx="97">
                  <c:v>313.202</c:v>
                </c:pt>
                <c:pt idx="98">
                  <c:v>299.89</c:v>
                </c:pt>
                <c:pt idx="99">
                  <c:v>305.43</c:v>
                </c:pt>
                <c:pt idx="100">
                  <c:v>312.01400000000001</c:v>
                </c:pt>
                <c:pt idx="101">
                  <c:v>312.346</c:v>
                </c:pt>
                <c:pt idx="102">
                  <c:v>316.15199999999999</c:v>
                </c:pt>
                <c:pt idx="103">
                  <c:v>326.52499999999998</c:v>
                </c:pt>
                <c:pt idx="104">
                  <c:v>323.71750000000003</c:v>
                </c:pt>
                <c:pt idx="105">
                  <c:v>330.92400000000004</c:v>
                </c:pt>
                <c:pt idx="106">
                  <c:v>312.99799999999999</c:v>
                </c:pt>
                <c:pt idx="107">
                  <c:v>301.53250000000003</c:v>
                </c:pt>
                <c:pt idx="108">
                  <c:v>302.88600000000002</c:v>
                </c:pt>
                <c:pt idx="109">
                  <c:v>313.42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1-4084-86C2-2F6A958FC7C3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9">
                  <c:v>302.50001525154153</c:v>
                </c:pt>
                <c:pt idx="110">
                  <c:v>312.31346462843186</c:v>
                </c:pt>
                <c:pt idx="111">
                  <c:v>309.89487529477998</c:v>
                </c:pt>
                <c:pt idx="112">
                  <c:v>319.15766268122877</c:v>
                </c:pt>
                <c:pt idx="113">
                  <c:v>325.37188248945682</c:v>
                </c:pt>
                <c:pt idx="114">
                  <c:v>336.39070712130842</c:v>
                </c:pt>
                <c:pt idx="115">
                  <c:v>341.49042526138277</c:v>
                </c:pt>
                <c:pt idx="116">
                  <c:v>340.04438620023973</c:v>
                </c:pt>
                <c:pt idx="117">
                  <c:v>331.68725074782708</c:v>
                </c:pt>
                <c:pt idx="118">
                  <c:v>333.00460971770406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1-4084-86C2-2F6A958FC7C3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9">
                  <c:v>309.94538037737499</c:v>
                </c:pt>
                <c:pt idx="110">
                  <c:v>305.41518568640902</c:v>
                </c:pt>
                <c:pt idx="111">
                  <c:v>306.99768268754201</c:v>
                </c:pt>
                <c:pt idx="112">
                  <c:v>307.21357313097002</c:v>
                </c:pt>
                <c:pt idx="113">
                  <c:v>303.05160556016199</c:v>
                </c:pt>
                <c:pt idx="114">
                  <c:v>304.89567881271103</c:v>
                </c:pt>
                <c:pt idx="115">
                  <c:v>307.135848286986</c:v>
                </c:pt>
                <c:pt idx="116">
                  <c:v>315.06425698562401</c:v>
                </c:pt>
                <c:pt idx="117">
                  <c:v>314.29336766854902</c:v>
                </c:pt>
                <c:pt idx="118">
                  <c:v>319.61081870599202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A1-4084-86C2-2F6A958FC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201983"/>
        <c:axId val="2072202463"/>
      </c:lineChart>
      <c:dateAx>
        <c:axId val="2072201983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02463"/>
        <c:crosses val="autoZero"/>
        <c:auto val="1"/>
        <c:lblOffset val="100"/>
        <c:baseTimeUnit val="days"/>
      </c:dateAx>
      <c:valAx>
        <c:axId val="2072202463"/>
        <c:scaling>
          <c:orientation val="minMax"/>
          <c:min val="2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36529</c:v>
                </c:pt>
                <c:pt idx="1">
                  <c:v>36620</c:v>
                </c:pt>
                <c:pt idx="2">
                  <c:v>36710</c:v>
                </c:pt>
                <c:pt idx="3">
                  <c:v>36803</c:v>
                </c:pt>
                <c:pt idx="4">
                  <c:v>36894</c:v>
                </c:pt>
                <c:pt idx="5">
                  <c:v>36985</c:v>
                </c:pt>
                <c:pt idx="6">
                  <c:v>37075</c:v>
                </c:pt>
                <c:pt idx="7">
                  <c:v>37167</c:v>
                </c:pt>
                <c:pt idx="8">
                  <c:v>37258</c:v>
                </c:pt>
                <c:pt idx="9">
                  <c:v>37349</c:v>
                </c:pt>
                <c:pt idx="10">
                  <c:v>37439</c:v>
                </c:pt>
                <c:pt idx="11">
                  <c:v>37531</c:v>
                </c:pt>
                <c:pt idx="12">
                  <c:v>37623</c:v>
                </c:pt>
                <c:pt idx="13">
                  <c:v>37713</c:v>
                </c:pt>
                <c:pt idx="14">
                  <c:v>37803</c:v>
                </c:pt>
                <c:pt idx="15">
                  <c:v>37896</c:v>
                </c:pt>
                <c:pt idx="16">
                  <c:v>37988</c:v>
                </c:pt>
                <c:pt idx="17">
                  <c:v>38079</c:v>
                </c:pt>
                <c:pt idx="18">
                  <c:v>38169</c:v>
                </c:pt>
                <c:pt idx="19">
                  <c:v>38264</c:v>
                </c:pt>
                <c:pt idx="20">
                  <c:v>38356</c:v>
                </c:pt>
                <c:pt idx="21">
                  <c:v>38446</c:v>
                </c:pt>
                <c:pt idx="22">
                  <c:v>38534</c:v>
                </c:pt>
                <c:pt idx="23">
                  <c:v>38629</c:v>
                </c:pt>
                <c:pt idx="24">
                  <c:v>38721</c:v>
                </c:pt>
                <c:pt idx="25">
                  <c:v>38811</c:v>
                </c:pt>
                <c:pt idx="26">
                  <c:v>38901</c:v>
                </c:pt>
                <c:pt idx="27">
                  <c:v>38994</c:v>
                </c:pt>
                <c:pt idx="28">
                  <c:v>39085</c:v>
                </c:pt>
                <c:pt idx="29">
                  <c:v>39175</c:v>
                </c:pt>
                <c:pt idx="30">
                  <c:v>39266</c:v>
                </c:pt>
                <c:pt idx="31">
                  <c:v>39358</c:v>
                </c:pt>
                <c:pt idx="32">
                  <c:v>39449</c:v>
                </c:pt>
                <c:pt idx="33">
                  <c:v>39540</c:v>
                </c:pt>
                <c:pt idx="34">
                  <c:v>39630</c:v>
                </c:pt>
                <c:pt idx="35">
                  <c:v>39723</c:v>
                </c:pt>
                <c:pt idx="36">
                  <c:v>39815</c:v>
                </c:pt>
                <c:pt idx="37">
                  <c:v>39905</c:v>
                </c:pt>
                <c:pt idx="38">
                  <c:v>39995</c:v>
                </c:pt>
                <c:pt idx="39">
                  <c:v>40088</c:v>
                </c:pt>
                <c:pt idx="40">
                  <c:v>40182</c:v>
                </c:pt>
                <c:pt idx="41">
                  <c:v>40269</c:v>
                </c:pt>
                <c:pt idx="42">
                  <c:v>40360</c:v>
                </c:pt>
                <c:pt idx="43">
                  <c:v>40455</c:v>
                </c:pt>
                <c:pt idx="44">
                  <c:v>40547</c:v>
                </c:pt>
                <c:pt idx="45">
                  <c:v>40637</c:v>
                </c:pt>
                <c:pt idx="46">
                  <c:v>40725</c:v>
                </c:pt>
                <c:pt idx="47">
                  <c:v>40820</c:v>
                </c:pt>
                <c:pt idx="48">
                  <c:v>40912</c:v>
                </c:pt>
                <c:pt idx="49">
                  <c:v>41002</c:v>
                </c:pt>
                <c:pt idx="50">
                  <c:v>41093</c:v>
                </c:pt>
                <c:pt idx="51">
                  <c:v>41185</c:v>
                </c:pt>
                <c:pt idx="52">
                  <c:v>41276</c:v>
                </c:pt>
                <c:pt idx="53">
                  <c:v>41367</c:v>
                </c:pt>
                <c:pt idx="54">
                  <c:v>41457</c:v>
                </c:pt>
                <c:pt idx="55">
                  <c:v>41549</c:v>
                </c:pt>
                <c:pt idx="56">
                  <c:v>41641</c:v>
                </c:pt>
                <c:pt idx="57">
                  <c:v>41731</c:v>
                </c:pt>
                <c:pt idx="58">
                  <c:v>41821</c:v>
                </c:pt>
                <c:pt idx="59">
                  <c:v>41914</c:v>
                </c:pt>
                <c:pt idx="60">
                  <c:v>42006</c:v>
                </c:pt>
                <c:pt idx="61">
                  <c:v>42095</c:v>
                </c:pt>
                <c:pt idx="62">
                  <c:v>42186</c:v>
                </c:pt>
                <c:pt idx="63">
                  <c:v>42279</c:v>
                </c:pt>
                <c:pt idx="64">
                  <c:v>42373</c:v>
                </c:pt>
                <c:pt idx="65">
                  <c:v>42464</c:v>
                </c:pt>
                <c:pt idx="66">
                  <c:v>42552</c:v>
                </c:pt>
                <c:pt idx="67">
                  <c:v>42647</c:v>
                </c:pt>
                <c:pt idx="68">
                  <c:v>42739</c:v>
                </c:pt>
                <c:pt idx="69">
                  <c:v>42829</c:v>
                </c:pt>
                <c:pt idx="70">
                  <c:v>42919</c:v>
                </c:pt>
                <c:pt idx="71">
                  <c:v>43013</c:v>
                </c:pt>
                <c:pt idx="72">
                  <c:v>43104</c:v>
                </c:pt>
                <c:pt idx="73">
                  <c:v>43195</c:v>
                </c:pt>
                <c:pt idx="74">
                  <c:v>43286</c:v>
                </c:pt>
                <c:pt idx="75">
                  <c:v>43377</c:v>
                </c:pt>
                <c:pt idx="76">
                  <c:v>43468</c:v>
                </c:pt>
                <c:pt idx="77">
                  <c:v>43559</c:v>
                </c:pt>
                <c:pt idx="78">
                  <c:v>43649</c:v>
                </c:pt>
                <c:pt idx="79">
                  <c:v>43741</c:v>
                </c:pt>
                <c:pt idx="80">
                  <c:v>43833</c:v>
                </c:pt>
                <c:pt idx="81">
                  <c:v>43924</c:v>
                </c:pt>
                <c:pt idx="82">
                  <c:v>44014</c:v>
                </c:pt>
                <c:pt idx="83">
                  <c:v>44109</c:v>
                </c:pt>
                <c:pt idx="84">
                  <c:v>44201</c:v>
                </c:pt>
                <c:pt idx="85">
                  <c:v>44291</c:v>
                </c:pt>
                <c:pt idx="86">
                  <c:v>44379</c:v>
                </c:pt>
                <c:pt idx="87">
                  <c:v>44474</c:v>
                </c:pt>
                <c:pt idx="88">
                  <c:v>44566</c:v>
                </c:pt>
                <c:pt idx="89">
                  <c:v>44656</c:v>
                </c:pt>
                <c:pt idx="90">
                  <c:v>44747</c:v>
                </c:pt>
                <c:pt idx="91">
                  <c:v>44839</c:v>
                </c:pt>
                <c:pt idx="92">
                  <c:v>44931</c:v>
                </c:pt>
                <c:pt idx="93">
                  <c:v>45021</c:v>
                </c:pt>
                <c:pt idx="94">
                  <c:v>45112</c:v>
                </c:pt>
                <c:pt idx="95">
                  <c:v>45204</c:v>
                </c:pt>
                <c:pt idx="96">
                  <c:v>45295</c:v>
                </c:pt>
                <c:pt idx="97">
                  <c:v>45386</c:v>
                </c:pt>
                <c:pt idx="98">
                  <c:v>45478</c:v>
                </c:pt>
                <c:pt idx="99">
                  <c:v>45569</c:v>
                </c:pt>
                <c:pt idx="100">
                  <c:v>45663</c:v>
                </c:pt>
                <c:pt idx="101">
                  <c:v>45751</c:v>
                </c:pt>
                <c:pt idx="102">
                  <c:v>45841</c:v>
                </c:pt>
                <c:pt idx="103">
                  <c:v>45936</c:v>
                </c:pt>
                <c:pt idx="104">
                  <c:v>46028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0.27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0.34</c:v>
                </c:pt>
                <c:pt idx="6">
                  <c:v>0.34</c:v>
                </c:pt>
                <c:pt idx="7">
                  <c:v>0.34</c:v>
                </c:pt>
                <c:pt idx="8">
                  <c:v>0.34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  <c:pt idx="24">
                  <c:v>0.34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0.44</c:v>
                </c:pt>
                <c:pt idx="63">
                  <c:v>0.44</c:v>
                </c:pt>
                <c:pt idx="64">
                  <c:v>0.44</c:v>
                </c:pt>
                <c:pt idx="65">
                  <c:v>0.44</c:v>
                </c:pt>
                <c:pt idx="66">
                  <c:v>0.48</c:v>
                </c:pt>
                <c:pt idx="67">
                  <c:v>0.48</c:v>
                </c:pt>
                <c:pt idx="68">
                  <c:v>0.48</c:v>
                </c:pt>
                <c:pt idx="69">
                  <c:v>0.5</c:v>
                </c:pt>
                <c:pt idx="70">
                  <c:v>0.5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1.05</c:v>
                </c:pt>
                <c:pt idx="96">
                  <c:v>1.05</c:v>
                </c:pt>
                <c:pt idx="97">
                  <c:v>1.1499999999999999</c:v>
                </c:pt>
                <c:pt idx="98">
                  <c:v>1.1499999999999999</c:v>
                </c:pt>
                <c:pt idx="99">
                  <c:v>1.25</c:v>
                </c:pt>
                <c:pt idx="100">
                  <c:v>1.25</c:v>
                </c:pt>
                <c:pt idx="101">
                  <c:v>1.4</c:v>
                </c:pt>
                <c:pt idx="102">
                  <c:v>1.4</c:v>
                </c:pt>
                <c:pt idx="103">
                  <c:v>1.5</c:v>
                </c:pt>
                <c:pt idx="10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3-40BA-AF8D-BB82AAC87B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Data!$AA$2:$AA$527</c:f>
              <c:numCache>
                <c:formatCode>General</c:formatCode>
                <c:ptCount val="526"/>
                <c:pt idx="35">
                  <c:v>0.73880676843293713</c:v>
                </c:pt>
                <c:pt idx="36">
                  <c:v>0.68823747362414434</c:v>
                </c:pt>
                <c:pt idx="37">
                  <c:v>0.60363881973800293</c:v>
                </c:pt>
                <c:pt idx="38">
                  <c:v>0.5543770467028315</c:v>
                </c:pt>
                <c:pt idx="39">
                  <c:v>0.57644583997449006</c:v>
                </c:pt>
                <c:pt idx="40">
                  <c:v>0.48439925466872769</c:v>
                </c:pt>
                <c:pt idx="41">
                  <c:v>0.46239470491526369</c:v>
                </c:pt>
                <c:pt idx="42">
                  <c:v>0.51502324853229986</c:v>
                </c:pt>
                <c:pt idx="43">
                  <c:v>0.55369993101008808</c:v>
                </c:pt>
                <c:pt idx="44">
                  <c:v>0.41186373498918627</c:v>
                </c:pt>
                <c:pt idx="45">
                  <c:v>0.29165563511955117</c:v>
                </c:pt>
                <c:pt idx="46">
                  <c:v>0.17277142608404317</c:v>
                </c:pt>
                <c:pt idx="47">
                  <c:v>0.1550054742818272</c:v>
                </c:pt>
                <c:pt idx="48">
                  <c:v>0.20055834220915303</c:v>
                </c:pt>
                <c:pt idx="49">
                  <c:v>-3.2944285883829139E-2</c:v>
                </c:pt>
                <c:pt idx="50">
                  <c:v>-6.2724422064696306E-2</c:v>
                </c:pt>
                <c:pt idx="51">
                  <c:v>3.880336843257659E-2</c:v>
                </c:pt>
                <c:pt idx="52">
                  <c:v>0.1387260017484051</c:v>
                </c:pt>
                <c:pt idx="53">
                  <c:v>0.32207116545073022</c:v>
                </c:pt>
                <c:pt idx="54">
                  <c:v>0.55948398938256227</c:v>
                </c:pt>
                <c:pt idx="55">
                  <c:v>0.48712730362388346</c:v>
                </c:pt>
                <c:pt idx="56">
                  <c:v>0.26413919063773239</c:v>
                </c:pt>
                <c:pt idx="57">
                  <c:v>0.1307714649347389</c:v>
                </c:pt>
                <c:pt idx="58">
                  <c:v>0.24406423548040213</c:v>
                </c:pt>
                <c:pt idx="59">
                  <c:v>0.31337259237445281</c:v>
                </c:pt>
                <c:pt idx="60">
                  <c:v>0.21419507221975476</c:v>
                </c:pt>
                <c:pt idx="61">
                  <c:v>9.5811333724170389E-2</c:v>
                </c:pt>
                <c:pt idx="62">
                  <c:v>-5.9255471192103393E-2</c:v>
                </c:pt>
                <c:pt idx="63">
                  <c:v>-0.36242951549620628</c:v>
                </c:pt>
                <c:pt idx="64">
                  <c:v>-0.45772676959440162</c:v>
                </c:pt>
                <c:pt idx="65">
                  <c:v>-0.46583158854626827</c:v>
                </c:pt>
                <c:pt idx="66">
                  <c:v>-0.56840897253584011</c:v>
                </c:pt>
                <c:pt idx="67">
                  <c:v>-0.74586331739398481</c:v>
                </c:pt>
                <c:pt idx="68">
                  <c:v>-0.85458569869594125</c:v>
                </c:pt>
                <c:pt idx="69">
                  <c:v>-1.7166836003475616</c:v>
                </c:pt>
                <c:pt idx="70">
                  <c:v>-2.1888403800796681</c:v>
                </c:pt>
                <c:pt idx="71">
                  <c:v>-2.5266102541894835</c:v>
                </c:pt>
                <c:pt idx="72">
                  <c:v>-2.6692537091429633</c:v>
                </c:pt>
                <c:pt idx="73">
                  <c:v>-2.5554189454273217</c:v>
                </c:pt>
                <c:pt idx="74">
                  <c:v>-2.0652679890872507</c:v>
                </c:pt>
                <c:pt idx="75">
                  <c:v>-1.4202252972144529</c:v>
                </c:pt>
                <c:pt idx="76">
                  <c:v>-0.76483623347697449</c:v>
                </c:pt>
                <c:pt idx="77">
                  <c:v>-0.24980924374446334</c:v>
                </c:pt>
                <c:pt idx="78">
                  <c:v>0.10933083573966257</c:v>
                </c:pt>
                <c:pt idx="79">
                  <c:v>0.34083911355499508</c:v>
                </c:pt>
                <c:pt idx="80">
                  <c:v>0.45837753390659625</c:v>
                </c:pt>
                <c:pt idx="81">
                  <c:v>0.41239806934756618</c:v>
                </c:pt>
                <c:pt idx="82">
                  <c:v>0.37133646522180952</c:v>
                </c:pt>
                <c:pt idx="83">
                  <c:v>0.3142417945406753</c:v>
                </c:pt>
                <c:pt idx="84">
                  <c:v>0.18874790409518974</c:v>
                </c:pt>
                <c:pt idx="85">
                  <c:v>0.19500974274588617</c:v>
                </c:pt>
                <c:pt idx="86">
                  <c:v>0.17203806223930462</c:v>
                </c:pt>
                <c:pt idx="87">
                  <c:v>0.39639878702308423</c:v>
                </c:pt>
                <c:pt idx="88">
                  <c:v>0.6322916280412042</c:v>
                </c:pt>
                <c:pt idx="89">
                  <c:v>0.82459131804617047</c:v>
                </c:pt>
                <c:pt idx="90">
                  <c:v>0.8940064480128711</c:v>
                </c:pt>
                <c:pt idx="91">
                  <c:v>1.0606892510331338</c:v>
                </c:pt>
                <c:pt idx="92">
                  <c:v>1.1380597266897965</c:v>
                </c:pt>
                <c:pt idx="93">
                  <c:v>1.137484970000497</c:v>
                </c:pt>
                <c:pt idx="94">
                  <c:v>1.2105758441686789</c:v>
                </c:pt>
                <c:pt idx="95">
                  <c:v>0.58743055317624338</c:v>
                </c:pt>
                <c:pt idx="96">
                  <c:v>0.3984276341962949</c:v>
                </c:pt>
                <c:pt idx="97">
                  <c:v>0.16187552275085837</c:v>
                </c:pt>
                <c:pt idx="98">
                  <c:v>-0.1039351753327904</c:v>
                </c:pt>
                <c:pt idx="99">
                  <c:v>-4.3337964799318396E-2</c:v>
                </c:pt>
                <c:pt idx="100">
                  <c:v>-0.1003207497251406</c:v>
                </c:pt>
                <c:pt idx="101">
                  <c:v>-0.23927179436218315</c:v>
                </c:pt>
                <c:pt idx="102">
                  <c:v>-0.25520546144836187</c:v>
                </c:pt>
                <c:pt idx="103">
                  <c:v>-5.9876544760419037E-2</c:v>
                </c:pt>
                <c:pt idx="104">
                  <c:v>-4.5259255110337016E-3</c:v>
                </c:pt>
                <c:pt idx="105">
                  <c:v>-0.15786492475239244</c:v>
                </c:pt>
                <c:pt idx="106">
                  <c:v>-0.38510701955537208</c:v>
                </c:pt>
                <c:pt idx="107">
                  <c:v>-0.54696262109210503</c:v>
                </c:pt>
                <c:pt idx="108">
                  <c:v>-0.44176197851560262</c:v>
                </c:pt>
                <c:pt idx="109">
                  <c:v>-0.38938728618328655</c:v>
                </c:pt>
                <c:pt idx="110">
                  <c:v>-0.68532568092694568</c:v>
                </c:pt>
                <c:pt idx="111">
                  <c:v>-1.0280656487438322</c:v>
                </c:pt>
                <c:pt idx="112">
                  <c:v>-1.0632941582965589</c:v>
                </c:pt>
                <c:pt idx="113">
                  <c:v>-1.0297837484176071</c:v>
                </c:pt>
                <c:pt idx="114">
                  <c:v>-0.88367562420262968</c:v>
                </c:pt>
                <c:pt idx="115">
                  <c:v>-0.6203081034984097</c:v>
                </c:pt>
                <c:pt idx="116">
                  <c:v>-0.31817320008914884</c:v>
                </c:pt>
                <c:pt idx="117">
                  <c:v>-0.26467624388089939</c:v>
                </c:pt>
                <c:pt idx="118">
                  <c:v>-5.3324448308922162E-2</c:v>
                </c:pt>
                <c:pt idx="119">
                  <c:v>2.9667948915862191E-2</c:v>
                </c:pt>
                <c:pt idx="120">
                  <c:v>3.8637946982661445E-2</c:v>
                </c:pt>
                <c:pt idx="121">
                  <c:v>0.15253989337771881</c:v>
                </c:pt>
                <c:pt idx="122">
                  <c:v>0.41204640075242011</c:v>
                </c:pt>
                <c:pt idx="123">
                  <c:v>0.75465389547532902</c:v>
                </c:pt>
                <c:pt idx="124">
                  <c:v>1.1417927753758137</c:v>
                </c:pt>
                <c:pt idx="125">
                  <c:v>1.3093080516540523</c:v>
                </c:pt>
                <c:pt idx="126">
                  <c:v>1.0874474865598323</c:v>
                </c:pt>
                <c:pt idx="127">
                  <c:v>0.90382507333611706</c:v>
                </c:pt>
                <c:pt idx="128">
                  <c:v>0.88447612380513885</c:v>
                </c:pt>
                <c:pt idx="129">
                  <c:v>0.82094655257823979</c:v>
                </c:pt>
                <c:pt idx="130">
                  <c:v>0.69799946025565696</c:v>
                </c:pt>
                <c:pt idx="131">
                  <c:v>0.40481867075209088</c:v>
                </c:pt>
                <c:pt idx="132">
                  <c:v>0.5056756539278906</c:v>
                </c:pt>
                <c:pt idx="133">
                  <c:v>0.74878905014037045</c:v>
                </c:pt>
                <c:pt idx="134">
                  <c:v>1.0461933099928471</c:v>
                </c:pt>
                <c:pt idx="135">
                  <c:v>0.71254001135964895</c:v>
                </c:pt>
                <c:pt idx="136">
                  <c:v>0.42615886605670905</c:v>
                </c:pt>
                <c:pt idx="137">
                  <c:v>0.22812062592006344</c:v>
                </c:pt>
                <c:pt idx="138">
                  <c:v>6.6597617277369903E-2</c:v>
                </c:pt>
                <c:pt idx="139">
                  <c:v>-0.17795645634001644</c:v>
                </c:pt>
                <c:pt idx="140">
                  <c:v>-0.34517911735006557</c:v>
                </c:pt>
                <c:pt idx="141">
                  <c:v>-0.23165547912909279</c:v>
                </c:pt>
                <c:pt idx="142">
                  <c:v>-0.26412421905382999</c:v>
                </c:pt>
                <c:pt idx="143">
                  <c:v>-2.0118882061709087E-2</c:v>
                </c:pt>
                <c:pt idx="144">
                  <c:v>-4.5063135306929958E-2</c:v>
                </c:pt>
                <c:pt idx="145">
                  <c:v>-0.39352273067250731</c:v>
                </c:pt>
                <c:pt idx="146">
                  <c:v>-1.17958603124386</c:v>
                </c:pt>
                <c:pt idx="147">
                  <c:v>-1.9037507038658208</c:v>
                </c:pt>
                <c:pt idx="148">
                  <c:v>-1.9290625882022792</c:v>
                </c:pt>
                <c:pt idx="149">
                  <c:v>-1.8539625005582203</c:v>
                </c:pt>
                <c:pt idx="150">
                  <c:v>-1.4858938595708384</c:v>
                </c:pt>
                <c:pt idx="151">
                  <c:v>-1.0726362333155763</c:v>
                </c:pt>
                <c:pt idx="152">
                  <c:v>-0.73642776540083221</c:v>
                </c:pt>
                <c:pt idx="153">
                  <c:v>-0.37766633005648975</c:v>
                </c:pt>
                <c:pt idx="154">
                  <c:v>1.2384494143153207E-2</c:v>
                </c:pt>
                <c:pt idx="155">
                  <c:v>0.33839207842137653</c:v>
                </c:pt>
                <c:pt idx="156">
                  <c:v>0.67723508721194159</c:v>
                </c:pt>
                <c:pt idx="157">
                  <c:v>0.94482822124808852</c:v>
                </c:pt>
                <c:pt idx="158">
                  <c:v>0.99778161542885824</c:v>
                </c:pt>
                <c:pt idx="159">
                  <c:v>0.97560876883055303</c:v>
                </c:pt>
                <c:pt idx="160">
                  <c:v>1.0297314219215528</c:v>
                </c:pt>
                <c:pt idx="161">
                  <c:v>1.1041542686799395</c:v>
                </c:pt>
                <c:pt idx="162">
                  <c:v>1.1325524396876554</c:v>
                </c:pt>
                <c:pt idx="163">
                  <c:v>1.1376058900018036</c:v>
                </c:pt>
                <c:pt idx="164">
                  <c:v>1.1315513438761933</c:v>
                </c:pt>
                <c:pt idx="165">
                  <c:v>1.1041475195649553</c:v>
                </c:pt>
                <c:pt idx="166">
                  <c:v>1.1688578580766555</c:v>
                </c:pt>
                <c:pt idx="167">
                  <c:v>0.83278004646290871</c:v>
                </c:pt>
                <c:pt idx="168">
                  <c:v>0.48649202023067994</c:v>
                </c:pt>
                <c:pt idx="169">
                  <c:v>0.104261711521072</c:v>
                </c:pt>
                <c:pt idx="170">
                  <c:v>-0.50214430611731897</c:v>
                </c:pt>
                <c:pt idx="171">
                  <c:v>-0.60858186163284511</c:v>
                </c:pt>
                <c:pt idx="172">
                  <c:v>-1.3902377129380534</c:v>
                </c:pt>
                <c:pt idx="173">
                  <c:v>-1.7264387700534436</c:v>
                </c:pt>
                <c:pt idx="174">
                  <c:v>-1.9086589007051962</c:v>
                </c:pt>
                <c:pt idx="175">
                  <c:v>-2.0857634149850282</c:v>
                </c:pt>
                <c:pt idx="176">
                  <c:v>-1.874204768590906</c:v>
                </c:pt>
                <c:pt idx="177">
                  <c:v>-1.5630661219987521</c:v>
                </c:pt>
                <c:pt idx="178">
                  <c:v>-1.4007334530594511</c:v>
                </c:pt>
                <c:pt idx="179">
                  <c:v>-1.0389581899026146</c:v>
                </c:pt>
                <c:pt idx="180">
                  <c:v>-0.71810636709426423</c:v>
                </c:pt>
                <c:pt idx="181">
                  <c:v>-0.45468002953566561</c:v>
                </c:pt>
                <c:pt idx="182">
                  <c:v>-0.2527833425251852</c:v>
                </c:pt>
                <c:pt idx="183">
                  <c:v>-0.19837724094931641</c:v>
                </c:pt>
                <c:pt idx="184">
                  <c:v>-0.17563580966367742</c:v>
                </c:pt>
                <c:pt idx="185">
                  <c:v>-0.10141905402408835</c:v>
                </c:pt>
                <c:pt idx="186">
                  <c:v>-2.1572331725516869E-2</c:v>
                </c:pt>
                <c:pt idx="187">
                  <c:v>-0.20909121956916121</c:v>
                </c:pt>
                <c:pt idx="188">
                  <c:v>-0.29414518923422373</c:v>
                </c:pt>
                <c:pt idx="189">
                  <c:v>-0.45726585065851455</c:v>
                </c:pt>
                <c:pt idx="190">
                  <c:v>-0.14599175235713246</c:v>
                </c:pt>
                <c:pt idx="191">
                  <c:v>4.5864104157318231E-2</c:v>
                </c:pt>
                <c:pt idx="192">
                  <c:v>0.15972892865945665</c:v>
                </c:pt>
                <c:pt idx="193">
                  <c:v>0.4002577903226171</c:v>
                </c:pt>
                <c:pt idx="194">
                  <c:v>0.49924862032927797</c:v>
                </c:pt>
                <c:pt idx="195">
                  <c:v>1.1432901707552976</c:v>
                </c:pt>
                <c:pt idx="196">
                  <c:v>1.4378222107192338</c:v>
                </c:pt>
                <c:pt idx="197">
                  <c:v>1.6043378985305601</c:v>
                </c:pt>
                <c:pt idx="198">
                  <c:v>1.6999277844953671</c:v>
                </c:pt>
                <c:pt idx="199">
                  <c:v>1.7121829908715838</c:v>
                </c:pt>
                <c:pt idx="200">
                  <c:v>1.6785097878475208</c:v>
                </c:pt>
                <c:pt idx="201">
                  <c:v>1.4021144453285759</c:v>
                </c:pt>
                <c:pt idx="202">
                  <c:v>1.2076026129441493</c:v>
                </c:pt>
                <c:pt idx="203">
                  <c:v>0.95507171461987816</c:v>
                </c:pt>
                <c:pt idx="204">
                  <c:v>0.82274114863379388</c:v>
                </c:pt>
                <c:pt idx="205">
                  <c:v>0.50022472113670169</c:v>
                </c:pt>
                <c:pt idx="206">
                  <c:v>0.44824172086643888</c:v>
                </c:pt>
                <c:pt idx="207">
                  <c:v>0.19802295939441894</c:v>
                </c:pt>
                <c:pt idx="208">
                  <c:v>9.85100081194763E-2</c:v>
                </c:pt>
                <c:pt idx="209">
                  <c:v>-0.15682200714312522</c:v>
                </c:pt>
                <c:pt idx="210">
                  <c:v>-0.27207603776399081</c:v>
                </c:pt>
                <c:pt idx="211">
                  <c:v>-0.55962781307194653</c:v>
                </c:pt>
                <c:pt idx="212">
                  <c:v>-0.62803100979028148</c:v>
                </c:pt>
                <c:pt idx="213">
                  <c:v>0.96863055393914355</c:v>
                </c:pt>
                <c:pt idx="214">
                  <c:v>1.2096247959669713</c:v>
                </c:pt>
                <c:pt idx="215">
                  <c:v>1.3053859762727686</c:v>
                </c:pt>
                <c:pt idx="216">
                  <c:v>1.4112508942495037</c:v>
                </c:pt>
                <c:pt idx="217">
                  <c:v>1.3844944648799</c:v>
                </c:pt>
                <c:pt idx="218">
                  <c:v>1.3577381104741502</c:v>
                </c:pt>
                <c:pt idx="219">
                  <c:v>1.272492134771305</c:v>
                </c:pt>
                <c:pt idx="220">
                  <c:v>1.3263766877287422</c:v>
                </c:pt>
                <c:pt idx="221">
                  <c:v>1.2242160531666872</c:v>
                </c:pt>
                <c:pt idx="222">
                  <c:v>0.92087718948535091</c:v>
                </c:pt>
                <c:pt idx="223">
                  <c:v>0.48163383273821303</c:v>
                </c:pt>
                <c:pt idx="224">
                  <c:v>0.38054939970467228</c:v>
                </c:pt>
                <c:pt idx="225">
                  <c:v>0.48372273665701915</c:v>
                </c:pt>
                <c:pt idx="226">
                  <c:v>0.57758365710698456</c:v>
                </c:pt>
                <c:pt idx="227">
                  <c:v>0.52790657330475543</c:v>
                </c:pt>
                <c:pt idx="228">
                  <c:v>0.39859807112035828</c:v>
                </c:pt>
                <c:pt idx="229">
                  <c:v>0.23226816135537298</c:v>
                </c:pt>
                <c:pt idx="230">
                  <c:v>-0.16605620384306619</c:v>
                </c:pt>
                <c:pt idx="231">
                  <c:v>-0.55834286793789012</c:v>
                </c:pt>
                <c:pt idx="232">
                  <c:v>-0.92437014982047749</c:v>
                </c:pt>
                <c:pt idx="233">
                  <c:v>-1.0292821547994224</c:v>
                </c:pt>
                <c:pt idx="234">
                  <c:v>-0.9754500927291847</c:v>
                </c:pt>
                <c:pt idx="235">
                  <c:v>-1.1692489569184845</c:v>
                </c:pt>
                <c:pt idx="236">
                  <c:v>-1.3395079507672714</c:v>
                </c:pt>
                <c:pt idx="237">
                  <c:v>-1.3796497271734669</c:v>
                </c:pt>
                <c:pt idx="238">
                  <c:v>-1.5033809158161784</c:v>
                </c:pt>
                <c:pt idx="239">
                  <c:v>-1.643426383912912</c:v>
                </c:pt>
                <c:pt idx="240">
                  <c:v>-1.7041144838038593</c:v>
                </c:pt>
                <c:pt idx="241">
                  <c:v>-1.7628807215001614</c:v>
                </c:pt>
                <c:pt idx="242">
                  <c:v>-2.2453893722060978</c:v>
                </c:pt>
                <c:pt idx="243">
                  <c:v>-2.2878890775882894</c:v>
                </c:pt>
                <c:pt idx="244">
                  <c:v>-1.9163310228213959</c:v>
                </c:pt>
                <c:pt idx="245">
                  <c:v>-1.546057572489417</c:v>
                </c:pt>
                <c:pt idx="246">
                  <c:v>-0.99272656775226553</c:v>
                </c:pt>
                <c:pt idx="247">
                  <c:v>-0.54859911647335602</c:v>
                </c:pt>
                <c:pt idx="248">
                  <c:v>-0.37363932209234563</c:v>
                </c:pt>
                <c:pt idx="249">
                  <c:v>-0.36805056268704073</c:v>
                </c:pt>
                <c:pt idx="250">
                  <c:v>-0.32512283011237353</c:v>
                </c:pt>
                <c:pt idx="251">
                  <c:v>-0.26668284089391514</c:v>
                </c:pt>
                <c:pt idx="252">
                  <c:v>-1.0160951582231348E-2</c:v>
                </c:pt>
                <c:pt idx="253">
                  <c:v>-7.3081676310911003E-3</c:v>
                </c:pt>
                <c:pt idx="254">
                  <c:v>0.13955074774478665</c:v>
                </c:pt>
                <c:pt idx="255">
                  <c:v>0.21804357842646149</c:v>
                </c:pt>
                <c:pt idx="256">
                  <c:v>4.3581304891541606E-2</c:v>
                </c:pt>
                <c:pt idx="257">
                  <c:v>0.20463218765714442</c:v>
                </c:pt>
                <c:pt idx="258">
                  <c:v>0.49814418835184515</c:v>
                </c:pt>
                <c:pt idx="259">
                  <c:v>0.96154311149936178</c:v>
                </c:pt>
                <c:pt idx="260">
                  <c:v>1.3160398929502621</c:v>
                </c:pt>
                <c:pt idx="261">
                  <c:v>1.770234555123958</c:v>
                </c:pt>
                <c:pt idx="262">
                  <c:v>2.1939795430267695</c:v>
                </c:pt>
                <c:pt idx="263">
                  <c:v>2.3123256142588264</c:v>
                </c:pt>
                <c:pt idx="264">
                  <c:v>2.4383776972583191</c:v>
                </c:pt>
                <c:pt idx="265">
                  <c:v>2.2877838033456106</c:v>
                </c:pt>
                <c:pt idx="266">
                  <c:v>2.1017670766256336</c:v>
                </c:pt>
                <c:pt idx="267">
                  <c:v>1.9163779023066576</c:v>
                </c:pt>
                <c:pt idx="268">
                  <c:v>1.6186699815883401</c:v>
                </c:pt>
                <c:pt idx="269">
                  <c:v>1.4035169484714292</c:v>
                </c:pt>
                <c:pt idx="270">
                  <c:v>1.0835379253912336</c:v>
                </c:pt>
                <c:pt idx="271">
                  <c:v>0.74024000171969551</c:v>
                </c:pt>
                <c:pt idx="272">
                  <c:v>0.50201994603702094</c:v>
                </c:pt>
                <c:pt idx="273">
                  <c:v>0.42779636905883933</c:v>
                </c:pt>
                <c:pt idx="274">
                  <c:v>0.71327279788164244</c:v>
                </c:pt>
                <c:pt idx="275">
                  <c:v>0.72451166758069085</c:v>
                </c:pt>
                <c:pt idx="276">
                  <c:v>0.32805062974769417</c:v>
                </c:pt>
                <c:pt idx="277">
                  <c:v>0.25193848916620709</c:v>
                </c:pt>
                <c:pt idx="278">
                  <c:v>0.15730688986873176</c:v>
                </c:pt>
                <c:pt idx="279">
                  <c:v>8.183510537947658E-2</c:v>
                </c:pt>
                <c:pt idx="280">
                  <c:v>-1.6148439770488743E-2</c:v>
                </c:pt>
                <c:pt idx="281">
                  <c:v>7.4127925726884314E-2</c:v>
                </c:pt>
                <c:pt idx="282">
                  <c:v>1.8400852126477574E-2</c:v>
                </c:pt>
                <c:pt idx="283">
                  <c:v>-0.87581653238263346</c:v>
                </c:pt>
                <c:pt idx="284">
                  <c:v>-1.6155541883989635</c:v>
                </c:pt>
                <c:pt idx="285">
                  <c:v>-2.2377045039885193</c:v>
                </c:pt>
                <c:pt idx="286">
                  <c:v>-2.8148093942106547</c:v>
                </c:pt>
                <c:pt idx="287">
                  <c:v>-2.9868642243864416</c:v>
                </c:pt>
                <c:pt idx="288">
                  <c:v>-2.9613284179099346</c:v>
                </c:pt>
                <c:pt idx="289">
                  <c:v>-2.4657494662520398</c:v>
                </c:pt>
                <c:pt idx="290">
                  <c:v>-2.3104798057554188</c:v>
                </c:pt>
                <c:pt idx="291">
                  <c:v>-2.775986846011004</c:v>
                </c:pt>
                <c:pt idx="292">
                  <c:v>-2.8563792285685023</c:v>
                </c:pt>
                <c:pt idx="293">
                  <c:v>-3.0848013891444928</c:v>
                </c:pt>
                <c:pt idx="294">
                  <c:v>-3.3404136987181499</c:v>
                </c:pt>
                <c:pt idx="295">
                  <c:v>-3.9621976189024037</c:v>
                </c:pt>
                <c:pt idx="296">
                  <c:v>-4.3264179268583192</c:v>
                </c:pt>
                <c:pt idx="297">
                  <c:v>-4.3828240390930944</c:v>
                </c:pt>
                <c:pt idx="298">
                  <c:v>-4.3271638984644589</c:v>
                </c:pt>
                <c:pt idx="299">
                  <c:v>-3.55869418472715</c:v>
                </c:pt>
                <c:pt idx="300">
                  <c:v>-2.7432124519045979</c:v>
                </c:pt>
                <c:pt idx="301">
                  <c:v>-1.9634790088930121</c:v>
                </c:pt>
                <c:pt idx="302">
                  <c:v>-1.0447168932395874</c:v>
                </c:pt>
                <c:pt idx="303">
                  <c:v>-0.35518310075492998</c:v>
                </c:pt>
                <c:pt idx="304">
                  <c:v>0.32892189857235365</c:v>
                </c:pt>
                <c:pt idx="305">
                  <c:v>1.2161579406315868</c:v>
                </c:pt>
                <c:pt idx="306">
                  <c:v>1.9670029851826127</c:v>
                </c:pt>
                <c:pt idx="307">
                  <c:v>2.3862150648912204</c:v>
                </c:pt>
                <c:pt idx="308">
                  <c:v>2.3908239349591458</c:v>
                </c:pt>
                <c:pt idx="309">
                  <c:v>1.9792670828670467</c:v>
                </c:pt>
                <c:pt idx="310">
                  <c:v>1.8166013234729297</c:v>
                </c:pt>
                <c:pt idx="311">
                  <c:v>1.5533082401689446</c:v>
                </c:pt>
                <c:pt idx="312">
                  <c:v>1.479712977037297</c:v>
                </c:pt>
                <c:pt idx="313">
                  <c:v>0.29445931760334521</c:v>
                </c:pt>
                <c:pt idx="314">
                  <c:v>-1.6077850748989784</c:v>
                </c:pt>
                <c:pt idx="315">
                  <c:v>-2.4156774343331628</c:v>
                </c:pt>
                <c:pt idx="316">
                  <c:v>-2.6001988289922568</c:v>
                </c:pt>
                <c:pt idx="317">
                  <c:v>-1.4185864203025362</c:v>
                </c:pt>
                <c:pt idx="318">
                  <c:v>-1.0157129359629531</c:v>
                </c:pt>
                <c:pt idx="319">
                  <c:v>-7.8237927749080782E-2</c:v>
                </c:pt>
                <c:pt idx="320">
                  <c:v>0.47079658315256445</c:v>
                </c:pt>
                <c:pt idx="321">
                  <c:v>0.73948983571862215</c:v>
                </c:pt>
                <c:pt idx="322">
                  <c:v>0.6935317362914537</c:v>
                </c:pt>
                <c:pt idx="323">
                  <c:v>0.82579445225433634</c:v>
                </c:pt>
                <c:pt idx="324">
                  <c:v>0.72143696836053106</c:v>
                </c:pt>
                <c:pt idx="325">
                  <c:v>1.0833318609922991</c:v>
                </c:pt>
                <c:pt idx="326">
                  <c:v>1.63242331009819</c:v>
                </c:pt>
                <c:pt idx="327">
                  <c:v>2.168700004539335</c:v>
                </c:pt>
                <c:pt idx="328">
                  <c:v>2.3543735730329356</c:v>
                </c:pt>
                <c:pt idx="329">
                  <c:v>2.3536979101100926</c:v>
                </c:pt>
                <c:pt idx="330">
                  <c:v>2.341297583250133</c:v>
                </c:pt>
                <c:pt idx="331">
                  <c:v>2.2275174896706815</c:v>
                </c:pt>
                <c:pt idx="332">
                  <c:v>2.1959481968087227</c:v>
                </c:pt>
                <c:pt idx="333">
                  <c:v>2.4263461193002236</c:v>
                </c:pt>
                <c:pt idx="334">
                  <c:v>2.4478676563457755</c:v>
                </c:pt>
                <c:pt idx="335">
                  <c:v>2.1173347910983669</c:v>
                </c:pt>
                <c:pt idx="336">
                  <c:v>1.7988132317861145</c:v>
                </c:pt>
                <c:pt idx="337">
                  <c:v>1.7518592890312232</c:v>
                </c:pt>
                <c:pt idx="338">
                  <c:v>1.5883222715130669</c:v>
                </c:pt>
                <c:pt idx="339">
                  <c:v>1.8263640199698461</c:v>
                </c:pt>
                <c:pt idx="340">
                  <c:v>2.0435575323209392</c:v>
                </c:pt>
                <c:pt idx="341">
                  <c:v>2.2105806213205876</c:v>
                </c:pt>
                <c:pt idx="342">
                  <c:v>2.2825860964399221</c:v>
                </c:pt>
                <c:pt idx="343">
                  <c:v>2.1724638089580992</c:v>
                </c:pt>
                <c:pt idx="344">
                  <c:v>1.7735101005938301</c:v>
                </c:pt>
                <c:pt idx="345">
                  <c:v>1.4324795476690309</c:v>
                </c:pt>
                <c:pt idx="346">
                  <c:v>0.79519848970832996</c:v>
                </c:pt>
                <c:pt idx="347">
                  <c:v>0.27632968692369353</c:v>
                </c:pt>
                <c:pt idx="348">
                  <c:v>-0.11558521739815042</c:v>
                </c:pt>
                <c:pt idx="349">
                  <c:v>-0.11738741495289773</c:v>
                </c:pt>
                <c:pt idx="350">
                  <c:v>-0.28146919696430128</c:v>
                </c:pt>
                <c:pt idx="351">
                  <c:v>-0.36699037622319608</c:v>
                </c:pt>
                <c:pt idx="352">
                  <c:v>-0.47772376458495724</c:v>
                </c:pt>
                <c:pt idx="353">
                  <c:v>-0.53163382714926044</c:v>
                </c:pt>
                <c:pt idx="354">
                  <c:v>-0.48526359373543926</c:v>
                </c:pt>
                <c:pt idx="355">
                  <c:v>-0.61093705349720739</c:v>
                </c:pt>
                <c:pt idx="356">
                  <c:v>-0.85050359359007466</c:v>
                </c:pt>
                <c:pt idx="357">
                  <c:v>-0.76086230023638457</c:v>
                </c:pt>
                <c:pt idx="358">
                  <c:v>-0.64461982910282956</c:v>
                </c:pt>
                <c:pt idx="359">
                  <c:v>-0.46208364427701021</c:v>
                </c:pt>
                <c:pt idx="360">
                  <c:v>-0.39393031379044707</c:v>
                </c:pt>
                <c:pt idx="361">
                  <c:v>-0.36568326531117812</c:v>
                </c:pt>
                <c:pt idx="362">
                  <c:v>-0.57879969581016599</c:v>
                </c:pt>
                <c:pt idx="363">
                  <c:v>-0.37549328670055893</c:v>
                </c:pt>
                <c:pt idx="364">
                  <c:v>-0.31984334079427157</c:v>
                </c:pt>
                <c:pt idx="365">
                  <c:v>-2.19726149357653E-2</c:v>
                </c:pt>
                <c:pt idx="366">
                  <c:v>0.19517255059689376</c:v>
                </c:pt>
                <c:pt idx="367">
                  <c:v>0.49220594303000098</c:v>
                </c:pt>
                <c:pt idx="368">
                  <c:v>0.80474996436023538</c:v>
                </c:pt>
                <c:pt idx="369">
                  <c:v>1.0966721292614423</c:v>
                </c:pt>
                <c:pt idx="370">
                  <c:v>1.4784817188008272</c:v>
                </c:pt>
                <c:pt idx="371">
                  <c:v>1.4892803442315241</c:v>
                </c:pt>
                <c:pt idx="372">
                  <c:v>1.5469264594422327</c:v>
                </c:pt>
                <c:pt idx="373">
                  <c:v>1.480607383952588</c:v>
                </c:pt>
                <c:pt idx="374">
                  <c:v>1.4062525338981224</c:v>
                </c:pt>
                <c:pt idx="375">
                  <c:v>1.4813542559509267</c:v>
                </c:pt>
                <c:pt idx="376">
                  <c:v>1.1303633591235274</c:v>
                </c:pt>
                <c:pt idx="377">
                  <c:v>0.19882991432082697</c:v>
                </c:pt>
                <c:pt idx="378">
                  <c:v>-0.43746196097084677</c:v>
                </c:pt>
                <c:pt idx="379">
                  <c:v>-0.55759746769686913</c:v>
                </c:pt>
                <c:pt idx="380">
                  <c:v>-0.75252792490043952</c:v>
                </c:pt>
                <c:pt idx="381">
                  <c:v>-0.78010267370686215</c:v>
                </c:pt>
                <c:pt idx="382">
                  <c:v>-0.95419105965181483</c:v>
                </c:pt>
                <c:pt idx="383">
                  <c:v>-1.1181894769966307</c:v>
                </c:pt>
                <c:pt idx="384">
                  <c:v>-0.95775508649885399</c:v>
                </c:pt>
                <c:pt idx="385">
                  <c:v>-0.77314568457825672</c:v>
                </c:pt>
                <c:pt idx="386">
                  <c:v>-0.68787472691592821</c:v>
                </c:pt>
                <c:pt idx="387">
                  <c:v>-0.61926799596657744</c:v>
                </c:pt>
                <c:pt idx="388">
                  <c:v>-0.2524990978650159</c:v>
                </c:pt>
                <c:pt idx="389">
                  <c:v>-7.104892247932959E-2</c:v>
                </c:pt>
                <c:pt idx="390">
                  <c:v>0.13040135807265596</c:v>
                </c:pt>
                <c:pt idx="391">
                  <c:v>0.17972917961609092</c:v>
                </c:pt>
                <c:pt idx="392">
                  <c:v>7.3278208447324467E-2</c:v>
                </c:pt>
                <c:pt idx="393">
                  <c:v>0.11902308031571085</c:v>
                </c:pt>
                <c:pt idx="394">
                  <c:v>-0.12413757100228118</c:v>
                </c:pt>
                <c:pt idx="395">
                  <c:v>-0.75743425952814647</c:v>
                </c:pt>
                <c:pt idx="396">
                  <c:v>-0.84984012671287168</c:v>
                </c:pt>
                <c:pt idx="397">
                  <c:v>-1.0929465045738151</c:v>
                </c:pt>
                <c:pt idx="398">
                  <c:v>-1.2321172636099043</c:v>
                </c:pt>
                <c:pt idx="399">
                  <c:v>-1.5761989288607396</c:v>
                </c:pt>
                <c:pt idx="400">
                  <c:v>-1.6295009291074329</c:v>
                </c:pt>
                <c:pt idx="401">
                  <c:v>-1.5591337445998623</c:v>
                </c:pt>
                <c:pt idx="402">
                  <c:v>-1.2524823109565095</c:v>
                </c:pt>
                <c:pt idx="403">
                  <c:v>-1.1689700958897453</c:v>
                </c:pt>
                <c:pt idx="404">
                  <c:v>-0.84731564939098503</c:v>
                </c:pt>
                <c:pt idx="405">
                  <c:v>-0.85719766551625831</c:v>
                </c:pt>
                <c:pt idx="406">
                  <c:v>-0.77182735841688976</c:v>
                </c:pt>
                <c:pt idx="407">
                  <c:v>-0.75136258024768154</c:v>
                </c:pt>
                <c:pt idx="408">
                  <c:v>-0.61458634401222589</c:v>
                </c:pt>
                <c:pt idx="409">
                  <c:v>-0.56064911887917956</c:v>
                </c:pt>
                <c:pt idx="410">
                  <c:v>-0.20663356921588427</c:v>
                </c:pt>
                <c:pt idx="411">
                  <c:v>-7.2547785540543863E-2</c:v>
                </c:pt>
                <c:pt idx="412">
                  <c:v>0.23655313001924516</c:v>
                </c:pt>
                <c:pt idx="413">
                  <c:v>0.44970712154565673</c:v>
                </c:pt>
                <c:pt idx="414">
                  <c:v>0.65944765885933476</c:v>
                </c:pt>
                <c:pt idx="415">
                  <c:v>0.76265331315175855</c:v>
                </c:pt>
                <c:pt idx="416">
                  <c:v>0.65983395048069671</c:v>
                </c:pt>
                <c:pt idx="417">
                  <c:v>0.52940919003410203</c:v>
                </c:pt>
                <c:pt idx="418">
                  <c:v>0.67449183907349397</c:v>
                </c:pt>
                <c:pt idx="419">
                  <c:v>0.10562154188306527</c:v>
                </c:pt>
                <c:pt idx="420">
                  <c:v>-0.37253346167704171</c:v>
                </c:pt>
                <c:pt idx="421">
                  <c:v>-0.35884389705051234</c:v>
                </c:pt>
                <c:pt idx="422">
                  <c:v>-0.18036518105768096</c:v>
                </c:pt>
                <c:pt idx="423">
                  <c:v>0.24115027872769579</c:v>
                </c:pt>
                <c:pt idx="424">
                  <c:v>0.55813946771902012</c:v>
                </c:pt>
                <c:pt idx="425">
                  <c:v>0.83256771019670506</c:v>
                </c:pt>
                <c:pt idx="426">
                  <c:v>0.95554597528766205</c:v>
                </c:pt>
                <c:pt idx="427">
                  <c:v>1.1198398190596199</c:v>
                </c:pt>
                <c:pt idx="428">
                  <c:v>1.2299414939687714</c:v>
                </c:pt>
                <c:pt idx="429">
                  <c:v>1.3019688065892563</c:v>
                </c:pt>
                <c:pt idx="430">
                  <c:v>1.0951378932810014</c:v>
                </c:pt>
                <c:pt idx="431">
                  <c:v>0.89034905628587513</c:v>
                </c:pt>
                <c:pt idx="432">
                  <c:v>0.71979694904736391</c:v>
                </c:pt>
                <c:pt idx="433">
                  <c:v>0.53652233970175267</c:v>
                </c:pt>
                <c:pt idx="434">
                  <c:v>0.51830780009016042</c:v>
                </c:pt>
                <c:pt idx="435">
                  <c:v>0.41314658421152117</c:v>
                </c:pt>
                <c:pt idx="436">
                  <c:v>0.26507989917631924</c:v>
                </c:pt>
                <c:pt idx="437">
                  <c:v>-0.18734815374815117</c:v>
                </c:pt>
                <c:pt idx="438">
                  <c:v>-0.70684442957528226</c:v>
                </c:pt>
                <c:pt idx="439">
                  <c:v>-0.87960224961814149</c:v>
                </c:pt>
                <c:pt idx="440">
                  <c:v>-1.0364829016808557</c:v>
                </c:pt>
                <c:pt idx="441">
                  <c:v>-1.2136690600827365</c:v>
                </c:pt>
                <c:pt idx="442">
                  <c:v>-1.5300120584617618</c:v>
                </c:pt>
                <c:pt idx="443">
                  <c:v>-1.5842062932454253</c:v>
                </c:pt>
                <c:pt idx="444">
                  <c:v>-1.859479539580033</c:v>
                </c:pt>
                <c:pt idx="445">
                  <c:v>-1.5067093989545786</c:v>
                </c:pt>
                <c:pt idx="446">
                  <c:v>-1.6030676285203371</c:v>
                </c:pt>
                <c:pt idx="447">
                  <c:v>-1.3659580401807729</c:v>
                </c:pt>
                <c:pt idx="448">
                  <c:v>-1.6158317283487587</c:v>
                </c:pt>
                <c:pt idx="449">
                  <c:v>-1.7604005150543172</c:v>
                </c:pt>
                <c:pt idx="450">
                  <c:v>-1.458509289198141</c:v>
                </c:pt>
                <c:pt idx="451">
                  <c:v>-1.5319308506947726</c:v>
                </c:pt>
                <c:pt idx="452">
                  <c:v>-1.6871082862811322</c:v>
                </c:pt>
                <c:pt idx="453">
                  <c:v>-1.66393056761092</c:v>
                </c:pt>
                <c:pt idx="454">
                  <c:v>-1.1773032524535219</c:v>
                </c:pt>
                <c:pt idx="455">
                  <c:v>-0.56278188820708297</c:v>
                </c:pt>
                <c:pt idx="456">
                  <c:v>-5.8574702855172633E-2</c:v>
                </c:pt>
                <c:pt idx="457">
                  <c:v>0.28254509843693176</c:v>
                </c:pt>
                <c:pt idx="458">
                  <c:v>0.74414961506901522</c:v>
                </c:pt>
                <c:pt idx="459">
                  <c:v>1.111787734483672</c:v>
                </c:pt>
                <c:pt idx="460">
                  <c:v>1.1785524095318822</c:v>
                </c:pt>
                <c:pt idx="461">
                  <c:v>1.1571248631865105</c:v>
                </c:pt>
                <c:pt idx="462">
                  <c:v>1.2403647762588892</c:v>
                </c:pt>
                <c:pt idx="463">
                  <c:v>1.3379834210986155</c:v>
                </c:pt>
                <c:pt idx="464">
                  <c:v>1.3758207302885257</c:v>
                </c:pt>
                <c:pt idx="465">
                  <c:v>1.4916843730502036</c:v>
                </c:pt>
                <c:pt idx="466">
                  <c:v>1.3949000239616098</c:v>
                </c:pt>
                <c:pt idx="467">
                  <c:v>1.5534614121864239</c:v>
                </c:pt>
                <c:pt idx="468">
                  <c:v>0.85700218370428871</c:v>
                </c:pt>
                <c:pt idx="469">
                  <c:v>-1.789376163948786E-2</c:v>
                </c:pt>
                <c:pt idx="470">
                  <c:v>-0.7908856537237765</c:v>
                </c:pt>
                <c:pt idx="471">
                  <c:v>-1.3121776852541303</c:v>
                </c:pt>
                <c:pt idx="472">
                  <c:v>-1.3377902727668152</c:v>
                </c:pt>
                <c:pt idx="473">
                  <c:v>-1.6067333972813613</c:v>
                </c:pt>
                <c:pt idx="474">
                  <c:v>-1.7213368577831387</c:v>
                </c:pt>
                <c:pt idx="475">
                  <c:v>-1.707574223577577</c:v>
                </c:pt>
                <c:pt idx="476">
                  <c:v>-1.2898190886737182</c:v>
                </c:pt>
                <c:pt idx="477">
                  <c:v>-0.6607832958145603</c:v>
                </c:pt>
                <c:pt idx="478">
                  <c:v>0.12026421441846125</c:v>
                </c:pt>
                <c:pt idx="479">
                  <c:v>0.3427222439176652</c:v>
                </c:pt>
                <c:pt idx="480">
                  <c:v>0.40173556886026229</c:v>
                </c:pt>
                <c:pt idx="481">
                  <c:v>0.69189114839973764</c:v>
                </c:pt>
                <c:pt idx="482">
                  <c:v>1.0922658744608189</c:v>
                </c:pt>
                <c:pt idx="483">
                  <c:v>1.2172431776604506</c:v>
                </c:pt>
                <c:pt idx="484">
                  <c:v>1.2387765778672821</c:v>
                </c:pt>
                <c:pt idx="485">
                  <c:v>0.24255244393017228</c:v>
                </c:pt>
                <c:pt idx="486">
                  <c:v>0.21085772480107012</c:v>
                </c:pt>
                <c:pt idx="487">
                  <c:v>0.63619710228138926</c:v>
                </c:pt>
                <c:pt idx="488">
                  <c:v>0.93304730319930762</c:v>
                </c:pt>
                <c:pt idx="489">
                  <c:v>1.1546493548774306</c:v>
                </c:pt>
                <c:pt idx="490">
                  <c:v>0.93384744624916816</c:v>
                </c:pt>
                <c:pt idx="491">
                  <c:v>0.69409056865898178</c:v>
                </c:pt>
                <c:pt idx="492">
                  <c:v>0.36345665665600357</c:v>
                </c:pt>
                <c:pt idx="493">
                  <c:v>0.38739810386872886</c:v>
                </c:pt>
                <c:pt idx="494">
                  <c:v>0.73801800668155337</c:v>
                </c:pt>
                <c:pt idx="495">
                  <c:v>1.0793257716452413</c:v>
                </c:pt>
                <c:pt idx="496">
                  <c:v>1.4199720157556817</c:v>
                </c:pt>
                <c:pt idx="497">
                  <c:v>1.4519305017693731</c:v>
                </c:pt>
                <c:pt idx="498">
                  <c:v>1.1003536962579381</c:v>
                </c:pt>
                <c:pt idx="499">
                  <c:v>0.76872836119912114</c:v>
                </c:pt>
                <c:pt idx="500">
                  <c:v>0.40971911439009823</c:v>
                </c:pt>
                <c:pt idx="501">
                  <c:v>0.33605896805042734</c:v>
                </c:pt>
                <c:pt idx="502">
                  <c:v>0.78257916821064821</c:v>
                </c:pt>
                <c:pt idx="503">
                  <c:v>1.0200442151300209</c:v>
                </c:pt>
                <c:pt idx="504">
                  <c:v>0.58903767815079888</c:v>
                </c:pt>
                <c:pt idx="505">
                  <c:v>0.42527769866504439</c:v>
                </c:pt>
                <c:pt idx="506">
                  <c:v>0.21965790183505973</c:v>
                </c:pt>
                <c:pt idx="507">
                  <c:v>-0.26357295446939855</c:v>
                </c:pt>
                <c:pt idx="508">
                  <c:v>-1.4622115799043085</c:v>
                </c:pt>
                <c:pt idx="509">
                  <c:v>-2.3691721119967522</c:v>
                </c:pt>
                <c:pt idx="510">
                  <c:v>-2.7582961996006743</c:v>
                </c:pt>
                <c:pt idx="511">
                  <c:v>-2.6800170451561223</c:v>
                </c:pt>
                <c:pt idx="512">
                  <c:v>-3.1325743851700527</c:v>
                </c:pt>
                <c:pt idx="513">
                  <c:v>-3.3107126773678206</c:v>
                </c:pt>
                <c:pt idx="514">
                  <c:v>-3.1538238891156789</c:v>
                </c:pt>
                <c:pt idx="515">
                  <c:v>-3.2666152629534575</c:v>
                </c:pt>
                <c:pt idx="516">
                  <c:v>-2.9460419136311935</c:v>
                </c:pt>
                <c:pt idx="517">
                  <c:v>-2.62239584921323</c:v>
                </c:pt>
                <c:pt idx="518">
                  <c:v>-2.2318699374587334</c:v>
                </c:pt>
                <c:pt idx="519">
                  <c:v>-1.4835964884172035</c:v>
                </c:pt>
                <c:pt idx="520">
                  <c:v>-0.94133129028308327</c:v>
                </c:pt>
                <c:pt idx="521">
                  <c:v>-0.37705592067623739</c:v>
                </c:pt>
                <c:pt idx="522">
                  <c:v>0.45692091804681123</c:v>
                </c:pt>
                <c:pt idx="523">
                  <c:v>1.1414037756832776</c:v>
                </c:pt>
                <c:pt idx="524">
                  <c:v>1.0855211534334601</c:v>
                </c:pt>
                <c:pt idx="525">
                  <c:v>2.2990958650261053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9-4839-8F53-D243DEAE4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64400288"/>
        <c:axId val="164402208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Data!$Y$2:$Y$527</c:f>
              <c:numCache>
                <c:formatCode>General</c:formatCode>
                <c:ptCount val="526"/>
                <c:pt idx="25">
                  <c:v>1.9388838218773969</c:v>
                </c:pt>
                <c:pt idx="26">
                  <c:v>1.8851283819064122</c:v>
                </c:pt>
                <c:pt idx="27">
                  <c:v>1.8837515741581115</c:v>
                </c:pt>
                <c:pt idx="28">
                  <c:v>1.7391543421712186</c:v>
                </c:pt>
                <c:pt idx="29">
                  <c:v>1.7472430710456024</c:v>
                </c:pt>
                <c:pt idx="30">
                  <c:v>2.0399935786133483</c:v>
                </c:pt>
                <c:pt idx="31">
                  <c:v>2.1791001748146925</c:v>
                </c:pt>
                <c:pt idx="32">
                  <c:v>2.3190942296754429</c:v>
                </c:pt>
                <c:pt idx="33">
                  <c:v>2.4956810905528926</c:v>
                </c:pt>
                <c:pt idx="34">
                  <c:v>2.7786972226871001</c:v>
                </c:pt>
                <c:pt idx="35">
                  <c:v>3.0421577567217071</c:v>
                </c:pt>
                <c:pt idx="36">
                  <c:v>3.1636478303189506</c:v>
                </c:pt>
                <c:pt idx="37">
                  <c:v>3.2299588813673097</c:v>
                </c:pt>
                <c:pt idx="38">
                  <c:v>3.3192913700078464</c:v>
                </c:pt>
                <c:pt idx="39">
                  <c:v>3.4854716232731278</c:v>
                </c:pt>
                <c:pt idx="40">
                  <c:v>3.5145248516345475</c:v>
                </c:pt>
                <c:pt idx="41">
                  <c:v>3.6081189781098999</c:v>
                </c:pt>
                <c:pt idx="42">
                  <c:v>3.7895033338600115</c:v>
                </c:pt>
                <c:pt idx="43">
                  <c:v>3.9666049990903218</c:v>
                </c:pt>
                <c:pt idx="44">
                  <c:v>3.927734736816717</c:v>
                </c:pt>
                <c:pt idx="45">
                  <c:v>3.8804405457269695</c:v>
                </c:pt>
                <c:pt idx="46">
                  <c:v>3.8047491932124728</c:v>
                </c:pt>
                <c:pt idx="47">
                  <c:v>3.8257346099807137</c:v>
                </c:pt>
                <c:pt idx="48">
                  <c:v>3.9214270634603281</c:v>
                </c:pt>
                <c:pt idx="49">
                  <c:v>3.6796883638963891</c:v>
                </c:pt>
                <c:pt idx="50">
                  <c:v>3.6342271221993485</c:v>
                </c:pt>
                <c:pt idx="51">
                  <c:v>3.745455754804766</c:v>
                </c:pt>
                <c:pt idx="52">
                  <c:v>3.880059888557696</c:v>
                </c:pt>
                <c:pt idx="53">
                  <c:v>4.143922843622704</c:v>
                </c:pt>
                <c:pt idx="54">
                  <c:v>4.521206664900177</c:v>
                </c:pt>
                <c:pt idx="55">
                  <c:v>4.5706318050474692</c:v>
                </c:pt>
                <c:pt idx="56">
                  <c:v>4.4136784897207519</c:v>
                </c:pt>
                <c:pt idx="57">
                  <c:v>4.3130036302514441</c:v>
                </c:pt>
                <c:pt idx="58">
                  <c:v>4.4873124596672085</c:v>
                </c:pt>
                <c:pt idx="59">
                  <c:v>4.6349639646548724</c:v>
                </c:pt>
                <c:pt idx="60">
                  <c:v>4.5893352125551132</c:v>
                </c:pt>
                <c:pt idx="61">
                  <c:v>4.4949043074905717</c:v>
                </c:pt>
                <c:pt idx="62">
                  <c:v>4.3250236347762723</c:v>
                </c:pt>
                <c:pt idx="63">
                  <c:v>3.9312422115981178</c:v>
                </c:pt>
                <c:pt idx="64">
                  <c:v>3.7215132651013221</c:v>
                </c:pt>
                <c:pt idx="65">
                  <c:v>3.5969505490128881</c:v>
                </c:pt>
                <c:pt idx="66">
                  <c:v>3.3522709218893567</c:v>
                </c:pt>
                <c:pt idx="67">
                  <c:v>2.9883507476827162</c:v>
                </c:pt>
                <c:pt idx="68">
                  <c:v>2.6659819417067752</c:v>
                </c:pt>
                <c:pt idx="69">
                  <c:v>1.3747131399682644</c:v>
                </c:pt>
                <c:pt idx="70">
                  <c:v>0.35534626521624091</c:v>
                </c:pt>
                <c:pt idx="71">
                  <c:v>-0.61407617244094581</c:v>
                </c:pt>
                <c:pt idx="72">
                  <c:v>-1.4240330546801658</c:v>
                </c:pt>
                <c:pt idx="73">
                  <c:v>-1.9490530273213551</c:v>
                </c:pt>
                <c:pt idx="74">
                  <c:v>-1.9752190682530966</c:v>
                </c:pt>
                <c:pt idx="75">
                  <c:v>-1.6852327006839118</c:v>
                </c:pt>
                <c:pt idx="76">
                  <c:v>-1.2210526953156773</c:v>
                </c:pt>
                <c:pt idx="77">
                  <c:v>-0.76847801651928194</c:v>
                </c:pt>
                <c:pt idx="78">
                  <c:v>-0.3820052281002404</c:v>
                </c:pt>
                <c:pt idx="79">
                  <c:v>-6.528717189615918E-2</c:v>
                </c:pt>
                <c:pt idx="80">
                  <c:v>0.16684563193209101</c:v>
                </c:pt>
                <c:pt idx="81">
                  <c:v>0.22396568470995248</c:v>
                </c:pt>
                <c:pt idx="82">
                  <c:v>0.27573819688964818</c:v>
                </c:pt>
                <c:pt idx="83">
                  <c:v>0.29720397484368277</c:v>
                </c:pt>
                <c:pt idx="84">
                  <c:v>0.21889706042199464</c:v>
                </c:pt>
                <c:pt idx="85">
                  <c:v>0.27391133475916263</c:v>
                </c:pt>
                <c:pt idx="86">
                  <c:v>0.29394916981240726</c:v>
                </c:pt>
                <c:pt idx="87">
                  <c:v>0.61740959135195794</c:v>
                </c:pt>
                <c:pt idx="88">
                  <c:v>1.011375339380379</c:v>
                </c:pt>
                <c:pt idx="89">
                  <c:v>1.409822858896888</c:v>
                </c:pt>
                <c:pt idx="90">
                  <c:v>1.7027396008668063</c:v>
                </c:pt>
                <c:pt idx="91">
                  <c:v>2.1345947166453527</c:v>
                </c:pt>
                <c:pt idx="92">
                  <c:v>2.4964801239744645</c:v>
                </c:pt>
                <c:pt idx="93">
                  <c:v>2.7802766097852896</c:v>
                </c:pt>
                <c:pt idx="94">
                  <c:v>3.1560114449956416</c:v>
                </c:pt>
                <c:pt idx="95">
                  <c:v>2.679723792297267</c:v>
                </c:pt>
                <c:pt idx="96">
                  <c:v>2.5903277818663923</c:v>
                </c:pt>
                <c:pt idx="97">
                  <c:v>2.3942445511086703</c:v>
                </c:pt>
                <c:pt idx="98">
                  <c:v>2.102450059191824</c:v>
                </c:pt>
                <c:pt idx="99">
                  <c:v>2.1522127785254668</c:v>
                </c:pt>
                <c:pt idx="100">
                  <c:v>2.0701498061683594</c:v>
                </c:pt>
                <c:pt idx="101">
                  <c:v>1.871380812940771</c:v>
                </c:pt>
                <c:pt idx="102">
                  <c:v>1.7916457804925017</c:v>
                </c:pt>
                <c:pt idx="103">
                  <c:v>1.9720055609903397</c:v>
                </c:pt>
                <c:pt idx="104">
                  <c:v>2.0262246988619665</c:v>
                </c:pt>
                <c:pt idx="105">
                  <c:v>1.8334194684325098</c:v>
                </c:pt>
                <c:pt idx="106">
                  <c:v>1.5099006187406872</c:v>
                </c:pt>
                <c:pt idx="107">
                  <c:v>1.2113043619309281</c:v>
                </c:pt>
                <c:pt idx="108">
                  <c:v>1.2060645098785301</c:v>
                </c:pt>
                <c:pt idx="109">
                  <c:v>1.1610923806650248</c:v>
                </c:pt>
                <c:pt idx="110">
                  <c:v>0.6938225656896293</c:v>
                </c:pt>
                <c:pt idx="111">
                  <c:v>9.406618568678482E-2</c:v>
                </c:pt>
                <c:pt idx="112">
                  <c:v>-0.20698586344008163</c:v>
                </c:pt>
                <c:pt idx="113">
                  <c:v>-0.43092139066553159</c:v>
                </c:pt>
                <c:pt idx="114">
                  <c:v>-0.50573217250121161</c:v>
                </c:pt>
                <c:pt idx="115">
                  <c:v>-0.39744167767159411</c:v>
                </c:pt>
                <c:pt idx="116">
                  <c:v>-0.1748500742846204</c:v>
                </c:pt>
                <c:pt idx="117">
                  <c:v>-0.18752217904659574</c:v>
                </c:pt>
                <c:pt idx="118">
                  <c:v>1.0498504448150925E-2</c:v>
                </c:pt>
                <c:pt idx="119">
                  <c:v>0.10090788890190083</c:v>
                </c:pt>
                <c:pt idx="120">
                  <c:v>0.11953737371436546</c:v>
                </c:pt>
                <c:pt idx="121">
                  <c:v>0.27157429345385253</c:v>
                </c:pt>
                <c:pt idx="122">
                  <c:v>0.63409240101665887</c:v>
                </c:pt>
                <c:pt idx="123">
                  <c:v>1.1653633696084</c:v>
                </c:pt>
                <c:pt idx="124">
                  <c:v>1.8379504433528382</c:v>
                </c:pt>
                <c:pt idx="125">
                  <c:v>2.3327927325445899</c:v>
                </c:pt>
                <c:pt idx="126">
                  <c:v>2.3827940390903279</c:v>
                </c:pt>
                <c:pt idx="127">
                  <c:v>2.4251278942006422</c:v>
                </c:pt>
                <c:pt idx="128">
                  <c:v>2.626897975620949</c:v>
                </c:pt>
                <c:pt idx="129">
                  <c:v>2.76860504253861</c:v>
                </c:pt>
                <c:pt idx="130">
                  <c:v>2.8201578152799414</c:v>
                </c:pt>
                <c:pt idx="131">
                  <c:v>2.6281816934643984</c:v>
                </c:pt>
                <c:pt idx="132">
                  <c:v>2.855457590122171</c:v>
                </c:pt>
                <c:pt idx="133">
                  <c:v>3.2857682488697435</c:v>
                </c:pt>
                <c:pt idx="134">
                  <c:v>3.8447208362204321</c:v>
                </c:pt>
                <c:pt idx="135">
                  <c:v>3.6892025404271465</c:v>
                </c:pt>
                <c:pt idx="136">
                  <c:v>3.509361111638384</c:v>
                </c:pt>
                <c:pt idx="137">
                  <c:v>3.3683530279817546</c:v>
                </c:pt>
                <c:pt idx="138">
                  <c:v>3.2234794236584037</c:v>
                </c:pt>
                <c:pt idx="139">
                  <c:v>2.9344362359560137</c:v>
                </c:pt>
                <c:pt idx="140">
                  <c:v>2.6809187956084486</c:v>
                </c:pt>
                <c:pt idx="141">
                  <c:v>2.7365285640471484</c:v>
                </c:pt>
                <c:pt idx="142">
                  <c:v>2.6380287693589537</c:v>
                </c:pt>
                <c:pt idx="143">
                  <c:v>2.8770043858356473</c:v>
                </c:pt>
                <c:pt idx="144">
                  <c:v>2.8407943487636942</c:v>
                </c:pt>
                <c:pt idx="145">
                  <c:v>2.3939540707299898</c:v>
                </c:pt>
                <c:pt idx="146">
                  <c:v>1.3129942623476722</c:v>
                </c:pt>
                <c:pt idx="147">
                  <c:v>0.11289191375925611</c:v>
                </c:pt>
                <c:pt idx="148">
                  <c:v>-0.39468561762777199</c:v>
                </c:pt>
                <c:pt idx="149">
                  <c:v>-0.78307615512326834</c:v>
                </c:pt>
                <c:pt idx="150">
                  <c:v>-0.78648097902859604</c:v>
                </c:pt>
                <c:pt idx="151">
                  <c:v>-0.64138241110222793</c:v>
                </c:pt>
                <c:pt idx="152">
                  <c:v>-0.48928088453769192</c:v>
                </c:pt>
                <c:pt idx="153">
                  <c:v>-0.22493603170747178</c:v>
                </c:pt>
                <c:pt idx="154">
                  <c:v>0.16821091602795946</c:v>
                </c:pt>
                <c:pt idx="155">
                  <c:v>0.57881651991152694</c:v>
                </c:pt>
                <c:pt idx="156">
                  <c:v>1.0869683005050774</c:v>
                </c:pt>
                <c:pt idx="157">
                  <c:v>1.5907684898532466</c:v>
                </c:pt>
                <c:pt idx="158">
                  <c:v>1.8931672878912309</c:v>
                </c:pt>
                <c:pt idx="159">
                  <c:v>2.1148966335005639</c:v>
                </c:pt>
                <c:pt idx="160">
                  <c:v>2.4264521420719518</c:v>
                </c:pt>
                <c:pt idx="161">
                  <c:v>2.7769135560003235</c:v>
                </c:pt>
                <c:pt idx="162">
                  <c:v>3.0884498369299536</c:v>
                </c:pt>
                <c:pt idx="163">
                  <c:v>3.3779047597445526</c:v>
                </c:pt>
                <c:pt idx="164">
                  <c:v>3.6547380495879906</c:v>
                </c:pt>
                <c:pt idx="165">
                  <c:v>3.9033711051679916</c:v>
                </c:pt>
                <c:pt idx="166">
                  <c:v>4.2602959081988558</c:v>
                </c:pt>
                <c:pt idx="167">
                  <c:v>4.1324131082008364</c:v>
                </c:pt>
                <c:pt idx="168">
                  <c:v>3.9077480870262775</c:v>
                </c:pt>
                <c:pt idx="169">
                  <c:v>3.5515832061969377</c:v>
                </c:pt>
                <c:pt idx="170">
                  <c:v>2.8196411120292169</c:v>
                </c:pt>
                <c:pt idx="171">
                  <c:v>2.5610580911054797</c:v>
                </c:pt>
                <c:pt idx="172">
                  <c:v>1.4318428115657582</c:v>
                </c:pt>
                <c:pt idx="173">
                  <c:v>0.66403206193700726</c:v>
                </c:pt>
                <c:pt idx="174">
                  <c:v>4.6472061089559702E-3</c:v>
                </c:pt>
                <c:pt idx="175">
                  <c:v>-0.69389816191713294</c:v>
                </c:pt>
                <c:pt idx="176">
                  <c:v>-0.95089070767073736</c:v>
                </c:pt>
                <c:pt idx="177">
                  <c:v>-1.0305185915782715</c:v>
                </c:pt>
                <c:pt idx="178">
                  <c:v>-1.2183692859038331</c:v>
                </c:pt>
                <c:pt idx="179">
                  <c:v>-1.1163335702226505</c:v>
                </c:pt>
                <c:pt idx="180">
                  <c:v>-0.97500833918786611</c:v>
                </c:pt>
                <c:pt idx="181">
                  <c:v>-0.82525200901318385</c:v>
                </c:pt>
                <c:pt idx="182">
                  <c:v>-0.68655115763399976</c:v>
                </c:pt>
                <c:pt idx="183">
                  <c:v>-0.68173936629546006</c:v>
                </c:pt>
                <c:pt idx="184">
                  <c:v>-0.70290688742574048</c:v>
                </c:pt>
                <c:pt idx="185">
                  <c:v>-0.65404489529217358</c:v>
                </c:pt>
                <c:pt idx="186">
                  <c:v>-0.5795912559249814</c:v>
                </c:pt>
                <c:pt idx="187">
                  <c:v>-0.8193829486609161</c:v>
                </c:pt>
                <c:pt idx="188">
                  <c:v>-0.97797321563453465</c:v>
                </c:pt>
                <c:pt idx="189">
                  <c:v>-1.2554103397234542</c:v>
                </c:pt>
                <c:pt idx="190">
                  <c:v>-0.98063417951135534</c:v>
                </c:pt>
                <c:pt idx="191">
                  <c:v>-0.7773122969575752</c:v>
                </c:pt>
                <c:pt idx="192">
                  <c:v>-0.62351524029057259</c:v>
                </c:pt>
                <c:pt idx="193">
                  <c:v>-0.28292193104675789</c:v>
                </c:pt>
                <c:pt idx="194">
                  <c:v>-5.9118945957777669E-2</c:v>
                </c:pt>
                <c:pt idx="195">
                  <c:v>0.87074514715706641</c:v>
                </c:pt>
                <c:pt idx="196">
                  <c:v>1.524732739800811</c:v>
                </c:pt>
                <c:pt idx="197">
                  <c:v>2.0923329022447774</c:v>
                </c:pt>
                <c:pt idx="198">
                  <c:v>2.6129047343334264</c:v>
                </c:pt>
                <c:pt idx="199">
                  <c:v>3.0532056884275391</c:v>
                </c:pt>
                <c:pt idx="200">
                  <c:v>3.4391599323653566</c:v>
                </c:pt>
                <c:pt idx="201">
                  <c:v>3.5132932011785556</c:v>
                </c:pt>
                <c:pt idx="202">
                  <c:v>3.6206820220301665</c:v>
                </c:pt>
                <c:pt idx="203">
                  <c:v>3.6069190523608654</c:v>
                </c:pt>
                <c:pt idx="204">
                  <c:v>3.68027377353323</c:v>
                </c:pt>
                <c:pt idx="205">
                  <c:v>3.4828135263203137</c:v>
                </c:pt>
                <c:pt idx="206">
                  <c:v>3.5428909562666604</c:v>
                </c:pt>
                <c:pt idx="207">
                  <c:v>3.3421779346432459</c:v>
                </c:pt>
                <c:pt idx="208">
                  <c:v>3.2672924853981726</c:v>
                </c:pt>
                <c:pt idx="209">
                  <c:v>2.9727549683497898</c:v>
                </c:pt>
                <c:pt idx="210">
                  <c:v>2.7894819282879268</c:v>
                </c:pt>
                <c:pt idx="211">
                  <c:v>2.3620231997119845</c:v>
                </c:pt>
                <c:pt idx="212">
                  <c:v>2.1366122505460794</c:v>
                </c:pt>
                <c:pt idx="213">
                  <c:v>3.9754314527602901</c:v>
                </c:pt>
                <c:pt idx="214">
                  <c:v>4.5188318937798613</c:v>
                </c:pt>
                <c:pt idx="215">
                  <c:v>4.9409395681538513</c:v>
                </c:pt>
                <c:pt idx="216">
                  <c:v>5.3996172096929627</c:v>
                </c:pt>
                <c:pt idx="217">
                  <c:v>5.718984396543334</c:v>
                </c:pt>
                <c:pt idx="218">
                  <c:v>6.0316625697561221</c:v>
                </c:pt>
                <c:pt idx="219">
                  <c:v>6.2645396277461032</c:v>
                </c:pt>
                <c:pt idx="220">
                  <c:v>6.6500183526357262</c:v>
                </c:pt>
                <c:pt idx="221">
                  <c:v>6.8539117313653435</c:v>
                </c:pt>
                <c:pt idx="222">
                  <c:v>6.7807921650553453</c:v>
                </c:pt>
                <c:pt idx="223">
                  <c:v>6.4619572664927603</c:v>
                </c:pt>
                <c:pt idx="224">
                  <c:v>6.4560101833853878</c:v>
                </c:pt>
                <c:pt idx="225">
                  <c:v>6.6801142045019901</c:v>
                </c:pt>
                <c:pt idx="226">
                  <c:v>6.9183710392287026</c:v>
                </c:pt>
                <c:pt idx="227">
                  <c:v>7.000670598752663</c:v>
                </c:pt>
                <c:pt idx="228">
                  <c:v>6.971011614348356</c:v>
                </c:pt>
                <c:pt idx="229">
                  <c:v>6.8627487449222144</c:v>
                </c:pt>
                <c:pt idx="230">
                  <c:v>6.4229103287630096</c:v>
                </c:pt>
                <c:pt idx="231">
                  <c:v>5.8910379476837136</c:v>
                </c:pt>
                <c:pt idx="232">
                  <c:v>5.2939181283460073</c:v>
                </c:pt>
                <c:pt idx="233">
                  <c:v>4.931685584667207</c:v>
                </c:pt>
                <c:pt idx="234">
                  <c:v>4.7416551235551481</c:v>
                </c:pt>
                <c:pt idx="235">
                  <c:v>4.2555440201362273</c:v>
                </c:pt>
                <c:pt idx="236">
                  <c:v>3.7504080385956229</c:v>
                </c:pt>
                <c:pt idx="237">
                  <c:v>3.3653538303960602</c:v>
                </c:pt>
                <c:pt idx="238">
                  <c:v>2.8657774127993036</c:v>
                </c:pt>
                <c:pt idx="239">
                  <c:v>2.3148753487243425</c:v>
                </c:pt>
                <c:pt idx="240">
                  <c:v>1.8281586278824307</c:v>
                </c:pt>
                <c:pt idx="241">
                  <c:v>1.3286722098110886</c:v>
                </c:pt>
                <c:pt idx="242">
                  <c:v>0.28481621605362761</c:v>
                </c:pt>
                <c:pt idx="243">
                  <c:v>-0.32965575872563591</c:v>
                </c:pt>
                <c:pt idx="244">
                  <c:v>-0.43718045966409136</c:v>
                </c:pt>
                <c:pt idx="245">
                  <c:v>-0.45342140245446672</c:v>
                </c:pt>
                <c:pt idx="246">
                  <c:v>-0.1482720396553816</c:v>
                </c:pt>
                <c:pt idx="247">
                  <c:v>0.15870563250518899</c:v>
                </c:pt>
                <c:pt idx="248">
                  <c:v>0.240255596363113</c:v>
                </c:pt>
                <c:pt idx="249">
                  <c:v>0.15383171509665772</c:v>
                </c:pt>
                <c:pt idx="250">
                  <c:v>0.11547874014323156</c:v>
                </c:pt>
                <c:pt idx="251">
                  <c:v>0.10724801913821125</c:v>
                </c:pt>
                <c:pt idx="252">
                  <c:v>0.36122967055433719</c:v>
                </c:pt>
                <c:pt idx="253">
                  <c:v>0.36225541259770466</c:v>
                </c:pt>
                <c:pt idx="254">
                  <c:v>0.54400201490977906</c:v>
                </c:pt>
                <c:pt idx="255">
                  <c:v>0.67700574019806936</c:v>
                </c:pt>
                <c:pt idx="256">
                  <c:v>0.51343879288603489</c:v>
                </c:pt>
                <c:pt idx="257">
                  <c:v>0.72564772256592391</c:v>
                </c:pt>
                <c:pt idx="258">
                  <c:v>1.1436957703485859</c:v>
                </c:pt>
                <c:pt idx="259">
                  <c:v>1.8474804713709432</c:v>
                </c:pt>
                <c:pt idx="260">
                  <c:v>2.5309872260594091</c:v>
                </c:pt>
                <c:pt idx="261">
                  <c:v>3.4277405270140946</c:v>
                </c:pt>
                <c:pt idx="262">
                  <c:v>4.3999804006735985</c:v>
                </c:pt>
                <c:pt idx="263">
                  <c:v>5.0964078754703621</c:v>
                </c:pt>
                <c:pt idx="264">
                  <c:v>5.8320543827844347</c:v>
                </c:pt>
                <c:pt idx="265">
                  <c:v>6.2534064397081295</c:v>
                </c:pt>
                <c:pt idx="266">
                  <c:v>6.5928314821445611</c:v>
                </c:pt>
                <c:pt idx="267">
                  <c:v>6.8865367834022493</c:v>
                </c:pt>
                <c:pt idx="268">
                  <c:v>6.9934963580810177</c:v>
                </c:pt>
                <c:pt idx="269">
                  <c:v>7.1292225620819636</c:v>
                </c:pt>
                <c:pt idx="270">
                  <c:v>7.0801280203495764</c:v>
                </c:pt>
                <c:pt idx="271">
                  <c:v>6.921890097107962</c:v>
                </c:pt>
                <c:pt idx="272">
                  <c:v>6.8091750279345433</c:v>
                </c:pt>
                <c:pt idx="273">
                  <c:v>6.8419005432210724</c:v>
                </c:pt>
                <c:pt idx="274">
                  <c:v>7.3056951715142873</c:v>
                </c:pt>
                <c:pt idx="275">
                  <c:v>7.498061958108508</c:v>
                </c:pt>
                <c:pt idx="276">
                  <c:v>7.1836135777124355</c:v>
                </c:pt>
                <c:pt idx="277">
                  <c:v>7.1704860594225011</c:v>
                </c:pt>
                <c:pt idx="278">
                  <c:v>7.1151811825922096</c:v>
                </c:pt>
                <c:pt idx="279">
                  <c:v>7.0601681744478242</c:v>
                </c:pt>
                <c:pt idx="280">
                  <c:v>6.9581475193552365</c:v>
                </c:pt>
                <c:pt idx="281">
                  <c:v>7.0669558662843315</c:v>
                </c:pt>
                <c:pt idx="282">
                  <c:v>7.0158290057155455</c:v>
                </c:pt>
                <c:pt idx="283">
                  <c:v>5.9026574881107763</c:v>
                </c:pt>
                <c:pt idx="284">
                  <c:v>4.7590312849947054</c:v>
                </c:pt>
                <c:pt idx="285">
                  <c:v>3.5774548434080202</c:v>
                </c:pt>
                <c:pt idx="286">
                  <c:v>2.2966476046332218</c:v>
                </c:pt>
                <c:pt idx="287">
                  <c:v>1.3778767183608238</c:v>
                </c:pt>
                <c:pt idx="288">
                  <c:v>0.66308042035984727</c:v>
                </c:pt>
                <c:pt idx="289">
                  <c:v>0.54222200545473243</c:v>
                </c:pt>
                <c:pt idx="290">
                  <c:v>0.11987171451249878</c:v>
                </c:pt>
                <c:pt idx="291">
                  <c:v>-1.0396320372458376</c:v>
                </c:pt>
                <c:pt idx="292">
                  <c:v>-1.8341192269454609</c:v>
                </c:pt>
                <c:pt idx="293">
                  <c:v>-2.8337417348075746</c:v>
                </c:pt>
                <c:pt idx="294">
                  <c:v>-3.9244574690607692</c:v>
                </c:pt>
                <c:pt idx="295">
                  <c:v>-5.5367907939706242</c:v>
                </c:pt>
                <c:pt idx="296">
                  <c:v>-6.9826155836411203</c:v>
                </c:pt>
                <c:pt idx="297">
                  <c:v>-8.1347277056491691</c:v>
                </c:pt>
                <c:pt idx="298">
                  <c:v>-9.1608585396366493</c:v>
                </c:pt>
                <c:pt idx="299">
                  <c:v>-9.2820623720811284</c:v>
                </c:pt>
                <c:pt idx="300">
                  <c:v>-9.1523837522347264</c:v>
                </c:pt>
                <c:pt idx="301">
                  <c:v>-8.863520061446394</c:v>
                </c:pt>
                <c:pt idx="302">
                  <c:v>-8.2059371691028673</c:v>
                </c:pt>
                <c:pt idx="303">
                  <c:v>-7.6051991518069428</c:v>
                </c:pt>
                <c:pt idx="304">
                  <c:v>-6.8388636778365708</c:v>
                </c:pt>
                <c:pt idx="305">
                  <c:v>-5.6475881506194412</c:v>
                </c:pt>
                <c:pt idx="306">
                  <c:v>-4.4049923597727627</c:v>
                </c:pt>
                <c:pt idx="307">
                  <c:v>-3.3892265138413507</c:v>
                </c:pt>
                <c:pt idx="308">
                  <c:v>-2.7869116600336383</c:v>
                </c:pt>
                <c:pt idx="309">
                  <c:v>-2.7036517414089758</c:v>
                </c:pt>
                <c:pt idx="310">
                  <c:v>-2.412167169934861</c:v>
                </c:pt>
                <c:pt idx="311">
                  <c:v>-2.2871331931966097</c:v>
                </c:pt>
                <c:pt idx="312">
                  <c:v>-1.9908002120689332</c:v>
                </c:pt>
                <c:pt idx="313">
                  <c:v>-3.1024390421020485</c:v>
                </c:pt>
                <c:pt idx="314">
                  <c:v>-5.4066297033291164</c:v>
                </c:pt>
                <c:pt idx="315">
                  <c:v>-6.8184414213465914</c:v>
                </c:pt>
                <c:pt idx="316">
                  <c:v>-7.65301252325375</c:v>
                </c:pt>
                <c:pt idx="317">
                  <c:v>-6.8260467196396633</c:v>
                </c:pt>
                <c:pt idx="318">
                  <c:v>-6.6771014692908182</c:v>
                </c:pt>
                <c:pt idx="319">
                  <c:v>-5.7591859430142165</c:v>
                </c:pt>
                <c:pt idx="320">
                  <c:v>-5.0924522863244306</c:v>
                </c:pt>
                <c:pt idx="321">
                  <c:v>-4.6388865748287174</c:v>
                </c:pt>
                <c:pt idx="322">
                  <c:v>-4.511461740183023</c:v>
                </c:pt>
                <c:pt idx="323">
                  <c:v>-4.1727504111565565</c:v>
                </c:pt>
                <c:pt idx="324">
                  <c:v>-4.0967486529602297</c:v>
                </c:pt>
                <c:pt idx="325">
                  <c:v>-3.464020795080387</c:v>
                </c:pt>
                <c:pt idx="326">
                  <c:v>-2.5068235184499486</c:v>
                </c:pt>
                <c:pt idx="327">
                  <c:v>-1.4283718228739701</c:v>
                </c:pt>
                <c:pt idx="328">
                  <c:v>-0.65410486112213562</c:v>
                </c:pt>
                <c:pt idx="329">
                  <c:v>-6.6356046517455525E-2</c:v>
                </c:pt>
                <c:pt idx="330">
                  <c:v>0.50656802243511834</c:v>
                </c:pt>
                <c:pt idx="331">
                  <c:v>0.94966730127333676</c:v>
                </c:pt>
                <c:pt idx="332">
                  <c:v>1.4670850576135592</c:v>
                </c:pt>
                <c:pt idx="333">
                  <c:v>2.3040695099301161</c:v>
                </c:pt>
                <c:pt idx="334">
                  <c:v>2.9375579610621116</c:v>
                </c:pt>
                <c:pt idx="335">
                  <c:v>3.1363587935892951</c:v>
                </c:pt>
                <c:pt idx="336">
                  <c:v>3.2675405422235713</c:v>
                </c:pt>
                <c:pt idx="337">
                  <c:v>3.6585514217264858</c:v>
                </c:pt>
                <c:pt idx="338">
                  <c:v>3.8920949720865963</c:v>
                </c:pt>
                <c:pt idx="339">
                  <c:v>4.5867277255358374</c:v>
                </c:pt>
                <c:pt idx="340">
                  <c:v>5.3148106209671653</c:v>
                </c:pt>
                <c:pt idx="341">
                  <c:v>6.0344788652969612</c:v>
                </c:pt>
                <c:pt idx="342">
                  <c:v>6.6771308645262764</c:v>
                </c:pt>
                <c:pt idx="343">
                  <c:v>7.1101245292839792</c:v>
                </c:pt>
                <c:pt idx="344">
                  <c:v>7.154548346068168</c:v>
                </c:pt>
                <c:pt idx="345">
                  <c:v>7.171637680060627</c:v>
                </c:pt>
                <c:pt idx="346">
                  <c:v>6.7331562445270094</c:v>
                </c:pt>
                <c:pt idx="347">
                  <c:v>6.2833698634732968</c:v>
                </c:pt>
                <c:pt idx="348">
                  <c:v>5.8625586548019157</c:v>
                </c:pt>
                <c:pt idx="349">
                  <c:v>5.8314096035089449</c:v>
                </c:pt>
                <c:pt idx="350">
                  <c:v>5.5969605222564667</c:v>
                </c:pt>
                <c:pt idx="351">
                  <c:v>5.4196917489417729</c:v>
                </c:pt>
                <c:pt idx="352">
                  <c:v>5.189527419433773</c:v>
                </c:pt>
                <c:pt idx="353">
                  <c:v>5.0027089000821547</c:v>
                </c:pt>
                <c:pt idx="354">
                  <c:v>4.9277632350621161</c:v>
                </c:pt>
                <c:pt idx="355">
                  <c:v>4.6493555119260463</c:v>
                </c:pt>
                <c:pt idx="356">
                  <c:v>4.1971630734356609</c:v>
                </c:pt>
                <c:pt idx="357">
                  <c:v>4.0965887917302553</c:v>
                </c:pt>
                <c:pt idx="358">
                  <c:v>4.0516763055881029</c:v>
                </c:pt>
                <c:pt idx="359">
                  <c:v>4.1186915793446701</c:v>
                </c:pt>
                <c:pt idx="360">
                  <c:v>4.088362331383621</c:v>
                </c:pt>
                <c:pt idx="361">
                  <c:v>4.0251885635350959</c:v>
                </c:pt>
                <c:pt idx="362">
                  <c:v>3.6673722090835668</c:v>
                </c:pt>
                <c:pt idx="363">
                  <c:v>3.7768052965180345</c:v>
                </c:pt>
                <c:pt idx="364">
                  <c:v>3.752494407225754</c:v>
                </c:pt>
                <c:pt idx="365">
                  <c:v>4.0448719793503187</c:v>
                </c:pt>
                <c:pt idx="366">
                  <c:v>4.3108102825322021</c:v>
                </c:pt>
                <c:pt idx="367">
                  <c:v>4.7308951607228096</c:v>
                </c:pt>
                <c:pt idx="368">
                  <c:v>5.2446266731431024</c:v>
                </c:pt>
                <c:pt idx="369">
                  <c:v>5.8107168703596699</c:v>
                </c:pt>
                <c:pt idx="370">
                  <c:v>6.5621468895992621</c:v>
                </c:pt>
                <c:pt idx="371">
                  <c:v>6.94526560108784</c:v>
                </c:pt>
                <c:pt idx="372">
                  <c:v>7.3896433311591068</c:v>
                </c:pt>
                <c:pt idx="373">
                  <c:v>7.693476101657609</c:v>
                </c:pt>
                <c:pt idx="374">
                  <c:v>7.970684385077675</c:v>
                </c:pt>
                <c:pt idx="375">
                  <c:v>8.4161246711182116</c:v>
                </c:pt>
                <c:pt idx="376">
                  <c:v>8.3477246140716943</c:v>
                </c:pt>
                <c:pt idx="377">
                  <c:v>7.4658986478492011</c:v>
                </c:pt>
                <c:pt idx="378">
                  <c:v>6.7202412823148165</c:v>
                </c:pt>
                <c:pt idx="379">
                  <c:v>6.4607064086645778</c:v>
                </c:pt>
                <c:pt idx="380">
                  <c:v>6.0776439702358971</c:v>
                </c:pt>
                <c:pt idx="381">
                  <c:v>5.8550435530027585</c:v>
                </c:pt>
                <c:pt idx="382">
                  <c:v>5.4424074021448519</c:v>
                </c:pt>
                <c:pt idx="383">
                  <c:v>4.9988616155508794</c:v>
                </c:pt>
                <c:pt idx="384">
                  <c:v>4.9198572344239437</c:v>
                </c:pt>
                <c:pt idx="385">
                  <c:v>4.9111802151999768</c:v>
                </c:pt>
                <c:pt idx="386">
                  <c:v>4.8244824911333239</c:v>
                </c:pt>
                <c:pt idx="387">
                  <c:v>4.7382722230910304</c:v>
                </c:pt>
                <c:pt idx="388">
                  <c:v>5.0419163467263388</c:v>
                </c:pt>
                <c:pt idx="389">
                  <c:v>5.2056042914921932</c:v>
                </c:pt>
                <c:pt idx="390">
                  <c:v>5.4396549115623429</c:v>
                </c:pt>
                <c:pt idx="391">
                  <c:v>5.5339150280098011</c:v>
                </c:pt>
                <c:pt idx="392">
                  <c:v>5.4457836089528655</c:v>
                </c:pt>
                <c:pt idx="393">
                  <c:v>5.5212842509001803</c:v>
                </c:pt>
                <c:pt idx="394">
                  <c:v>5.2470892068316175</c:v>
                </c:pt>
                <c:pt idx="395">
                  <c:v>4.4244339534237156</c:v>
                </c:pt>
                <c:pt idx="396">
                  <c:v>4.1195680545607729</c:v>
                </c:pt>
                <c:pt idx="397">
                  <c:v>3.6032250505563752</c:v>
                </c:pt>
                <c:pt idx="398">
                  <c:v>3.1560249756178109</c:v>
                </c:pt>
                <c:pt idx="399">
                  <c:v>2.4178935781517907</c:v>
                </c:pt>
                <c:pt idx="400">
                  <c:v>1.9572163456282397</c:v>
                </c:pt>
                <c:pt idx="401">
                  <c:v>1.6378000939858453</c:v>
                </c:pt>
                <c:pt idx="402">
                  <c:v>1.6313309498900708</c:v>
                </c:pt>
                <c:pt idx="403">
                  <c:v>1.422600640984399</c:v>
                </c:pt>
                <c:pt idx="404">
                  <c:v>1.5324261751354129</c:v>
                </c:pt>
                <c:pt idx="405">
                  <c:v>1.308244742631075</c:v>
                </c:pt>
                <c:pt idx="406">
                  <c:v>1.2006582101262211</c:v>
                </c:pt>
                <c:pt idx="407">
                  <c:v>1.033282343233509</c:v>
                </c:pt>
                <c:pt idx="408">
                  <c:v>1.0164119934659084</c:v>
                </c:pt>
                <c:pt idx="409">
                  <c:v>0.93018693887916015</c:v>
                </c:pt>
                <c:pt idx="410">
                  <c:v>1.2325440962384846</c:v>
                </c:pt>
                <c:pt idx="411">
                  <c:v>1.3484929335286893</c:v>
                </c:pt>
                <c:pt idx="412">
                  <c:v>1.7167321315932895</c:v>
                </c:pt>
                <c:pt idx="413">
                  <c:v>2.0423129035061152</c:v>
                </c:pt>
                <c:pt idx="414">
                  <c:v>2.416915355534627</c:v>
                </c:pt>
                <c:pt idx="415">
                  <c:v>2.7107843381149905</c:v>
                </c:pt>
                <c:pt idx="416">
                  <c:v>2.7729234630641031</c:v>
                </c:pt>
                <c:pt idx="417">
                  <c:v>2.7748510001260343</c:v>
                </c:pt>
                <c:pt idx="418">
                  <c:v>3.0885566089337999</c:v>
                </c:pt>
                <c:pt idx="419">
                  <c:v>2.5460916972141376</c:v>
                </c:pt>
                <c:pt idx="420">
                  <c:v>1.9748033282347706</c:v>
                </c:pt>
                <c:pt idx="421">
                  <c:v>1.8987819185986723</c:v>
                </c:pt>
                <c:pt idx="422">
                  <c:v>2.0321693393270834</c:v>
                </c:pt>
                <c:pt idx="423">
                  <c:v>2.5139723687943842</c:v>
                </c:pt>
                <c:pt idx="424">
                  <c:v>2.9704964247154635</c:v>
                </c:pt>
                <c:pt idx="425">
                  <c:v>3.4530665947423245</c:v>
                </c:pt>
                <c:pt idx="426">
                  <c:v>3.8149313536551972</c:v>
                </c:pt>
                <c:pt idx="427">
                  <c:v>4.2591851521920603</c:v>
                </c:pt>
                <c:pt idx="428">
                  <c:v>4.6767722005934047</c:v>
                </c:pt>
                <c:pt idx="429">
                  <c:v>5.0742917148612037</c:v>
                </c:pt>
                <c:pt idx="430">
                  <c:v>5.1412452748731994</c:v>
                </c:pt>
                <c:pt idx="431">
                  <c:v>5.1590437019495425</c:v>
                </c:pt>
                <c:pt idx="432">
                  <c:v>5.1684408319728732</c:v>
                </c:pt>
                <c:pt idx="433">
                  <c:v>5.1192968075527006</c:v>
                </c:pt>
                <c:pt idx="434">
                  <c:v>5.2306592179636482</c:v>
                </c:pt>
                <c:pt idx="435">
                  <c:v>5.2287846481378892</c:v>
                </c:pt>
                <c:pt idx="436">
                  <c:v>5.1469879378967676</c:v>
                </c:pt>
                <c:pt idx="437">
                  <c:v>4.6477228465352596</c:v>
                </c:pt>
                <c:pt idx="438">
                  <c:v>3.9515154633143084</c:v>
                </c:pt>
                <c:pt idx="439">
                  <c:v>3.5588570808669147</c:v>
                </c:pt>
                <c:pt idx="440">
                  <c:v>3.1428557033839866</c:v>
                </c:pt>
                <c:pt idx="441">
                  <c:v>2.6622522799614217</c:v>
                </c:pt>
                <c:pt idx="442">
                  <c:v>1.9634062669669561</c:v>
                </c:pt>
                <c:pt idx="443">
                  <c:v>1.513160458871937</c:v>
                </c:pt>
                <c:pt idx="444">
                  <c:v>0.77301732764232156</c:v>
                </c:pt>
                <c:pt idx="445">
                  <c:v>0.74911011852913134</c:v>
                </c:pt>
                <c:pt idx="446">
                  <c:v>0.25198498183328866</c:v>
                </c:pt>
                <c:pt idx="447">
                  <c:v>0.14760506012765973</c:v>
                </c:pt>
                <c:pt idx="448">
                  <c:v>-0.50622656012751577</c:v>
                </c:pt>
                <c:pt idx="449">
                  <c:v>-1.0908954755966533</c:v>
                </c:pt>
                <c:pt idx="450">
                  <c:v>-1.1536315720400125</c:v>
                </c:pt>
                <c:pt idx="451">
                  <c:v>-1.6100358462103372</c:v>
                </c:pt>
                <c:pt idx="452">
                  <c:v>-2.1869903533669799</c:v>
                </c:pt>
                <c:pt idx="453">
                  <c:v>-2.5797952765994978</c:v>
                </c:pt>
                <c:pt idx="454">
                  <c:v>-2.3874937745554803</c:v>
                </c:pt>
                <c:pt idx="455">
                  <c:v>-1.9136678823608122</c:v>
                </c:pt>
                <c:pt idx="456">
                  <c:v>-1.4241043727226952</c:v>
                </c:pt>
                <c:pt idx="457">
                  <c:v>-1.012348296821358</c:v>
                </c:pt>
                <c:pt idx="458">
                  <c:v>-0.36470637642202064</c:v>
                </c:pt>
                <c:pt idx="459">
                  <c:v>0.28087867661355403</c:v>
                </c:pt>
                <c:pt idx="460">
                  <c:v>0.6422814540447348</c:v>
                </c:pt>
                <c:pt idx="461">
                  <c:v>0.91013512349599068</c:v>
                </c:pt>
                <c:pt idx="462">
                  <c:v>1.3034662306330915</c:v>
                </c:pt>
                <c:pt idx="463">
                  <c:v>1.735580730747472</c:v>
                </c:pt>
                <c:pt idx="464">
                  <c:v>2.1173732225095137</c:v>
                </c:pt>
                <c:pt idx="465">
                  <c:v>2.6061579585337427</c:v>
                </c:pt>
                <c:pt idx="466">
                  <c:v>2.8580986154355514</c:v>
                </c:pt>
                <c:pt idx="467">
                  <c:v>3.4050253567069717</c:v>
                </c:pt>
                <c:pt idx="468">
                  <c:v>2.9228166741509085</c:v>
                </c:pt>
                <c:pt idx="469">
                  <c:v>2.0434472883972603</c:v>
                </c:pt>
                <c:pt idx="470">
                  <c:v>1.0727339828820277</c:v>
                </c:pt>
                <c:pt idx="471">
                  <c:v>0.22339753003814167</c:v>
                </c:pt>
                <c:pt idx="472">
                  <c:v>-0.1366626256662471</c:v>
                </c:pt>
                <c:pt idx="473">
                  <c:v>-0.80728909950113348</c:v>
                </c:pt>
                <c:pt idx="474">
                  <c:v>-1.3522267744486953</c:v>
                </c:pt>
                <c:pt idx="475">
                  <c:v>-1.7653576961375279</c:v>
                </c:pt>
                <c:pt idx="476">
                  <c:v>-1.6700573334020987</c:v>
                </c:pt>
                <c:pt idx="477">
                  <c:v>-1.206217364496581</c:v>
                </c:pt>
                <c:pt idx="478">
                  <c:v>-0.39510380065894424</c:v>
                </c:pt>
                <c:pt idx="479">
                  <c:v>-8.6965210180323993E-2</c:v>
                </c:pt>
                <c:pt idx="480">
                  <c:v>7.2482006977338642E-2</c:v>
                </c:pt>
                <c:pt idx="481">
                  <c:v>0.53561037361674835</c:v>
                </c:pt>
                <c:pt idx="482">
                  <c:v>1.2090515682930345</c:v>
                </c:pt>
                <c:pt idx="483">
                  <c:v>1.6383396659077789</c:v>
                </c:pt>
                <c:pt idx="484">
                  <c:v>1.969567210581431</c:v>
                </c:pt>
                <c:pt idx="485">
                  <c:v>1.0339811876268641</c:v>
                </c:pt>
                <c:pt idx="486">
                  <c:v>1.0550008996980296</c:v>
                </c:pt>
                <c:pt idx="487">
                  <c:v>1.6393895527486961</c:v>
                </c:pt>
                <c:pt idx="488">
                  <c:v>2.1695015794664414</c:v>
                </c:pt>
                <c:pt idx="489">
                  <c:v>2.6797659698639222</c:v>
                </c:pt>
                <c:pt idx="490">
                  <c:v>2.6924259227979519</c:v>
                </c:pt>
                <c:pt idx="491">
                  <c:v>2.6261916873725113</c:v>
                </c:pt>
                <c:pt idx="492">
                  <c:v>2.386421939533534</c:v>
                </c:pt>
                <c:pt idx="493">
                  <c:v>2.5072129127134417</c:v>
                </c:pt>
                <c:pt idx="494">
                  <c:v>3.0423373171966546</c:v>
                </c:pt>
                <c:pt idx="495">
                  <c:v>3.6534765250716532</c:v>
                </c:pt>
                <c:pt idx="496">
                  <c:v>4.3491157731210137</c:v>
                </c:pt>
                <c:pt idx="497">
                  <c:v>4.7440568845770485</c:v>
                </c:pt>
                <c:pt idx="498">
                  <c:v>4.6675685031300986</c:v>
                </c:pt>
                <c:pt idx="499">
                  <c:v>4.5281252583710625</c:v>
                </c:pt>
                <c:pt idx="500">
                  <c:v>4.2715457901595641</c:v>
                </c:pt>
                <c:pt idx="501">
                  <c:v>4.2819003858325004</c:v>
                </c:pt>
                <c:pt idx="502">
                  <c:v>4.924065378045384</c:v>
                </c:pt>
                <c:pt idx="503">
                  <c:v>5.4165414787472628</c:v>
                </c:pt>
                <c:pt idx="504">
                  <c:v>5.1327943613057414</c:v>
                </c:pt>
                <c:pt idx="505">
                  <c:v>5.0753538064862482</c:v>
                </c:pt>
                <c:pt idx="506">
                  <c:v>4.9246484851150285</c:v>
                </c:pt>
                <c:pt idx="507">
                  <c:v>4.3755243901932204</c:v>
                </c:pt>
                <c:pt idx="508">
                  <c:v>2.811332869782234</c:v>
                </c:pt>
                <c:pt idx="509">
                  <c:v>1.3120793096906027</c:v>
                </c:pt>
                <c:pt idx="510">
                  <c:v>0.23338117218651178</c:v>
                </c:pt>
                <c:pt idx="511">
                  <c:v>-0.35834393465796666</c:v>
                </c:pt>
                <c:pt idx="512">
                  <c:v>-1.5940448709644102</c:v>
                </c:pt>
                <c:pt idx="513">
                  <c:v>-2.5998613325041333</c:v>
                </c:pt>
                <c:pt idx="514">
                  <c:v>-3.2314285165309116</c:v>
                </c:pt>
                <c:pt idx="515">
                  <c:v>-4.1608737061070542</c:v>
                </c:pt>
                <c:pt idx="516">
                  <c:v>-4.5768108351925889</c:v>
                </c:pt>
                <c:pt idx="517">
                  <c:v>-4.908763733077933</c:v>
                </c:pt>
                <c:pt idx="518">
                  <c:v>-5.07620530568812</c:v>
                </c:pt>
                <c:pt idx="519">
                  <c:v>-4.6988309787508911</c:v>
                </c:pt>
                <c:pt idx="520">
                  <c:v>-4.391898603187542</c:v>
                </c:pt>
                <c:pt idx="521">
                  <c:v>-3.9218872137497556</c:v>
                </c:pt>
                <c:pt idx="522">
                  <c:v>-2.9736801455150044</c:v>
                </c:pt>
                <c:pt idx="523">
                  <c:v>-2.0038463439577185</c:v>
                </c:pt>
                <c:pt idx="524">
                  <c:v>-1.7883486778491715</c:v>
                </c:pt>
                <c:pt idx="5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9-4839-8F53-D243DEAE4097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Data!$Z$2:$Z$527</c:f>
              <c:numCache>
                <c:formatCode>General</c:formatCode>
                <c:ptCount val="526"/>
                <c:pt idx="34">
                  <c:v>2.1186492961805357</c:v>
                </c:pt>
                <c:pt idx="35">
                  <c:v>2.3033509882887699</c:v>
                </c:pt>
                <c:pt idx="36">
                  <c:v>2.4754103566948062</c:v>
                </c:pt>
                <c:pt idx="37">
                  <c:v>2.6263200616293068</c:v>
                </c:pt>
                <c:pt idx="38">
                  <c:v>2.7649143233050149</c:v>
                </c:pt>
                <c:pt idx="39">
                  <c:v>2.9090257832986377</c:v>
                </c:pt>
                <c:pt idx="40">
                  <c:v>3.0301255969658198</c:v>
                </c:pt>
                <c:pt idx="41">
                  <c:v>3.1457242731946362</c:v>
                </c:pt>
                <c:pt idx="42">
                  <c:v>3.2744800853277116</c:v>
                </c:pt>
                <c:pt idx="43">
                  <c:v>3.4129050680802338</c:v>
                </c:pt>
                <c:pt idx="44">
                  <c:v>3.5158710018275308</c:v>
                </c:pt>
                <c:pt idx="45">
                  <c:v>3.5887849106074183</c:v>
                </c:pt>
                <c:pt idx="46">
                  <c:v>3.6319777671284297</c:v>
                </c:pt>
                <c:pt idx="47">
                  <c:v>3.6707291356988865</c:v>
                </c:pt>
                <c:pt idx="48">
                  <c:v>3.7208687212511751</c:v>
                </c:pt>
                <c:pt idx="49">
                  <c:v>3.7126326497802182</c:v>
                </c:pt>
                <c:pt idx="50">
                  <c:v>3.6969515442640448</c:v>
                </c:pt>
                <c:pt idx="51">
                  <c:v>3.7066523863721894</c:v>
                </c:pt>
                <c:pt idx="52">
                  <c:v>3.7413338868092909</c:v>
                </c:pt>
                <c:pt idx="53">
                  <c:v>3.8218516781719738</c:v>
                </c:pt>
                <c:pt idx="54">
                  <c:v>3.9617226755176147</c:v>
                </c:pt>
                <c:pt idx="55">
                  <c:v>4.0835045014235858</c:v>
                </c:pt>
                <c:pt idx="56">
                  <c:v>4.1495392990830196</c:v>
                </c:pt>
                <c:pt idx="57">
                  <c:v>4.1822321653167052</c:v>
                </c:pt>
                <c:pt idx="58">
                  <c:v>4.2432482241868064</c:v>
                </c:pt>
                <c:pt idx="59">
                  <c:v>4.3215913722804196</c:v>
                </c:pt>
                <c:pt idx="60">
                  <c:v>4.3751401403353585</c:v>
                </c:pt>
                <c:pt idx="61">
                  <c:v>4.3990929737664013</c:v>
                </c:pt>
                <c:pt idx="62">
                  <c:v>4.3842791059683757</c:v>
                </c:pt>
                <c:pt idx="63">
                  <c:v>4.2936717270943241</c:v>
                </c:pt>
                <c:pt idx="64">
                  <c:v>4.1792400346957237</c:v>
                </c:pt>
                <c:pt idx="65">
                  <c:v>4.0627821375591564</c:v>
                </c:pt>
                <c:pt idx="66">
                  <c:v>3.9206798944251968</c:v>
                </c:pt>
                <c:pt idx="67">
                  <c:v>3.7342140650767011</c:v>
                </c:pt>
                <c:pt idx="68">
                  <c:v>3.5205676404027164</c:v>
                </c:pt>
                <c:pt idx="69">
                  <c:v>3.091396740315826</c:v>
                </c:pt>
                <c:pt idx="70">
                  <c:v>2.544186645295909</c:v>
                </c:pt>
                <c:pt idx="71">
                  <c:v>1.9125340817485379</c:v>
                </c:pt>
                <c:pt idx="72">
                  <c:v>1.2452206544627973</c:v>
                </c:pt>
                <c:pt idx="73">
                  <c:v>0.60636591810596685</c:v>
                </c:pt>
                <c:pt idx="74">
                  <c:v>9.0048920834154167E-2</c:v>
                </c:pt>
                <c:pt idx="75">
                  <c:v>-0.26500740346945906</c:v>
                </c:pt>
                <c:pt idx="76">
                  <c:v>-0.45621646183870274</c:v>
                </c:pt>
                <c:pt idx="77">
                  <c:v>-0.5186687727748186</c:v>
                </c:pt>
                <c:pt idx="78">
                  <c:v>-0.49133606383990297</c:v>
                </c:pt>
                <c:pt idx="79">
                  <c:v>-0.40612628545115426</c:v>
                </c:pt>
                <c:pt idx="80">
                  <c:v>-0.29153190197450524</c:v>
                </c:pt>
                <c:pt idx="81">
                  <c:v>-0.18843238463761369</c:v>
                </c:pt>
                <c:pt idx="82">
                  <c:v>-9.559826833216134E-2</c:v>
                </c:pt>
                <c:pt idx="83">
                  <c:v>-1.7037819696992529E-2</c:v>
                </c:pt>
                <c:pt idx="84">
                  <c:v>3.0149156326804906E-2</c:v>
                </c:pt>
                <c:pt idx="85">
                  <c:v>7.8901592013276456E-2</c:v>
                </c:pt>
                <c:pt idx="86">
                  <c:v>0.12191110757310263</c:v>
                </c:pt>
                <c:pt idx="87">
                  <c:v>0.22101080432887371</c:v>
                </c:pt>
                <c:pt idx="88">
                  <c:v>0.37908371133917484</c:v>
                </c:pt>
                <c:pt idx="89">
                  <c:v>0.58523154085071749</c:v>
                </c:pt>
                <c:pt idx="90">
                  <c:v>0.80873315285393521</c:v>
                </c:pt>
                <c:pt idx="91">
                  <c:v>1.0739054656122189</c:v>
                </c:pt>
                <c:pt idx="92">
                  <c:v>1.358420397284668</c:v>
                </c:pt>
                <c:pt idx="93">
                  <c:v>1.6427916397847926</c:v>
                </c:pt>
                <c:pt idx="94">
                  <c:v>1.9454356008269627</c:v>
                </c:pt>
                <c:pt idx="95">
                  <c:v>2.0922932391210236</c:v>
                </c:pt>
                <c:pt idx="96">
                  <c:v>2.1919001476700974</c:v>
                </c:pt>
                <c:pt idx="97">
                  <c:v>2.2323690283578119</c:v>
                </c:pt>
                <c:pt idx="98">
                  <c:v>2.2063852345246144</c:v>
                </c:pt>
                <c:pt idx="99">
                  <c:v>2.1955507433247852</c:v>
                </c:pt>
                <c:pt idx="100">
                  <c:v>2.1704705558935</c:v>
                </c:pt>
                <c:pt idx="101">
                  <c:v>2.1106526073029541</c:v>
                </c:pt>
                <c:pt idx="102">
                  <c:v>2.0468512419408635</c:v>
                </c:pt>
                <c:pt idx="103">
                  <c:v>2.0318821057507588</c:v>
                </c:pt>
                <c:pt idx="104">
                  <c:v>2.0307506243730002</c:v>
                </c:pt>
                <c:pt idx="105">
                  <c:v>1.9912843931849022</c:v>
                </c:pt>
                <c:pt idx="106">
                  <c:v>1.8950076382960592</c:v>
                </c:pt>
                <c:pt idx="107">
                  <c:v>1.7582669830230331</c:v>
                </c:pt>
                <c:pt idx="108">
                  <c:v>1.6478264883941327</c:v>
                </c:pt>
                <c:pt idx="109">
                  <c:v>1.5504796668483114</c:v>
                </c:pt>
                <c:pt idx="110">
                  <c:v>1.379148246616575</c:v>
                </c:pt>
                <c:pt idx="111">
                  <c:v>1.122131834430617</c:v>
                </c:pt>
                <c:pt idx="112">
                  <c:v>0.8563082948564773</c:v>
                </c:pt>
                <c:pt idx="113">
                  <c:v>0.59886235775207552</c:v>
                </c:pt>
                <c:pt idx="114">
                  <c:v>0.37794345170141808</c:v>
                </c:pt>
                <c:pt idx="115">
                  <c:v>0.22286642582681565</c:v>
                </c:pt>
                <c:pt idx="116">
                  <c:v>0.14332312580452844</c:v>
                </c:pt>
                <c:pt idx="117">
                  <c:v>7.7154064834303621E-2</c:v>
                </c:pt>
                <c:pt idx="118">
                  <c:v>6.3822952757073087E-2</c:v>
                </c:pt>
                <c:pt idx="119">
                  <c:v>7.1239939986038642E-2</c:v>
                </c:pt>
                <c:pt idx="120">
                  <c:v>8.0899426731704013E-2</c:v>
                </c:pt>
                <c:pt idx="121">
                  <c:v>0.11903440007613372</c:v>
                </c:pt>
                <c:pt idx="122">
                  <c:v>0.22204600026423876</c:v>
                </c:pt>
                <c:pt idx="123">
                  <c:v>0.41070947413307102</c:v>
                </c:pt>
                <c:pt idx="124">
                  <c:v>0.6961576679770245</c:v>
                </c:pt>
                <c:pt idx="125">
                  <c:v>1.0234846808905376</c:v>
                </c:pt>
                <c:pt idx="126">
                  <c:v>1.2953465525304957</c:v>
                </c:pt>
                <c:pt idx="127">
                  <c:v>1.5213028208645252</c:v>
                </c:pt>
                <c:pt idx="128">
                  <c:v>1.7424218518158101</c:v>
                </c:pt>
                <c:pt idx="129">
                  <c:v>1.9476584899603702</c:v>
                </c:pt>
                <c:pt idx="130">
                  <c:v>2.1221583550242844</c:v>
                </c:pt>
                <c:pt idx="131">
                  <c:v>2.2233630227123076</c:v>
                </c:pt>
                <c:pt idx="132">
                  <c:v>2.3497819361942804</c:v>
                </c:pt>
                <c:pt idx="133">
                  <c:v>2.5369791987293731</c:v>
                </c:pt>
                <c:pt idx="134">
                  <c:v>2.798527526227585</c:v>
                </c:pt>
                <c:pt idx="135">
                  <c:v>2.9766625290674975</c:v>
                </c:pt>
                <c:pt idx="136">
                  <c:v>3.083202245581675</c:v>
                </c:pt>
                <c:pt idx="137">
                  <c:v>3.1402324020616912</c:v>
                </c:pt>
                <c:pt idx="138">
                  <c:v>3.1568818063810338</c:v>
                </c:pt>
                <c:pt idx="139">
                  <c:v>3.1123926922960301</c:v>
                </c:pt>
                <c:pt idx="140">
                  <c:v>3.0260979129585142</c:v>
                </c:pt>
                <c:pt idx="141">
                  <c:v>2.9681840431762412</c:v>
                </c:pt>
                <c:pt idx="142">
                  <c:v>2.9021529884127837</c:v>
                </c:pt>
                <c:pt idx="143">
                  <c:v>2.8971232678973564</c:v>
                </c:pt>
                <c:pt idx="144">
                  <c:v>2.8858574840706241</c:v>
                </c:pt>
                <c:pt idx="145">
                  <c:v>2.7874768014024971</c:v>
                </c:pt>
                <c:pt idx="146">
                  <c:v>2.4925802935915322</c:v>
                </c:pt>
                <c:pt idx="147">
                  <c:v>2.0166426176250769</c:v>
                </c:pt>
                <c:pt idx="148">
                  <c:v>1.5343769705745072</c:v>
                </c:pt>
                <c:pt idx="149">
                  <c:v>1.070886345434952</c:v>
                </c:pt>
                <c:pt idx="150">
                  <c:v>0.69941288054224249</c:v>
                </c:pt>
                <c:pt idx="151">
                  <c:v>0.4312538222133484</c:v>
                </c:pt>
                <c:pt idx="152">
                  <c:v>0.24714688086314035</c:v>
                </c:pt>
                <c:pt idx="153">
                  <c:v>0.15273029834901794</c:v>
                </c:pt>
                <c:pt idx="154">
                  <c:v>0.15582642188480625</c:v>
                </c:pt>
                <c:pt idx="155">
                  <c:v>0.24042444149015041</c:v>
                </c:pt>
                <c:pt idx="156">
                  <c:v>0.40973321329313583</c:v>
                </c:pt>
                <c:pt idx="157">
                  <c:v>0.64594026860515807</c:v>
                </c:pt>
                <c:pt idx="158">
                  <c:v>0.89538567246237266</c:v>
                </c:pt>
                <c:pt idx="159">
                  <c:v>1.1392878646700109</c:v>
                </c:pt>
                <c:pt idx="160">
                  <c:v>1.3967207201503991</c:v>
                </c:pt>
                <c:pt idx="161">
                  <c:v>1.672759287320384</c:v>
                </c:pt>
                <c:pt idx="162">
                  <c:v>1.9558973972422982</c:v>
                </c:pt>
                <c:pt idx="163">
                  <c:v>2.2402988697427491</c:v>
                </c:pt>
                <c:pt idx="164">
                  <c:v>2.5231867057117974</c:v>
                </c:pt>
                <c:pt idx="165">
                  <c:v>2.7992235856030363</c:v>
                </c:pt>
                <c:pt idx="166">
                  <c:v>3.0914380501222003</c:v>
                </c:pt>
                <c:pt idx="167">
                  <c:v>3.2996330617379277</c:v>
                </c:pt>
                <c:pt idx="168">
                  <c:v>3.4212560667955976</c:v>
                </c:pt>
                <c:pt idx="169">
                  <c:v>3.4473214946758657</c:v>
                </c:pt>
                <c:pt idx="170">
                  <c:v>3.3217854181465358</c:v>
                </c:pt>
                <c:pt idx="171">
                  <c:v>3.1696399527383248</c:v>
                </c:pt>
                <c:pt idx="172">
                  <c:v>2.8220805245038116</c:v>
                </c:pt>
                <c:pt idx="173">
                  <c:v>2.3904708319904509</c:v>
                </c:pt>
                <c:pt idx="174">
                  <c:v>1.9133061068141521</c:v>
                </c:pt>
                <c:pt idx="175">
                  <c:v>1.3918652530678952</c:v>
                </c:pt>
                <c:pt idx="176">
                  <c:v>0.92331406092016866</c:v>
                </c:pt>
                <c:pt idx="177">
                  <c:v>0.53254753042048064</c:v>
                </c:pt>
                <c:pt idx="178">
                  <c:v>0.18236416715561793</c:v>
                </c:pt>
                <c:pt idx="179">
                  <c:v>-7.7375380320035769E-2</c:v>
                </c:pt>
                <c:pt idx="180">
                  <c:v>-0.25690197209360183</c:v>
                </c:pt>
                <c:pt idx="181">
                  <c:v>-0.37057197947751824</c:v>
                </c:pt>
                <c:pt idx="182">
                  <c:v>-0.43376781510881457</c:v>
                </c:pt>
                <c:pt idx="183">
                  <c:v>-0.48336212534614365</c:v>
                </c:pt>
                <c:pt idx="184">
                  <c:v>-0.52727107776206306</c:v>
                </c:pt>
                <c:pt idx="185">
                  <c:v>-0.55262584126808523</c:v>
                </c:pt>
                <c:pt idx="186">
                  <c:v>-0.55801892419946453</c:v>
                </c:pt>
                <c:pt idx="187">
                  <c:v>-0.61029172909175489</c:v>
                </c:pt>
                <c:pt idx="188">
                  <c:v>-0.68382802640031093</c:v>
                </c:pt>
                <c:pt idx="189">
                  <c:v>-0.79814448906493962</c:v>
                </c:pt>
                <c:pt idx="190">
                  <c:v>-0.83464242715422288</c:v>
                </c:pt>
                <c:pt idx="191">
                  <c:v>-0.82317640111489343</c:v>
                </c:pt>
                <c:pt idx="192">
                  <c:v>-0.78324416895002924</c:v>
                </c:pt>
                <c:pt idx="193">
                  <c:v>-0.68317972136937499</c:v>
                </c:pt>
                <c:pt idx="194">
                  <c:v>-0.55836756628705564</c:v>
                </c:pt>
                <c:pt idx="195">
                  <c:v>-0.27254502359823124</c:v>
                </c:pt>
                <c:pt idx="196">
                  <c:v>8.6910529081577231E-2</c:v>
                </c:pt>
                <c:pt idx="197">
                  <c:v>0.48799500371421733</c:v>
                </c:pt>
                <c:pt idx="198">
                  <c:v>0.91297694983805922</c:v>
                </c:pt>
                <c:pt idx="199">
                  <c:v>1.3410226975559554</c:v>
                </c:pt>
                <c:pt idx="200">
                  <c:v>1.7606501445178357</c:v>
                </c:pt>
                <c:pt idx="201">
                  <c:v>2.1111787558499797</c:v>
                </c:pt>
                <c:pt idx="202">
                  <c:v>2.4130794090860173</c:v>
                </c:pt>
                <c:pt idx="203">
                  <c:v>2.6518473377409872</c:v>
                </c:pt>
                <c:pt idx="204">
                  <c:v>2.8575326248994362</c:v>
                </c:pt>
                <c:pt idx="205">
                  <c:v>2.982588805183612</c:v>
                </c:pt>
                <c:pt idx="206">
                  <c:v>3.0946492354002215</c:v>
                </c:pt>
                <c:pt idx="207">
                  <c:v>3.1441549752488269</c:v>
                </c:pt>
                <c:pt idx="208">
                  <c:v>3.1687824772786963</c:v>
                </c:pt>
                <c:pt idx="209">
                  <c:v>3.129576975492915</c:v>
                </c:pt>
                <c:pt idx="210">
                  <c:v>3.0615579660519177</c:v>
                </c:pt>
                <c:pt idx="211">
                  <c:v>2.921651012783931</c:v>
                </c:pt>
                <c:pt idx="212">
                  <c:v>2.7646432603363609</c:v>
                </c:pt>
                <c:pt idx="213">
                  <c:v>3.0068008988211465</c:v>
                </c:pt>
                <c:pt idx="214">
                  <c:v>3.30920709781289</c:v>
                </c:pt>
                <c:pt idx="215">
                  <c:v>3.6355535918810826</c:v>
                </c:pt>
                <c:pt idx="216">
                  <c:v>3.988366315443459</c:v>
                </c:pt>
                <c:pt idx="217">
                  <c:v>4.334489931663434</c:v>
                </c:pt>
                <c:pt idx="218">
                  <c:v>4.673924459281972</c:v>
                </c:pt>
                <c:pt idx="219">
                  <c:v>4.9920474929747982</c:v>
                </c:pt>
                <c:pt idx="220">
                  <c:v>5.323641664906984</c:v>
                </c:pt>
                <c:pt idx="221">
                  <c:v>5.6296956781986562</c:v>
                </c:pt>
                <c:pt idx="222">
                  <c:v>5.8599149755699944</c:v>
                </c:pt>
                <c:pt idx="223">
                  <c:v>5.9803234337545472</c:v>
                </c:pt>
                <c:pt idx="224">
                  <c:v>6.0754607836807155</c:v>
                </c:pt>
                <c:pt idx="225">
                  <c:v>6.196391467844971</c:v>
                </c:pt>
                <c:pt idx="226">
                  <c:v>6.340787382121718</c:v>
                </c:pt>
                <c:pt idx="227">
                  <c:v>6.4727640254479075</c:v>
                </c:pt>
                <c:pt idx="228">
                  <c:v>6.5724135432279978</c:v>
                </c:pt>
                <c:pt idx="229">
                  <c:v>6.6304805835668414</c:v>
                </c:pt>
                <c:pt idx="230">
                  <c:v>6.5889665326060758</c:v>
                </c:pt>
                <c:pt idx="231">
                  <c:v>6.4493808156216037</c:v>
                </c:pt>
                <c:pt idx="232">
                  <c:v>6.2182882781664848</c:v>
                </c:pt>
                <c:pt idx="233">
                  <c:v>5.9609677394666294</c:v>
                </c:pt>
                <c:pt idx="234">
                  <c:v>5.7171052162843328</c:v>
                </c:pt>
                <c:pt idx="235">
                  <c:v>5.4247929770547119</c:v>
                </c:pt>
                <c:pt idx="236">
                  <c:v>5.0899159893628942</c:v>
                </c:pt>
                <c:pt idx="237">
                  <c:v>4.7450035575695271</c:v>
                </c:pt>
                <c:pt idx="238">
                  <c:v>4.369158328615482</c:v>
                </c:pt>
                <c:pt idx="239">
                  <c:v>3.9583017326372545</c:v>
                </c:pt>
                <c:pt idx="240">
                  <c:v>3.53227311168629</c:v>
                </c:pt>
                <c:pt idx="241">
                  <c:v>3.09155293131125</c:v>
                </c:pt>
                <c:pt idx="242">
                  <c:v>2.5302055882597254</c:v>
                </c:pt>
                <c:pt idx="243">
                  <c:v>1.9582333188626535</c:v>
                </c:pt>
                <c:pt idx="244">
                  <c:v>1.4791505631573045</c:v>
                </c:pt>
                <c:pt idx="245">
                  <c:v>1.0926361700349503</c:v>
                </c:pt>
                <c:pt idx="246">
                  <c:v>0.84445452809688393</c:v>
                </c:pt>
                <c:pt idx="247">
                  <c:v>0.70730474897854501</c:v>
                </c:pt>
                <c:pt idx="248">
                  <c:v>0.61389491845545863</c:v>
                </c:pt>
                <c:pt idx="249">
                  <c:v>0.52188227778369845</c:v>
                </c:pt>
                <c:pt idx="250">
                  <c:v>0.44060157025560509</c:v>
                </c:pt>
                <c:pt idx="251">
                  <c:v>0.37393086003212639</c:v>
                </c:pt>
                <c:pt idx="252">
                  <c:v>0.37139062213656854</c:v>
                </c:pt>
                <c:pt idx="253">
                  <c:v>0.36956358022879576</c:v>
                </c:pt>
                <c:pt idx="254">
                  <c:v>0.40445126716499241</c:v>
                </c:pt>
                <c:pt idx="255">
                  <c:v>0.45896216177160787</c:v>
                </c:pt>
                <c:pt idx="256">
                  <c:v>0.46985748799449328</c:v>
                </c:pt>
                <c:pt idx="257">
                  <c:v>0.5210155349087795</c:v>
                </c:pt>
                <c:pt idx="258">
                  <c:v>0.64555158199674079</c:v>
                </c:pt>
                <c:pt idx="259">
                  <c:v>0.8859373598715814</c:v>
                </c:pt>
                <c:pt idx="260">
                  <c:v>1.2149473331091469</c:v>
                </c:pt>
                <c:pt idx="261">
                  <c:v>1.6575059718901366</c:v>
                </c:pt>
                <c:pt idx="262">
                  <c:v>2.2060008576468291</c:v>
                </c:pt>
                <c:pt idx="263">
                  <c:v>2.7840822612115357</c:v>
                </c:pt>
                <c:pt idx="264">
                  <c:v>3.3936766855261156</c:v>
                </c:pt>
                <c:pt idx="265">
                  <c:v>3.9656226363625189</c:v>
                </c:pt>
                <c:pt idx="266">
                  <c:v>4.4910644055189275</c:v>
                </c:pt>
                <c:pt idx="267">
                  <c:v>4.9701588810955917</c:v>
                </c:pt>
                <c:pt idx="268">
                  <c:v>5.3748263764926776</c:v>
                </c:pt>
                <c:pt idx="269">
                  <c:v>5.7257056136105344</c:v>
                </c:pt>
                <c:pt idx="270">
                  <c:v>5.9965900949583428</c:v>
                </c:pt>
                <c:pt idx="271">
                  <c:v>6.1816500953882665</c:v>
                </c:pt>
                <c:pt idx="272">
                  <c:v>6.3071550818975224</c:v>
                </c:pt>
                <c:pt idx="273">
                  <c:v>6.4141041741622331</c:v>
                </c:pt>
                <c:pt idx="274">
                  <c:v>6.5924223736326448</c:v>
                </c:pt>
                <c:pt idx="275">
                  <c:v>6.7735502905278171</c:v>
                </c:pt>
                <c:pt idx="276">
                  <c:v>6.8555629479647413</c:v>
                </c:pt>
                <c:pt idx="277">
                  <c:v>6.918547570256294</c:v>
                </c:pt>
                <c:pt idx="278">
                  <c:v>6.9578742927234778</c:v>
                </c:pt>
                <c:pt idx="279">
                  <c:v>6.9783330690683476</c:v>
                </c:pt>
                <c:pt idx="280">
                  <c:v>6.9742959591257252</c:v>
                </c:pt>
                <c:pt idx="281">
                  <c:v>6.9928279405574472</c:v>
                </c:pt>
                <c:pt idx="282">
                  <c:v>6.9974281535890679</c:v>
                </c:pt>
                <c:pt idx="283">
                  <c:v>6.7784740204934097</c:v>
                </c:pt>
                <c:pt idx="284">
                  <c:v>6.3745854733936689</c:v>
                </c:pt>
                <c:pt idx="285">
                  <c:v>5.8151593473965395</c:v>
                </c:pt>
                <c:pt idx="286">
                  <c:v>5.1114569988438765</c:v>
                </c:pt>
                <c:pt idx="287">
                  <c:v>4.3647409427472654</c:v>
                </c:pt>
                <c:pt idx="288">
                  <c:v>3.6244088382697819</c:v>
                </c:pt>
                <c:pt idx="289">
                  <c:v>3.0079714717067723</c:v>
                </c:pt>
                <c:pt idx="290">
                  <c:v>2.4303515202679176</c:v>
                </c:pt>
                <c:pt idx="291">
                  <c:v>1.7363548087651666</c:v>
                </c:pt>
                <c:pt idx="292">
                  <c:v>1.0222600016230412</c:v>
                </c:pt>
                <c:pt idx="293">
                  <c:v>0.25105965433691801</c:v>
                </c:pt>
                <c:pt idx="294">
                  <c:v>-0.58404377034261945</c:v>
                </c:pt>
                <c:pt idx="295">
                  <c:v>-1.5745931750682205</c:v>
                </c:pt>
                <c:pt idx="296">
                  <c:v>-2.6561976567828007</c:v>
                </c:pt>
                <c:pt idx="297">
                  <c:v>-3.7519036665560748</c:v>
                </c:pt>
                <c:pt idx="298">
                  <c:v>-4.8336946411721904</c:v>
                </c:pt>
                <c:pt idx="299">
                  <c:v>-5.7233681873539783</c:v>
                </c:pt>
                <c:pt idx="300">
                  <c:v>-6.4091713003301285</c:v>
                </c:pt>
                <c:pt idx="301">
                  <c:v>-6.900041052553382</c:v>
                </c:pt>
                <c:pt idx="302">
                  <c:v>-7.1612202758632799</c:v>
                </c:pt>
                <c:pt idx="303">
                  <c:v>-7.2500160510520129</c:v>
                </c:pt>
                <c:pt idx="304">
                  <c:v>-7.1677855764089244</c:v>
                </c:pt>
                <c:pt idx="305">
                  <c:v>-6.863746091251028</c:v>
                </c:pt>
                <c:pt idx="306">
                  <c:v>-6.3719953449553755</c:v>
                </c:pt>
                <c:pt idx="307">
                  <c:v>-5.775441578732571</c:v>
                </c:pt>
                <c:pt idx="308">
                  <c:v>-5.1777355949927841</c:v>
                </c:pt>
                <c:pt idx="309">
                  <c:v>-4.6829188242760225</c:v>
                </c:pt>
                <c:pt idx="310">
                  <c:v>-4.2287684934077907</c:v>
                </c:pt>
                <c:pt idx="311">
                  <c:v>-3.8404414333655543</c:v>
                </c:pt>
                <c:pt idx="312">
                  <c:v>-3.4705131891062302</c:v>
                </c:pt>
                <c:pt idx="313">
                  <c:v>-3.3968983597053937</c:v>
                </c:pt>
                <c:pt idx="314">
                  <c:v>-3.798844628430138</c:v>
                </c:pt>
                <c:pt idx="315">
                  <c:v>-4.4027639870134285</c:v>
                </c:pt>
                <c:pt idx="316">
                  <c:v>-5.0528136942614932</c:v>
                </c:pt>
                <c:pt idx="317">
                  <c:v>-5.407460299337127</c:v>
                </c:pt>
                <c:pt idx="318">
                  <c:v>-5.6613885333278651</c:v>
                </c:pt>
                <c:pt idx="319">
                  <c:v>-5.6809480152651357</c:v>
                </c:pt>
                <c:pt idx="320">
                  <c:v>-5.563248869476995</c:v>
                </c:pt>
                <c:pt idx="321">
                  <c:v>-5.3783764105473395</c:v>
                </c:pt>
                <c:pt idx="322">
                  <c:v>-5.2049934764744767</c:v>
                </c:pt>
                <c:pt idx="323">
                  <c:v>-4.9985448634108929</c:v>
                </c:pt>
                <c:pt idx="324">
                  <c:v>-4.8181856213207608</c:v>
                </c:pt>
                <c:pt idx="325">
                  <c:v>-4.547352656072686</c:v>
                </c:pt>
                <c:pt idx="326">
                  <c:v>-4.1392468285481385</c:v>
                </c:pt>
                <c:pt idx="327">
                  <c:v>-3.5970718274133051</c:v>
                </c:pt>
                <c:pt idx="328">
                  <c:v>-3.0084784341550712</c:v>
                </c:pt>
                <c:pt idx="329">
                  <c:v>-2.4200539566275481</c:v>
                </c:pt>
                <c:pt idx="330">
                  <c:v>-1.8347295608150147</c:v>
                </c:pt>
                <c:pt idx="331">
                  <c:v>-1.2778501883973445</c:v>
                </c:pt>
                <c:pt idx="332">
                  <c:v>-0.72886313919516366</c:v>
                </c:pt>
                <c:pt idx="333">
                  <c:v>-0.12227660937010776</c:v>
                </c:pt>
                <c:pt idx="334">
                  <c:v>0.48969030471633612</c:v>
                </c:pt>
                <c:pt idx="335">
                  <c:v>1.0190240024909281</c:v>
                </c:pt>
                <c:pt idx="336">
                  <c:v>1.4687273104374567</c:v>
                </c:pt>
                <c:pt idx="337">
                  <c:v>1.9066921326952626</c:v>
                </c:pt>
                <c:pt idx="338">
                  <c:v>2.3037727005735293</c:v>
                </c:pt>
                <c:pt idx="339">
                  <c:v>2.7603637055659913</c:v>
                </c:pt>
                <c:pt idx="340">
                  <c:v>3.2712530886462261</c:v>
                </c:pt>
                <c:pt idx="341">
                  <c:v>3.8238982439763736</c:v>
                </c:pt>
                <c:pt idx="342">
                  <c:v>4.3945447680863543</c:v>
                </c:pt>
                <c:pt idx="343">
                  <c:v>4.93766072032588</c:v>
                </c:pt>
                <c:pt idx="344">
                  <c:v>5.381038245474338</c:v>
                </c:pt>
                <c:pt idx="345">
                  <c:v>5.7391581323915961</c:v>
                </c:pt>
                <c:pt idx="346">
                  <c:v>5.9379577548186795</c:v>
                </c:pt>
                <c:pt idx="347">
                  <c:v>6.0070401765496033</c:v>
                </c:pt>
                <c:pt idx="348">
                  <c:v>5.9781438722000662</c:v>
                </c:pt>
                <c:pt idx="349">
                  <c:v>5.9487970184618426</c:v>
                </c:pt>
                <c:pt idx="350">
                  <c:v>5.878429719220768</c:v>
                </c:pt>
                <c:pt idx="351">
                  <c:v>5.7866821251649689</c:v>
                </c:pt>
                <c:pt idx="352">
                  <c:v>5.6672511840187303</c:v>
                </c:pt>
                <c:pt idx="353">
                  <c:v>5.5343427272314152</c:v>
                </c:pt>
                <c:pt idx="354">
                  <c:v>5.4130268287975554</c:v>
                </c:pt>
                <c:pt idx="355">
                  <c:v>5.2602925654232537</c:v>
                </c:pt>
                <c:pt idx="356">
                  <c:v>5.0476666670257355</c:v>
                </c:pt>
                <c:pt idx="357">
                  <c:v>4.8574510919666398</c:v>
                </c:pt>
                <c:pt idx="358">
                  <c:v>4.6962961346909324</c:v>
                </c:pt>
                <c:pt idx="359">
                  <c:v>4.5807752236216803</c:v>
                </c:pt>
                <c:pt idx="360">
                  <c:v>4.4822926451740681</c:v>
                </c:pt>
                <c:pt idx="361">
                  <c:v>4.390871828846274</c:v>
                </c:pt>
                <c:pt idx="362">
                  <c:v>4.2461719048937328</c:v>
                </c:pt>
                <c:pt idx="363">
                  <c:v>4.1522985832185935</c:v>
                </c:pt>
                <c:pt idx="364">
                  <c:v>4.0723377480200256</c:v>
                </c:pt>
                <c:pt idx="365">
                  <c:v>4.066844594286084</c:v>
                </c:pt>
                <c:pt idx="366">
                  <c:v>4.1156377319353084</c:v>
                </c:pt>
                <c:pt idx="367">
                  <c:v>4.2386892176928086</c:v>
                </c:pt>
                <c:pt idx="368">
                  <c:v>4.439876708782867</c:v>
                </c:pt>
                <c:pt idx="369">
                  <c:v>4.7140447410982276</c:v>
                </c:pt>
                <c:pt idx="370">
                  <c:v>5.0836651707984348</c:v>
                </c:pt>
                <c:pt idx="371">
                  <c:v>5.4559852568563159</c:v>
                </c:pt>
                <c:pt idx="372">
                  <c:v>5.842716871716874</c:v>
                </c:pt>
                <c:pt idx="373">
                  <c:v>6.212868717705021</c:v>
                </c:pt>
                <c:pt idx="374">
                  <c:v>6.5644318511795525</c:v>
                </c:pt>
                <c:pt idx="375">
                  <c:v>6.9347704151672849</c:v>
                </c:pt>
                <c:pt idx="376">
                  <c:v>7.2173612549481669</c:v>
                </c:pt>
                <c:pt idx="377">
                  <c:v>7.2670687335283741</c:v>
                </c:pt>
                <c:pt idx="378">
                  <c:v>7.1577032432856633</c:v>
                </c:pt>
                <c:pt idx="379">
                  <c:v>7.0183038763614469</c:v>
                </c:pt>
                <c:pt idx="380">
                  <c:v>6.8301718951363366</c:v>
                </c:pt>
                <c:pt idx="381">
                  <c:v>6.6351462267096206</c:v>
                </c:pt>
                <c:pt idx="382">
                  <c:v>6.3965984617966667</c:v>
                </c:pt>
                <c:pt idx="383">
                  <c:v>6.1170510925475101</c:v>
                </c:pt>
                <c:pt idx="384">
                  <c:v>5.8776123209227977</c:v>
                </c:pt>
                <c:pt idx="385">
                  <c:v>5.6843258997782335</c:v>
                </c:pt>
                <c:pt idx="386">
                  <c:v>5.5123572180492522</c:v>
                </c:pt>
                <c:pt idx="387">
                  <c:v>5.3575402190576078</c:v>
                </c:pt>
                <c:pt idx="388">
                  <c:v>5.2944154445913547</c:v>
                </c:pt>
                <c:pt idx="389">
                  <c:v>5.2766532139715228</c:v>
                </c:pt>
                <c:pt idx="390">
                  <c:v>5.309253553489687</c:v>
                </c:pt>
                <c:pt idx="391">
                  <c:v>5.3541858483937101</c:v>
                </c:pt>
                <c:pt idx="392">
                  <c:v>5.372505400505541</c:v>
                </c:pt>
                <c:pt idx="393">
                  <c:v>5.4022611705844694</c:v>
                </c:pt>
                <c:pt idx="394">
                  <c:v>5.3712267778338987</c:v>
                </c:pt>
                <c:pt idx="395">
                  <c:v>5.1818682129518621</c:v>
                </c:pt>
                <c:pt idx="396">
                  <c:v>4.9694081812736446</c:v>
                </c:pt>
                <c:pt idx="397">
                  <c:v>4.6961715551301904</c:v>
                </c:pt>
                <c:pt idx="398">
                  <c:v>4.3881422392277152</c:v>
                </c:pt>
                <c:pt idx="399">
                  <c:v>3.9940925070125304</c:v>
                </c:pt>
                <c:pt idx="400">
                  <c:v>3.5867172747356726</c:v>
                </c:pt>
                <c:pt idx="401">
                  <c:v>3.1969338385857076</c:v>
                </c:pt>
                <c:pt idx="402">
                  <c:v>2.8838132608465803</c:v>
                </c:pt>
                <c:pt idx="403">
                  <c:v>2.5915707368741443</c:v>
                </c:pt>
                <c:pt idx="404">
                  <c:v>2.3797418245263979</c:v>
                </c:pt>
                <c:pt idx="405">
                  <c:v>2.1654424081473334</c:v>
                </c:pt>
                <c:pt idx="406">
                  <c:v>1.9724855685431109</c:v>
                </c:pt>
                <c:pt idx="407">
                  <c:v>1.7846449234811905</c:v>
                </c:pt>
                <c:pt idx="408">
                  <c:v>1.6309983374781343</c:v>
                </c:pt>
                <c:pt idx="409">
                  <c:v>1.4908360577583397</c:v>
                </c:pt>
                <c:pt idx="410">
                  <c:v>1.4391776654543689</c:v>
                </c:pt>
                <c:pt idx="411">
                  <c:v>1.4210407190692331</c:v>
                </c:pt>
                <c:pt idx="412">
                  <c:v>1.4801790015740444</c:v>
                </c:pt>
                <c:pt idx="413">
                  <c:v>1.5926057819604584</c:v>
                </c:pt>
                <c:pt idx="414">
                  <c:v>1.7574676966752922</c:v>
                </c:pt>
                <c:pt idx="415">
                  <c:v>1.948131024963232</c:v>
                </c:pt>
                <c:pt idx="416">
                  <c:v>2.1130895125834064</c:v>
                </c:pt>
                <c:pt idx="417">
                  <c:v>2.2454418100919322</c:v>
                </c:pt>
                <c:pt idx="418">
                  <c:v>2.4140647698603059</c:v>
                </c:pt>
                <c:pt idx="419">
                  <c:v>2.4404701553310724</c:v>
                </c:pt>
                <c:pt idx="420">
                  <c:v>2.3473367899118123</c:v>
                </c:pt>
                <c:pt idx="421">
                  <c:v>2.2576258156491846</c:v>
                </c:pt>
                <c:pt idx="422">
                  <c:v>2.2125345203847644</c:v>
                </c:pt>
                <c:pt idx="423">
                  <c:v>2.2728220900666884</c:v>
                </c:pt>
                <c:pt idx="424">
                  <c:v>2.4123569569964434</c:v>
                </c:pt>
                <c:pt idx="425">
                  <c:v>2.6204988845456194</c:v>
                </c:pt>
                <c:pt idx="426">
                  <c:v>2.8593853783675351</c:v>
                </c:pt>
                <c:pt idx="427">
                  <c:v>3.1393453331324404</c:v>
                </c:pt>
                <c:pt idx="428">
                  <c:v>3.4468307066246333</c:v>
                </c:pt>
                <c:pt idx="429">
                  <c:v>3.7723229082719474</c:v>
                </c:pt>
                <c:pt idx="430">
                  <c:v>4.046107381592198</c:v>
                </c:pt>
                <c:pt idx="431">
                  <c:v>4.2686946456636674</c:v>
                </c:pt>
                <c:pt idx="432">
                  <c:v>4.4486438829255093</c:v>
                </c:pt>
                <c:pt idx="433">
                  <c:v>4.5827744678509479</c:v>
                </c:pt>
                <c:pt idx="434">
                  <c:v>4.7123514178734878</c:v>
                </c:pt>
                <c:pt idx="435">
                  <c:v>4.8156380639263681</c:v>
                </c:pt>
                <c:pt idx="436">
                  <c:v>4.8819080387204483</c:v>
                </c:pt>
                <c:pt idx="437">
                  <c:v>4.8350710002834107</c:v>
                </c:pt>
                <c:pt idx="438">
                  <c:v>4.6583598928895906</c:v>
                </c:pt>
                <c:pt idx="439">
                  <c:v>4.4384593304850561</c:v>
                </c:pt>
                <c:pt idx="440">
                  <c:v>4.1793386050648422</c:v>
                </c:pt>
                <c:pt idx="441">
                  <c:v>3.8759213400441581</c:v>
                </c:pt>
                <c:pt idx="442">
                  <c:v>3.4934183254287179</c:v>
                </c:pt>
                <c:pt idx="443">
                  <c:v>3.0973667521173622</c:v>
                </c:pt>
                <c:pt idx="444">
                  <c:v>2.6324968672223545</c:v>
                </c:pt>
                <c:pt idx="445">
                  <c:v>2.2558195174837099</c:v>
                </c:pt>
                <c:pt idx="446">
                  <c:v>1.8550526103536258</c:v>
                </c:pt>
                <c:pt idx="447">
                  <c:v>1.5135631003084327</c:v>
                </c:pt>
                <c:pt idx="448">
                  <c:v>1.1096051682212429</c:v>
                </c:pt>
                <c:pt idx="449">
                  <c:v>0.66950503945766371</c:v>
                </c:pt>
                <c:pt idx="450">
                  <c:v>0.3048777171581285</c:v>
                </c:pt>
                <c:pt idx="451">
                  <c:v>-7.8104995515564657E-2</c:v>
                </c:pt>
                <c:pt idx="452">
                  <c:v>-0.4998820670858477</c:v>
                </c:pt>
                <c:pt idx="453">
                  <c:v>-0.91586470898857786</c:v>
                </c:pt>
                <c:pt idx="454">
                  <c:v>-1.2101905221019584</c:v>
                </c:pt>
                <c:pt idx="455">
                  <c:v>-1.3508859941537292</c:v>
                </c:pt>
                <c:pt idx="456">
                  <c:v>-1.3655296698675226</c:v>
                </c:pt>
                <c:pt idx="457">
                  <c:v>-1.2948933952582897</c:v>
                </c:pt>
                <c:pt idx="458">
                  <c:v>-1.1088559914910359</c:v>
                </c:pt>
                <c:pt idx="459">
                  <c:v>-0.83090905787011793</c:v>
                </c:pt>
                <c:pt idx="460">
                  <c:v>-0.53627095548714743</c:v>
                </c:pt>
                <c:pt idx="461">
                  <c:v>-0.24698973969051982</c:v>
                </c:pt>
                <c:pt idx="462">
                  <c:v>6.3101454374202448E-2</c:v>
                </c:pt>
                <c:pt idx="463">
                  <c:v>0.39759730964885642</c:v>
                </c:pt>
                <c:pt idx="464">
                  <c:v>0.74155249222098796</c:v>
                </c:pt>
                <c:pt idx="465">
                  <c:v>1.114473585483539</c:v>
                </c:pt>
                <c:pt idx="466">
                  <c:v>1.4631985914739416</c:v>
                </c:pt>
                <c:pt idx="467">
                  <c:v>1.8515639445205478</c:v>
                </c:pt>
                <c:pt idx="468">
                  <c:v>2.0658144904466198</c:v>
                </c:pt>
                <c:pt idx="469">
                  <c:v>2.0613410500367482</c:v>
                </c:pt>
                <c:pt idx="470">
                  <c:v>1.8636196366058042</c:v>
                </c:pt>
                <c:pt idx="471">
                  <c:v>1.5355752152922719</c:v>
                </c:pt>
                <c:pt idx="472">
                  <c:v>1.2011276471005681</c:v>
                </c:pt>
                <c:pt idx="473">
                  <c:v>0.79944429778022785</c:v>
                </c:pt>
                <c:pt idx="474">
                  <c:v>0.36911008333444328</c:v>
                </c:pt>
                <c:pt idx="475">
                  <c:v>-5.7783472559950977E-2</c:v>
                </c:pt>
                <c:pt idx="476">
                  <c:v>-0.38023824472838053</c:v>
                </c:pt>
                <c:pt idx="477">
                  <c:v>-0.54543406868202071</c:v>
                </c:pt>
                <c:pt idx="478">
                  <c:v>-0.51536801507740548</c:v>
                </c:pt>
                <c:pt idx="479">
                  <c:v>-0.4296874540979892</c:v>
                </c:pt>
                <c:pt idx="480">
                  <c:v>-0.32925356188292365</c:v>
                </c:pt>
                <c:pt idx="481">
                  <c:v>-0.15628077478298924</c:v>
                </c:pt>
                <c:pt idx="482">
                  <c:v>0.11678569383221551</c:v>
                </c:pt>
                <c:pt idx="483">
                  <c:v>0.4210964882473282</c:v>
                </c:pt>
                <c:pt idx="484">
                  <c:v>0.73079063271414879</c:v>
                </c:pt>
                <c:pt idx="485">
                  <c:v>0.79142874369669181</c:v>
                </c:pt>
                <c:pt idx="486">
                  <c:v>0.84414317489695945</c:v>
                </c:pt>
                <c:pt idx="487">
                  <c:v>1.0031924504673069</c:v>
                </c:pt>
                <c:pt idx="488">
                  <c:v>1.2364542762671338</c:v>
                </c:pt>
                <c:pt idx="489">
                  <c:v>1.5251166149864916</c:v>
                </c:pt>
                <c:pt idx="490">
                  <c:v>1.7585784765487837</c:v>
                </c:pt>
                <c:pt idx="491">
                  <c:v>1.9321011187135295</c:v>
                </c:pt>
                <c:pt idx="492">
                  <c:v>2.0229652828775304</c:v>
                </c:pt>
                <c:pt idx="493">
                  <c:v>2.1198148088447129</c:v>
                </c:pt>
                <c:pt idx="494">
                  <c:v>2.3043193105151012</c:v>
                </c:pt>
                <c:pt idx="495">
                  <c:v>2.5741507534264119</c:v>
                </c:pt>
                <c:pt idx="496">
                  <c:v>2.9291437573653321</c:v>
                </c:pt>
                <c:pt idx="497">
                  <c:v>3.2921263828076754</c:v>
                </c:pt>
                <c:pt idx="498">
                  <c:v>3.5672148068721605</c:v>
                </c:pt>
                <c:pt idx="499">
                  <c:v>3.7593968971719414</c:v>
                </c:pt>
                <c:pt idx="500">
                  <c:v>3.8618266757694659</c:v>
                </c:pt>
                <c:pt idx="501">
                  <c:v>3.9458414177820731</c:v>
                </c:pt>
                <c:pt idx="502">
                  <c:v>4.1414862098347358</c:v>
                </c:pt>
                <c:pt idx="503">
                  <c:v>4.3964972636172419</c:v>
                </c:pt>
                <c:pt idx="504">
                  <c:v>4.5437566831549425</c:v>
                </c:pt>
                <c:pt idx="505">
                  <c:v>4.6500761078212038</c:v>
                </c:pt>
                <c:pt idx="506">
                  <c:v>4.7049905832799688</c:v>
                </c:pt>
                <c:pt idx="507">
                  <c:v>4.6390973446626189</c:v>
                </c:pt>
                <c:pt idx="508">
                  <c:v>4.2735444496865425</c:v>
                </c:pt>
                <c:pt idx="509">
                  <c:v>3.6812514216873549</c:v>
                </c:pt>
                <c:pt idx="510">
                  <c:v>2.9916773717871861</c:v>
                </c:pt>
                <c:pt idx="511">
                  <c:v>2.3216731104981556</c:v>
                </c:pt>
                <c:pt idx="512">
                  <c:v>1.5385295142056425</c:v>
                </c:pt>
                <c:pt idx="513">
                  <c:v>0.7108513448636874</c:v>
                </c:pt>
                <c:pt idx="514">
                  <c:v>-7.7604627415232441E-2</c:v>
                </c:pt>
                <c:pt idx="515">
                  <c:v>-0.89425844315359682</c:v>
                </c:pt>
                <c:pt idx="516">
                  <c:v>-1.6307689215613954</c:v>
                </c:pt>
                <c:pt idx="517">
                  <c:v>-2.286367883864703</c:v>
                </c:pt>
                <c:pt idx="518">
                  <c:v>-2.8443353682293866</c:v>
                </c:pt>
                <c:pt idx="519">
                  <c:v>-3.2152344903336876</c:v>
                </c:pt>
                <c:pt idx="520">
                  <c:v>-3.4505673129044587</c:v>
                </c:pt>
                <c:pt idx="521">
                  <c:v>-3.5448312930735182</c:v>
                </c:pt>
                <c:pt idx="522">
                  <c:v>-3.4306010635618156</c:v>
                </c:pt>
                <c:pt idx="523">
                  <c:v>-3.1452501196409961</c:v>
                </c:pt>
                <c:pt idx="524">
                  <c:v>-2.8738698312826316</c:v>
                </c:pt>
                <c:pt idx="525">
                  <c:v>-2.2990958650261053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9-4839-8F53-D243DEAE4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061904"/>
        <c:axId val="173058544"/>
      </c:lineChart>
      <c:dateAx>
        <c:axId val="173061904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58544"/>
        <c:crosses val="autoZero"/>
        <c:auto val="1"/>
        <c:lblOffset val="100"/>
        <c:baseTimeUnit val="days"/>
      </c:dateAx>
      <c:valAx>
        <c:axId val="17305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61904"/>
        <c:crosses val="autoZero"/>
        <c:crossBetween val="between"/>
      </c:valAx>
      <c:valAx>
        <c:axId val="164402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0288"/>
        <c:crosses val="max"/>
        <c:crossBetween val="between"/>
      </c:valAx>
      <c:dateAx>
        <c:axId val="16440028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4402208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20/100</a:t>
            </a:r>
            <a:r>
              <a:rPr lang="en-US" baseline="0"/>
              <a:t> Day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0-4EE9-83B2-BAEB2991E527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170.83850000000001</c:v>
                </c:pt>
                <c:pt idx="20">
                  <c:v>170.95250000000004</c:v>
                </c:pt>
                <c:pt idx="21">
                  <c:v>171.07250000000005</c:v>
                </c:pt>
                <c:pt idx="22">
                  <c:v>171.23849999999999</c:v>
                </c:pt>
                <c:pt idx="23">
                  <c:v>171.35</c:v>
                </c:pt>
                <c:pt idx="24">
                  <c:v>171.50399999999999</c:v>
                </c:pt>
                <c:pt idx="25">
                  <c:v>171.74250000000001</c:v>
                </c:pt>
                <c:pt idx="26">
                  <c:v>171.9315</c:v>
                </c:pt>
                <c:pt idx="27">
                  <c:v>172.167</c:v>
                </c:pt>
                <c:pt idx="28">
                  <c:v>172.50399999999999</c:v>
                </c:pt>
                <c:pt idx="29">
                  <c:v>172.81750000000002</c:v>
                </c:pt>
                <c:pt idx="30">
                  <c:v>173.26450000000003</c:v>
                </c:pt>
                <c:pt idx="31">
                  <c:v>173.887</c:v>
                </c:pt>
                <c:pt idx="32">
                  <c:v>174.32300000000001</c:v>
                </c:pt>
                <c:pt idx="33">
                  <c:v>174.80400000000003</c:v>
                </c:pt>
                <c:pt idx="34">
                  <c:v>175.39950000000005</c:v>
                </c:pt>
                <c:pt idx="35">
                  <c:v>176.02800000000005</c:v>
                </c:pt>
                <c:pt idx="36">
                  <c:v>176.58050000000003</c:v>
                </c:pt>
                <c:pt idx="37">
                  <c:v>177.13450000000006</c:v>
                </c:pt>
                <c:pt idx="38">
                  <c:v>177.6705</c:v>
                </c:pt>
                <c:pt idx="39">
                  <c:v>178.07600000000005</c:v>
                </c:pt>
                <c:pt idx="40">
                  <c:v>178.661</c:v>
                </c:pt>
                <c:pt idx="41">
                  <c:v>179.23899999999998</c:v>
                </c:pt>
                <c:pt idx="42">
                  <c:v>179.8365</c:v>
                </c:pt>
                <c:pt idx="43">
                  <c:v>180.53900000000002</c:v>
                </c:pt>
                <c:pt idx="44">
                  <c:v>181.26050000000001</c:v>
                </c:pt>
                <c:pt idx="45">
                  <c:v>181.88249999999999</c:v>
                </c:pt>
                <c:pt idx="46">
                  <c:v>182.55349999999999</c:v>
                </c:pt>
                <c:pt idx="47">
                  <c:v>183.21749999999997</c:v>
                </c:pt>
                <c:pt idx="48">
                  <c:v>183.92</c:v>
                </c:pt>
                <c:pt idx="49">
                  <c:v>184.77600000000001</c:v>
                </c:pt>
                <c:pt idx="50">
                  <c:v>185.37299999999999</c:v>
                </c:pt>
                <c:pt idx="51">
                  <c:v>185.89449999999999</c:v>
                </c:pt>
                <c:pt idx="52">
                  <c:v>186.57599999999999</c:v>
                </c:pt>
                <c:pt idx="53">
                  <c:v>187.279</c:v>
                </c:pt>
                <c:pt idx="54">
                  <c:v>188.0505</c:v>
                </c:pt>
                <c:pt idx="55">
                  <c:v>188.85</c:v>
                </c:pt>
                <c:pt idx="56">
                  <c:v>189.48150000000001</c:v>
                </c:pt>
                <c:pt idx="57">
                  <c:v>190.05449999999999</c:v>
                </c:pt>
                <c:pt idx="58">
                  <c:v>190.66849999999999</c:v>
                </c:pt>
                <c:pt idx="59">
                  <c:v>191.4255</c:v>
                </c:pt>
                <c:pt idx="60">
                  <c:v>192.13749999999999</c:v>
                </c:pt>
                <c:pt idx="61">
                  <c:v>192.82</c:v>
                </c:pt>
                <c:pt idx="62">
                  <c:v>193.42900000000003</c:v>
                </c:pt>
                <c:pt idx="63">
                  <c:v>193.91650000000004</c:v>
                </c:pt>
                <c:pt idx="64">
                  <c:v>194.22250000000003</c:v>
                </c:pt>
                <c:pt idx="65">
                  <c:v>194.70150000000004</c:v>
                </c:pt>
                <c:pt idx="66">
                  <c:v>195.21450000000002</c:v>
                </c:pt>
                <c:pt idx="67">
                  <c:v>195.6575</c:v>
                </c:pt>
                <c:pt idx="68">
                  <c:v>195.93900000000002</c:v>
                </c:pt>
                <c:pt idx="69">
                  <c:v>196.14150000000001</c:v>
                </c:pt>
                <c:pt idx="70">
                  <c:v>195.88249999999999</c:v>
                </c:pt>
                <c:pt idx="71">
                  <c:v>195.512</c:v>
                </c:pt>
                <c:pt idx="72">
                  <c:v>194.91900000000001</c:v>
                </c:pt>
                <c:pt idx="73">
                  <c:v>194.23349999999996</c:v>
                </c:pt>
                <c:pt idx="74">
                  <c:v>193.47949999999997</c:v>
                </c:pt>
                <c:pt idx="75">
                  <c:v>192.81649999999999</c:v>
                </c:pt>
                <c:pt idx="76">
                  <c:v>192.45599999999999</c:v>
                </c:pt>
                <c:pt idx="77">
                  <c:v>192.322</c:v>
                </c:pt>
                <c:pt idx="78">
                  <c:v>192.18950000000001</c:v>
                </c:pt>
                <c:pt idx="79">
                  <c:v>191.88200000000001</c:v>
                </c:pt>
                <c:pt idx="80">
                  <c:v>191.54149999999998</c:v>
                </c:pt>
                <c:pt idx="81">
                  <c:v>191.25850000000003</c:v>
                </c:pt>
                <c:pt idx="82">
                  <c:v>190.9025</c:v>
                </c:pt>
                <c:pt idx="83">
                  <c:v>190.5805</c:v>
                </c:pt>
                <c:pt idx="84">
                  <c:v>190.38099999999997</c:v>
                </c:pt>
                <c:pt idx="85">
                  <c:v>190.03399999999996</c:v>
                </c:pt>
                <c:pt idx="86">
                  <c:v>189.70999999999998</c:v>
                </c:pt>
                <c:pt idx="87">
                  <c:v>189.44</c:v>
                </c:pt>
                <c:pt idx="88">
                  <c:v>189.44900000000001</c:v>
                </c:pt>
                <c:pt idx="89">
                  <c:v>189.55250000000004</c:v>
                </c:pt>
                <c:pt idx="90">
                  <c:v>190.35149999999999</c:v>
                </c:pt>
                <c:pt idx="91">
                  <c:v>191.14349999999996</c:v>
                </c:pt>
                <c:pt idx="92">
                  <c:v>192.179</c:v>
                </c:pt>
                <c:pt idx="93">
                  <c:v>193.28050000000002</c:v>
                </c:pt>
                <c:pt idx="94">
                  <c:v>194.3415</c:v>
                </c:pt>
                <c:pt idx="95">
                  <c:v>195.291</c:v>
                </c:pt>
                <c:pt idx="96">
                  <c:v>195.59949999999998</c:v>
                </c:pt>
                <c:pt idx="97">
                  <c:v>195.96850000000001</c:v>
                </c:pt>
                <c:pt idx="98">
                  <c:v>196.23000000000002</c:v>
                </c:pt>
                <c:pt idx="99">
                  <c:v>196.40749999999997</c:v>
                </c:pt>
                <c:pt idx="100">
                  <c:v>196.76849999999999</c:v>
                </c:pt>
                <c:pt idx="101">
                  <c:v>197.0795</c:v>
                </c:pt>
                <c:pt idx="102">
                  <c:v>197.398</c:v>
                </c:pt>
                <c:pt idx="103">
                  <c:v>197.7715</c:v>
                </c:pt>
                <c:pt idx="104">
                  <c:v>198.32000000000002</c:v>
                </c:pt>
                <c:pt idx="105">
                  <c:v>198.88550000000004</c:v>
                </c:pt>
                <c:pt idx="106">
                  <c:v>199.24350000000001</c:v>
                </c:pt>
                <c:pt idx="107">
                  <c:v>199.51900000000001</c:v>
                </c:pt>
                <c:pt idx="108">
                  <c:v>199.58199999999997</c:v>
                </c:pt>
                <c:pt idx="109">
                  <c:v>199.7045</c:v>
                </c:pt>
                <c:pt idx="110">
                  <c:v>199.7465</c:v>
                </c:pt>
                <c:pt idx="111">
                  <c:v>199.52800000000002</c:v>
                </c:pt>
                <c:pt idx="112">
                  <c:v>199.02900000000002</c:v>
                </c:pt>
                <c:pt idx="113">
                  <c:v>198.60650000000004</c:v>
                </c:pt>
                <c:pt idx="114">
                  <c:v>198.17200000000003</c:v>
                </c:pt>
                <c:pt idx="115">
                  <c:v>197.68150000000003</c:v>
                </c:pt>
                <c:pt idx="116">
                  <c:v>197.75250000000003</c:v>
                </c:pt>
                <c:pt idx="117">
                  <c:v>197.71000000000004</c:v>
                </c:pt>
                <c:pt idx="118">
                  <c:v>197.60950000000005</c:v>
                </c:pt>
                <c:pt idx="119">
                  <c:v>197.70750000000004</c:v>
                </c:pt>
                <c:pt idx="120">
                  <c:v>197.57550000000006</c:v>
                </c:pt>
                <c:pt idx="121">
                  <c:v>197.47200000000004</c:v>
                </c:pt>
                <c:pt idx="122">
                  <c:v>197.52500000000003</c:v>
                </c:pt>
                <c:pt idx="123">
                  <c:v>197.67150000000007</c:v>
                </c:pt>
                <c:pt idx="124">
                  <c:v>197.8125</c:v>
                </c:pt>
                <c:pt idx="125">
                  <c:v>198.16300000000001</c:v>
                </c:pt>
                <c:pt idx="126">
                  <c:v>198.63950000000003</c:v>
                </c:pt>
                <c:pt idx="127">
                  <c:v>199.01600000000002</c:v>
                </c:pt>
                <c:pt idx="128">
                  <c:v>199.42900000000003</c:v>
                </c:pt>
                <c:pt idx="129">
                  <c:v>199.81299999999999</c:v>
                </c:pt>
                <c:pt idx="130">
                  <c:v>200.22250000000003</c:v>
                </c:pt>
                <c:pt idx="131">
                  <c:v>200.87700000000001</c:v>
                </c:pt>
                <c:pt idx="132">
                  <c:v>201.54749999999999</c:v>
                </c:pt>
                <c:pt idx="133">
                  <c:v>202.36700000000002</c:v>
                </c:pt>
                <c:pt idx="134">
                  <c:v>203.35900000000004</c:v>
                </c:pt>
                <c:pt idx="135">
                  <c:v>204.45350000000002</c:v>
                </c:pt>
                <c:pt idx="136">
                  <c:v>205.10250000000002</c:v>
                </c:pt>
                <c:pt idx="137">
                  <c:v>205.65799999999999</c:v>
                </c:pt>
                <c:pt idx="138">
                  <c:v>206.35700000000003</c:v>
                </c:pt>
                <c:pt idx="139">
                  <c:v>206.92950000000002</c:v>
                </c:pt>
                <c:pt idx="140">
                  <c:v>207.45550000000003</c:v>
                </c:pt>
                <c:pt idx="141">
                  <c:v>208.01750000000001</c:v>
                </c:pt>
                <c:pt idx="142">
                  <c:v>208.67100000000005</c:v>
                </c:pt>
                <c:pt idx="143">
                  <c:v>209.10050000000007</c:v>
                </c:pt>
                <c:pt idx="144">
                  <c:v>209.58750000000001</c:v>
                </c:pt>
                <c:pt idx="145">
                  <c:v>209.786</c:v>
                </c:pt>
                <c:pt idx="146">
                  <c:v>209.74950000000004</c:v>
                </c:pt>
                <c:pt idx="147">
                  <c:v>209.46700000000004</c:v>
                </c:pt>
                <c:pt idx="148">
                  <c:v>208.95349999999999</c:v>
                </c:pt>
                <c:pt idx="149">
                  <c:v>208.58900000000003</c:v>
                </c:pt>
                <c:pt idx="150">
                  <c:v>208.21899999999999</c:v>
                </c:pt>
                <c:pt idx="151">
                  <c:v>208.04949999999999</c:v>
                </c:pt>
                <c:pt idx="152">
                  <c:v>208.09250000000003</c:v>
                </c:pt>
                <c:pt idx="153">
                  <c:v>207.89950000000005</c:v>
                </c:pt>
                <c:pt idx="154">
                  <c:v>207.61550000000003</c:v>
                </c:pt>
                <c:pt idx="155">
                  <c:v>207.28400000000002</c:v>
                </c:pt>
                <c:pt idx="156">
                  <c:v>207.36250000000004</c:v>
                </c:pt>
                <c:pt idx="157">
                  <c:v>207.57200000000006</c:v>
                </c:pt>
                <c:pt idx="158">
                  <c:v>207.83050000000003</c:v>
                </c:pt>
                <c:pt idx="159">
                  <c:v>208.04000000000002</c:v>
                </c:pt>
                <c:pt idx="160">
                  <c:v>208.34050000000002</c:v>
                </c:pt>
                <c:pt idx="161">
                  <c:v>208.73849999999999</c:v>
                </c:pt>
                <c:pt idx="162">
                  <c:v>209.042</c:v>
                </c:pt>
                <c:pt idx="163">
                  <c:v>209.458</c:v>
                </c:pt>
                <c:pt idx="164">
                  <c:v>209.70749999999998</c:v>
                </c:pt>
                <c:pt idx="165">
                  <c:v>210.13199999999998</c:v>
                </c:pt>
                <c:pt idx="166">
                  <c:v>210.84449999999998</c:v>
                </c:pt>
                <c:pt idx="167">
                  <c:v>212.12749999999997</c:v>
                </c:pt>
                <c:pt idx="168">
                  <c:v>213.39749999999998</c:v>
                </c:pt>
                <c:pt idx="169">
                  <c:v>214.34700000000004</c:v>
                </c:pt>
                <c:pt idx="170">
                  <c:v>215.20850000000002</c:v>
                </c:pt>
                <c:pt idx="171">
                  <c:v>215.62849999999997</c:v>
                </c:pt>
                <c:pt idx="172">
                  <c:v>216.17900000000003</c:v>
                </c:pt>
                <c:pt idx="173">
                  <c:v>216.14750000000004</c:v>
                </c:pt>
                <c:pt idx="174">
                  <c:v>216.11199999999999</c:v>
                </c:pt>
                <c:pt idx="175">
                  <c:v>215.93</c:v>
                </c:pt>
                <c:pt idx="176">
                  <c:v>215.5685</c:v>
                </c:pt>
                <c:pt idx="177">
                  <c:v>215.26300000000001</c:v>
                </c:pt>
                <c:pt idx="178">
                  <c:v>214.95300000000003</c:v>
                </c:pt>
                <c:pt idx="179">
                  <c:v>214.6035</c:v>
                </c:pt>
                <c:pt idx="180">
                  <c:v>214.39749999999998</c:v>
                </c:pt>
                <c:pt idx="181">
                  <c:v>214.12049999999999</c:v>
                </c:pt>
                <c:pt idx="182">
                  <c:v>213.77699999999999</c:v>
                </c:pt>
                <c:pt idx="183">
                  <c:v>213.398</c:v>
                </c:pt>
                <c:pt idx="184">
                  <c:v>212.89850000000001</c:v>
                </c:pt>
                <c:pt idx="185">
                  <c:v>212.32300000000004</c:v>
                </c:pt>
                <c:pt idx="186">
                  <c:v>211.73750000000004</c:v>
                </c:pt>
                <c:pt idx="187">
                  <c:v>211.04050000000001</c:v>
                </c:pt>
                <c:pt idx="188">
                  <c:v>210.37750000000005</c:v>
                </c:pt>
                <c:pt idx="189">
                  <c:v>209.77550000000005</c:v>
                </c:pt>
                <c:pt idx="190">
                  <c:v>209.15549999999999</c:v>
                </c:pt>
                <c:pt idx="191">
                  <c:v>209.09350000000003</c:v>
                </c:pt>
                <c:pt idx="192">
                  <c:v>208.79950000000002</c:v>
                </c:pt>
                <c:pt idx="193">
                  <c:v>209.05900000000003</c:v>
                </c:pt>
                <c:pt idx="194">
                  <c:v>209.36849999999998</c:v>
                </c:pt>
                <c:pt idx="195">
                  <c:v>209.68049999999999</c:v>
                </c:pt>
                <c:pt idx="196">
                  <c:v>210.57900000000001</c:v>
                </c:pt>
                <c:pt idx="197">
                  <c:v>211.26</c:v>
                </c:pt>
                <c:pt idx="198">
                  <c:v>211.917</c:v>
                </c:pt>
                <c:pt idx="199">
                  <c:v>212.7225</c:v>
                </c:pt>
                <c:pt idx="200">
                  <c:v>213.41949999999997</c:v>
                </c:pt>
                <c:pt idx="201">
                  <c:v>214.1335</c:v>
                </c:pt>
                <c:pt idx="202">
                  <c:v>214.71149999999997</c:v>
                </c:pt>
                <c:pt idx="203">
                  <c:v>215.33800000000002</c:v>
                </c:pt>
                <c:pt idx="204">
                  <c:v>215.99899999999997</c:v>
                </c:pt>
                <c:pt idx="205">
                  <c:v>216.75899999999996</c:v>
                </c:pt>
                <c:pt idx="206">
                  <c:v>217.34949999999998</c:v>
                </c:pt>
                <c:pt idx="207">
                  <c:v>218.08149999999995</c:v>
                </c:pt>
                <c:pt idx="208">
                  <c:v>218.87449999999998</c:v>
                </c:pt>
                <c:pt idx="209">
                  <c:v>219.73049999999995</c:v>
                </c:pt>
                <c:pt idx="210">
                  <c:v>220.56499999999997</c:v>
                </c:pt>
                <c:pt idx="211">
                  <c:v>221.15099999999993</c:v>
                </c:pt>
                <c:pt idx="212">
                  <c:v>221.59349999999995</c:v>
                </c:pt>
                <c:pt idx="213">
                  <c:v>222.13049999999998</c:v>
                </c:pt>
                <c:pt idx="214">
                  <c:v>223.8125</c:v>
                </c:pt>
                <c:pt idx="215">
                  <c:v>224.98950000000005</c:v>
                </c:pt>
                <c:pt idx="216">
                  <c:v>225.72399999999999</c:v>
                </c:pt>
                <c:pt idx="217">
                  <c:v>226.61450000000005</c:v>
                </c:pt>
                <c:pt idx="218">
                  <c:v>227.47300000000004</c:v>
                </c:pt>
                <c:pt idx="219">
                  <c:v>228.34900000000002</c:v>
                </c:pt>
                <c:pt idx="220">
                  <c:v>229.22150000000002</c:v>
                </c:pt>
                <c:pt idx="221">
                  <c:v>230.21850000000003</c:v>
                </c:pt>
                <c:pt idx="222">
                  <c:v>231.32000000000002</c:v>
                </c:pt>
                <c:pt idx="223">
                  <c:v>232.26849999999999</c:v>
                </c:pt>
                <c:pt idx="224">
                  <c:v>233.137</c:v>
                </c:pt>
                <c:pt idx="225">
                  <c:v>234.12599999999998</c:v>
                </c:pt>
                <c:pt idx="226">
                  <c:v>235.43800000000002</c:v>
                </c:pt>
                <c:pt idx="227">
                  <c:v>236.67750000000001</c:v>
                </c:pt>
                <c:pt idx="228">
                  <c:v>238.03100000000003</c:v>
                </c:pt>
                <c:pt idx="229">
                  <c:v>239.30000000000004</c:v>
                </c:pt>
                <c:pt idx="230">
                  <c:v>240.69000000000005</c:v>
                </c:pt>
                <c:pt idx="231">
                  <c:v>241.85550000000003</c:v>
                </c:pt>
                <c:pt idx="232">
                  <c:v>243.10750000000002</c:v>
                </c:pt>
                <c:pt idx="233">
                  <c:v>244.20299999999997</c:v>
                </c:pt>
                <c:pt idx="234">
                  <c:v>244.12399999999994</c:v>
                </c:pt>
                <c:pt idx="235">
                  <c:v>244.67299999999992</c:v>
                </c:pt>
                <c:pt idx="236">
                  <c:v>245.01449999999994</c:v>
                </c:pt>
                <c:pt idx="237">
                  <c:v>245.19299999999998</c:v>
                </c:pt>
                <c:pt idx="238">
                  <c:v>245.39149999999995</c:v>
                </c:pt>
                <c:pt idx="239">
                  <c:v>245.41</c:v>
                </c:pt>
                <c:pt idx="240">
                  <c:v>245.31349999999998</c:v>
                </c:pt>
                <c:pt idx="241">
                  <c:v>245.02699999999999</c:v>
                </c:pt>
                <c:pt idx="242">
                  <c:v>244.6935</c:v>
                </c:pt>
                <c:pt idx="243">
                  <c:v>244.05749999999998</c:v>
                </c:pt>
                <c:pt idx="244">
                  <c:v>243.66650000000004</c:v>
                </c:pt>
                <c:pt idx="245">
                  <c:v>243.30850000000004</c:v>
                </c:pt>
                <c:pt idx="246">
                  <c:v>242.80050000000006</c:v>
                </c:pt>
                <c:pt idx="247">
                  <c:v>242.40150000000008</c:v>
                </c:pt>
                <c:pt idx="248">
                  <c:v>242.06000000000009</c:v>
                </c:pt>
                <c:pt idx="249">
                  <c:v>241.62900000000005</c:v>
                </c:pt>
                <c:pt idx="250">
                  <c:v>241.10900000000001</c:v>
                </c:pt>
                <c:pt idx="251">
                  <c:v>240.78199999999998</c:v>
                </c:pt>
                <c:pt idx="252">
                  <c:v>240.541</c:v>
                </c:pt>
                <c:pt idx="253">
                  <c:v>240.535</c:v>
                </c:pt>
                <c:pt idx="254">
                  <c:v>240.30349999999999</c:v>
                </c:pt>
                <c:pt idx="255">
                  <c:v>240.09399999999999</c:v>
                </c:pt>
                <c:pt idx="256">
                  <c:v>240.06</c:v>
                </c:pt>
                <c:pt idx="257">
                  <c:v>239.91050000000001</c:v>
                </c:pt>
                <c:pt idx="258">
                  <c:v>239.94450000000001</c:v>
                </c:pt>
                <c:pt idx="259">
                  <c:v>240.24150000000003</c:v>
                </c:pt>
                <c:pt idx="260">
                  <c:v>240.86200000000002</c:v>
                </c:pt>
                <c:pt idx="261">
                  <c:v>241.59650000000005</c:v>
                </c:pt>
                <c:pt idx="262">
                  <c:v>242.63650000000001</c:v>
                </c:pt>
                <c:pt idx="263">
                  <c:v>244.26950000000002</c:v>
                </c:pt>
                <c:pt idx="264">
                  <c:v>245.76349999999996</c:v>
                </c:pt>
                <c:pt idx="265">
                  <c:v>247.18099999999998</c:v>
                </c:pt>
                <c:pt idx="266">
                  <c:v>248.50349999999997</c:v>
                </c:pt>
                <c:pt idx="267">
                  <c:v>249.68049999999999</c:v>
                </c:pt>
                <c:pt idx="268">
                  <c:v>250.88050000000004</c:v>
                </c:pt>
                <c:pt idx="269">
                  <c:v>252.15100000000001</c:v>
                </c:pt>
                <c:pt idx="270">
                  <c:v>253.59650000000002</c:v>
                </c:pt>
                <c:pt idx="271">
                  <c:v>254.97599999999997</c:v>
                </c:pt>
                <c:pt idx="272">
                  <c:v>256.31650000000002</c:v>
                </c:pt>
                <c:pt idx="273">
                  <c:v>257.54950000000002</c:v>
                </c:pt>
                <c:pt idx="274">
                  <c:v>259.02850000000001</c:v>
                </c:pt>
                <c:pt idx="275">
                  <c:v>260.71499999999997</c:v>
                </c:pt>
                <c:pt idx="276">
                  <c:v>262.3485</c:v>
                </c:pt>
                <c:pt idx="277">
                  <c:v>263.90699999999998</c:v>
                </c:pt>
                <c:pt idx="278">
                  <c:v>265.44599999999997</c:v>
                </c:pt>
                <c:pt idx="279">
                  <c:v>266.84499999999997</c:v>
                </c:pt>
                <c:pt idx="280">
                  <c:v>268.04349999999994</c:v>
                </c:pt>
                <c:pt idx="281">
                  <c:v>269.15949999999998</c:v>
                </c:pt>
                <c:pt idx="282">
                  <c:v>270.19899999999996</c:v>
                </c:pt>
                <c:pt idx="283">
                  <c:v>271.01</c:v>
                </c:pt>
                <c:pt idx="284">
                  <c:v>271.20799999999997</c:v>
                </c:pt>
                <c:pt idx="285">
                  <c:v>271.1225</c:v>
                </c:pt>
                <c:pt idx="286">
                  <c:v>270.94750000000005</c:v>
                </c:pt>
                <c:pt idx="287">
                  <c:v>270.52499999999998</c:v>
                </c:pt>
                <c:pt idx="288">
                  <c:v>270.10749999999996</c:v>
                </c:pt>
                <c:pt idx="289">
                  <c:v>269.73100000000005</c:v>
                </c:pt>
                <c:pt idx="290">
                  <c:v>269.55200000000002</c:v>
                </c:pt>
                <c:pt idx="291">
                  <c:v>269.21799999999996</c:v>
                </c:pt>
                <c:pt idx="292">
                  <c:v>268.39</c:v>
                </c:pt>
                <c:pt idx="293">
                  <c:v>267.56949999999995</c:v>
                </c:pt>
                <c:pt idx="294">
                  <c:v>266.375</c:v>
                </c:pt>
                <c:pt idx="295">
                  <c:v>264.64400000000001</c:v>
                </c:pt>
                <c:pt idx="296">
                  <c:v>262.46500000000003</c:v>
                </c:pt>
                <c:pt idx="297">
                  <c:v>260.37</c:v>
                </c:pt>
                <c:pt idx="298">
                  <c:v>258.01550000000003</c:v>
                </c:pt>
                <c:pt idx="299">
                  <c:v>255.5025</c:v>
                </c:pt>
                <c:pt idx="300">
                  <c:v>253.30849999999995</c:v>
                </c:pt>
                <c:pt idx="301">
                  <c:v>251.17549999999997</c:v>
                </c:pt>
                <c:pt idx="302">
                  <c:v>248.92649999999998</c:v>
                </c:pt>
                <c:pt idx="303">
                  <c:v>246.91949999999997</c:v>
                </c:pt>
                <c:pt idx="304">
                  <c:v>245.53000000000003</c:v>
                </c:pt>
                <c:pt idx="305">
                  <c:v>244.39949999999999</c:v>
                </c:pt>
                <c:pt idx="306">
                  <c:v>243.7355</c:v>
                </c:pt>
                <c:pt idx="307">
                  <c:v>243.42200000000003</c:v>
                </c:pt>
                <c:pt idx="308">
                  <c:v>243.03400000000002</c:v>
                </c:pt>
                <c:pt idx="309">
                  <c:v>242.48750000000001</c:v>
                </c:pt>
                <c:pt idx="310">
                  <c:v>241.39750000000004</c:v>
                </c:pt>
                <c:pt idx="311">
                  <c:v>240.63150000000005</c:v>
                </c:pt>
                <c:pt idx="312">
                  <c:v>240.30200000000005</c:v>
                </c:pt>
                <c:pt idx="313">
                  <c:v>240.01650000000001</c:v>
                </c:pt>
                <c:pt idx="314">
                  <c:v>239.12400000000002</c:v>
                </c:pt>
                <c:pt idx="315">
                  <c:v>237.52399999999997</c:v>
                </c:pt>
                <c:pt idx="316">
                  <c:v>236.63499999999999</c:v>
                </c:pt>
                <c:pt idx="317">
                  <c:v>236.02149999999997</c:v>
                </c:pt>
                <c:pt idx="318">
                  <c:v>236.34350000000001</c:v>
                </c:pt>
                <c:pt idx="319">
                  <c:v>236.43950000000004</c:v>
                </c:pt>
                <c:pt idx="320">
                  <c:v>236.6275</c:v>
                </c:pt>
                <c:pt idx="321">
                  <c:v>236.667</c:v>
                </c:pt>
                <c:pt idx="322">
                  <c:v>236.57500000000005</c:v>
                </c:pt>
                <c:pt idx="323">
                  <c:v>236.1</c:v>
                </c:pt>
                <c:pt idx="324">
                  <c:v>235.7475</c:v>
                </c:pt>
                <c:pt idx="325">
                  <c:v>235.11549999999997</c:v>
                </c:pt>
                <c:pt idx="326">
                  <c:v>234.49200000000002</c:v>
                </c:pt>
                <c:pt idx="327">
                  <c:v>233.9795</c:v>
                </c:pt>
                <c:pt idx="328">
                  <c:v>233.66000000000003</c:v>
                </c:pt>
                <c:pt idx="329">
                  <c:v>233.43150000000006</c:v>
                </c:pt>
                <c:pt idx="330">
                  <c:v>233.45000000000005</c:v>
                </c:pt>
                <c:pt idx="331">
                  <c:v>233.416</c:v>
                </c:pt>
                <c:pt idx="332">
                  <c:v>233.464</c:v>
                </c:pt>
                <c:pt idx="333">
                  <c:v>233.51750000000001</c:v>
                </c:pt>
                <c:pt idx="334">
                  <c:v>234.70850000000004</c:v>
                </c:pt>
                <c:pt idx="335">
                  <c:v>236.82250000000005</c:v>
                </c:pt>
                <c:pt idx="336">
                  <c:v>238.56300000000002</c:v>
                </c:pt>
                <c:pt idx="337">
                  <c:v>240.18900000000002</c:v>
                </c:pt>
                <c:pt idx="338">
                  <c:v>241.1455</c:v>
                </c:pt>
                <c:pt idx="339">
                  <c:v>242.44399999999996</c:v>
                </c:pt>
                <c:pt idx="340">
                  <c:v>243.63649999999998</c:v>
                </c:pt>
                <c:pt idx="341">
                  <c:v>245.05099999999999</c:v>
                </c:pt>
                <c:pt idx="342">
                  <c:v>246.67650000000003</c:v>
                </c:pt>
                <c:pt idx="343">
                  <c:v>248.57049999999995</c:v>
                </c:pt>
                <c:pt idx="344">
                  <c:v>250.35050000000001</c:v>
                </c:pt>
                <c:pt idx="345">
                  <c:v>252.14499999999998</c:v>
                </c:pt>
                <c:pt idx="346">
                  <c:v>253.64950000000005</c:v>
                </c:pt>
                <c:pt idx="347">
                  <c:v>254.65750000000003</c:v>
                </c:pt>
                <c:pt idx="348">
                  <c:v>255.459</c:v>
                </c:pt>
                <c:pt idx="349">
                  <c:v>256.31700000000001</c:v>
                </c:pt>
                <c:pt idx="350">
                  <c:v>257.42050000000006</c:v>
                </c:pt>
                <c:pt idx="351">
                  <c:v>258.36399999999998</c:v>
                </c:pt>
                <c:pt idx="352">
                  <c:v>259.35149999999999</c:v>
                </c:pt>
                <c:pt idx="353">
                  <c:v>260.20699999999999</c:v>
                </c:pt>
                <c:pt idx="354">
                  <c:v>260.81449999999995</c:v>
                </c:pt>
                <c:pt idx="355">
                  <c:v>261.5</c:v>
                </c:pt>
                <c:pt idx="356">
                  <c:v>262.24850000000004</c:v>
                </c:pt>
                <c:pt idx="357">
                  <c:v>262.87649999999996</c:v>
                </c:pt>
                <c:pt idx="358">
                  <c:v>263.48949999999996</c:v>
                </c:pt>
                <c:pt idx="359">
                  <c:v>264.17249999999996</c:v>
                </c:pt>
                <c:pt idx="360">
                  <c:v>264.60000000000002</c:v>
                </c:pt>
                <c:pt idx="361">
                  <c:v>264.85699999999997</c:v>
                </c:pt>
                <c:pt idx="362">
                  <c:v>264.98699999999997</c:v>
                </c:pt>
                <c:pt idx="363">
                  <c:v>264.86</c:v>
                </c:pt>
                <c:pt idx="364">
                  <c:v>264.99999999999994</c:v>
                </c:pt>
                <c:pt idx="365">
                  <c:v>265.23199999999997</c:v>
                </c:pt>
                <c:pt idx="366">
                  <c:v>265.64599999999996</c:v>
                </c:pt>
                <c:pt idx="367">
                  <c:v>266.34399999999999</c:v>
                </c:pt>
                <c:pt idx="368">
                  <c:v>267.22399999999999</c:v>
                </c:pt>
                <c:pt idx="369">
                  <c:v>268.25150000000002</c:v>
                </c:pt>
                <c:pt idx="370">
                  <c:v>269.19</c:v>
                </c:pt>
                <c:pt idx="371">
                  <c:v>270.45300000000003</c:v>
                </c:pt>
                <c:pt idx="372">
                  <c:v>271.59000000000003</c:v>
                </c:pt>
                <c:pt idx="373">
                  <c:v>272.88549999999998</c:v>
                </c:pt>
                <c:pt idx="374">
                  <c:v>274.173</c:v>
                </c:pt>
                <c:pt idx="375">
                  <c:v>275.45949999999999</c:v>
                </c:pt>
                <c:pt idx="376">
                  <c:v>277.04849999999999</c:v>
                </c:pt>
                <c:pt idx="377">
                  <c:v>278.54949999999997</c:v>
                </c:pt>
                <c:pt idx="378">
                  <c:v>279.40199999999999</c:v>
                </c:pt>
                <c:pt idx="379">
                  <c:v>280.22300000000001</c:v>
                </c:pt>
                <c:pt idx="380">
                  <c:v>281.20249999999999</c:v>
                </c:pt>
                <c:pt idx="381">
                  <c:v>282.13799999999998</c:v>
                </c:pt>
                <c:pt idx="382">
                  <c:v>283.16099999999994</c:v>
                </c:pt>
                <c:pt idx="383">
                  <c:v>284.24099999999993</c:v>
                </c:pt>
                <c:pt idx="384">
                  <c:v>285.0139999999999</c:v>
                </c:pt>
                <c:pt idx="385">
                  <c:v>286.0329999999999</c:v>
                </c:pt>
                <c:pt idx="386">
                  <c:v>286.89849999999996</c:v>
                </c:pt>
                <c:pt idx="387">
                  <c:v>287.697</c:v>
                </c:pt>
                <c:pt idx="388">
                  <c:v>288.35499999999996</c:v>
                </c:pt>
                <c:pt idx="389">
                  <c:v>289.13</c:v>
                </c:pt>
                <c:pt idx="390">
                  <c:v>289.75450000000012</c:v>
                </c:pt>
                <c:pt idx="391">
                  <c:v>290.2480000000001</c:v>
                </c:pt>
                <c:pt idx="392">
                  <c:v>290.80650000000003</c:v>
                </c:pt>
                <c:pt idx="393">
                  <c:v>291.16300000000007</c:v>
                </c:pt>
                <c:pt idx="394">
                  <c:v>291.62399999999997</c:v>
                </c:pt>
                <c:pt idx="395">
                  <c:v>291.83599999999996</c:v>
                </c:pt>
                <c:pt idx="396">
                  <c:v>291.50449999999995</c:v>
                </c:pt>
                <c:pt idx="397">
                  <c:v>291.61899999999997</c:v>
                </c:pt>
                <c:pt idx="398">
                  <c:v>292.04849999999999</c:v>
                </c:pt>
                <c:pt idx="399">
                  <c:v>292.45799999999997</c:v>
                </c:pt>
                <c:pt idx="400">
                  <c:v>292.39549999999997</c:v>
                </c:pt>
                <c:pt idx="401">
                  <c:v>292.4905</c:v>
                </c:pt>
                <c:pt idx="402">
                  <c:v>292.5335</c:v>
                </c:pt>
                <c:pt idx="403">
                  <c:v>292.84850000000006</c:v>
                </c:pt>
                <c:pt idx="404">
                  <c:v>293.084</c:v>
                </c:pt>
                <c:pt idx="405">
                  <c:v>293.29700000000003</c:v>
                </c:pt>
                <c:pt idx="406">
                  <c:v>293.25800000000004</c:v>
                </c:pt>
                <c:pt idx="407">
                  <c:v>293.286</c:v>
                </c:pt>
                <c:pt idx="408">
                  <c:v>293.2475</c:v>
                </c:pt>
                <c:pt idx="409">
                  <c:v>293.02149999999995</c:v>
                </c:pt>
                <c:pt idx="410">
                  <c:v>292.76749999999998</c:v>
                </c:pt>
                <c:pt idx="411">
                  <c:v>292.6484999999999</c:v>
                </c:pt>
                <c:pt idx="412">
                  <c:v>292.47949999999992</c:v>
                </c:pt>
                <c:pt idx="413">
                  <c:v>292.55599999999993</c:v>
                </c:pt>
                <c:pt idx="414">
                  <c:v>292.53849999999994</c:v>
                </c:pt>
                <c:pt idx="415">
                  <c:v>292.77999999999986</c:v>
                </c:pt>
                <c:pt idx="416">
                  <c:v>293.38249999999988</c:v>
                </c:pt>
                <c:pt idx="417">
                  <c:v>293.65449999999993</c:v>
                </c:pt>
                <c:pt idx="418">
                  <c:v>294.06149999999997</c:v>
                </c:pt>
                <c:pt idx="419">
                  <c:v>294.685</c:v>
                </c:pt>
                <c:pt idx="420">
                  <c:v>295.05699999999996</c:v>
                </c:pt>
                <c:pt idx="421">
                  <c:v>295.2645</c:v>
                </c:pt>
                <c:pt idx="422">
                  <c:v>295.67899999999997</c:v>
                </c:pt>
                <c:pt idx="423">
                  <c:v>296.06350000000009</c:v>
                </c:pt>
                <c:pt idx="424">
                  <c:v>296.815</c:v>
                </c:pt>
                <c:pt idx="425">
                  <c:v>297.45249999999999</c:v>
                </c:pt>
                <c:pt idx="426">
                  <c:v>298.37299999999999</c:v>
                </c:pt>
                <c:pt idx="427">
                  <c:v>299.25600000000003</c:v>
                </c:pt>
                <c:pt idx="428">
                  <c:v>300.31049999999993</c:v>
                </c:pt>
                <c:pt idx="429">
                  <c:v>301.35999999999996</c:v>
                </c:pt>
                <c:pt idx="430">
                  <c:v>302.52549999999997</c:v>
                </c:pt>
                <c:pt idx="431">
                  <c:v>303.33549999999997</c:v>
                </c:pt>
                <c:pt idx="432">
                  <c:v>304.22749999999985</c:v>
                </c:pt>
                <c:pt idx="433">
                  <c:v>304.96999999999991</c:v>
                </c:pt>
                <c:pt idx="434">
                  <c:v>305.67849999999993</c:v>
                </c:pt>
                <c:pt idx="435">
                  <c:v>306.428</c:v>
                </c:pt>
                <c:pt idx="436">
                  <c:v>307.14149999999995</c:v>
                </c:pt>
                <c:pt idx="437">
                  <c:v>307.928</c:v>
                </c:pt>
                <c:pt idx="438">
                  <c:v>308.488</c:v>
                </c:pt>
                <c:pt idx="439">
                  <c:v>308.67450000000002</c:v>
                </c:pt>
                <c:pt idx="440">
                  <c:v>309.45699999999999</c:v>
                </c:pt>
                <c:pt idx="441">
                  <c:v>310.27050000000003</c:v>
                </c:pt>
                <c:pt idx="442">
                  <c:v>310.76249999999999</c:v>
                </c:pt>
                <c:pt idx="443">
                  <c:v>310.93700000000001</c:v>
                </c:pt>
                <c:pt idx="444">
                  <c:v>310.93549999999993</c:v>
                </c:pt>
                <c:pt idx="445">
                  <c:v>310.63449999999995</c:v>
                </c:pt>
                <c:pt idx="446">
                  <c:v>310.58800000000002</c:v>
                </c:pt>
                <c:pt idx="447">
                  <c:v>310.23249999999996</c:v>
                </c:pt>
                <c:pt idx="448">
                  <c:v>309.92950000000002</c:v>
                </c:pt>
                <c:pt idx="449">
                  <c:v>309.19499999999999</c:v>
                </c:pt>
                <c:pt idx="450">
                  <c:v>308.334</c:v>
                </c:pt>
                <c:pt idx="451">
                  <c:v>307.83</c:v>
                </c:pt>
                <c:pt idx="452">
                  <c:v>307.04749999999996</c:v>
                </c:pt>
                <c:pt idx="453">
                  <c:v>306.08199999999994</c:v>
                </c:pt>
                <c:pt idx="454">
                  <c:v>305.13649999999996</c:v>
                </c:pt>
                <c:pt idx="455">
                  <c:v>304.35549999999995</c:v>
                </c:pt>
                <c:pt idx="456">
                  <c:v>303.77849999999989</c:v>
                </c:pt>
                <c:pt idx="457">
                  <c:v>303.27499999999992</c:v>
                </c:pt>
                <c:pt idx="458">
                  <c:v>303.01499999999993</c:v>
                </c:pt>
                <c:pt idx="459">
                  <c:v>303.10949999999991</c:v>
                </c:pt>
                <c:pt idx="460">
                  <c:v>303.16399999999993</c:v>
                </c:pt>
                <c:pt idx="461">
                  <c:v>303.17249999999996</c:v>
                </c:pt>
                <c:pt idx="462">
                  <c:v>303.25049999999999</c:v>
                </c:pt>
                <c:pt idx="463">
                  <c:v>303.63300000000004</c:v>
                </c:pt>
                <c:pt idx="464">
                  <c:v>304.02750000000003</c:v>
                </c:pt>
                <c:pt idx="465">
                  <c:v>304.69350000000003</c:v>
                </c:pt>
                <c:pt idx="466">
                  <c:v>305.13950000000011</c:v>
                </c:pt>
                <c:pt idx="467">
                  <c:v>305.81650000000002</c:v>
                </c:pt>
                <c:pt idx="468">
                  <c:v>306.55250000000001</c:v>
                </c:pt>
                <c:pt idx="469">
                  <c:v>307.09949999999998</c:v>
                </c:pt>
                <c:pt idx="470">
                  <c:v>307.40199999999999</c:v>
                </c:pt>
                <c:pt idx="471">
                  <c:v>307.30249999999995</c:v>
                </c:pt>
                <c:pt idx="472">
                  <c:v>307.41849999999994</c:v>
                </c:pt>
                <c:pt idx="473">
                  <c:v>307.87649999999996</c:v>
                </c:pt>
                <c:pt idx="474">
                  <c:v>308.06849999999997</c:v>
                </c:pt>
                <c:pt idx="475">
                  <c:v>307.94749999999993</c:v>
                </c:pt>
                <c:pt idx="476">
                  <c:v>307.64</c:v>
                </c:pt>
                <c:pt idx="477">
                  <c:v>307.52199999999993</c:v>
                </c:pt>
                <c:pt idx="478">
                  <c:v>307.62849999999992</c:v>
                </c:pt>
                <c:pt idx="479">
                  <c:v>307.81049999999999</c:v>
                </c:pt>
                <c:pt idx="480">
                  <c:v>307.70049999999998</c:v>
                </c:pt>
                <c:pt idx="481">
                  <c:v>307.62700000000007</c:v>
                </c:pt>
                <c:pt idx="482">
                  <c:v>307.77100000000007</c:v>
                </c:pt>
                <c:pt idx="483">
                  <c:v>307.99200000000008</c:v>
                </c:pt>
                <c:pt idx="484">
                  <c:v>308.07299999999998</c:v>
                </c:pt>
                <c:pt idx="485">
                  <c:v>308.12300000000005</c:v>
                </c:pt>
                <c:pt idx="486">
                  <c:v>307.30400000000003</c:v>
                </c:pt>
                <c:pt idx="487">
                  <c:v>307.02850000000001</c:v>
                </c:pt>
                <c:pt idx="488">
                  <c:v>306.87700000000001</c:v>
                </c:pt>
                <c:pt idx="489">
                  <c:v>307.32900000000001</c:v>
                </c:pt>
                <c:pt idx="490">
                  <c:v>308.14949999999999</c:v>
                </c:pt>
                <c:pt idx="491">
                  <c:v>308.90850000000006</c:v>
                </c:pt>
                <c:pt idx="492">
                  <c:v>309.68700000000007</c:v>
                </c:pt>
                <c:pt idx="493">
                  <c:v>310.17350000000005</c:v>
                </c:pt>
                <c:pt idx="494">
                  <c:v>311.11500000000001</c:v>
                </c:pt>
                <c:pt idx="495">
                  <c:v>312.3685000000001</c:v>
                </c:pt>
                <c:pt idx="496">
                  <c:v>313.7650000000001</c:v>
                </c:pt>
                <c:pt idx="497">
                  <c:v>315.07350000000002</c:v>
                </c:pt>
                <c:pt idx="498">
                  <c:v>316.08700000000005</c:v>
                </c:pt>
                <c:pt idx="499">
                  <c:v>316.62050000000005</c:v>
                </c:pt>
                <c:pt idx="500">
                  <c:v>317.34550000000002</c:v>
                </c:pt>
                <c:pt idx="501">
                  <c:v>318.06250000000006</c:v>
                </c:pt>
                <c:pt idx="502">
                  <c:v>318.73</c:v>
                </c:pt>
                <c:pt idx="503">
                  <c:v>319.62700000000001</c:v>
                </c:pt>
                <c:pt idx="504">
                  <c:v>320.60550000000001</c:v>
                </c:pt>
                <c:pt idx="505">
                  <c:v>321.19449999999995</c:v>
                </c:pt>
                <c:pt idx="506">
                  <c:v>322.65849999999995</c:v>
                </c:pt>
                <c:pt idx="507">
                  <c:v>323.6124999999999</c:v>
                </c:pt>
                <c:pt idx="508">
                  <c:v>323.96799999999996</c:v>
                </c:pt>
                <c:pt idx="509">
                  <c:v>323.58699999999988</c:v>
                </c:pt>
                <c:pt idx="510">
                  <c:v>322.97949999999992</c:v>
                </c:pt>
                <c:pt idx="511">
                  <c:v>322.66499999999996</c:v>
                </c:pt>
                <c:pt idx="512">
                  <c:v>322.53949999999998</c:v>
                </c:pt>
                <c:pt idx="513">
                  <c:v>322.02649999999994</c:v>
                </c:pt>
                <c:pt idx="514">
                  <c:v>321.26799999999997</c:v>
                </c:pt>
                <c:pt idx="515">
                  <c:v>320.29500000000002</c:v>
                </c:pt>
                <c:pt idx="516">
                  <c:v>318.8845</c:v>
                </c:pt>
                <c:pt idx="517">
                  <c:v>317.47800000000007</c:v>
                </c:pt>
                <c:pt idx="518">
                  <c:v>316.09800000000007</c:v>
                </c:pt>
                <c:pt idx="519">
                  <c:v>314.94900000000007</c:v>
                </c:pt>
                <c:pt idx="520">
                  <c:v>314.09899999999999</c:v>
                </c:pt>
                <c:pt idx="521">
                  <c:v>313.28250000000003</c:v>
                </c:pt>
                <c:pt idx="522">
                  <c:v>312.41550000000007</c:v>
                </c:pt>
                <c:pt idx="523">
                  <c:v>311.45600000000013</c:v>
                </c:pt>
                <c:pt idx="524">
                  <c:v>310.58900000000011</c:v>
                </c:pt>
                <c:pt idx="525">
                  <c:v>309.74750000000006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40-4EE9-83B2-BAEB2991E527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Data!$AB$2:$AB$527</c:f>
              <c:numCache>
                <c:formatCode>General</c:formatCode>
                <c:ptCount val="526"/>
                <c:pt idx="99">
                  <c:v>185.7259</c:v>
                </c:pt>
                <c:pt idx="100">
                  <c:v>186.01219999999998</c:v>
                </c:pt>
                <c:pt idx="101">
                  <c:v>186.29389999999995</c:v>
                </c:pt>
                <c:pt idx="102">
                  <c:v>186.5609</c:v>
                </c:pt>
                <c:pt idx="103">
                  <c:v>186.83150000000001</c:v>
                </c:pt>
                <c:pt idx="104">
                  <c:v>187.13760000000002</c:v>
                </c:pt>
                <c:pt idx="105">
                  <c:v>187.44920000000002</c:v>
                </c:pt>
                <c:pt idx="106">
                  <c:v>187.73060000000001</c:v>
                </c:pt>
                <c:pt idx="107">
                  <c:v>188.00020000000001</c:v>
                </c:pt>
                <c:pt idx="108">
                  <c:v>188.27880000000002</c:v>
                </c:pt>
                <c:pt idx="109">
                  <c:v>188.5984</c:v>
                </c:pt>
                <c:pt idx="110">
                  <c:v>188.92359999999999</c:v>
                </c:pt>
                <c:pt idx="111">
                  <c:v>189.19300000000004</c:v>
                </c:pt>
                <c:pt idx="112">
                  <c:v>189.40520000000004</c:v>
                </c:pt>
                <c:pt idx="113">
                  <c:v>189.64070000000004</c:v>
                </c:pt>
                <c:pt idx="114">
                  <c:v>189.8886</c:v>
                </c:pt>
                <c:pt idx="115">
                  <c:v>190.13339999999999</c:v>
                </c:pt>
                <c:pt idx="116">
                  <c:v>190.37399999999997</c:v>
                </c:pt>
                <c:pt idx="117">
                  <c:v>190.63789999999995</c:v>
                </c:pt>
                <c:pt idx="118">
                  <c:v>190.87359999999993</c:v>
                </c:pt>
                <c:pt idx="119">
                  <c:v>191.09969999999998</c:v>
                </c:pt>
                <c:pt idx="120">
                  <c:v>191.33679999999993</c:v>
                </c:pt>
                <c:pt idx="121">
                  <c:v>191.57379999999995</c:v>
                </c:pt>
                <c:pt idx="122">
                  <c:v>191.81819999999996</c:v>
                </c:pt>
                <c:pt idx="123">
                  <c:v>192.09579999999991</c:v>
                </c:pt>
                <c:pt idx="124">
                  <c:v>192.39929999999993</c:v>
                </c:pt>
                <c:pt idx="125">
                  <c:v>192.73329999999996</c:v>
                </c:pt>
                <c:pt idx="126">
                  <c:v>193.07219999999995</c:v>
                </c:pt>
                <c:pt idx="127">
                  <c:v>193.36999999999998</c:v>
                </c:pt>
                <c:pt idx="128">
                  <c:v>193.66379999999992</c:v>
                </c:pt>
                <c:pt idx="129">
                  <c:v>193.9975</c:v>
                </c:pt>
                <c:pt idx="130">
                  <c:v>194.31519999999998</c:v>
                </c:pt>
                <c:pt idx="131">
                  <c:v>194.59099999999998</c:v>
                </c:pt>
                <c:pt idx="132">
                  <c:v>194.8501</c:v>
                </c:pt>
                <c:pt idx="133">
                  <c:v>195.15329999999997</c:v>
                </c:pt>
                <c:pt idx="134">
                  <c:v>195.48049999999995</c:v>
                </c:pt>
                <c:pt idx="135">
                  <c:v>195.81849999999994</c:v>
                </c:pt>
                <c:pt idx="136">
                  <c:v>196.07839999999993</c:v>
                </c:pt>
                <c:pt idx="137">
                  <c:v>196.34259999999995</c:v>
                </c:pt>
                <c:pt idx="138">
                  <c:v>196.61089999999993</c:v>
                </c:pt>
                <c:pt idx="139">
                  <c:v>196.87039999999996</c:v>
                </c:pt>
                <c:pt idx="140">
                  <c:v>197.09569999999997</c:v>
                </c:pt>
                <c:pt idx="141">
                  <c:v>197.32949999999994</c:v>
                </c:pt>
                <c:pt idx="142">
                  <c:v>197.58509999999995</c:v>
                </c:pt>
                <c:pt idx="143">
                  <c:v>197.80809999999994</c:v>
                </c:pt>
                <c:pt idx="144">
                  <c:v>198.06469999999993</c:v>
                </c:pt>
                <c:pt idx="145">
                  <c:v>198.31399999999994</c:v>
                </c:pt>
                <c:pt idx="146">
                  <c:v>198.51139999999992</c:v>
                </c:pt>
                <c:pt idx="147">
                  <c:v>198.61989999999992</c:v>
                </c:pt>
                <c:pt idx="148">
                  <c:v>198.67049999999995</c:v>
                </c:pt>
                <c:pt idx="149">
                  <c:v>198.76009999999994</c:v>
                </c:pt>
                <c:pt idx="150">
                  <c:v>198.88439999999994</c:v>
                </c:pt>
                <c:pt idx="151">
                  <c:v>199.02200000000002</c:v>
                </c:pt>
                <c:pt idx="152">
                  <c:v>199.1534</c:v>
                </c:pt>
                <c:pt idx="153">
                  <c:v>199.27739999999997</c:v>
                </c:pt>
                <c:pt idx="154">
                  <c:v>199.39349999999999</c:v>
                </c:pt>
                <c:pt idx="155">
                  <c:v>199.50530000000003</c:v>
                </c:pt>
                <c:pt idx="156">
                  <c:v>199.65459999999999</c:v>
                </c:pt>
                <c:pt idx="157">
                  <c:v>199.84610000000001</c:v>
                </c:pt>
                <c:pt idx="158">
                  <c:v>200.04330000000004</c:v>
                </c:pt>
                <c:pt idx="159">
                  <c:v>200.19330000000005</c:v>
                </c:pt>
                <c:pt idx="160">
                  <c:v>200.33630000000005</c:v>
                </c:pt>
                <c:pt idx="161">
                  <c:v>200.51320000000007</c:v>
                </c:pt>
                <c:pt idx="162">
                  <c:v>200.7077000000001</c:v>
                </c:pt>
                <c:pt idx="163">
                  <c:v>200.91640000000007</c:v>
                </c:pt>
                <c:pt idx="164">
                  <c:v>201.16170000000005</c:v>
                </c:pt>
                <c:pt idx="165">
                  <c:v>201.40010000000007</c:v>
                </c:pt>
                <c:pt idx="166">
                  <c:v>201.63740000000004</c:v>
                </c:pt>
                <c:pt idx="167">
                  <c:v>201.91390000000004</c:v>
                </c:pt>
                <c:pt idx="168">
                  <c:v>202.16219999999998</c:v>
                </c:pt>
                <c:pt idx="169">
                  <c:v>202.40119999999999</c:v>
                </c:pt>
                <c:pt idx="170">
                  <c:v>202.74959999999999</c:v>
                </c:pt>
                <c:pt idx="171">
                  <c:v>203.0453</c:v>
                </c:pt>
                <c:pt idx="172">
                  <c:v>203.40540000000001</c:v>
                </c:pt>
                <c:pt idx="173">
                  <c:v>203.66020000000003</c:v>
                </c:pt>
                <c:pt idx="174">
                  <c:v>203.92000000000004</c:v>
                </c:pt>
                <c:pt idx="175">
                  <c:v>204.12799999999999</c:v>
                </c:pt>
                <c:pt idx="176">
                  <c:v>204.27709999999999</c:v>
                </c:pt>
                <c:pt idx="177">
                  <c:v>204.43430000000001</c:v>
                </c:pt>
                <c:pt idx="178">
                  <c:v>204.59600000000003</c:v>
                </c:pt>
                <c:pt idx="179">
                  <c:v>204.73759999999999</c:v>
                </c:pt>
                <c:pt idx="180">
                  <c:v>204.9075</c:v>
                </c:pt>
                <c:pt idx="181">
                  <c:v>205.08559999999997</c:v>
                </c:pt>
                <c:pt idx="182">
                  <c:v>205.28259999999995</c:v>
                </c:pt>
                <c:pt idx="183">
                  <c:v>205.47989999999993</c:v>
                </c:pt>
                <c:pt idx="184">
                  <c:v>205.66519999999994</c:v>
                </c:pt>
                <c:pt idx="185">
                  <c:v>205.85789999999994</c:v>
                </c:pt>
                <c:pt idx="186">
                  <c:v>206.04289999999995</c:v>
                </c:pt>
                <c:pt idx="187">
                  <c:v>206.23399999999995</c:v>
                </c:pt>
                <c:pt idx="188">
                  <c:v>206.34789999999998</c:v>
                </c:pt>
                <c:pt idx="189">
                  <c:v>206.44579999999993</c:v>
                </c:pt>
                <c:pt idx="190">
                  <c:v>206.51039999999995</c:v>
                </c:pt>
                <c:pt idx="191">
                  <c:v>206.63529999999994</c:v>
                </c:pt>
                <c:pt idx="192">
                  <c:v>206.72949999999994</c:v>
                </c:pt>
                <c:pt idx="193">
                  <c:v>206.81589999999994</c:v>
                </c:pt>
                <c:pt idx="194">
                  <c:v>206.92539999999991</c:v>
                </c:pt>
                <c:pt idx="195">
                  <c:v>207.00589999999988</c:v>
                </c:pt>
                <c:pt idx="196">
                  <c:v>207.27299999999991</c:v>
                </c:pt>
                <c:pt idx="197">
                  <c:v>207.49259999999987</c:v>
                </c:pt>
                <c:pt idx="198">
                  <c:v>207.7333999999999</c:v>
                </c:pt>
                <c:pt idx="199">
                  <c:v>208.00059999999991</c:v>
                </c:pt>
                <c:pt idx="200">
                  <c:v>208.2376999999999</c:v>
                </c:pt>
                <c:pt idx="201">
                  <c:v>208.49639999999985</c:v>
                </c:pt>
                <c:pt idx="202">
                  <c:v>208.74529999999987</c:v>
                </c:pt>
                <c:pt idx="203">
                  <c:v>208.99319999999986</c:v>
                </c:pt>
                <c:pt idx="204">
                  <c:v>209.20099999999985</c:v>
                </c:pt>
                <c:pt idx="205">
                  <c:v>209.43259999999987</c:v>
                </c:pt>
                <c:pt idx="206">
                  <c:v>209.66409999999993</c:v>
                </c:pt>
                <c:pt idx="207">
                  <c:v>209.94649999999993</c:v>
                </c:pt>
                <c:pt idx="208">
                  <c:v>210.20639999999992</c:v>
                </c:pt>
                <c:pt idx="209">
                  <c:v>210.45099999999994</c:v>
                </c:pt>
                <c:pt idx="210">
                  <c:v>210.67409999999992</c:v>
                </c:pt>
                <c:pt idx="211">
                  <c:v>210.95989999999995</c:v>
                </c:pt>
                <c:pt idx="212">
                  <c:v>211.24239999999992</c:v>
                </c:pt>
                <c:pt idx="213">
                  <c:v>211.52069999999992</c:v>
                </c:pt>
                <c:pt idx="214">
                  <c:v>212.05349999999996</c:v>
                </c:pt>
                <c:pt idx="215">
                  <c:v>212.46749999999997</c:v>
                </c:pt>
                <c:pt idx="216">
                  <c:v>212.86729999999997</c:v>
                </c:pt>
                <c:pt idx="217">
                  <c:v>213.27349999999996</c:v>
                </c:pt>
                <c:pt idx="218">
                  <c:v>213.70609999999999</c:v>
                </c:pt>
                <c:pt idx="219">
                  <c:v>214.12889999999999</c:v>
                </c:pt>
                <c:pt idx="220">
                  <c:v>214.56689999999998</c:v>
                </c:pt>
                <c:pt idx="221">
                  <c:v>215.04570000000001</c:v>
                </c:pt>
                <c:pt idx="222">
                  <c:v>215.5043</c:v>
                </c:pt>
                <c:pt idx="223">
                  <c:v>215.91260000000003</c:v>
                </c:pt>
                <c:pt idx="224">
                  <c:v>216.26589999999999</c:v>
                </c:pt>
                <c:pt idx="225">
                  <c:v>216.62520000000001</c:v>
                </c:pt>
                <c:pt idx="226">
                  <c:v>217.02380000000002</c:v>
                </c:pt>
                <c:pt idx="227">
                  <c:v>217.47880000000004</c:v>
                </c:pt>
                <c:pt idx="228">
                  <c:v>217.92680000000004</c:v>
                </c:pt>
                <c:pt idx="229">
                  <c:v>218.34840000000003</c:v>
                </c:pt>
                <c:pt idx="230">
                  <c:v>218.76760000000004</c:v>
                </c:pt>
                <c:pt idx="231">
                  <c:v>219.15560000000005</c:v>
                </c:pt>
                <c:pt idx="232">
                  <c:v>219.55440000000007</c:v>
                </c:pt>
                <c:pt idx="233">
                  <c:v>219.88790000000009</c:v>
                </c:pt>
                <c:pt idx="234">
                  <c:v>220.20650000000012</c:v>
                </c:pt>
                <c:pt idx="235">
                  <c:v>220.51140000000015</c:v>
                </c:pt>
                <c:pt idx="236">
                  <c:v>220.84970000000015</c:v>
                </c:pt>
                <c:pt idx="237">
                  <c:v>221.18050000000014</c:v>
                </c:pt>
                <c:pt idx="238">
                  <c:v>221.51300000000009</c:v>
                </c:pt>
                <c:pt idx="239">
                  <c:v>221.82500000000007</c:v>
                </c:pt>
                <c:pt idx="240">
                  <c:v>222.13850000000005</c:v>
                </c:pt>
                <c:pt idx="241">
                  <c:v>222.44760000000005</c:v>
                </c:pt>
                <c:pt idx="242">
                  <c:v>222.70880000000005</c:v>
                </c:pt>
                <c:pt idx="243">
                  <c:v>222.90400000000005</c:v>
                </c:pt>
                <c:pt idx="244">
                  <c:v>223.08170000000001</c:v>
                </c:pt>
                <c:pt idx="245">
                  <c:v>223.3297</c:v>
                </c:pt>
                <c:pt idx="246">
                  <c:v>223.63399999999999</c:v>
                </c:pt>
                <c:pt idx="247">
                  <c:v>224.06569999999999</c:v>
                </c:pt>
                <c:pt idx="248">
                  <c:v>224.54810000000001</c:v>
                </c:pt>
                <c:pt idx="249">
                  <c:v>224.9564</c:v>
                </c:pt>
                <c:pt idx="250">
                  <c:v>225.34559999999999</c:v>
                </c:pt>
                <c:pt idx="251">
                  <c:v>225.7021</c:v>
                </c:pt>
                <c:pt idx="252">
                  <c:v>226.04409999999996</c:v>
                </c:pt>
                <c:pt idx="253">
                  <c:v>226.41499999999996</c:v>
                </c:pt>
                <c:pt idx="254">
                  <c:v>226.74409999999997</c:v>
                </c:pt>
                <c:pt idx="255">
                  <c:v>227.07339999999988</c:v>
                </c:pt>
                <c:pt idx="256">
                  <c:v>227.3891999999999</c:v>
                </c:pt>
                <c:pt idx="257">
                  <c:v>227.64819999999989</c:v>
                </c:pt>
                <c:pt idx="258">
                  <c:v>227.93579999999992</c:v>
                </c:pt>
                <c:pt idx="259">
                  <c:v>228.26529999999988</c:v>
                </c:pt>
                <c:pt idx="260">
                  <c:v>228.64279999999988</c:v>
                </c:pt>
                <c:pt idx="261">
                  <c:v>229.01919999999987</c:v>
                </c:pt>
                <c:pt idx="262">
                  <c:v>229.4276999999999</c:v>
                </c:pt>
                <c:pt idx="263">
                  <c:v>229.86629999999985</c:v>
                </c:pt>
                <c:pt idx="264">
                  <c:v>230.29289999999986</c:v>
                </c:pt>
                <c:pt idx="265">
                  <c:v>230.73949999999991</c:v>
                </c:pt>
                <c:pt idx="266">
                  <c:v>231.1657999999999</c:v>
                </c:pt>
                <c:pt idx="267">
                  <c:v>231.57629999999989</c:v>
                </c:pt>
                <c:pt idx="268">
                  <c:v>232.04469999999989</c:v>
                </c:pt>
                <c:pt idx="269">
                  <c:v>232.51719999999989</c:v>
                </c:pt>
                <c:pt idx="270">
                  <c:v>233.02319999999992</c:v>
                </c:pt>
                <c:pt idx="271">
                  <c:v>233.57159999999993</c:v>
                </c:pt>
                <c:pt idx="272">
                  <c:v>234.07159999999993</c:v>
                </c:pt>
                <c:pt idx="273">
                  <c:v>234.69539999999989</c:v>
                </c:pt>
                <c:pt idx="274">
                  <c:v>235.32739999999995</c:v>
                </c:pt>
                <c:pt idx="275">
                  <c:v>236.03039999999993</c:v>
                </c:pt>
                <c:pt idx="276">
                  <c:v>236.74519999999993</c:v>
                </c:pt>
                <c:pt idx="277">
                  <c:v>237.37699999999992</c:v>
                </c:pt>
                <c:pt idx="278">
                  <c:v>238.03439999999998</c:v>
                </c:pt>
                <c:pt idx="279">
                  <c:v>238.71359999999996</c:v>
                </c:pt>
                <c:pt idx="280">
                  <c:v>239.37199999999996</c:v>
                </c:pt>
                <c:pt idx="281">
                  <c:v>240.02699999999996</c:v>
                </c:pt>
                <c:pt idx="282">
                  <c:v>240.71209999999999</c:v>
                </c:pt>
                <c:pt idx="283">
                  <c:v>241.3887</c:v>
                </c:pt>
                <c:pt idx="284">
                  <c:v>241.95480000000001</c:v>
                </c:pt>
                <c:pt idx="285">
                  <c:v>242.49940000000004</c:v>
                </c:pt>
                <c:pt idx="286">
                  <c:v>243.00780000000003</c:v>
                </c:pt>
                <c:pt idx="287">
                  <c:v>243.47320000000002</c:v>
                </c:pt>
                <c:pt idx="288">
                  <c:v>243.99070000000006</c:v>
                </c:pt>
                <c:pt idx="289">
                  <c:v>244.50830000000002</c:v>
                </c:pt>
                <c:pt idx="290">
                  <c:v>245.10250000000005</c:v>
                </c:pt>
                <c:pt idx="291">
                  <c:v>245.59650000000005</c:v>
                </c:pt>
                <c:pt idx="292">
                  <c:v>245.98970000000006</c:v>
                </c:pt>
                <c:pt idx="293">
                  <c:v>246.39750000000006</c:v>
                </c:pt>
                <c:pt idx="294">
                  <c:v>246.72870000000006</c:v>
                </c:pt>
                <c:pt idx="295">
                  <c:v>247.02310000000008</c:v>
                </c:pt>
                <c:pt idx="296">
                  <c:v>247.12240000000008</c:v>
                </c:pt>
                <c:pt idx="297">
                  <c:v>247.1990000000001</c:v>
                </c:pt>
                <c:pt idx="298">
                  <c:v>247.25410000000011</c:v>
                </c:pt>
                <c:pt idx="299">
                  <c:v>247.26960000000011</c:v>
                </c:pt>
                <c:pt idx="300">
                  <c:v>247.3498000000001</c:v>
                </c:pt>
                <c:pt idx="301">
                  <c:v>247.43540000000007</c:v>
                </c:pt>
                <c:pt idx="302">
                  <c:v>247.5551000000001</c:v>
                </c:pt>
                <c:pt idx="303">
                  <c:v>247.70500000000007</c:v>
                </c:pt>
                <c:pt idx="304">
                  <c:v>247.86100000000002</c:v>
                </c:pt>
                <c:pt idx="305">
                  <c:v>248.02750000000003</c:v>
                </c:pt>
                <c:pt idx="306">
                  <c:v>248.28500000000003</c:v>
                </c:pt>
                <c:pt idx="307">
                  <c:v>248.54130000000004</c:v>
                </c:pt>
                <c:pt idx="308">
                  <c:v>248.82260000000002</c:v>
                </c:pt>
                <c:pt idx="309">
                  <c:v>249.05970000000002</c:v>
                </c:pt>
                <c:pt idx="310">
                  <c:v>249.26899999999998</c:v>
                </c:pt>
                <c:pt idx="311">
                  <c:v>249.49259999999998</c:v>
                </c:pt>
                <c:pt idx="312">
                  <c:v>249.73140000000001</c:v>
                </c:pt>
                <c:pt idx="313">
                  <c:v>249.97469999999998</c:v>
                </c:pt>
                <c:pt idx="314">
                  <c:v>249.791</c:v>
                </c:pt>
                <c:pt idx="315">
                  <c:v>249.52999999999997</c:v>
                </c:pt>
                <c:pt idx="316">
                  <c:v>249.30459999999997</c:v>
                </c:pt>
                <c:pt idx="317">
                  <c:v>249.08039999999997</c:v>
                </c:pt>
                <c:pt idx="318">
                  <c:v>249.02819999999997</c:v>
                </c:pt>
                <c:pt idx="319">
                  <c:v>248.88769999999997</c:v>
                </c:pt>
                <c:pt idx="320">
                  <c:v>248.83099999999996</c:v>
                </c:pt>
                <c:pt idx="321">
                  <c:v>248.72509999999994</c:v>
                </c:pt>
                <c:pt idx="322">
                  <c:v>248.60609999999997</c:v>
                </c:pt>
                <c:pt idx="323">
                  <c:v>248.47129999999999</c:v>
                </c:pt>
                <c:pt idx="324">
                  <c:v>248.38309999999998</c:v>
                </c:pt>
                <c:pt idx="325">
                  <c:v>248.22540000000001</c:v>
                </c:pt>
                <c:pt idx="326">
                  <c:v>248.09579999999997</c:v>
                </c:pt>
                <c:pt idx="327">
                  <c:v>248.00170000000003</c:v>
                </c:pt>
                <c:pt idx="328">
                  <c:v>247.94840000000005</c:v>
                </c:pt>
                <c:pt idx="329">
                  <c:v>247.886</c:v>
                </c:pt>
                <c:pt idx="330">
                  <c:v>247.82100000000003</c:v>
                </c:pt>
                <c:pt idx="331">
                  <c:v>247.80470000000003</c:v>
                </c:pt>
                <c:pt idx="332">
                  <c:v>247.80269999999996</c:v>
                </c:pt>
                <c:pt idx="333">
                  <c:v>247.83759999999995</c:v>
                </c:pt>
                <c:pt idx="334">
                  <c:v>247.90789999999993</c:v>
                </c:pt>
                <c:pt idx="335">
                  <c:v>247.95989999999998</c:v>
                </c:pt>
                <c:pt idx="336">
                  <c:v>248.01429999999999</c:v>
                </c:pt>
                <c:pt idx="337">
                  <c:v>248.0796</c:v>
                </c:pt>
                <c:pt idx="338">
                  <c:v>248.17899999999997</c:v>
                </c:pt>
                <c:pt idx="339">
                  <c:v>248.29450000000006</c:v>
                </c:pt>
                <c:pt idx="340">
                  <c:v>248.49560000000002</c:v>
                </c:pt>
                <c:pt idx="341">
                  <c:v>248.72989999999999</c:v>
                </c:pt>
                <c:pt idx="342">
                  <c:v>249.00269999999998</c:v>
                </c:pt>
                <c:pt idx="343">
                  <c:v>249.37389999999999</c:v>
                </c:pt>
                <c:pt idx="344">
                  <c:v>249.71990000000002</c:v>
                </c:pt>
                <c:pt idx="345">
                  <c:v>249.99270000000004</c:v>
                </c:pt>
                <c:pt idx="346">
                  <c:v>250.26560000000006</c:v>
                </c:pt>
                <c:pt idx="347">
                  <c:v>250.45290000000006</c:v>
                </c:pt>
                <c:pt idx="348">
                  <c:v>250.62820000000002</c:v>
                </c:pt>
                <c:pt idx="349">
                  <c:v>250.8236</c:v>
                </c:pt>
                <c:pt idx="350">
                  <c:v>251.08330000000007</c:v>
                </c:pt>
                <c:pt idx="351">
                  <c:v>251.32110000000003</c:v>
                </c:pt>
                <c:pt idx="352">
                  <c:v>251.56480000000008</c:v>
                </c:pt>
                <c:pt idx="353">
                  <c:v>251.77200000000008</c:v>
                </c:pt>
                <c:pt idx="354">
                  <c:v>252.01010000000008</c:v>
                </c:pt>
                <c:pt idx="355">
                  <c:v>252.24110000000007</c:v>
                </c:pt>
                <c:pt idx="356">
                  <c:v>252.45200000000008</c:v>
                </c:pt>
                <c:pt idx="357">
                  <c:v>252.67280000000005</c:v>
                </c:pt>
                <c:pt idx="358">
                  <c:v>252.88800000000006</c:v>
                </c:pt>
                <c:pt idx="359">
                  <c:v>253.08070000000006</c:v>
                </c:pt>
                <c:pt idx="360">
                  <c:v>253.24320000000003</c:v>
                </c:pt>
                <c:pt idx="361">
                  <c:v>253.38200000000003</c:v>
                </c:pt>
                <c:pt idx="362">
                  <c:v>253.47280000000006</c:v>
                </c:pt>
                <c:pt idx="363">
                  <c:v>253.49200000000008</c:v>
                </c:pt>
                <c:pt idx="364">
                  <c:v>253.56720000000004</c:v>
                </c:pt>
                <c:pt idx="365">
                  <c:v>253.60290000000003</c:v>
                </c:pt>
                <c:pt idx="366">
                  <c:v>253.69410000000008</c:v>
                </c:pt>
                <c:pt idx="367">
                  <c:v>253.78560000000007</c:v>
                </c:pt>
                <c:pt idx="368">
                  <c:v>253.8969000000001</c:v>
                </c:pt>
                <c:pt idx="369">
                  <c:v>254.04370000000006</c:v>
                </c:pt>
                <c:pt idx="370">
                  <c:v>254.20200000000008</c:v>
                </c:pt>
                <c:pt idx="371">
                  <c:v>254.41650000000004</c:v>
                </c:pt>
                <c:pt idx="372">
                  <c:v>254.61950000000004</c:v>
                </c:pt>
                <c:pt idx="373">
                  <c:v>254.83920000000006</c:v>
                </c:pt>
                <c:pt idx="374">
                  <c:v>255.0390000000001</c:v>
                </c:pt>
                <c:pt idx="375">
                  <c:v>255.19000000000011</c:v>
                </c:pt>
                <c:pt idx="376">
                  <c:v>255.39200000000008</c:v>
                </c:pt>
                <c:pt idx="377">
                  <c:v>255.60130000000004</c:v>
                </c:pt>
                <c:pt idx="378">
                  <c:v>255.67920000000001</c:v>
                </c:pt>
                <c:pt idx="379">
                  <c:v>255.75630000000001</c:v>
                </c:pt>
                <c:pt idx="380">
                  <c:v>255.875</c:v>
                </c:pt>
                <c:pt idx="381">
                  <c:v>255.9777</c:v>
                </c:pt>
                <c:pt idx="382">
                  <c:v>256.06520000000006</c:v>
                </c:pt>
                <c:pt idx="383">
                  <c:v>256.13819999999998</c:v>
                </c:pt>
                <c:pt idx="384">
                  <c:v>256.32839999999999</c:v>
                </c:pt>
                <c:pt idx="385">
                  <c:v>256.58499999999998</c:v>
                </c:pt>
                <c:pt idx="386">
                  <c:v>256.8843</c:v>
                </c:pt>
                <c:pt idx="387">
                  <c:v>257.22000000000003</c:v>
                </c:pt>
                <c:pt idx="388">
                  <c:v>257.54640000000001</c:v>
                </c:pt>
                <c:pt idx="389">
                  <c:v>257.92349999999999</c:v>
                </c:pt>
                <c:pt idx="390">
                  <c:v>258.24250000000001</c:v>
                </c:pt>
                <c:pt idx="391">
                  <c:v>258.6225</c:v>
                </c:pt>
                <c:pt idx="392">
                  <c:v>259.10279999999995</c:v>
                </c:pt>
                <c:pt idx="393">
                  <c:v>259.55789999999996</c:v>
                </c:pt>
                <c:pt idx="394">
                  <c:v>260.08879999999999</c:v>
                </c:pt>
                <c:pt idx="395">
                  <c:v>260.6284</c:v>
                </c:pt>
                <c:pt idx="396">
                  <c:v>261.19989999999996</c:v>
                </c:pt>
                <c:pt idx="397">
                  <c:v>261.85109999999997</c:v>
                </c:pt>
                <c:pt idx="398">
                  <c:v>262.48579999999993</c:v>
                </c:pt>
                <c:pt idx="399">
                  <c:v>263.14739999999995</c:v>
                </c:pt>
                <c:pt idx="400">
                  <c:v>263.69239999999996</c:v>
                </c:pt>
                <c:pt idx="401">
                  <c:v>264.24069999999995</c:v>
                </c:pt>
                <c:pt idx="402">
                  <c:v>264.78659999999996</c:v>
                </c:pt>
                <c:pt idx="403">
                  <c:v>265.32399999999996</c:v>
                </c:pt>
                <c:pt idx="404">
                  <c:v>265.83919999999995</c:v>
                </c:pt>
                <c:pt idx="405">
                  <c:v>266.36449999999991</c:v>
                </c:pt>
                <c:pt idx="406">
                  <c:v>266.78879999999998</c:v>
                </c:pt>
                <c:pt idx="407">
                  <c:v>267.19279999999998</c:v>
                </c:pt>
                <c:pt idx="408">
                  <c:v>267.58909999999997</c:v>
                </c:pt>
                <c:pt idx="409">
                  <c:v>268.03030000000001</c:v>
                </c:pt>
                <c:pt idx="410">
                  <c:v>268.51650000000001</c:v>
                </c:pt>
                <c:pt idx="411">
                  <c:v>269.02589999999998</c:v>
                </c:pt>
                <c:pt idx="412">
                  <c:v>269.53829999999999</c:v>
                </c:pt>
                <c:pt idx="413">
                  <c:v>270.06580000000002</c:v>
                </c:pt>
                <c:pt idx="414">
                  <c:v>270.77170000000001</c:v>
                </c:pt>
                <c:pt idx="415">
                  <c:v>271.67960000000005</c:v>
                </c:pt>
                <c:pt idx="416">
                  <c:v>272.54939999999999</c:v>
                </c:pt>
                <c:pt idx="417">
                  <c:v>273.3777</c:v>
                </c:pt>
                <c:pt idx="418">
                  <c:v>274.02940000000001</c:v>
                </c:pt>
                <c:pt idx="419">
                  <c:v>274.79649999999992</c:v>
                </c:pt>
                <c:pt idx="420">
                  <c:v>275.37829999999997</c:v>
                </c:pt>
                <c:pt idx="421">
                  <c:v>275.96019999999999</c:v>
                </c:pt>
                <c:pt idx="422">
                  <c:v>276.60739999999998</c:v>
                </c:pt>
                <c:pt idx="423">
                  <c:v>277.31669999999997</c:v>
                </c:pt>
                <c:pt idx="424">
                  <c:v>278.05269999999996</c:v>
                </c:pt>
                <c:pt idx="425">
                  <c:v>278.83189999999996</c:v>
                </c:pt>
                <c:pt idx="426">
                  <c:v>279.56499999999994</c:v>
                </c:pt>
                <c:pt idx="427">
                  <c:v>280.24809999999997</c:v>
                </c:pt>
                <c:pt idx="428">
                  <c:v>280.91919999999993</c:v>
                </c:pt>
                <c:pt idx="429">
                  <c:v>281.61599999999993</c:v>
                </c:pt>
                <c:pt idx="430">
                  <c:v>282.33159999999998</c:v>
                </c:pt>
                <c:pt idx="431">
                  <c:v>283.00979999999998</c:v>
                </c:pt>
                <c:pt idx="432">
                  <c:v>283.69099999999997</c:v>
                </c:pt>
                <c:pt idx="433">
                  <c:v>284.35629999999992</c:v>
                </c:pt>
                <c:pt idx="434">
                  <c:v>284.96569999999991</c:v>
                </c:pt>
                <c:pt idx="435">
                  <c:v>285.6006999999999</c:v>
                </c:pt>
                <c:pt idx="436">
                  <c:v>286.2650999999999</c:v>
                </c:pt>
                <c:pt idx="437">
                  <c:v>286.92549999999994</c:v>
                </c:pt>
                <c:pt idx="438">
                  <c:v>287.49789999999996</c:v>
                </c:pt>
                <c:pt idx="439">
                  <c:v>288.04259999999994</c:v>
                </c:pt>
                <c:pt idx="440">
                  <c:v>288.54239999999999</c:v>
                </c:pt>
                <c:pt idx="441">
                  <c:v>289.00409999999994</c:v>
                </c:pt>
                <c:pt idx="442">
                  <c:v>289.4246</c:v>
                </c:pt>
                <c:pt idx="443">
                  <c:v>289.78999999999996</c:v>
                </c:pt>
                <c:pt idx="444">
                  <c:v>290.16969999999992</c:v>
                </c:pt>
                <c:pt idx="445">
                  <c:v>290.52979999999997</c:v>
                </c:pt>
                <c:pt idx="446">
                  <c:v>290.95269999999999</c:v>
                </c:pt>
                <c:pt idx="447">
                  <c:v>291.36310000000003</c:v>
                </c:pt>
                <c:pt idx="448">
                  <c:v>291.81329999999997</c:v>
                </c:pt>
                <c:pt idx="449">
                  <c:v>292.19159999999999</c:v>
                </c:pt>
                <c:pt idx="450">
                  <c:v>292.51430000000005</c:v>
                </c:pt>
                <c:pt idx="451">
                  <c:v>292.90300000000002</c:v>
                </c:pt>
                <c:pt idx="452">
                  <c:v>293.23020000000002</c:v>
                </c:pt>
                <c:pt idx="453">
                  <c:v>293.53129999999999</c:v>
                </c:pt>
                <c:pt idx="454">
                  <c:v>293.83009999999996</c:v>
                </c:pt>
                <c:pt idx="455">
                  <c:v>294.17179999999996</c:v>
                </c:pt>
                <c:pt idx="456">
                  <c:v>294.57109999999994</c:v>
                </c:pt>
                <c:pt idx="457">
                  <c:v>295.00519999999995</c:v>
                </c:pt>
                <c:pt idx="458">
                  <c:v>295.40299999999996</c:v>
                </c:pt>
                <c:pt idx="459">
                  <c:v>295.83</c:v>
                </c:pt>
                <c:pt idx="460">
                  <c:v>296.25519999999995</c:v>
                </c:pt>
                <c:pt idx="461">
                  <c:v>296.66719999999998</c:v>
                </c:pt>
                <c:pt idx="462">
                  <c:v>297.07729999999998</c:v>
                </c:pt>
                <c:pt idx="463">
                  <c:v>297.54459999999995</c:v>
                </c:pt>
                <c:pt idx="464">
                  <c:v>297.97519999999992</c:v>
                </c:pt>
                <c:pt idx="465">
                  <c:v>298.42209999999994</c:v>
                </c:pt>
                <c:pt idx="466">
                  <c:v>298.8513999999999</c:v>
                </c:pt>
                <c:pt idx="467">
                  <c:v>299.25759999999991</c:v>
                </c:pt>
                <c:pt idx="468">
                  <c:v>299.67899999999992</c:v>
                </c:pt>
                <c:pt idx="469">
                  <c:v>299.96119999999991</c:v>
                </c:pt>
                <c:pt idx="470">
                  <c:v>300.15669999999989</c:v>
                </c:pt>
                <c:pt idx="471">
                  <c:v>300.27289999999988</c:v>
                </c:pt>
                <c:pt idx="472">
                  <c:v>300.39589999999987</c:v>
                </c:pt>
                <c:pt idx="473">
                  <c:v>300.52949999999987</c:v>
                </c:pt>
                <c:pt idx="474">
                  <c:v>300.60919999999993</c:v>
                </c:pt>
                <c:pt idx="475">
                  <c:v>300.66939999999994</c:v>
                </c:pt>
                <c:pt idx="476">
                  <c:v>300.68939999999992</c:v>
                </c:pt>
                <c:pt idx="477">
                  <c:v>300.79969999999992</c:v>
                </c:pt>
                <c:pt idx="478">
                  <c:v>301.04829999999993</c:v>
                </c:pt>
                <c:pt idx="479">
                  <c:v>301.34749999999991</c:v>
                </c:pt>
                <c:pt idx="480">
                  <c:v>301.55479999999994</c:v>
                </c:pt>
                <c:pt idx="481">
                  <c:v>301.76499999999993</c:v>
                </c:pt>
                <c:pt idx="482">
                  <c:v>301.99929999999995</c:v>
                </c:pt>
                <c:pt idx="483">
                  <c:v>302.29479999999995</c:v>
                </c:pt>
                <c:pt idx="484">
                  <c:v>302.58699999999993</c:v>
                </c:pt>
                <c:pt idx="485">
                  <c:v>302.84009999999995</c:v>
                </c:pt>
                <c:pt idx="486">
                  <c:v>302.93249999999995</c:v>
                </c:pt>
                <c:pt idx="487">
                  <c:v>303.12389999999994</c:v>
                </c:pt>
                <c:pt idx="488">
                  <c:v>303.38339999999994</c:v>
                </c:pt>
                <c:pt idx="489">
                  <c:v>303.601</c:v>
                </c:pt>
                <c:pt idx="490">
                  <c:v>303.83569999999997</c:v>
                </c:pt>
                <c:pt idx="491">
                  <c:v>304.00499999999994</c:v>
                </c:pt>
                <c:pt idx="492">
                  <c:v>304.17199999999991</c:v>
                </c:pt>
                <c:pt idx="493">
                  <c:v>304.33159999999998</c:v>
                </c:pt>
                <c:pt idx="494">
                  <c:v>304.50739999999996</c:v>
                </c:pt>
                <c:pt idx="495">
                  <c:v>304.77589999999992</c:v>
                </c:pt>
                <c:pt idx="496">
                  <c:v>305.14149999999995</c:v>
                </c:pt>
                <c:pt idx="497">
                  <c:v>305.49059999999992</c:v>
                </c:pt>
                <c:pt idx="498">
                  <c:v>305.85599999999994</c:v>
                </c:pt>
                <c:pt idx="499">
                  <c:v>306.17999999999995</c:v>
                </c:pt>
                <c:pt idx="500">
                  <c:v>306.5447999999999</c:v>
                </c:pt>
                <c:pt idx="501">
                  <c:v>306.87939999999998</c:v>
                </c:pt>
                <c:pt idx="502">
                  <c:v>307.23859999999991</c:v>
                </c:pt>
                <c:pt idx="503">
                  <c:v>307.65049999999997</c:v>
                </c:pt>
                <c:pt idx="504">
                  <c:v>308.09129999999993</c:v>
                </c:pt>
                <c:pt idx="505">
                  <c:v>308.41959999999995</c:v>
                </c:pt>
                <c:pt idx="506">
                  <c:v>308.81259999999997</c:v>
                </c:pt>
                <c:pt idx="507">
                  <c:v>309.18920000000003</c:v>
                </c:pt>
                <c:pt idx="508">
                  <c:v>309.52749999999997</c:v>
                </c:pt>
                <c:pt idx="509">
                  <c:v>309.71410000000003</c:v>
                </c:pt>
                <c:pt idx="510">
                  <c:v>309.87810000000002</c:v>
                </c:pt>
                <c:pt idx="511">
                  <c:v>310.00830000000008</c:v>
                </c:pt>
                <c:pt idx="512">
                  <c:v>310.18400000000003</c:v>
                </c:pt>
                <c:pt idx="513">
                  <c:v>310.22570000000007</c:v>
                </c:pt>
                <c:pt idx="514">
                  <c:v>310.25330000000008</c:v>
                </c:pt>
                <c:pt idx="515">
                  <c:v>310.27890000000008</c:v>
                </c:pt>
                <c:pt idx="516">
                  <c:v>310.2419000000001</c:v>
                </c:pt>
                <c:pt idx="517">
                  <c:v>310.25530000000009</c:v>
                </c:pt>
                <c:pt idx="518">
                  <c:v>310.26330000000019</c:v>
                </c:pt>
                <c:pt idx="519">
                  <c:v>310.23280000000011</c:v>
                </c:pt>
                <c:pt idx="520">
                  <c:v>310.35320000000013</c:v>
                </c:pt>
                <c:pt idx="521">
                  <c:v>310.48300000000012</c:v>
                </c:pt>
                <c:pt idx="522">
                  <c:v>310.58590000000009</c:v>
                </c:pt>
                <c:pt idx="523">
                  <c:v>310.7290000000001</c:v>
                </c:pt>
                <c:pt idx="524">
                  <c:v>310.84610000000009</c:v>
                </c:pt>
                <c:pt idx="525">
                  <c:v>310.87860000000006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40-4EE9-83B2-BAEB2991E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98848"/>
        <c:axId val="164394048"/>
      </c:lineChart>
      <c:dateAx>
        <c:axId val="164398848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4048"/>
        <c:crosses val="autoZero"/>
        <c:auto val="1"/>
        <c:lblOffset val="100"/>
        <c:baseTimeUnit val="days"/>
      </c:dateAx>
      <c:valAx>
        <c:axId val="164394048"/>
        <c:scaling>
          <c:orientation val="minMax"/>
          <c:min val="2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9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F-43E8-8F32-C1789BDA5FB8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Data!$F$2:$F$527</c:f>
              <c:numCache>
                <c:formatCode>General</c:formatCode>
                <c:ptCount val="526"/>
                <c:pt idx="0">
                  <c:v>172.08</c:v>
                </c:pt>
                <c:pt idx="1">
                  <c:v>171.70736555446791</c:v>
                </c:pt>
                <c:pt idx="2">
                  <c:v>171.59541698362483</c:v>
                </c:pt>
                <c:pt idx="3">
                  <c:v>171.75760094747503</c:v>
                </c:pt>
                <c:pt idx="4">
                  <c:v>171.81309654994462</c:v>
                </c:pt>
                <c:pt idx="5">
                  <c:v>171.63152621758547</c:v>
                </c:pt>
                <c:pt idx="6">
                  <c:v>171.55017498298335</c:v>
                </c:pt>
                <c:pt idx="7">
                  <c:v>171.374058952913</c:v>
                </c:pt>
                <c:pt idx="8">
                  <c:v>170.93991761281481</c:v>
                </c:pt>
                <c:pt idx="9">
                  <c:v>170.52131448090606</c:v>
                </c:pt>
                <c:pt idx="10">
                  <c:v>170.23336768914425</c:v>
                </c:pt>
                <c:pt idx="11">
                  <c:v>170.04714683764217</c:v>
                </c:pt>
                <c:pt idx="12">
                  <c:v>170.06940885427642</c:v>
                </c:pt>
                <c:pt idx="13">
                  <c:v>170.07251617143348</c:v>
                </c:pt>
                <c:pt idx="14">
                  <c:v>170.02110856505331</c:v>
                </c:pt>
                <c:pt idx="15">
                  <c:v>170.04676711642733</c:v>
                </c:pt>
                <c:pt idx="16">
                  <c:v>170.17849214391433</c:v>
                </c:pt>
                <c:pt idx="17">
                  <c:v>170.25579418188633</c:v>
                </c:pt>
                <c:pt idx="18">
                  <c:v>170.33819790216867</c:v>
                </c:pt>
                <c:pt idx="19">
                  <c:v>170.62981171594782</c:v>
                </c:pt>
                <c:pt idx="20">
                  <c:v>170.81533855599264</c:v>
                </c:pt>
                <c:pt idx="21">
                  <c:v>170.92847031769031</c:v>
                </c:pt>
                <c:pt idx="22">
                  <c:v>171.05956168260724</c:v>
                </c:pt>
                <c:pt idx="23">
                  <c:v>171.16407076446947</c:v>
                </c:pt>
                <c:pt idx="24">
                  <c:v>171.26486076850188</c:v>
                </c:pt>
                <c:pt idx="25">
                  <c:v>171.37573663115873</c:v>
                </c:pt>
                <c:pt idx="26">
                  <c:v>171.45052106405655</c:v>
                </c:pt>
                <c:pt idx="27">
                  <c:v>171.52949935246329</c:v>
                </c:pt>
                <c:pt idx="28">
                  <c:v>171.6539550054047</c:v>
                </c:pt>
                <c:pt idx="29">
                  <c:v>171.72672788122873</c:v>
                </c:pt>
                <c:pt idx="30">
                  <c:v>171.82539123434043</c:v>
                </c:pt>
                <c:pt idx="31">
                  <c:v>172.04711381412085</c:v>
                </c:pt>
                <c:pt idx="32">
                  <c:v>172.22246481104841</c:v>
                </c:pt>
                <c:pt idx="33">
                  <c:v>172.43956630013881</c:v>
                </c:pt>
                <c:pt idx="34">
                  <c:v>172.6137515958907</c:v>
                </c:pt>
                <c:pt idx="35">
                  <c:v>172.89096865858869</c:v>
                </c:pt>
                <c:pt idx="36">
                  <c:v>173.11142048155503</c:v>
                </c:pt>
                <c:pt idx="37">
                  <c:v>173.3121053788129</c:v>
                </c:pt>
                <c:pt idx="38">
                  <c:v>173.46849012422237</c:v>
                </c:pt>
                <c:pt idx="39">
                  <c:v>173.64607518007966</c:v>
                </c:pt>
                <c:pt idx="40">
                  <c:v>173.95588343714923</c:v>
                </c:pt>
                <c:pt idx="41">
                  <c:v>174.13805826881759</c:v>
                </c:pt>
                <c:pt idx="42">
                  <c:v>174.35966498075391</c:v>
                </c:pt>
                <c:pt idx="43">
                  <c:v>174.59074882603193</c:v>
                </c:pt>
                <c:pt idx="44">
                  <c:v>174.86404481531318</c:v>
                </c:pt>
                <c:pt idx="45">
                  <c:v>175.09907404104158</c:v>
                </c:pt>
                <c:pt idx="46">
                  <c:v>175.28840209424382</c:v>
                </c:pt>
                <c:pt idx="47">
                  <c:v>175.46122915763837</c:v>
                </c:pt>
                <c:pt idx="48">
                  <c:v>175.64810469743705</c:v>
                </c:pt>
                <c:pt idx="49">
                  <c:v>175.92245408099717</c:v>
                </c:pt>
                <c:pt idx="50">
                  <c:v>176.19407954151615</c:v>
                </c:pt>
                <c:pt idx="51">
                  <c:v>176.70577926496145</c:v>
                </c:pt>
                <c:pt idx="52">
                  <c:v>177.00317844503678</c:v>
                </c:pt>
                <c:pt idx="53">
                  <c:v>177.29244871954901</c:v>
                </c:pt>
                <c:pt idx="54">
                  <c:v>177.64810351538918</c:v>
                </c:pt>
                <c:pt idx="55">
                  <c:v>178.11609496857895</c:v>
                </c:pt>
                <c:pt idx="56">
                  <c:v>178.40424815504525</c:v>
                </c:pt>
                <c:pt idx="57">
                  <c:v>178.6715731374527</c:v>
                </c:pt>
                <c:pt idx="58">
                  <c:v>178.86154982561953</c:v>
                </c:pt>
                <c:pt idx="59">
                  <c:v>179.19289871361593</c:v>
                </c:pt>
                <c:pt idx="60">
                  <c:v>179.52243646670141</c:v>
                </c:pt>
                <c:pt idx="61">
                  <c:v>179.77588970773135</c:v>
                </c:pt>
                <c:pt idx="62">
                  <c:v>180.01200162242057</c:v>
                </c:pt>
                <c:pt idx="63">
                  <c:v>180.30880488041544</c:v>
                </c:pt>
                <c:pt idx="64">
                  <c:v>180.55098067164698</c:v>
                </c:pt>
                <c:pt idx="65">
                  <c:v>180.73741658264512</c:v>
                </c:pt>
                <c:pt idx="66">
                  <c:v>180.9739722095664</c:v>
                </c:pt>
                <c:pt idx="67">
                  <c:v>181.16992435450439</c:v>
                </c:pt>
                <c:pt idx="68">
                  <c:v>181.34849138952896</c:v>
                </c:pt>
                <c:pt idx="69">
                  <c:v>181.57679538566578</c:v>
                </c:pt>
                <c:pt idx="70">
                  <c:v>181.63503896142041</c:v>
                </c:pt>
                <c:pt idx="71">
                  <c:v>181.6626328550291</c:v>
                </c:pt>
                <c:pt idx="72">
                  <c:v>181.64200608879426</c:v>
                </c:pt>
                <c:pt idx="73">
                  <c:v>181.62179981459886</c:v>
                </c:pt>
                <c:pt idx="74">
                  <c:v>181.61677076424255</c:v>
                </c:pt>
                <c:pt idx="75">
                  <c:v>181.69463781851991</c:v>
                </c:pt>
                <c:pt idx="76">
                  <c:v>181.81623851962806</c:v>
                </c:pt>
                <c:pt idx="77">
                  <c:v>181.94369434514547</c:v>
                </c:pt>
                <c:pt idx="78">
                  <c:v>182.04743749659684</c:v>
                </c:pt>
                <c:pt idx="79">
                  <c:v>182.19396438045109</c:v>
                </c:pt>
                <c:pt idx="80">
                  <c:v>182.28880970304314</c:v>
                </c:pt>
                <c:pt idx="81">
                  <c:v>182.36612247300064</c:v>
                </c:pt>
                <c:pt idx="82">
                  <c:v>182.4644358621849</c:v>
                </c:pt>
                <c:pt idx="83">
                  <c:v>182.55357869250824</c:v>
                </c:pt>
                <c:pt idx="84">
                  <c:v>182.6283936748346</c:v>
                </c:pt>
                <c:pt idx="85">
                  <c:v>182.71626803825083</c:v>
                </c:pt>
                <c:pt idx="86">
                  <c:v>182.80714144924235</c:v>
                </c:pt>
                <c:pt idx="87">
                  <c:v>182.89141605455475</c:v>
                </c:pt>
                <c:pt idx="88">
                  <c:v>183.03409788591281</c:v>
                </c:pt>
                <c:pt idx="89">
                  <c:v>183.17261443329113</c:v>
                </c:pt>
                <c:pt idx="90">
                  <c:v>183.31232451635881</c:v>
                </c:pt>
                <c:pt idx="91">
                  <c:v>183.44053622602061</c:v>
                </c:pt>
                <c:pt idx="92">
                  <c:v>183.62193528849491</c:v>
                </c:pt>
                <c:pt idx="93">
                  <c:v>183.80090337824845</c:v>
                </c:pt>
                <c:pt idx="94">
                  <c:v>183.98260081637312</c:v>
                </c:pt>
                <c:pt idx="95">
                  <c:v>184.20096552596004</c:v>
                </c:pt>
                <c:pt idx="96">
                  <c:v>184.42067548222059</c:v>
                </c:pt>
                <c:pt idx="97">
                  <c:v>184.6588551964044</c:v>
                </c:pt>
                <c:pt idx="98">
                  <c:v>184.79816103562089</c:v>
                </c:pt>
                <c:pt idx="99">
                  <c:v>184.9031485545157</c:v>
                </c:pt>
                <c:pt idx="100">
                  <c:v>185.02697426484903</c:v>
                </c:pt>
                <c:pt idx="101">
                  <c:v>185.13269889333429</c:v>
                </c:pt>
                <c:pt idx="102">
                  <c:v>185.21611773496412</c:v>
                </c:pt>
                <c:pt idx="103">
                  <c:v>185.31664184005015</c:v>
                </c:pt>
                <c:pt idx="104">
                  <c:v>185.5731035070236</c:v>
                </c:pt>
                <c:pt idx="105">
                  <c:v>185.67996479988702</c:v>
                </c:pt>
                <c:pt idx="106">
                  <c:v>185.77353225915027</c:v>
                </c:pt>
                <c:pt idx="107">
                  <c:v>185.86994710125938</c:v>
                </c:pt>
                <c:pt idx="108">
                  <c:v>185.95407628084581</c:v>
                </c:pt>
                <c:pt idx="109">
                  <c:v>186.05062594637889</c:v>
                </c:pt>
                <c:pt idx="110">
                  <c:v>186.13167907684769</c:v>
                </c:pt>
                <c:pt idx="111">
                  <c:v>186.2058248972902</c:v>
                </c:pt>
                <c:pt idx="112">
                  <c:v>186.2712526656899</c:v>
                </c:pt>
                <c:pt idx="113">
                  <c:v>186.33190210666677</c:v>
                </c:pt>
                <c:pt idx="114">
                  <c:v>186.38051902098258</c:v>
                </c:pt>
                <c:pt idx="115">
                  <c:v>186.45118444393526</c:v>
                </c:pt>
                <c:pt idx="116">
                  <c:v>186.5400688398129</c:v>
                </c:pt>
                <c:pt idx="117">
                  <c:v>186.63816930100242</c:v>
                </c:pt>
                <c:pt idx="118">
                  <c:v>186.82228856160091</c:v>
                </c:pt>
                <c:pt idx="119">
                  <c:v>186.92855889317795</c:v>
                </c:pt>
                <c:pt idx="120">
                  <c:v>186.99752552978671</c:v>
                </c:pt>
                <c:pt idx="121">
                  <c:v>187.06947251973747</c:v>
                </c:pt>
                <c:pt idx="122">
                  <c:v>187.15399438909287</c:v>
                </c:pt>
                <c:pt idx="123">
                  <c:v>187.35537944843591</c:v>
                </c:pt>
                <c:pt idx="124">
                  <c:v>187.51479292276269</c:v>
                </c:pt>
                <c:pt idx="125">
                  <c:v>187.65740591031999</c:v>
                </c:pt>
                <c:pt idx="126">
                  <c:v>187.75721853001491</c:v>
                </c:pt>
                <c:pt idx="127">
                  <c:v>187.87404915035336</c:v>
                </c:pt>
                <c:pt idx="128">
                  <c:v>188.00074858437983</c:v>
                </c:pt>
                <c:pt idx="129">
                  <c:v>188.14924286638399</c:v>
                </c:pt>
                <c:pt idx="130">
                  <c:v>188.2849496413624</c:v>
                </c:pt>
                <c:pt idx="131">
                  <c:v>188.45297741985246</c:v>
                </c:pt>
                <c:pt idx="132">
                  <c:v>188.65962948442547</c:v>
                </c:pt>
                <c:pt idx="133">
                  <c:v>188.84412720732485</c:v>
                </c:pt>
                <c:pt idx="134">
                  <c:v>189.07239581440015</c:v>
                </c:pt>
                <c:pt idx="135">
                  <c:v>189.3265027870118</c:v>
                </c:pt>
                <c:pt idx="136">
                  <c:v>189.52708364773173</c:v>
                </c:pt>
                <c:pt idx="137">
                  <c:v>189.65453829458698</c:v>
                </c:pt>
                <c:pt idx="138">
                  <c:v>189.77667294122489</c:v>
                </c:pt>
                <c:pt idx="139">
                  <c:v>189.86455612426218</c:v>
                </c:pt>
                <c:pt idx="140">
                  <c:v>189.96656522633995</c:v>
                </c:pt>
                <c:pt idx="141">
                  <c:v>190.05777151955755</c:v>
                </c:pt>
                <c:pt idx="142">
                  <c:v>190.19255033661037</c:v>
                </c:pt>
                <c:pt idx="143">
                  <c:v>190.29420093146464</c:v>
                </c:pt>
                <c:pt idx="144">
                  <c:v>190.45905394161883</c:v>
                </c:pt>
                <c:pt idx="145">
                  <c:v>190.60966004255349</c:v>
                </c:pt>
                <c:pt idx="146">
                  <c:v>190.7493041062618</c:v>
                </c:pt>
                <c:pt idx="147">
                  <c:v>190.85942836086534</c:v>
                </c:pt>
                <c:pt idx="148">
                  <c:v>190.89995406616441</c:v>
                </c:pt>
                <c:pt idx="149">
                  <c:v>190.97150948436934</c:v>
                </c:pt>
                <c:pt idx="150">
                  <c:v>191.03312888013946</c:v>
                </c:pt>
                <c:pt idx="151">
                  <c:v>191.1045226667313</c:v>
                </c:pt>
                <c:pt idx="152">
                  <c:v>191.16179014092205</c:v>
                </c:pt>
                <c:pt idx="153">
                  <c:v>191.23475194735454</c:v>
                </c:pt>
                <c:pt idx="154">
                  <c:v>191.30911521103039</c:v>
                </c:pt>
                <c:pt idx="155">
                  <c:v>191.40100946717183</c:v>
                </c:pt>
                <c:pt idx="156">
                  <c:v>191.49836071789039</c:v>
                </c:pt>
                <c:pt idx="157">
                  <c:v>191.62069064729553</c:v>
                </c:pt>
                <c:pt idx="158">
                  <c:v>191.71989540070999</c:v>
                </c:pt>
                <c:pt idx="159">
                  <c:v>191.80745574606328</c:v>
                </c:pt>
                <c:pt idx="160">
                  <c:v>191.88790855852872</c:v>
                </c:pt>
                <c:pt idx="161">
                  <c:v>191.97567952592257</c:v>
                </c:pt>
                <c:pt idx="162">
                  <c:v>192.10349381867198</c:v>
                </c:pt>
                <c:pt idx="163">
                  <c:v>192.19614307739016</c:v>
                </c:pt>
                <c:pt idx="164">
                  <c:v>192.29309596182341</c:v>
                </c:pt>
                <c:pt idx="165">
                  <c:v>192.41861062587907</c:v>
                </c:pt>
                <c:pt idx="166">
                  <c:v>192.54523499573324</c:v>
                </c:pt>
                <c:pt idx="167">
                  <c:v>192.72740470503854</c:v>
                </c:pt>
                <c:pt idx="168">
                  <c:v>192.88911355987369</c:v>
                </c:pt>
                <c:pt idx="169">
                  <c:v>193.01644358628315</c:v>
                </c:pt>
                <c:pt idx="170">
                  <c:v>193.1451787936374</c:v>
                </c:pt>
                <c:pt idx="171">
                  <c:v>193.24206957637898</c:v>
                </c:pt>
                <c:pt idx="172">
                  <c:v>193.3771223671873</c:v>
                </c:pt>
                <c:pt idx="173">
                  <c:v>193.59510246056303</c:v>
                </c:pt>
                <c:pt idx="174">
                  <c:v>193.71140397968884</c:v>
                </c:pt>
                <c:pt idx="175">
                  <c:v>193.78388161210361</c:v>
                </c:pt>
                <c:pt idx="176">
                  <c:v>193.8503691582037</c:v>
                </c:pt>
                <c:pt idx="177">
                  <c:v>193.92462016299768</c:v>
                </c:pt>
                <c:pt idx="178">
                  <c:v>193.99552917079589</c:v>
                </c:pt>
                <c:pt idx="179">
                  <c:v>194.06348569290162</c:v>
                </c:pt>
                <c:pt idx="180">
                  <c:v>194.17878032683785</c:v>
                </c:pt>
                <c:pt idx="181">
                  <c:v>194.38931503828243</c:v>
                </c:pt>
                <c:pt idx="182">
                  <c:v>194.46241847596423</c:v>
                </c:pt>
                <c:pt idx="183">
                  <c:v>194.53654343412231</c:v>
                </c:pt>
                <c:pt idx="184">
                  <c:v>194.61914450675877</c:v>
                </c:pt>
                <c:pt idx="185">
                  <c:v>194.68840942510238</c:v>
                </c:pt>
                <c:pt idx="186">
                  <c:v>194.75320978718929</c:v>
                </c:pt>
                <c:pt idx="187">
                  <c:v>194.8341660576119</c:v>
                </c:pt>
                <c:pt idx="188">
                  <c:v>194.89430976307958</c:v>
                </c:pt>
                <c:pt idx="189">
                  <c:v>194.93573112427319</c:v>
                </c:pt>
                <c:pt idx="190">
                  <c:v>194.97847890894366</c:v>
                </c:pt>
                <c:pt idx="191">
                  <c:v>195.07292101945603</c:v>
                </c:pt>
                <c:pt idx="192">
                  <c:v>195.13334802905482</c:v>
                </c:pt>
                <c:pt idx="193">
                  <c:v>195.18650269191698</c:v>
                </c:pt>
                <c:pt idx="194">
                  <c:v>195.25860723979699</c:v>
                </c:pt>
                <c:pt idx="195">
                  <c:v>195.33672311748313</c:v>
                </c:pt>
                <c:pt idx="196">
                  <c:v>195.61068487472778</c:v>
                </c:pt>
                <c:pt idx="197">
                  <c:v>195.73990928365001</c:v>
                </c:pt>
                <c:pt idx="198">
                  <c:v>195.87509425628102</c:v>
                </c:pt>
                <c:pt idx="199">
                  <c:v>195.97208322359884</c:v>
                </c:pt>
                <c:pt idx="200">
                  <c:v>196.07246764333414</c:v>
                </c:pt>
                <c:pt idx="201">
                  <c:v>196.18389886429432</c:v>
                </c:pt>
                <c:pt idx="202">
                  <c:v>196.26914839204557</c:v>
                </c:pt>
                <c:pt idx="203">
                  <c:v>196.4130031018704</c:v>
                </c:pt>
                <c:pt idx="204">
                  <c:v>196.50260341223677</c:v>
                </c:pt>
                <c:pt idx="205">
                  <c:v>196.59409514002127</c:v>
                </c:pt>
                <c:pt idx="206">
                  <c:v>196.68147571143709</c:v>
                </c:pt>
                <c:pt idx="207">
                  <c:v>196.7862912731475</c:v>
                </c:pt>
                <c:pt idx="208">
                  <c:v>196.87730120162419</c:v>
                </c:pt>
                <c:pt idx="209">
                  <c:v>196.98060999393203</c:v>
                </c:pt>
                <c:pt idx="210">
                  <c:v>197.0832258809609</c:v>
                </c:pt>
                <c:pt idx="211">
                  <c:v>197.1769584683887</c:v>
                </c:pt>
                <c:pt idx="212">
                  <c:v>197.27393602131031</c:v>
                </c:pt>
                <c:pt idx="213">
                  <c:v>197.34443856356981</c:v>
                </c:pt>
                <c:pt idx="214">
                  <c:v>197.9567324994085</c:v>
                </c:pt>
                <c:pt idx="215">
                  <c:v>198.27855298659085</c:v>
                </c:pt>
                <c:pt idx="216">
                  <c:v>198.46488010504052</c:v>
                </c:pt>
                <c:pt idx="217">
                  <c:v>198.65055062663674</c:v>
                </c:pt>
                <c:pt idx="218">
                  <c:v>198.79162808161718</c:v>
                </c:pt>
                <c:pt idx="219">
                  <c:v>199.0345430057184</c:v>
                </c:pt>
                <c:pt idx="220">
                  <c:v>199.25119785432545</c:v>
                </c:pt>
                <c:pt idx="221">
                  <c:v>199.5134934377227</c:v>
                </c:pt>
                <c:pt idx="222">
                  <c:v>199.71629507073624</c:v>
                </c:pt>
                <c:pt idx="223">
                  <c:v>199.86082149355448</c:v>
                </c:pt>
                <c:pt idx="224">
                  <c:v>200.0409867578048</c:v>
                </c:pt>
                <c:pt idx="225">
                  <c:v>200.23200112325188</c:v>
                </c:pt>
                <c:pt idx="226">
                  <c:v>200.41918670334422</c:v>
                </c:pt>
                <c:pt idx="227">
                  <c:v>200.66667045912251</c:v>
                </c:pt>
                <c:pt idx="228">
                  <c:v>200.81386044882726</c:v>
                </c:pt>
                <c:pt idx="229">
                  <c:v>200.94232156756254</c:v>
                </c:pt>
                <c:pt idx="230">
                  <c:v>201.07045212152832</c:v>
                </c:pt>
                <c:pt idx="231">
                  <c:v>201.26185706328118</c:v>
                </c:pt>
                <c:pt idx="232">
                  <c:v>201.39946797385909</c:v>
                </c:pt>
                <c:pt idx="233">
                  <c:v>201.54537283135983</c:v>
                </c:pt>
                <c:pt idx="234">
                  <c:v>201.68149867753928</c:v>
                </c:pt>
                <c:pt idx="235">
                  <c:v>201.80004890368406</c:v>
                </c:pt>
                <c:pt idx="236">
                  <c:v>201.93936396123246</c:v>
                </c:pt>
                <c:pt idx="237">
                  <c:v>202.1132886389606</c:v>
                </c:pt>
                <c:pt idx="238">
                  <c:v>202.26510944962524</c:v>
                </c:pt>
                <c:pt idx="239">
                  <c:v>202.37640186769718</c:v>
                </c:pt>
                <c:pt idx="240">
                  <c:v>202.55652196072472</c:v>
                </c:pt>
                <c:pt idx="241">
                  <c:v>202.7101681311612</c:v>
                </c:pt>
                <c:pt idx="242">
                  <c:v>202.84208872407604</c:v>
                </c:pt>
                <c:pt idx="243">
                  <c:v>202.98403153433927</c:v>
                </c:pt>
                <c:pt idx="244">
                  <c:v>203.14413214560329</c:v>
                </c:pt>
                <c:pt idx="245">
                  <c:v>203.64172722127873</c:v>
                </c:pt>
                <c:pt idx="246">
                  <c:v>203.77480541066575</c:v>
                </c:pt>
                <c:pt idx="247">
                  <c:v>203.83860743348959</c:v>
                </c:pt>
                <c:pt idx="248">
                  <c:v>203.91614205033815</c:v>
                </c:pt>
                <c:pt idx="249">
                  <c:v>204.01050176724098</c:v>
                </c:pt>
                <c:pt idx="250">
                  <c:v>204.09960444848073</c:v>
                </c:pt>
                <c:pt idx="251">
                  <c:v>204.17591386394227</c:v>
                </c:pt>
                <c:pt idx="252">
                  <c:v>204.32064990581296</c:v>
                </c:pt>
                <c:pt idx="253">
                  <c:v>204.48199338251214</c:v>
                </c:pt>
                <c:pt idx="254">
                  <c:v>204.63869964485988</c:v>
                </c:pt>
                <c:pt idx="255">
                  <c:v>204.78467843390695</c:v>
                </c:pt>
                <c:pt idx="256">
                  <c:v>204.92811831148157</c:v>
                </c:pt>
                <c:pt idx="257">
                  <c:v>205.08197511585664</c:v>
                </c:pt>
                <c:pt idx="258">
                  <c:v>205.2493208280161</c:v>
                </c:pt>
                <c:pt idx="259">
                  <c:v>205.47206386625894</c:v>
                </c:pt>
                <c:pt idx="260">
                  <c:v>205.83693134396879</c:v>
                </c:pt>
                <c:pt idx="261">
                  <c:v>206.14740755376039</c:v>
                </c:pt>
                <c:pt idx="262">
                  <c:v>206.53736781068949</c:v>
                </c:pt>
                <c:pt idx="263">
                  <c:v>206.8578700009231</c:v>
                </c:pt>
                <c:pt idx="264">
                  <c:v>207.0660623501486</c:v>
                </c:pt>
                <c:pt idx="265">
                  <c:v>207.32583231221247</c:v>
                </c:pt>
                <c:pt idx="266">
                  <c:v>207.50621329028348</c:v>
                </c:pt>
                <c:pt idx="267">
                  <c:v>207.68520820797701</c:v>
                </c:pt>
                <c:pt idx="268">
                  <c:v>207.86351396334854</c:v>
                </c:pt>
                <c:pt idx="269">
                  <c:v>208.04642294861128</c:v>
                </c:pt>
                <c:pt idx="270">
                  <c:v>208.25921638656618</c:v>
                </c:pt>
                <c:pt idx="271">
                  <c:v>208.43033571737149</c:v>
                </c:pt>
                <c:pt idx="272">
                  <c:v>208.62674057509028</c:v>
                </c:pt>
                <c:pt idx="273">
                  <c:v>208.76038344651718</c:v>
                </c:pt>
                <c:pt idx="274">
                  <c:v>208.90095225597409</c:v>
                </c:pt>
                <c:pt idx="275">
                  <c:v>209.09776237770186</c:v>
                </c:pt>
                <c:pt idx="276">
                  <c:v>209.27951953651294</c:v>
                </c:pt>
                <c:pt idx="277">
                  <c:v>209.49051034259213</c:v>
                </c:pt>
                <c:pt idx="278">
                  <c:v>209.67662959080707</c:v>
                </c:pt>
                <c:pt idx="279">
                  <c:v>209.84976045863414</c:v>
                </c:pt>
                <c:pt idx="280">
                  <c:v>210.06888871597067</c:v>
                </c:pt>
                <c:pt idx="281">
                  <c:v>210.21709242755489</c:v>
                </c:pt>
                <c:pt idx="282">
                  <c:v>210.43271738084738</c:v>
                </c:pt>
                <c:pt idx="283">
                  <c:v>210.62047847141974</c:v>
                </c:pt>
                <c:pt idx="284">
                  <c:v>210.92174356249063</c:v>
                </c:pt>
                <c:pt idx="285">
                  <c:v>211.18547557665951</c:v>
                </c:pt>
                <c:pt idx="286">
                  <c:v>211.38515964501576</c:v>
                </c:pt>
                <c:pt idx="287">
                  <c:v>211.55423930565595</c:v>
                </c:pt>
                <c:pt idx="288">
                  <c:v>211.66136015181493</c:v>
                </c:pt>
                <c:pt idx="289">
                  <c:v>211.80924400429629</c:v>
                </c:pt>
                <c:pt idx="290">
                  <c:v>212.01878454002838</c:v>
                </c:pt>
                <c:pt idx="291">
                  <c:v>212.1850024789139</c:v>
                </c:pt>
                <c:pt idx="292">
                  <c:v>212.37754817943559</c:v>
                </c:pt>
                <c:pt idx="293">
                  <c:v>212.49283001651204</c:v>
                </c:pt>
                <c:pt idx="294">
                  <c:v>212.61966298506627</c:v>
                </c:pt>
                <c:pt idx="295">
                  <c:v>212.84481387620323</c:v>
                </c:pt>
                <c:pt idx="296">
                  <c:v>212.97938650056815</c:v>
                </c:pt>
                <c:pt idx="297">
                  <c:v>213.08649463129177</c:v>
                </c:pt>
                <c:pt idx="298">
                  <c:v>213.17286357134466</c:v>
                </c:pt>
                <c:pt idx="299">
                  <c:v>213.24430733943558</c:v>
                </c:pt>
                <c:pt idx="300">
                  <c:v>213.32684772069641</c:v>
                </c:pt>
                <c:pt idx="301">
                  <c:v>213.39759883136446</c:v>
                </c:pt>
                <c:pt idx="302">
                  <c:v>213.47724739375025</c:v>
                </c:pt>
                <c:pt idx="303">
                  <c:v>213.5695023451957</c:v>
                </c:pt>
                <c:pt idx="304">
                  <c:v>213.64462957411456</c:v>
                </c:pt>
                <c:pt idx="305">
                  <c:v>213.83510142687041</c:v>
                </c:pt>
                <c:pt idx="306">
                  <c:v>213.94829319485368</c:v>
                </c:pt>
                <c:pt idx="307">
                  <c:v>214.06910889350354</c:v>
                </c:pt>
                <c:pt idx="308">
                  <c:v>214.2336970989287</c:v>
                </c:pt>
                <c:pt idx="309">
                  <c:v>214.32811860418599</c:v>
                </c:pt>
                <c:pt idx="310">
                  <c:v>214.4462895169851</c:v>
                </c:pt>
                <c:pt idx="311">
                  <c:v>214.59077904162672</c:v>
                </c:pt>
                <c:pt idx="312">
                  <c:v>214.67116378423412</c:v>
                </c:pt>
                <c:pt idx="313">
                  <c:v>214.75391417923245</c:v>
                </c:pt>
                <c:pt idx="314">
                  <c:v>214.83545329699092</c:v>
                </c:pt>
                <c:pt idx="315">
                  <c:v>214.79370661350268</c:v>
                </c:pt>
                <c:pt idx="316">
                  <c:v>214.79099394158888</c:v>
                </c:pt>
                <c:pt idx="317">
                  <c:v>214.80446480825896</c:v>
                </c:pt>
                <c:pt idx="318">
                  <c:v>214.95927817359077</c:v>
                </c:pt>
                <c:pt idx="319">
                  <c:v>215.03455318843041</c:v>
                </c:pt>
                <c:pt idx="320">
                  <c:v>215.174376920491</c:v>
                </c:pt>
                <c:pt idx="321">
                  <c:v>215.25689341478576</c:v>
                </c:pt>
                <c:pt idx="322">
                  <c:v>215.3199249814011</c:v>
                </c:pt>
                <c:pt idx="323">
                  <c:v>215.36284608820762</c:v>
                </c:pt>
                <c:pt idx="324">
                  <c:v>215.41379970472315</c:v>
                </c:pt>
                <c:pt idx="325">
                  <c:v>215.45170212357525</c:v>
                </c:pt>
                <c:pt idx="326">
                  <c:v>215.52049443140857</c:v>
                </c:pt>
                <c:pt idx="327">
                  <c:v>215.634337367407</c:v>
                </c:pt>
                <c:pt idx="328">
                  <c:v>215.71756266296367</c:v>
                </c:pt>
                <c:pt idx="329">
                  <c:v>215.79310078030582</c:v>
                </c:pt>
                <c:pt idx="330">
                  <c:v>215.85703808975833</c:v>
                </c:pt>
                <c:pt idx="331">
                  <c:v>215.92233179484555</c:v>
                </c:pt>
                <c:pt idx="332">
                  <c:v>216.03912972815223</c:v>
                </c:pt>
                <c:pt idx="333">
                  <c:v>216.1228842222651</c:v>
                </c:pt>
                <c:pt idx="334">
                  <c:v>216.2041555525679</c:v>
                </c:pt>
                <c:pt idx="335">
                  <c:v>216.26582408304839</c:v>
                </c:pt>
                <c:pt idx="336">
                  <c:v>216.33107912905027</c:v>
                </c:pt>
                <c:pt idx="337">
                  <c:v>216.42041296551804</c:v>
                </c:pt>
                <c:pt idx="338">
                  <c:v>216.51564727767874</c:v>
                </c:pt>
                <c:pt idx="339">
                  <c:v>216.57302888143727</c:v>
                </c:pt>
                <c:pt idx="340">
                  <c:v>216.70144525302544</c:v>
                </c:pt>
                <c:pt idx="341">
                  <c:v>216.82344811477827</c:v>
                </c:pt>
                <c:pt idx="342">
                  <c:v>216.95252632292349</c:v>
                </c:pt>
                <c:pt idx="343">
                  <c:v>217.09459151718812</c:v>
                </c:pt>
                <c:pt idx="344">
                  <c:v>217.23174305661425</c:v>
                </c:pt>
                <c:pt idx="345">
                  <c:v>217.40715462394857</c:v>
                </c:pt>
                <c:pt idx="346">
                  <c:v>217.53028344962172</c:v>
                </c:pt>
                <c:pt idx="347">
                  <c:v>217.62825149574957</c:v>
                </c:pt>
                <c:pt idx="348">
                  <c:v>217.71266589867778</c:v>
                </c:pt>
                <c:pt idx="349">
                  <c:v>217.79886189234327</c:v>
                </c:pt>
                <c:pt idx="350">
                  <c:v>217.90573653326535</c:v>
                </c:pt>
                <c:pt idx="351">
                  <c:v>217.98125721386521</c:v>
                </c:pt>
                <c:pt idx="352">
                  <c:v>218.05170832165356</c:v>
                </c:pt>
                <c:pt idx="353">
                  <c:v>218.20195264201556</c:v>
                </c:pt>
                <c:pt idx="354">
                  <c:v>218.2849877062923</c:v>
                </c:pt>
                <c:pt idx="355">
                  <c:v>218.38462971665658</c:v>
                </c:pt>
                <c:pt idx="356">
                  <c:v>218.46494258649227</c:v>
                </c:pt>
                <c:pt idx="357">
                  <c:v>218.57003723626036</c:v>
                </c:pt>
                <c:pt idx="358">
                  <c:v>218.67762044411742</c:v>
                </c:pt>
                <c:pt idx="359">
                  <c:v>218.79472995098311</c:v>
                </c:pt>
                <c:pt idx="360">
                  <c:v>218.90489727336956</c:v>
                </c:pt>
                <c:pt idx="361">
                  <c:v>219.01208784306371</c:v>
                </c:pt>
                <c:pt idx="362">
                  <c:v>219.10729429615614</c:v>
                </c:pt>
                <c:pt idx="363">
                  <c:v>219.20219053775003</c:v>
                </c:pt>
                <c:pt idx="364">
                  <c:v>219.32966816954936</c:v>
                </c:pt>
                <c:pt idx="365">
                  <c:v>219.42787118933174</c:v>
                </c:pt>
                <c:pt idx="366">
                  <c:v>219.57922563472914</c:v>
                </c:pt>
                <c:pt idx="367">
                  <c:v>219.80247551924668</c:v>
                </c:pt>
                <c:pt idx="368">
                  <c:v>219.93862869044105</c:v>
                </c:pt>
                <c:pt idx="369">
                  <c:v>220.1016928731087</c:v>
                </c:pt>
                <c:pt idx="370">
                  <c:v>220.22672861244502</c:v>
                </c:pt>
                <c:pt idx="371">
                  <c:v>220.4017449974242</c:v>
                </c:pt>
                <c:pt idx="372">
                  <c:v>220.74048222992442</c:v>
                </c:pt>
                <c:pt idx="373">
                  <c:v>220.98901076769204</c:v>
                </c:pt>
                <c:pt idx="374">
                  <c:v>221.17208983556762</c:v>
                </c:pt>
                <c:pt idx="375">
                  <c:v>221.33490970031079</c:v>
                </c:pt>
                <c:pt idx="376">
                  <c:v>221.47227824827436</c:v>
                </c:pt>
                <c:pt idx="377">
                  <c:v>221.64683306222247</c:v>
                </c:pt>
                <c:pt idx="378">
                  <c:v>221.91051296337389</c:v>
                </c:pt>
                <c:pt idx="379">
                  <c:v>222.10279382194679</c:v>
                </c:pt>
                <c:pt idx="380">
                  <c:v>222.25726907211327</c:v>
                </c:pt>
                <c:pt idx="381">
                  <c:v>222.38953228040305</c:v>
                </c:pt>
                <c:pt idx="382">
                  <c:v>222.55603835320701</c:v>
                </c:pt>
                <c:pt idx="383">
                  <c:v>222.77694987631415</c:v>
                </c:pt>
                <c:pt idx="384">
                  <c:v>222.94986301895111</c:v>
                </c:pt>
                <c:pt idx="385">
                  <c:v>223.10607399992102</c:v>
                </c:pt>
                <c:pt idx="386">
                  <c:v>223.33364833228921</c:v>
                </c:pt>
                <c:pt idx="387">
                  <c:v>223.47931901650449</c:v>
                </c:pt>
                <c:pt idx="388">
                  <c:v>223.60356182752483</c:v>
                </c:pt>
                <c:pt idx="389">
                  <c:v>223.74434048696517</c:v>
                </c:pt>
                <c:pt idx="390">
                  <c:v>223.88255407678932</c:v>
                </c:pt>
                <c:pt idx="391">
                  <c:v>224.00230848102674</c:v>
                </c:pt>
                <c:pt idx="392">
                  <c:v>224.11956316751278</c:v>
                </c:pt>
                <c:pt idx="393">
                  <c:v>224.26974996626933</c:v>
                </c:pt>
                <c:pt idx="394">
                  <c:v>224.43326603400055</c:v>
                </c:pt>
                <c:pt idx="395">
                  <c:v>224.71719878985635</c:v>
                </c:pt>
                <c:pt idx="396">
                  <c:v>224.92464175799196</c:v>
                </c:pt>
                <c:pt idx="397">
                  <c:v>225.04762567677747</c:v>
                </c:pt>
                <c:pt idx="398">
                  <c:v>225.17444813707917</c:v>
                </c:pt>
                <c:pt idx="399">
                  <c:v>225.28578812617914</c:v>
                </c:pt>
                <c:pt idx="400">
                  <c:v>225.41753860428415</c:v>
                </c:pt>
                <c:pt idx="401">
                  <c:v>225.52880146329983</c:v>
                </c:pt>
                <c:pt idx="402">
                  <c:v>225.62207656288359</c:v>
                </c:pt>
                <c:pt idx="403">
                  <c:v>225.77408373647484</c:v>
                </c:pt>
                <c:pt idx="404">
                  <c:v>225.91759285825469</c:v>
                </c:pt>
                <c:pt idx="405">
                  <c:v>226.03095809925247</c:v>
                </c:pt>
                <c:pt idx="406">
                  <c:v>226.15504291435442</c:v>
                </c:pt>
                <c:pt idx="407">
                  <c:v>226.24726645280313</c:v>
                </c:pt>
                <c:pt idx="408">
                  <c:v>226.34884642047672</c:v>
                </c:pt>
                <c:pt idx="409">
                  <c:v>226.47564594650771</c:v>
                </c:pt>
                <c:pt idx="410">
                  <c:v>226.5878037350283</c:v>
                </c:pt>
                <c:pt idx="411">
                  <c:v>226.74265040551475</c:v>
                </c:pt>
                <c:pt idx="412">
                  <c:v>226.84624298827438</c:v>
                </c:pt>
                <c:pt idx="413">
                  <c:v>226.97101937007497</c:v>
                </c:pt>
                <c:pt idx="414">
                  <c:v>227.08430466289965</c:v>
                </c:pt>
                <c:pt idx="415">
                  <c:v>227.20678915253978</c:v>
                </c:pt>
                <c:pt idx="416">
                  <c:v>227.33681699259557</c:v>
                </c:pt>
                <c:pt idx="417">
                  <c:v>227.47129030242692</c:v>
                </c:pt>
                <c:pt idx="418">
                  <c:v>227.58819581748446</c:v>
                </c:pt>
                <c:pt idx="419">
                  <c:v>227.71734431312231</c:v>
                </c:pt>
                <c:pt idx="420">
                  <c:v>227.88511271057627</c:v>
                </c:pt>
                <c:pt idx="421">
                  <c:v>228.02104075016516</c:v>
                </c:pt>
                <c:pt idx="422">
                  <c:v>228.16066502624577</c:v>
                </c:pt>
                <c:pt idx="423">
                  <c:v>228.30398159366993</c:v>
                </c:pt>
                <c:pt idx="424">
                  <c:v>228.45968836220305</c:v>
                </c:pt>
                <c:pt idx="425">
                  <c:v>228.59575103091177</c:v>
                </c:pt>
                <c:pt idx="426">
                  <c:v>228.74036933142875</c:v>
                </c:pt>
                <c:pt idx="427">
                  <c:v>228.95391863969499</c:v>
                </c:pt>
                <c:pt idx="428">
                  <c:v>229.13430175014733</c:v>
                </c:pt>
                <c:pt idx="429">
                  <c:v>229.30432457187058</c:v>
                </c:pt>
                <c:pt idx="430">
                  <c:v>229.80726188273454</c:v>
                </c:pt>
                <c:pt idx="431">
                  <c:v>229.96210959332876</c:v>
                </c:pt>
                <c:pt idx="432">
                  <c:v>230.13880331916278</c:v>
                </c:pt>
                <c:pt idx="433">
                  <c:v>230.2899163401608</c:v>
                </c:pt>
                <c:pt idx="434">
                  <c:v>230.43586110682341</c:v>
                </c:pt>
                <c:pt idx="435">
                  <c:v>230.58956513244809</c:v>
                </c:pt>
                <c:pt idx="436">
                  <c:v>230.72536482258911</c:v>
                </c:pt>
                <c:pt idx="437">
                  <c:v>230.97194076357715</c:v>
                </c:pt>
                <c:pt idx="438">
                  <c:v>231.1528373496528</c:v>
                </c:pt>
                <c:pt idx="439">
                  <c:v>231.29520034634371</c:v>
                </c:pt>
                <c:pt idx="440">
                  <c:v>231.41143610259408</c:v>
                </c:pt>
                <c:pt idx="441">
                  <c:v>231.5485590777032</c:v>
                </c:pt>
                <c:pt idx="442">
                  <c:v>231.7055584286976</c:v>
                </c:pt>
                <c:pt idx="443">
                  <c:v>231.81985638130257</c:v>
                </c:pt>
                <c:pt idx="444">
                  <c:v>231.94636579742527</c:v>
                </c:pt>
                <c:pt idx="445">
                  <c:v>232.09015433256593</c:v>
                </c:pt>
                <c:pt idx="446">
                  <c:v>232.28822646382667</c:v>
                </c:pt>
                <c:pt idx="447">
                  <c:v>232.56035948305467</c:v>
                </c:pt>
                <c:pt idx="448">
                  <c:v>232.75993953358565</c:v>
                </c:pt>
                <c:pt idx="449">
                  <c:v>232.92630731181609</c:v>
                </c:pt>
                <c:pt idx="450">
                  <c:v>233.08325761053476</c:v>
                </c:pt>
                <c:pt idx="451">
                  <c:v>233.19730673328314</c:v>
                </c:pt>
                <c:pt idx="452">
                  <c:v>233.30958249839662</c:v>
                </c:pt>
                <c:pt idx="453">
                  <c:v>233.42607593472545</c:v>
                </c:pt>
                <c:pt idx="454">
                  <c:v>233.50504546981199</c:v>
                </c:pt>
                <c:pt idx="455">
                  <c:v>233.61979773864391</c:v>
                </c:pt>
                <c:pt idx="456">
                  <c:v>233.71405500764169</c:v>
                </c:pt>
                <c:pt idx="457">
                  <c:v>233.82141552223808</c:v>
                </c:pt>
                <c:pt idx="458">
                  <c:v>233.94869344929322</c:v>
                </c:pt>
                <c:pt idx="459">
                  <c:v>234.08238286310413</c:v>
                </c:pt>
                <c:pt idx="460">
                  <c:v>234.22230947117717</c:v>
                </c:pt>
                <c:pt idx="461">
                  <c:v>234.35937789494147</c:v>
                </c:pt>
                <c:pt idx="462">
                  <c:v>234.48376333697536</c:v>
                </c:pt>
                <c:pt idx="463">
                  <c:v>234.60779799195021</c:v>
                </c:pt>
                <c:pt idx="464">
                  <c:v>234.74049356099016</c:v>
                </c:pt>
                <c:pt idx="465">
                  <c:v>234.87585178308998</c:v>
                </c:pt>
                <c:pt idx="466">
                  <c:v>234.98654989095201</c:v>
                </c:pt>
                <c:pt idx="467">
                  <c:v>235.08091868011218</c:v>
                </c:pt>
                <c:pt idx="468">
                  <c:v>235.29041215543944</c:v>
                </c:pt>
                <c:pt idx="469">
                  <c:v>235.44459943050094</c:v>
                </c:pt>
                <c:pt idx="470">
                  <c:v>235.60724991393232</c:v>
                </c:pt>
                <c:pt idx="471">
                  <c:v>235.73186866301054</c:v>
                </c:pt>
                <c:pt idx="472">
                  <c:v>235.85026289035434</c:v>
                </c:pt>
                <c:pt idx="473">
                  <c:v>235.93622943204747</c:v>
                </c:pt>
                <c:pt idx="474">
                  <c:v>236.04373049213217</c:v>
                </c:pt>
                <c:pt idx="475">
                  <c:v>236.21064102632312</c:v>
                </c:pt>
                <c:pt idx="476">
                  <c:v>236.36497156819442</c:v>
                </c:pt>
                <c:pt idx="477">
                  <c:v>236.49974745485244</c:v>
                </c:pt>
                <c:pt idx="478">
                  <c:v>236.62774178185501</c:v>
                </c:pt>
                <c:pt idx="479">
                  <c:v>236.70282544965085</c:v>
                </c:pt>
                <c:pt idx="480">
                  <c:v>236.82939614609498</c:v>
                </c:pt>
                <c:pt idx="481">
                  <c:v>236.9460229946236</c:v>
                </c:pt>
                <c:pt idx="482">
                  <c:v>237.09105157155329</c:v>
                </c:pt>
                <c:pt idx="483">
                  <c:v>237.26259435535511</c:v>
                </c:pt>
                <c:pt idx="484">
                  <c:v>237.37676590662696</c:v>
                </c:pt>
                <c:pt idx="485">
                  <c:v>237.50654638835817</c:v>
                </c:pt>
                <c:pt idx="486">
                  <c:v>237.76115266507051</c:v>
                </c:pt>
                <c:pt idx="487">
                  <c:v>238.06560025026741</c:v>
                </c:pt>
                <c:pt idx="488">
                  <c:v>238.23714438910716</c:v>
                </c:pt>
                <c:pt idx="489">
                  <c:v>238.39726505454925</c:v>
                </c:pt>
                <c:pt idx="490">
                  <c:v>238.59367656599011</c:v>
                </c:pt>
                <c:pt idx="491">
                  <c:v>238.7354253822287</c:v>
                </c:pt>
                <c:pt idx="492">
                  <c:v>238.88210929696709</c:v>
                </c:pt>
                <c:pt idx="493">
                  <c:v>239.06881782181057</c:v>
                </c:pt>
                <c:pt idx="494">
                  <c:v>239.48784347635564</c:v>
                </c:pt>
                <c:pt idx="495">
                  <c:v>239.64047439825481</c:v>
                </c:pt>
                <c:pt idx="496">
                  <c:v>239.7660314642084</c:v>
                </c:pt>
                <c:pt idx="497">
                  <c:v>239.84963124886582</c:v>
                </c:pt>
                <c:pt idx="498">
                  <c:v>239.92938725556658</c:v>
                </c:pt>
                <c:pt idx="499">
                  <c:v>240.08674275450136</c:v>
                </c:pt>
                <c:pt idx="500">
                  <c:v>240.22969331397513</c:v>
                </c:pt>
                <c:pt idx="501">
                  <c:v>240.31942753241191</c:v>
                </c:pt>
                <c:pt idx="502">
                  <c:v>240.46785876147629</c:v>
                </c:pt>
                <c:pt idx="503">
                  <c:v>240.68509119580585</c:v>
                </c:pt>
                <c:pt idx="504">
                  <c:v>240.84018696751571</c:v>
                </c:pt>
                <c:pt idx="505">
                  <c:v>241.02206623671395</c:v>
                </c:pt>
                <c:pt idx="506">
                  <c:v>241.24560283831607</c:v>
                </c:pt>
                <c:pt idx="507">
                  <c:v>241.37255903789247</c:v>
                </c:pt>
                <c:pt idx="508">
                  <c:v>241.59995856431075</c:v>
                </c:pt>
                <c:pt idx="509">
                  <c:v>241.8855935096461</c:v>
                </c:pt>
                <c:pt idx="510">
                  <c:v>242.24794799315146</c:v>
                </c:pt>
                <c:pt idx="511">
                  <c:v>242.45647603150422</c:v>
                </c:pt>
                <c:pt idx="512">
                  <c:v>242.67221595461311</c:v>
                </c:pt>
                <c:pt idx="513">
                  <c:v>242.8347379591012</c:v>
                </c:pt>
                <c:pt idx="514">
                  <c:v>242.96198930154188</c:v>
                </c:pt>
                <c:pt idx="515">
                  <c:v>243.09546345605531</c:v>
                </c:pt>
                <c:pt idx="516">
                  <c:v>243.22187405994936</c:v>
                </c:pt>
                <c:pt idx="517">
                  <c:v>243.36309566357815</c:v>
                </c:pt>
                <c:pt idx="518">
                  <c:v>243.49919776407026</c:v>
                </c:pt>
                <c:pt idx="519">
                  <c:v>243.61244954779349</c:v>
                </c:pt>
                <c:pt idx="520">
                  <c:v>243.76258471244674</c:v>
                </c:pt>
                <c:pt idx="521">
                  <c:v>243.91550283878937</c:v>
                </c:pt>
                <c:pt idx="522">
                  <c:v>244.04536444074529</c:v>
                </c:pt>
                <c:pt idx="523">
                  <c:v>244.22949924683118</c:v>
                </c:pt>
                <c:pt idx="524">
                  <c:v>244.3766469974783</c:v>
                </c:pt>
                <c:pt idx="525">
                  <c:v>244.50273167841894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7F-43E8-8F32-C1789BDA5FB8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Data!$H$2:$H$527</c:f>
              <c:numCache>
                <c:formatCode>General</c:formatCode>
                <c:ptCount val="526"/>
                <c:pt idx="0">
                  <c:v>172.08</c:v>
                </c:pt>
                <c:pt idx="1">
                  <c:v>172.08236555446791</c:v>
                </c:pt>
                <c:pt idx="2">
                  <c:v>171.93170389816194</c:v>
                </c:pt>
                <c:pt idx="3">
                  <c:v>172.16664709401599</c:v>
                </c:pt>
                <c:pt idx="4">
                  <c:v>172.19211633834624</c:v>
                </c:pt>
                <c:pt idx="5">
                  <c:v>172.18582507399981</c:v>
                </c:pt>
                <c:pt idx="6">
                  <c:v>172.10575520919295</c:v>
                </c:pt>
                <c:pt idx="7">
                  <c:v>172.03636434885962</c:v>
                </c:pt>
                <c:pt idx="8">
                  <c:v>171.90375254566263</c:v>
                </c:pt>
                <c:pt idx="9">
                  <c:v>171.83339717647064</c:v>
                </c:pt>
                <c:pt idx="10">
                  <c:v>171.87974864382451</c:v>
                </c:pt>
                <c:pt idx="11">
                  <c:v>171.83527901023643</c:v>
                </c:pt>
                <c:pt idx="12">
                  <c:v>171.78755805803917</c:v>
                </c:pt>
                <c:pt idx="13">
                  <c:v>171.72843998413424</c:v>
                </c:pt>
                <c:pt idx="14">
                  <c:v>171.64997183603575</c:v>
                </c:pt>
                <c:pt idx="15">
                  <c:v>171.62635752516468</c:v>
                </c:pt>
                <c:pt idx="16">
                  <c:v>171.84474459532555</c:v>
                </c:pt>
                <c:pt idx="17">
                  <c:v>171.93600663538408</c:v>
                </c:pt>
                <c:pt idx="18">
                  <c:v>172.0522323613975</c:v>
                </c:pt>
                <c:pt idx="19">
                  <c:v>172.71396927956914</c:v>
                </c:pt>
                <c:pt idx="20">
                  <c:v>172.98311880357633</c:v>
                </c:pt>
                <c:pt idx="21">
                  <c:v>173.12108809725717</c:v>
                </c:pt>
                <c:pt idx="22">
                  <c:v>173.32617303706041</c:v>
                </c:pt>
                <c:pt idx="23">
                  <c:v>173.4740066928137</c:v>
                </c:pt>
                <c:pt idx="24">
                  <c:v>173.64020963551067</c:v>
                </c:pt>
                <c:pt idx="25">
                  <c:v>173.82052241212051</c:v>
                </c:pt>
                <c:pt idx="26">
                  <c:v>173.91928365930841</c:v>
                </c:pt>
                <c:pt idx="27">
                  <c:v>174.02455351632673</c:v>
                </c:pt>
                <c:pt idx="28">
                  <c:v>174.20407640327505</c:v>
                </c:pt>
                <c:pt idx="29">
                  <c:v>174.26443673415537</c:v>
                </c:pt>
                <c:pt idx="30">
                  <c:v>174.41428044527899</c:v>
                </c:pt>
                <c:pt idx="31">
                  <c:v>174.91755197481601</c:v>
                </c:pt>
                <c:pt idx="32">
                  <c:v>175.26190150067796</c:v>
                </c:pt>
                <c:pt idx="33">
                  <c:v>175.66035823567913</c:v>
                </c:pt>
                <c:pt idx="34">
                  <c:v>176.0556108940857</c:v>
                </c:pt>
                <c:pt idx="35">
                  <c:v>176.6563537548092</c:v>
                </c:pt>
                <c:pt idx="36">
                  <c:v>177.20202778107543</c:v>
                </c:pt>
                <c:pt idx="37">
                  <c:v>177.634269156713</c:v>
                </c:pt>
                <c:pt idx="38">
                  <c:v>177.99091966682272</c:v>
                </c:pt>
                <c:pt idx="39">
                  <c:v>178.38587474730821</c:v>
                </c:pt>
                <c:pt idx="40">
                  <c:v>178.96798658745371</c:v>
                </c:pt>
                <c:pt idx="41">
                  <c:v>179.34477488864468</c:v>
                </c:pt>
                <c:pt idx="42">
                  <c:v>179.7986738340885</c:v>
                </c:pt>
                <c:pt idx="43">
                  <c:v>180.32062764778578</c:v>
                </c:pt>
                <c:pt idx="44">
                  <c:v>180.89225205039855</c:v>
                </c:pt>
                <c:pt idx="45">
                  <c:v>181.3126756566754</c:v>
                </c:pt>
                <c:pt idx="46">
                  <c:v>181.67808103153669</c:v>
                </c:pt>
                <c:pt idx="47">
                  <c:v>182.00832826875876</c:v>
                </c:pt>
                <c:pt idx="48">
                  <c:v>182.39142804940809</c:v>
                </c:pt>
                <c:pt idx="49">
                  <c:v>182.89859054755229</c:v>
                </c:pt>
                <c:pt idx="50">
                  <c:v>183.26104567845374</c:v>
                </c:pt>
                <c:pt idx="51">
                  <c:v>183.92483744442785</c:v>
                </c:pt>
                <c:pt idx="52">
                  <c:v>184.43938851608232</c:v>
                </c:pt>
                <c:pt idx="53">
                  <c:v>184.9630495619831</c:v>
                </c:pt>
                <c:pt idx="54">
                  <c:v>185.62387861438438</c:v>
                </c:pt>
                <c:pt idx="55">
                  <c:v>186.47338101550548</c:v>
                </c:pt>
                <c:pt idx="56">
                  <c:v>187.00729153345986</c:v>
                </c:pt>
                <c:pt idx="57">
                  <c:v>187.43791618470544</c:v>
                </c:pt>
                <c:pt idx="58">
                  <c:v>187.80191198246459</c:v>
                </c:pt>
                <c:pt idx="59">
                  <c:v>188.41142763940206</c:v>
                </c:pt>
                <c:pt idx="60">
                  <c:v>189.01764465579089</c:v>
                </c:pt>
                <c:pt idx="61">
                  <c:v>189.4781278824174</c:v>
                </c:pt>
                <c:pt idx="62">
                  <c:v>189.89970690968619</c:v>
                </c:pt>
                <c:pt idx="63">
                  <c:v>190.35004048665434</c:v>
                </c:pt>
                <c:pt idx="64">
                  <c:v>190.66999921750215</c:v>
                </c:pt>
                <c:pt idx="65">
                  <c:v>190.96626815999085</c:v>
                </c:pt>
                <c:pt idx="66">
                  <c:v>191.3266030810521</c:v>
                </c:pt>
                <c:pt idx="67">
                  <c:v>191.60646681726425</c:v>
                </c:pt>
                <c:pt idx="68">
                  <c:v>191.82918602540161</c:v>
                </c:pt>
                <c:pt idx="69">
                  <c:v>192.09615730179212</c:v>
                </c:pt>
                <c:pt idx="70">
                  <c:v>192.08007926061578</c:v>
                </c:pt>
                <c:pt idx="71">
                  <c:v>192.03493468977535</c:v>
                </c:pt>
                <c:pt idx="72">
                  <c:v>191.94518754382685</c:v>
                </c:pt>
                <c:pt idx="73">
                  <c:v>191.85924186882963</c:v>
                </c:pt>
                <c:pt idx="74">
                  <c:v>191.78684302794298</c:v>
                </c:pt>
                <c:pt idx="75">
                  <c:v>191.80439957760626</c:v>
                </c:pt>
                <c:pt idx="76">
                  <c:v>191.8898202232067</c:v>
                </c:pt>
                <c:pt idx="77">
                  <c:v>192.00899443803365</c:v>
                </c:pt>
                <c:pt idx="78">
                  <c:v>192.11471006143427</c:v>
                </c:pt>
                <c:pt idx="79">
                  <c:v>192.26520051361766</c:v>
                </c:pt>
                <c:pt idx="80">
                  <c:v>192.36378688811322</c:v>
                </c:pt>
                <c:pt idx="81">
                  <c:v>192.44060010407239</c:v>
                </c:pt>
                <c:pt idx="82">
                  <c:v>192.52021375106554</c:v>
                </c:pt>
                <c:pt idx="83">
                  <c:v>192.59125657404047</c:v>
                </c:pt>
                <c:pt idx="84">
                  <c:v>192.64547608508963</c:v>
                </c:pt>
                <c:pt idx="85">
                  <c:v>192.70241093322662</c:v>
                </c:pt>
                <c:pt idx="86">
                  <c:v>192.7752016108214</c:v>
                </c:pt>
                <c:pt idx="87">
                  <c:v>192.83860088448557</c:v>
                </c:pt>
                <c:pt idx="88">
                  <c:v>193.00284397676651</c:v>
                </c:pt>
                <c:pt idx="89">
                  <c:v>193.18625290819989</c:v>
                </c:pt>
                <c:pt idx="90">
                  <c:v>193.38668511425016</c:v>
                </c:pt>
                <c:pt idx="91">
                  <c:v>193.57087045532191</c:v>
                </c:pt>
                <c:pt idx="92">
                  <c:v>193.84975204870457</c:v>
                </c:pt>
                <c:pt idx="93">
                  <c:v>194.13058122897417</c:v>
                </c:pt>
                <c:pt idx="94">
                  <c:v>194.41410233820591</c:v>
                </c:pt>
                <c:pt idx="95">
                  <c:v>194.77022522808875</c:v>
                </c:pt>
                <c:pt idx="96">
                  <c:v>194.98714052422486</c:v>
                </c:pt>
                <c:pt idx="97">
                  <c:v>195.26744285899733</c:v>
                </c:pt>
                <c:pt idx="98">
                  <c:v>195.43067843952156</c:v>
                </c:pt>
                <c:pt idx="99">
                  <c:v>195.54202340996915</c:v>
                </c:pt>
                <c:pt idx="100">
                  <c:v>195.7165018823917</c:v>
                </c:pt>
                <c:pt idx="101">
                  <c:v>195.85408430529785</c:v>
                </c:pt>
                <c:pt idx="102">
                  <c:v>195.95111944794655</c:v>
                </c:pt>
                <c:pt idx="103">
                  <c:v>196.07734020446594</c:v>
                </c:pt>
                <c:pt idx="104">
                  <c:v>196.39992544384793</c:v>
                </c:pt>
                <c:pt idx="105">
                  <c:v>196.55810102738062</c:v>
                </c:pt>
                <c:pt idx="106">
                  <c:v>196.66845174766385</c:v>
                </c:pt>
                <c:pt idx="107">
                  <c:v>196.76162770009935</c:v>
                </c:pt>
                <c:pt idx="108">
                  <c:v>196.83870304630025</c:v>
                </c:pt>
                <c:pt idx="109">
                  <c:v>196.95663331399419</c:v>
                </c:pt>
                <c:pt idx="110">
                  <c:v>197.05382401846981</c:v>
                </c:pt>
                <c:pt idx="111">
                  <c:v>197.10055461777424</c:v>
                </c:pt>
                <c:pt idx="112">
                  <c:v>197.1253867218968</c:v>
                </c:pt>
                <c:pt idx="113">
                  <c:v>197.15510728521841</c:v>
                </c:pt>
                <c:pt idx="114">
                  <c:v>197.17357653684167</c:v>
                </c:pt>
                <c:pt idx="115">
                  <c:v>197.22097288228619</c:v>
                </c:pt>
                <c:pt idx="116">
                  <c:v>197.30024885694192</c:v>
                </c:pt>
                <c:pt idx="117">
                  <c:v>197.40181586524605</c:v>
                </c:pt>
                <c:pt idx="118">
                  <c:v>197.57029615430233</c:v>
                </c:pt>
                <c:pt idx="119">
                  <c:v>197.68044587355905</c:v>
                </c:pt>
                <c:pt idx="120">
                  <c:v>197.74578999450301</c:v>
                </c:pt>
                <c:pt idx="121">
                  <c:v>197.80869328872598</c:v>
                </c:pt>
                <c:pt idx="122">
                  <c:v>197.89735367758541</c:v>
                </c:pt>
                <c:pt idx="123">
                  <c:v>198.13129921399209</c:v>
                </c:pt>
                <c:pt idx="124">
                  <c:v>198.35831722247264</c:v>
                </c:pt>
                <c:pt idx="125">
                  <c:v>198.61135840885385</c:v>
                </c:pt>
                <c:pt idx="126">
                  <c:v>198.81441050522221</c:v>
                </c:pt>
                <c:pt idx="127">
                  <c:v>198.98031375069505</c:v>
                </c:pt>
                <c:pt idx="128">
                  <c:v>199.15797553494281</c:v>
                </c:pt>
                <c:pt idx="129">
                  <c:v>199.38443311870802</c:v>
                </c:pt>
                <c:pt idx="130">
                  <c:v>199.59671311326366</c:v>
                </c:pt>
                <c:pt idx="131">
                  <c:v>199.83359161779879</c:v>
                </c:pt>
                <c:pt idx="132">
                  <c:v>200.07822334628625</c:v>
                </c:pt>
                <c:pt idx="133">
                  <c:v>200.35860011633127</c:v>
                </c:pt>
                <c:pt idx="134">
                  <c:v>200.72892263761156</c:v>
                </c:pt>
                <c:pt idx="135">
                  <c:v>201.16997261621117</c:v>
                </c:pt>
                <c:pt idx="136">
                  <c:v>201.4505326881096</c:v>
                </c:pt>
                <c:pt idx="137">
                  <c:v>201.65215330385124</c:v>
                </c:pt>
                <c:pt idx="138">
                  <c:v>201.85115398513256</c:v>
                </c:pt>
                <c:pt idx="139">
                  <c:v>202.01322781007178</c:v>
                </c:pt>
                <c:pt idx="140">
                  <c:v>202.16723894351475</c:v>
                </c:pt>
                <c:pt idx="141">
                  <c:v>202.30900210946442</c:v>
                </c:pt>
                <c:pt idx="142">
                  <c:v>202.5318453959917</c:v>
                </c:pt>
                <c:pt idx="143">
                  <c:v>202.70198147657243</c:v>
                </c:pt>
                <c:pt idx="144">
                  <c:v>202.98483280381487</c:v>
                </c:pt>
                <c:pt idx="145">
                  <c:v>203.21920353599396</c:v>
                </c:pt>
                <c:pt idx="146">
                  <c:v>203.39004288036261</c:v>
                </c:pt>
                <c:pt idx="147">
                  <c:v>203.47317335143734</c:v>
                </c:pt>
                <c:pt idx="148">
                  <c:v>203.47437945275692</c:v>
                </c:pt>
                <c:pt idx="149">
                  <c:v>203.52451150672769</c:v>
                </c:pt>
                <c:pt idx="150">
                  <c:v>203.56496169292654</c:v>
                </c:pt>
                <c:pt idx="151">
                  <c:v>203.6354093781915</c:v>
                </c:pt>
                <c:pt idx="152">
                  <c:v>203.70313190674588</c:v>
                </c:pt>
                <c:pt idx="153">
                  <c:v>203.78858632634459</c:v>
                </c:pt>
                <c:pt idx="154">
                  <c:v>203.88811957384166</c:v>
                </c:pt>
                <c:pt idx="155">
                  <c:v>204.02382427145255</c:v>
                </c:pt>
                <c:pt idx="156">
                  <c:v>204.17550571869458</c:v>
                </c:pt>
                <c:pt idx="157">
                  <c:v>204.37457685296712</c:v>
                </c:pt>
                <c:pt idx="158">
                  <c:v>204.56375149510168</c:v>
                </c:pt>
                <c:pt idx="159">
                  <c:v>204.7279087529181</c:v>
                </c:pt>
                <c:pt idx="160">
                  <c:v>204.88296884066784</c:v>
                </c:pt>
                <c:pt idx="161">
                  <c:v>205.06433977670812</c:v>
                </c:pt>
                <c:pt idx="162">
                  <c:v>205.30138881259776</c:v>
                </c:pt>
                <c:pt idx="163">
                  <c:v>205.50931406267844</c:v>
                </c:pt>
                <c:pt idx="164">
                  <c:v>205.7292919102583</c:v>
                </c:pt>
                <c:pt idx="165">
                  <c:v>205.98670987820958</c:v>
                </c:pt>
                <c:pt idx="166">
                  <c:v>206.25164405745082</c:v>
                </c:pt>
                <c:pt idx="167">
                  <c:v>206.59992986684955</c:v>
                </c:pt>
                <c:pt idx="168">
                  <c:v>206.86741240680456</c:v>
                </c:pt>
                <c:pt idx="169">
                  <c:v>207.08643344974024</c:v>
                </c:pt>
                <c:pt idx="170">
                  <c:v>207.28675393714295</c:v>
                </c:pt>
                <c:pt idx="171">
                  <c:v>207.4092480800544</c:v>
                </c:pt>
                <c:pt idx="172">
                  <c:v>207.60423266970102</c:v>
                </c:pt>
                <c:pt idx="173">
                  <c:v>207.80533979990591</c:v>
                </c:pt>
                <c:pt idx="174">
                  <c:v>207.91249312492769</c:v>
                </c:pt>
                <c:pt idx="175">
                  <c:v>207.97251558579029</c:v>
                </c:pt>
                <c:pt idx="176">
                  <c:v>208.01675177563081</c:v>
                </c:pt>
                <c:pt idx="177">
                  <c:v>208.08443337685156</c:v>
                </c:pt>
                <c:pt idx="178">
                  <c:v>208.15589397080407</c:v>
                </c:pt>
                <c:pt idx="179">
                  <c:v>208.21498580533137</c:v>
                </c:pt>
                <c:pt idx="180">
                  <c:v>208.33709895124593</c:v>
                </c:pt>
                <c:pt idx="181">
                  <c:v>208.55754302104717</c:v>
                </c:pt>
                <c:pt idx="182">
                  <c:v>208.64205624811055</c:v>
                </c:pt>
                <c:pt idx="183">
                  <c:v>208.72783983291058</c:v>
                </c:pt>
                <c:pt idx="184">
                  <c:v>208.81324026835657</c:v>
                </c:pt>
                <c:pt idx="185">
                  <c:v>208.88260132003325</c:v>
                </c:pt>
                <c:pt idx="186">
                  <c:v>208.95101068477314</c:v>
                </c:pt>
                <c:pt idx="187">
                  <c:v>209.03710802675624</c:v>
                </c:pt>
                <c:pt idx="188">
                  <c:v>209.08321768355395</c:v>
                </c:pt>
                <c:pt idx="189">
                  <c:v>209.11153895314516</c:v>
                </c:pt>
                <c:pt idx="190">
                  <c:v>209.13319834415009</c:v>
                </c:pt>
                <c:pt idx="191">
                  <c:v>209.2335341982907</c:v>
                </c:pt>
                <c:pt idx="192">
                  <c:v>209.29776183344401</c:v>
                </c:pt>
                <c:pt idx="193">
                  <c:v>209.35330105483453</c:v>
                </c:pt>
                <c:pt idx="194">
                  <c:v>209.4426632324377</c:v>
                </c:pt>
                <c:pt idx="195">
                  <c:v>209.53379853401358</c:v>
                </c:pt>
                <c:pt idx="196">
                  <c:v>209.8912476408122</c:v>
                </c:pt>
                <c:pt idx="197">
                  <c:v>210.09424436184815</c:v>
                </c:pt>
                <c:pt idx="198">
                  <c:v>210.3089882137474</c:v>
                </c:pt>
                <c:pt idx="199">
                  <c:v>210.49443134425414</c:v>
                </c:pt>
                <c:pt idx="200">
                  <c:v>210.68782034878009</c:v>
                </c:pt>
                <c:pt idx="201">
                  <c:v>210.89837080592801</c:v>
                </c:pt>
                <c:pt idx="202">
                  <c:v>211.05856892606573</c:v>
                </c:pt>
                <c:pt idx="203">
                  <c:v>211.28485089642163</c:v>
                </c:pt>
                <c:pt idx="204">
                  <c:v>211.44840614213146</c:v>
                </c:pt>
                <c:pt idx="205">
                  <c:v>211.62518184303019</c:v>
                </c:pt>
                <c:pt idx="206">
                  <c:v>211.77330483559783</c:v>
                </c:pt>
                <c:pt idx="207">
                  <c:v>211.96341251196066</c:v>
                </c:pt>
                <c:pt idx="208">
                  <c:v>212.11593869303044</c:v>
                </c:pt>
                <c:pt idx="209">
                  <c:v>212.2909942325835</c:v>
                </c:pt>
                <c:pt idx="210">
                  <c:v>212.44422672434499</c:v>
                </c:pt>
                <c:pt idx="211">
                  <c:v>212.59462883891604</c:v>
                </c:pt>
                <c:pt idx="212">
                  <c:v>212.72473653157903</c:v>
                </c:pt>
                <c:pt idx="213">
                  <c:v>212.83872018450108</c:v>
                </c:pt>
                <c:pt idx="214">
                  <c:v>213.76276037407357</c:v>
                </c:pt>
                <c:pt idx="215">
                  <c:v>214.25275056062975</c:v>
                </c:pt>
                <c:pt idx="216">
                  <c:v>214.60854767468942</c:v>
                </c:pt>
                <c:pt idx="217">
                  <c:v>214.98372685907839</c:v>
                </c:pt>
                <c:pt idx="218">
                  <c:v>215.31139264513075</c:v>
                </c:pt>
                <c:pt idx="219">
                  <c:v>215.75284049722342</c:v>
                </c:pt>
                <c:pt idx="220">
                  <c:v>216.16974613204829</c:v>
                </c:pt>
                <c:pt idx="221">
                  <c:v>216.6654041302547</c:v>
                </c:pt>
                <c:pt idx="222">
                  <c:v>217.09076995286341</c:v>
                </c:pt>
                <c:pt idx="223">
                  <c:v>217.42936879692266</c:v>
                </c:pt>
                <c:pt idx="224">
                  <c:v>217.77390427918991</c:v>
                </c:pt>
                <c:pt idx="225">
                  <c:v>218.16576244633848</c:v>
                </c:pt>
                <c:pt idx="226">
                  <c:v>218.58967448624932</c:v>
                </c:pt>
                <c:pt idx="227">
                  <c:v>219.08638257842398</c:v>
                </c:pt>
                <c:pt idx="228">
                  <c:v>219.4712341988488</c:v>
                </c:pt>
                <c:pt idx="229">
                  <c:v>219.82798534453332</c:v>
                </c:pt>
                <c:pt idx="230">
                  <c:v>220.17670461357983</c:v>
                </c:pt>
                <c:pt idx="231">
                  <c:v>220.54658360668193</c:v>
                </c:pt>
                <c:pt idx="232">
                  <c:v>220.84403530511005</c:v>
                </c:pt>
                <c:pt idx="233">
                  <c:v>221.13254917676659</c:v>
                </c:pt>
                <c:pt idx="234">
                  <c:v>221.42624274722897</c:v>
                </c:pt>
                <c:pt idx="235">
                  <c:v>221.71556439223374</c:v>
                </c:pt>
                <c:pt idx="236">
                  <c:v>221.98925781588315</c:v>
                </c:pt>
                <c:pt idx="237">
                  <c:v>222.28614923989846</c:v>
                </c:pt>
                <c:pt idx="238">
                  <c:v>222.56331032348862</c:v>
                </c:pt>
                <c:pt idx="239">
                  <c:v>222.78084323943554</c:v>
                </c:pt>
                <c:pt idx="240">
                  <c:v>223.05263955820178</c:v>
                </c:pt>
                <c:pt idx="241">
                  <c:v>223.29310978736075</c:v>
                </c:pt>
                <c:pt idx="242">
                  <c:v>223.50122583160953</c:v>
                </c:pt>
                <c:pt idx="243">
                  <c:v>223.66964407165764</c:v>
                </c:pt>
                <c:pt idx="244">
                  <c:v>223.86942894251973</c:v>
                </c:pt>
                <c:pt idx="245">
                  <c:v>224.43374868736439</c:v>
                </c:pt>
                <c:pt idx="246">
                  <c:v>224.63706729527414</c:v>
                </c:pt>
                <c:pt idx="247">
                  <c:v>224.79637948613788</c:v>
                </c:pt>
                <c:pt idx="248">
                  <c:v>224.97314429396255</c:v>
                </c:pt>
                <c:pt idx="249">
                  <c:v>225.15049211823199</c:v>
                </c:pt>
                <c:pt idx="250">
                  <c:v>225.30839305008163</c:v>
                </c:pt>
                <c:pt idx="251">
                  <c:v>225.45435879318228</c:v>
                </c:pt>
                <c:pt idx="252">
                  <c:v>225.66895429211698</c:v>
                </c:pt>
                <c:pt idx="253">
                  <c:v>225.92030016499368</c:v>
                </c:pt>
                <c:pt idx="254">
                  <c:v>226.14877192602489</c:v>
                </c:pt>
                <c:pt idx="255">
                  <c:v>226.38005296676931</c:v>
                </c:pt>
                <c:pt idx="256">
                  <c:v>226.60655171901664</c:v>
                </c:pt>
                <c:pt idx="257">
                  <c:v>226.82095895844944</c:v>
                </c:pt>
                <c:pt idx="258">
                  <c:v>227.07497801036453</c:v>
                </c:pt>
                <c:pt idx="259">
                  <c:v>227.40499637578594</c:v>
                </c:pt>
                <c:pt idx="260">
                  <c:v>227.91145029867815</c:v>
                </c:pt>
                <c:pt idx="261">
                  <c:v>228.37552621717279</c:v>
                </c:pt>
                <c:pt idx="262">
                  <c:v>228.95675664034104</c:v>
                </c:pt>
                <c:pt idx="263">
                  <c:v>229.49871524454616</c:v>
                </c:pt>
                <c:pt idx="264">
                  <c:v>229.92087302783455</c:v>
                </c:pt>
                <c:pt idx="265">
                  <c:v>230.41794066685995</c:v>
                </c:pt>
                <c:pt idx="266">
                  <c:v>230.81912342069188</c:v>
                </c:pt>
                <c:pt idx="267">
                  <c:v>231.22247489495612</c:v>
                </c:pt>
                <c:pt idx="268">
                  <c:v>231.63118296942065</c:v>
                </c:pt>
                <c:pt idx="269">
                  <c:v>232.03355478635149</c:v>
                </c:pt>
                <c:pt idx="270">
                  <c:v>232.47509272661082</c:v>
                </c:pt>
                <c:pt idx="271">
                  <c:v>232.86094452547221</c:v>
                </c:pt>
                <c:pt idx="272">
                  <c:v>233.26256773002788</c:v>
                </c:pt>
                <c:pt idx="273">
                  <c:v>233.60610361658084</c:v>
                </c:pt>
                <c:pt idx="274">
                  <c:v>233.97303897614597</c:v>
                </c:pt>
                <c:pt idx="275">
                  <c:v>234.44981369565548</c:v>
                </c:pt>
                <c:pt idx="276">
                  <c:v>234.8939022214625</c:v>
                </c:pt>
                <c:pt idx="277">
                  <c:v>235.31866968886791</c:v>
                </c:pt>
                <c:pt idx="278">
                  <c:v>235.74746942173942</c:v>
                </c:pt>
                <c:pt idx="279">
                  <c:v>236.16133610782089</c:v>
                </c:pt>
                <c:pt idx="280">
                  <c:v>236.62289549736749</c:v>
                </c:pt>
                <c:pt idx="281">
                  <c:v>237.00995948036379</c:v>
                </c:pt>
                <c:pt idx="282">
                  <c:v>237.4880514865705</c:v>
                </c:pt>
                <c:pt idx="283">
                  <c:v>237.92565914364977</c:v>
                </c:pt>
                <c:pt idx="284">
                  <c:v>238.3735344358702</c:v>
                </c:pt>
                <c:pt idx="285">
                  <c:v>238.76337333077484</c:v>
                </c:pt>
                <c:pt idx="286">
                  <c:v>239.06805013755564</c:v>
                </c:pt>
                <c:pt idx="287">
                  <c:v>239.31678214895712</c:v>
                </c:pt>
                <c:pt idx="288">
                  <c:v>239.50977961996836</c:v>
                </c:pt>
                <c:pt idx="289">
                  <c:v>239.7432559603044</c:v>
                </c:pt>
                <c:pt idx="290">
                  <c:v>240.07028617653683</c:v>
                </c:pt>
                <c:pt idx="291">
                  <c:v>240.32725188630232</c:v>
                </c:pt>
                <c:pt idx="292">
                  <c:v>240.55562427081725</c:v>
                </c:pt>
                <c:pt idx="293">
                  <c:v>240.71168461945547</c:v>
                </c:pt>
                <c:pt idx="294">
                  <c:v>240.85700944371177</c:v>
                </c:pt>
                <c:pt idx="295">
                  <c:v>241.0843057284491</c:v>
                </c:pt>
                <c:pt idx="296">
                  <c:v>241.19222718624516</c:v>
                </c:pt>
                <c:pt idx="297">
                  <c:v>241.26642841358495</c:v>
                </c:pt>
                <c:pt idx="298">
                  <c:v>241.31778180442035</c:v>
                </c:pt>
                <c:pt idx="299">
                  <c:v>241.3501816755757</c:v>
                </c:pt>
                <c:pt idx="300">
                  <c:v>241.40678626024246</c:v>
                </c:pt>
                <c:pt idx="301">
                  <c:v>241.45502264089478</c:v>
                </c:pt>
                <c:pt idx="302">
                  <c:v>241.51464954088996</c:v>
                </c:pt>
                <c:pt idx="303">
                  <c:v>241.59805341362721</c:v>
                </c:pt>
                <c:pt idx="304">
                  <c:v>241.66384823483787</c:v>
                </c:pt>
                <c:pt idx="305">
                  <c:v>241.85281596785859</c:v>
                </c:pt>
                <c:pt idx="306">
                  <c:v>241.98711157657863</c:v>
                </c:pt>
                <c:pt idx="307">
                  <c:v>242.14096598613111</c:v>
                </c:pt>
                <c:pt idx="308">
                  <c:v>242.33741326068068</c:v>
                </c:pt>
                <c:pt idx="309">
                  <c:v>242.45127893322504</c:v>
                </c:pt>
                <c:pt idx="310">
                  <c:v>242.5697842239214</c:v>
                </c:pt>
                <c:pt idx="311">
                  <c:v>242.72249823708526</c:v>
                </c:pt>
                <c:pt idx="312">
                  <c:v>242.80519774560426</c:v>
                </c:pt>
                <c:pt idx="313">
                  <c:v>242.89722941383482</c:v>
                </c:pt>
                <c:pt idx="314">
                  <c:v>242.94467824090955</c:v>
                </c:pt>
                <c:pt idx="315">
                  <c:v>242.85967234452036</c:v>
                </c:pt>
                <c:pt idx="316">
                  <c:v>242.81267336080876</c:v>
                </c:pt>
                <c:pt idx="317">
                  <c:v>242.78224946161535</c:v>
                </c:pt>
                <c:pt idx="318">
                  <c:v>242.91411069964815</c:v>
                </c:pt>
                <c:pt idx="319">
                  <c:v>242.95378617059674</c:v>
                </c:pt>
                <c:pt idx="320">
                  <c:v>243.07490332549781</c:v>
                </c:pt>
                <c:pt idx="321">
                  <c:v>243.1353261741898</c:v>
                </c:pt>
                <c:pt idx="322">
                  <c:v>243.17295599975122</c:v>
                </c:pt>
                <c:pt idx="323">
                  <c:v>243.18423305095334</c:v>
                </c:pt>
                <c:pt idx="324">
                  <c:v>243.20764434950351</c:v>
                </c:pt>
                <c:pt idx="325">
                  <c:v>243.21311016962568</c:v>
                </c:pt>
                <c:pt idx="326">
                  <c:v>243.26181207886683</c:v>
                </c:pt>
                <c:pt idx="327">
                  <c:v>243.36873773002662</c:v>
                </c:pt>
                <c:pt idx="328">
                  <c:v>243.45605175655507</c:v>
                </c:pt>
                <c:pt idx="329">
                  <c:v>243.53199557624907</c:v>
                </c:pt>
                <c:pt idx="330">
                  <c:v>243.59508919079741</c:v>
                </c:pt>
                <c:pt idx="331">
                  <c:v>243.66355904689081</c:v>
                </c:pt>
                <c:pt idx="332">
                  <c:v>243.78324459274089</c:v>
                </c:pt>
                <c:pt idx="333">
                  <c:v>243.87687457095791</c:v>
                </c:pt>
                <c:pt idx="334">
                  <c:v>243.98790671126076</c:v>
                </c:pt>
                <c:pt idx="335">
                  <c:v>244.07889963492528</c:v>
                </c:pt>
                <c:pt idx="336">
                  <c:v>244.16067781500996</c:v>
                </c:pt>
                <c:pt idx="337">
                  <c:v>244.26657520466014</c:v>
                </c:pt>
                <c:pt idx="338">
                  <c:v>244.39297415747706</c:v>
                </c:pt>
                <c:pt idx="339">
                  <c:v>244.4793763606969</c:v>
                </c:pt>
                <c:pt idx="340">
                  <c:v>244.66527467232237</c:v>
                </c:pt>
                <c:pt idx="341">
                  <c:v>244.85749949588717</c:v>
                </c:pt>
                <c:pt idx="342">
                  <c:v>245.06845545046971</c:v>
                </c:pt>
                <c:pt idx="343">
                  <c:v>245.30038364477812</c:v>
                </c:pt>
                <c:pt idx="344">
                  <c:v>245.52620209582804</c:v>
                </c:pt>
                <c:pt idx="345">
                  <c:v>245.77546093830063</c:v>
                </c:pt>
                <c:pt idx="346">
                  <c:v>245.97502395054312</c:v>
                </c:pt>
                <c:pt idx="347">
                  <c:v>246.12680756410245</c:v>
                </c:pt>
                <c:pt idx="348">
                  <c:v>246.26249488951581</c:v>
                </c:pt>
                <c:pt idx="349">
                  <c:v>246.39922692995901</c:v>
                </c:pt>
                <c:pt idx="350">
                  <c:v>246.57615505789511</c:v>
                </c:pt>
                <c:pt idx="351">
                  <c:v>246.71233572438732</c:v>
                </c:pt>
                <c:pt idx="352">
                  <c:v>246.84634490040798</c:v>
                </c:pt>
                <c:pt idx="353">
                  <c:v>247.05741177992243</c:v>
                </c:pt>
                <c:pt idx="354">
                  <c:v>247.20316598292484</c:v>
                </c:pt>
                <c:pt idx="355">
                  <c:v>247.37174095910129</c:v>
                </c:pt>
                <c:pt idx="356">
                  <c:v>247.51067908067765</c:v>
                </c:pt>
                <c:pt idx="357">
                  <c:v>247.66381372033266</c:v>
                </c:pt>
                <c:pt idx="358">
                  <c:v>247.83472550211835</c:v>
                </c:pt>
                <c:pt idx="359">
                  <c:v>248.01860535720658</c:v>
                </c:pt>
                <c:pt idx="360">
                  <c:v>248.20290961901148</c:v>
                </c:pt>
                <c:pt idx="361">
                  <c:v>248.38094899964804</c:v>
                </c:pt>
                <c:pt idx="362">
                  <c:v>248.54624373863291</c:v>
                </c:pt>
                <c:pt idx="363">
                  <c:v>248.6957588066627</c:v>
                </c:pt>
                <c:pt idx="364">
                  <c:v>248.90083605979194</c:v>
                </c:pt>
                <c:pt idx="365">
                  <c:v>249.07151751043821</c:v>
                </c:pt>
                <c:pt idx="366">
                  <c:v>249.3151135914683</c:v>
                </c:pt>
                <c:pt idx="367">
                  <c:v>249.63422629124409</c:v>
                </c:pt>
                <c:pt idx="368">
                  <c:v>249.88127827580021</c:v>
                </c:pt>
                <c:pt idx="369">
                  <c:v>250.1692902834061</c:v>
                </c:pt>
                <c:pt idx="370">
                  <c:v>250.43263385879621</c:v>
                </c:pt>
                <c:pt idx="371">
                  <c:v>250.77076004222155</c:v>
                </c:pt>
                <c:pt idx="372">
                  <c:v>251.26018852605122</c:v>
                </c:pt>
                <c:pt idx="373">
                  <c:v>251.67321813097377</c:v>
                </c:pt>
                <c:pt idx="374">
                  <c:v>252.02092911144825</c:v>
                </c:pt>
                <c:pt idx="375">
                  <c:v>252.35501485560633</c:v>
                </c:pt>
                <c:pt idx="376">
                  <c:v>252.68516841375379</c:v>
                </c:pt>
                <c:pt idx="377">
                  <c:v>253.02471911294379</c:v>
                </c:pt>
                <c:pt idx="378">
                  <c:v>253.40059278086869</c:v>
                </c:pt>
                <c:pt idx="379">
                  <c:v>253.70519241094968</c:v>
                </c:pt>
                <c:pt idx="380">
                  <c:v>253.99640512294079</c:v>
                </c:pt>
                <c:pt idx="381">
                  <c:v>254.25612173576073</c:v>
                </c:pt>
                <c:pt idx="382">
                  <c:v>254.55775630115573</c:v>
                </c:pt>
                <c:pt idx="383">
                  <c:v>254.90039340003977</c:v>
                </c:pt>
                <c:pt idx="384">
                  <c:v>255.18940890936429</c:v>
                </c:pt>
                <c:pt idx="385">
                  <c:v>255.48090055854783</c:v>
                </c:pt>
                <c:pt idx="386">
                  <c:v>255.84887140819754</c:v>
                </c:pt>
                <c:pt idx="387">
                  <c:v>256.13109381153231</c:v>
                </c:pt>
                <c:pt idx="388">
                  <c:v>256.39213392840446</c:v>
                </c:pt>
                <c:pt idx="389">
                  <c:v>256.69651491629952</c:v>
                </c:pt>
                <c:pt idx="390">
                  <c:v>256.99447974067493</c:v>
                </c:pt>
                <c:pt idx="391">
                  <c:v>257.28296694014153</c:v>
                </c:pt>
                <c:pt idx="392">
                  <c:v>257.56428418194167</c:v>
                </c:pt>
                <c:pt idx="393">
                  <c:v>257.86906430938438</c:v>
                </c:pt>
                <c:pt idx="394">
                  <c:v>258.19890724399443</c:v>
                </c:pt>
                <c:pt idx="395">
                  <c:v>258.6281620907065</c:v>
                </c:pt>
                <c:pt idx="396">
                  <c:v>258.94444501892929</c:v>
                </c:pt>
                <c:pt idx="397">
                  <c:v>259.19841573188381</c:v>
                </c:pt>
                <c:pt idx="398">
                  <c:v>259.44006162460767</c:v>
                </c:pt>
                <c:pt idx="399">
                  <c:v>259.66439343870394</c:v>
                </c:pt>
                <c:pt idx="400">
                  <c:v>259.88735494197613</c:v>
                </c:pt>
                <c:pt idx="401">
                  <c:v>260.09653041895967</c:v>
                </c:pt>
                <c:pt idx="402">
                  <c:v>260.28985219344781</c:v>
                </c:pt>
                <c:pt idx="403">
                  <c:v>260.55553792470528</c:v>
                </c:pt>
                <c:pt idx="404">
                  <c:v>260.80037897504303</c:v>
                </c:pt>
                <c:pt idx="405">
                  <c:v>261.03028117373378</c:v>
                </c:pt>
                <c:pt idx="406">
                  <c:v>261.25242765734106</c:v>
                </c:pt>
                <c:pt idx="407">
                  <c:v>261.44588835676757</c:v>
                </c:pt>
                <c:pt idx="408">
                  <c:v>261.64338678746157</c:v>
                </c:pt>
                <c:pt idx="409">
                  <c:v>261.87165647802431</c:v>
                </c:pt>
                <c:pt idx="410">
                  <c:v>262.08042197609319</c:v>
                </c:pt>
                <c:pt idx="411">
                  <c:v>262.3519142248411</c:v>
                </c:pt>
                <c:pt idx="412">
                  <c:v>262.56431363364487</c:v>
                </c:pt>
                <c:pt idx="413">
                  <c:v>262.81325326371854</c:v>
                </c:pt>
                <c:pt idx="414">
                  <c:v>263.05223092017235</c:v>
                </c:pt>
                <c:pt idx="415">
                  <c:v>263.30709426862984</c:v>
                </c:pt>
                <c:pt idx="416">
                  <c:v>263.56922907906818</c:v>
                </c:pt>
                <c:pt idx="417">
                  <c:v>263.82576531868187</c:v>
                </c:pt>
                <c:pt idx="418">
                  <c:v>264.06208600902744</c:v>
                </c:pt>
                <c:pt idx="419">
                  <c:v>264.3292136380004</c:v>
                </c:pt>
                <c:pt idx="420">
                  <c:v>264.59042574138408</c:v>
                </c:pt>
                <c:pt idx="421">
                  <c:v>264.81241213660292</c:v>
                </c:pt>
                <c:pt idx="422">
                  <c:v>265.05765370626068</c:v>
                </c:pt>
                <c:pt idx="423">
                  <c:v>265.31696531366492</c:v>
                </c:pt>
                <c:pt idx="424">
                  <c:v>265.61021439504702</c:v>
                </c:pt>
                <c:pt idx="425">
                  <c:v>265.88828045909082</c:v>
                </c:pt>
                <c:pt idx="426">
                  <c:v>266.18247867528464</c:v>
                </c:pt>
                <c:pt idx="427">
                  <c:v>266.54483554459688</c:v>
                </c:pt>
                <c:pt idx="428">
                  <c:v>266.88444791131292</c:v>
                </c:pt>
                <c:pt idx="429">
                  <c:v>267.21875380448716</c:v>
                </c:pt>
                <c:pt idx="430">
                  <c:v>267.89136740129254</c:v>
                </c:pt>
                <c:pt idx="431">
                  <c:v>268.20173942596523</c:v>
                </c:pt>
                <c:pt idx="432">
                  <c:v>268.53316087274078</c:v>
                </c:pt>
                <c:pt idx="433">
                  <c:v>268.84006683134379</c:v>
                </c:pt>
                <c:pt idx="434">
                  <c:v>269.13969895847606</c:v>
                </c:pt>
                <c:pt idx="435">
                  <c:v>269.45760092348883</c:v>
                </c:pt>
                <c:pt idx="436">
                  <c:v>269.75340359997347</c:v>
                </c:pt>
                <c:pt idx="437">
                  <c:v>270.15642034261788</c:v>
                </c:pt>
                <c:pt idx="438">
                  <c:v>270.46956030379357</c:v>
                </c:pt>
                <c:pt idx="439">
                  <c:v>270.7284493953361</c:v>
                </c:pt>
                <c:pt idx="440">
                  <c:v>270.9703793726427</c:v>
                </c:pt>
                <c:pt idx="441">
                  <c:v>271.22776712435501</c:v>
                </c:pt>
                <c:pt idx="442">
                  <c:v>271.49704822325759</c:v>
                </c:pt>
                <c:pt idx="443">
                  <c:v>271.7071730647628</c:v>
                </c:pt>
                <c:pt idx="444">
                  <c:v>271.93421062573935</c:v>
                </c:pt>
                <c:pt idx="445">
                  <c:v>272.15918780929985</c:v>
                </c:pt>
                <c:pt idx="446">
                  <c:v>272.46511443219805</c:v>
                </c:pt>
                <c:pt idx="447">
                  <c:v>272.82054213307833</c:v>
                </c:pt>
                <c:pt idx="448">
                  <c:v>273.11615888962837</c:v>
                </c:pt>
                <c:pt idx="449">
                  <c:v>273.35073059964463</c:v>
                </c:pt>
                <c:pt idx="450">
                  <c:v>273.57156752675536</c:v>
                </c:pt>
                <c:pt idx="451">
                  <c:v>273.76570166819295</c:v>
                </c:pt>
                <c:pt idx="452">
                  <c:v>273.93846088769408</c:v>
                </c:pt>
                <c:pt idx="453">
                  <c:v>274.1048560545039</c:v>
                </c:pt>
                <c:pt idx="454">
                  <c:v>274.23440477812846</c:v>
                </c:pt>
                <c:pt idx="455">
                  <c:v>274.41874952420824</c:v>
                </c:pt>
                <c:pt idx="456">
                  <c:v>274.59494669850119</c:v>
                </c:pt>
                <c:pt idx="457">
                  <c:v>274.78763354262145</c:v>
                </c:pt>
                <c:pt idx="458">
                  <c:v>274.99968105502774</c:v>
                </c:pt>
                <c:pt idx="459">
                  <c:v>275.23188907909554</c:v>
                </c:pt>
                <c:pt idx="460">
                  <c:v>275.47560707603708</c:v>
                </c:pt>
                <c:pt idx="461">
                  <c:v>275.70826932891021</c:v>
                </c:pt>
                <c:pt idx="462">
                  <c:v>275.92663472454103</c:v>
                </c:pt>
                <c:pt idx="463">
                  <c:v>276.15275083796774</c:v>
                </c:pt>
                <c:pt idx="464">
                  <c:v>276.39302142609648</c:v>
                </c:pt>
                <c:pt idx="465">
                  <c:v>276.63768928881177</c:v>
                </c:pt>
                <c:pt idx="466">
                  <c:v>276.86704043233652</c:v>
                </c:pt>
                <c:pt idx="467">
                  <c:v>277.07342523604331</c:v>
                </c:pt>
                <c:pt idx="468">
                  <c:v>277.41303580982139</c:v>
                </c:pt>
                <c:pt idx="469">
                  <c:v>277.65306676580968</c:v>
                </c:pt>
                <c:pt idx="470">
                  <c:v>277.88019526935113</c:v>
                </c:pt>
                <c:pt idx="471">
                  <c:v>278.05806483523781</c:v>
                </c:pt>
                <c:pt idx="472">
                  <c:v>278.2260418664369</c:v>
                </c:pt>
                <c:pt idx="473">
                  <c:v>278.3730570102465</c:v>
                </c:pt>
                <c:pt idx="474">
                  <c:v>278.52566510698313</c:v>
                </c:pt>
                <c:pt idx="475">
                  <c:v>278.73600636674058</c:v>
                </c:pt>
                <c:pt idx="476">
                  <c:v>278.93311513868031</c:v>
                </c:pt>
                <c:pt idx="477">
                  <c:v>279.12526307790256</c:v>
                </c:pt>
                <c:pt idx="478">
                  <c:v>279.32498423673593</c:v>
                </c:pt>
                <c:pt idx="479">
                  <c:v>279.48981290054815</c:v>
                </c:pt>
                <c:pt idx="480">
                  <c:v>279.69050961429645</c:v>
                </c:pt>
                <c:pt idx="481">
                  <c:v>279.87686261372852</c:v>
                </c:pt>
                <c:pt idx="482">
                  <c:v>280.10519287467423</c:v>
                </c:pt>
                <c:pt idx="483">
                  <c:v>280.37319723054298</c:v>
                </c:pt>
                <c:pt idx="484">
                  <c:v>280.57880343737224</c:v>
                </c:pt>
                <c:pt idx="485">
                  <c:v>280.79950238057734</c:v>
                </c:pt>
                <c:pt idx="486">
                  <c:v>281.09667465620237</c:v>
                </c:pt>
                <c:pt idx="487">
                  <c:v>281.47266893589153</c:v>
                </c:pt>
                <c:pt idx="488">
                  <c:v>281.73999019861998</c:v>
                </c:pt>
                <c:pt idx="489">
                  <c:v>281.99885452805773</c:v>
                </c:pt>
                <c:pt idx="490">
                  <c:v>282.29830458131613</c:v>
                </c:pt>
                <c:pt idx="491">
                  <c:v>282.52586100366005</c:v>
                </c:pt>
                <c:pt idx="492">
                  <c:v>282.75535291000023</c:v>
                </c:pt>
                <c:pt idx="493">
                  <c:v>283.01721647877906</c:v>
                </c:pt>
                <c:pt idx="494">
                  <c:v>283.52475870333126</c:v>
                </c:pt>
                <c:pt idx="495">
                  <c:v>283.78599867126024</c:v>
                </c:pt>
                <c:pt idx="496">
                  <c:v>284.02956202740245</c:v>
                </c:pt>
                <c:pt idx="497">
                  <c:v>284.24231410610486</c:v>
                </c:pt>
                <c:pt idx="498">
                  <c:v>284.44472714609293</c:v>
                </c:pt>
                <c:pt idx="499">
                  <c:v>284.70763443664907</c:v>
                </c:pt>
                <c:pt idx="500">
                  <c:v>284.9536740556735</c:v>
                </c:pt>
                <c:pt idx="501">
                  <c:v>285.14097677303164</c:v>
                </c:pt>
                <c:pt idx="502">
                  <c:v>285.3975452610801</c:v>
                </c:pt>
                <c:pt idx="503">
                  <c:v>285.75443611402011</c:v>
                </c:pt>
                <c:pt idx="504">
                  <c:v>286.04976599764086</c:v>
                </c:pt>
                <c:pt idx="505">
                  <c:v>286.34103174797701</c:v>
                </c:pt>
                <c:pt idx="506">
                  <c:v>286.683006911809</c:v>
                </c:pt>
                <c:pt idx="507">
                  <c:v>286.92475943183871</c:v>
                </c:pt>
                <c:pt idx="508">
                  <c:v>287.24875677720615</c:v>
                </c:pt>
                <c:pt idx="509">
                  <c:v>287.5867477677312</c:v>
                </c:pt>
                <c:pt idx="510">
                  <c:v>287.99232000269728</c:v>
                </c:pt>
                <c:pt idx="511">
                  <c:v>288.24734433537208</c:v>
                </c:pt>
                <c:pt idx="512">
                  <c:v>288.51811213624694</c:v>
                </c:pt>
                <c:pt idx="513">
                  <c:v>288.70884899860596</c:v>
                </c:pt>
                <c:pt idx="514">
                  <c:v>288.86218710593062</c:v>
                </c:pt>
                <c:pt idx="515">
                  <c:v>289.02527714054708</c:v>
                </c:pt>
                <c:pt idx="516">
                  <c:v>289.16692222120395</c:v>
                </c:pt>
                <c:pt idx="517">
                  <c:v>289.33071639091128</c:v>
                </c:pt>
                <c:pt idx="518">
                  <c:v>289.48732579503451</c:v>
                </c:pt>
                <c:pt idx="519">
                  <c:v>289.62181882143346</c:v>
                </c:pt>
                <c:pt idx="520">
                  <c:v>289.80666055897632</c:v>
                </c:pt>
                <c:pt idx="521">
                  <c:v>289.99247984066471</c:v>
                </c:pt>
                <c:pt idx="522">
                  <c:v>290.16056503343884</c:v>
                </c:pt>
                <c:pt idx="523">
                  <c:v>290.4007817484387</c:v>
                </c:pt>
                <c:pt idx="524">
                  <c:v>290.61038666502202</c:v>
                </c:pt>
                <c:pt idx="525">
                  <c:v>290.77831880737745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7F-43E8-8F32-C1789BDA5FB8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Data!$I$2:$I$527</c:f>
              <c:numCache>
                <c:formatCode>General</c:formatCode>
                <c:ptCount val="526"/>
                <c:pt idx="0">
                  <c:v>172.08</c:v>
                </c:pt>
                <c:pt idx="1">
                  <c:v>171.33236555446791</c:v>
                </c:pt>
                <c:pt idx="2">
                  <c:v>171.25913006908772</c:v>
                </c:pt>
                <c:pt idx="3">
                  <c:v>171.34855480093407</c:v>
                </c:pt>
                <c:pt idx="4">
                  <c:v>171.434076761543</c:v>
                </c:pt>
                <c:pt idx="5">
                  <c:v>171.07722736117114</c:v>
                </c:pt>
                <c:pt idx="6">
                  <c:v>170.99459475677375</c:v>
                </c:pt>
                <c:pt idx="7">
                  <c:v>170.71175355696639</c:v>
                </c:pt>
                <c:pt idx="8">
                  <c:v>169.97608267996699</c:v>
                </c:pt>
                <c:pt idx="9">
                  <c:v>169.20923178534147</c:v>
                </c:pt>
                <c:pt idx="10">
                  <c:v>168.58698673446398</c:v>
                </c:pt>
                <c:pt idx="11">
                  <c:v>168.25901466504791</c:v>
                </c:pt>
                <c:pt idx="12">
                  <c:v>168.35125965051367</c:v>
                </c:pt>
                <c:pt idx="13">
                  <c:v>168.41659235873271</c:v>
                </c:pt>
                <c:pt idx="14">
                  <c:v>168.39224529407088</c:v>
                </c:pt>
                <c:pt idx="15">
                  <c:v>168.46717670768999</c:v>
                </c:pt>
                <c:pt idx="16">
                  <c:v>168.5122396925031</c:v>
                </c:pt>
                <c:pt idx="17">
                  <c:v>168.57558172838858</c:v>
                </c:pt>
                <c:pt idx="18">
                  <c:v>168.62416344293985</c:v>
                </c:pt>
                <c:pt idx="19">
                  <c:v>168.54565415232651</c:v>
                </c:pt>
                <c:pt idx="20">
                  <c:v>168.64755830840895</c:v>
                </c:pt>
                <c:pt idx="21">
                  <c:v>168.73585253812345</c:v>
                </c:pt>
                <c:pt idx="22">
                  <c:v>168.79295032815406</c:v>
                </c:pt>
                <c:pt idx="23">
                  <c:v>168.85413483612524</c:v>
                </c:pt>
                <c:pt idx="24">
                  <c:v>168.88951190149308</c:v>
                </c:pt>
                <c:pt idx="25">
                  <c:v>168.93095085019695</c:v>
                </c:pt>
                <c:pt idx="26">
                  <c:v>168.98175846880468</c:v>
                </c:pt>
                <c:pt idx="27">
                  <c:v>169.03444518859985</c:v>
                </c:pt>
                <c:pt idx="28">
                  <c:v>169.10383360753434</c:v>
                </c:pt>
                <c:pt idx="29">
                  <c:v>169.18901902830208</c:v>
                </c:pt>
                <c:pt idx="30">
                  <c:v>169.23650202340187</c:v>
                </c:pt>
                <c:pt idx="31">
                  <c:v>169.17667565342569</c:v>
                </c:pt>
                <c:pt idx="32">
                  <c:v>169.18302812141886</c:v>
                </c:pt>
                <c:pt idx="33">
                  <c:v>169.21877436459849</c:v>
                </c:pt>
                <c:pt idx="34">
                  <c:v>169.17189229769571</c:v>
                </c:pt>
                <c:pt idx="35">
                  <c:v>169.12558356236818</c:v>
                </c:pt>
                <c:pt idx="36">
                  <c:v>169.02081318203463</c:v>
                </c:pt>
                <c:pt idx="37">
                  <c:v>168.9899416009128</c:v>
                </c:pt>
                <c:pt idx="38">
                  <c:v>168.94606058162202</c:v>
                </c:pt>
                <c:pt idx="39">
                  <c:v>168.90627561285112</c:v>
                </c:pt>
                <c:pt idx="40">
                  <c:v>168.94378028684474</c:v>
                </c:pt>
                <c:pt idx="41">
                  <c:v>168.9313416489905</c:v>
                </c:pt>
                <c:pt idx="42">
                  <c:v>168.92065612741931</c:v>
                </c:pt>
                <c:pt idx="43">
                  <c:v>168.86087000427807</c:v>
                </c:pt>
                <c:pt idx="44">
                  <c:v>168.8358375802278</c:v>
                </c:pt>
                <c:pt idx="45">
                  <c:v>168.88547242540776</c:v>
                </c:pt>
                <c:pt idx="46">
                  <c:v>168.89872315695095</c:v>
                </c:pt>
                <c:pt idx="47">
                  <c:v>168.91413004651798</c:v>
                </c:pt>
                <c:pt idx="48">
                  <c:v>168.90478134546601</c:v>
                </c:pt>
                <c:pt idx="49">
                  <c:v>168.94631761444205</c:v>
                </c:pt>
                <c:pt idx="50">
                  <c:v>169.12711340457855</c:v>
                </c:pt>
                <c:pt idx="51">
                  <c:v>169.48672108549505</c:v>
                </c:pt>
                <c:pt idx="52">
                  <c:v>169.56696837399124</c:v>
                </c:pt>
                <c:pt idx="53">
                  <c:v>169.62184787711493</c:v>
                </c:pt>
                <c:pt idx="54">
                  <c:v>169.67232841639398</c:v>
                </c:pt>
                <c:pt idx="55">
                  <c:v>169.75880892165242</c:v>
                </c:pt>
                <c:pt idx="56">
                  <c:v>169.80120477663064</c:v>
                </c:pt>
                <c:pt idx="57">
                  <c:v>169.90523009019995</c:v>
                </c:pt>
                <c:pt idx="58">
                  <c:v>169.92118766877448</c:v>
                </c:pt>
                <c:pt idx="59">
                  <c:v>169.9743697878298</c:v>
                </c:pt>
                <c:pt idx="60">
                  <c:v>170.02722827761193</c:v>
                </c:pt>
                <c:pt idx="61">
                  <c:v>170.07365153304531</c:v>
                </c:pt>
                <c:pt idx="62">
                  <c:v>170.12429633515495</c:v>
                </c:pt>
                <c:pt idx="63">
                  <c:v>170.26756927417654</c:v>
                </c:pt>
                <c:pt idx="64">
                  <c:v>170.43196212579181</c:v>
                </c:pt>
                <c:pt idx="65">
                  <c:v>170.5085650052994</c:v>
                </c:pt>
                <c:pt idx="66">
                  <c:v>170.6213413380807</c:v>
                </c:pt>
                <c:pt idx="67">
                  <c:v>170.73338189174453</c:v>
                </c:pt>
                <c:pt idx="68">
                  <c:v>170.86779675365631</c:v>
                </c:pt>
                <c:pt idx="69">
                  <c:v>171.05743346953943</c:v>
                </c:pt>
                <c:pt idx="70">
                  <c:v>171.18999866222504</c:v>
                </c:pt>
                <c:pt idx="71">
                  <c:v>171.29033102028285</c:v>
                </c:pt>
                <c:pt idx="72">
                  <c:v>171.33882463376167</c:v>
                </c:pt>
                <c:pt idx="73">
                  <c:v>171.38435776036809</c:v>
                </c:pt>
                <c:pt idx="74">
                  <c:v>171.44669850054211</c:v>
                </c:pt>
                <c:pt idx="75">
                  <c:v>171.58487605943355</c:v>
                </c:pt>
                <c:pt idx="76">
                  <c:v>171.74265681604942</c:v>
                </c:pt>
                <c:pt idx="77">
                  <c:v>171.87839425225729</c:v>
                </c:pt>
                <c:pt idx="78">
                  <c:v>171.98016493175942</c:v>
                </c:pt>
                <c:pt idx="79">
                  <c:v>172.12272824728453</c:v>
                </c:pt>
                <c:pt idx="80">
                  <c:v>172.21383251797306</c:v>
                </c:pt>
                <c:pt idx="81">
                  <c:v>172.2916448419289</c:v>
                </c:pt>
                <c:pt idx="82">
                  <c:v>172.40865797330426</c:v>
                </c:pt>
                <c:pt idx="83">
                  <c:v>172.51590081097601</c:v>
                </c:pt>
                <c:pt idx="84">
                  <c:v>172.61131126457957</c:v>
                </c:pt>
                <c:pt idx="85">
                  <c:v>172.73012514327505</c:v>
                </c:pt>
                <c:pt idx="86">
                  <c:v>172.8390812876633</c:v>
                </c:pt>
                <c:pt idx="87">
                  <c:v>172.94423122462393</c:v>
                </c:pt>
                <c:pt idx="88">
                  <c:v>173.06535179505912</c:v>
                </c:pt>
                <c:pt idx="89">
                  <c:v>173.15897595838237</c:v>
                </c:pt>
                <c:pt idx="90">
                  <c:v>173.23796391846747</c:v>
                </c:pt>
                <c:pt idx="91">
                  <c:v>173.31020199671931</c:v>
                </c:pt>
                <c:pt idx="92">
                  <c:v>173.39411852828525</c:v>
                </c:pt>
                <c:pt idx="93">
                  <c:v>173.47122552752273</c:v>
                </c:pt>
                <c:pt idx="94">
                  <c:v>173.55109929454034</c:v>
                </c:pt>
                <c:pt idx="95">
                  <c:v>173.63170582383134</c:v>
                </c:pt>
                <c:pt idx="96">
                  <c:v>173.85421044021632</c:v>
                </c:pt>
                <c:pt idx="97">
                  <c:v>174.05026753381148</c:v>
                </c:pt>
                <c:pt idx="98">
                  <c:v>174.16564363172023</c:v>
                </c:pt>
                <c:pt idx="99">
                  <c:v>174.26427369906224</c:v>
                </c:pt>
                <c:pt idx="100">
                  <c:v>174.33744664730636</c:v>
                </c:pt>
                <c:pt idx="101">
                  <c:v>174.41131348137074</c:v>
                </c:pt>
                <c:pt idx="102">
                  <c:v>174.48111602198168</c:v>
                </c:pt>
                <c:pt idx="103">
                  <c:v>174.55594347563436</c:v>
                </c:pt>
                <c:pt idx="104">
                  <c:v>174.74628157019927</c:v>
                </c:pt>
                <c:pt idx="105">
                  <c:v>174.80182857239342</c:v>
                </c:pt>
                <c:pt idx="106">
                  <c:v>174.87861277063669</c:v>
                </c:pt>
                <c:pt idx="107">
                  <c:v>174.97826650241942</c:v>
                </c:pt>
                <c:pt idx="108">
                  <c:v>175.06944951539137</c:v>
                </c:pt>
                <c:pt idx="109">
                  <c:v>175.14461857876358</c:v>
                </c:pt>
                <c:pt idx="110">
                  <c:v>175.20953413522557</c:v>
                </c:pt>
                <c:pt idx="111">
                  <c:v>175.31109517680616</c:v>
                </c:pt>
                <c:pt idx="112">
                  <c:v>175.417118609483</c:v>
                </c:pt>
                <c:pt idx="113">
                  <c:v>175.50869692811514</c:v>
                </c:pt>
                <c:pt idx="114">
                  <c:v>175.58746150512349</c:v>
                </c:pt>
                <c:pt idx="115">
                  <c:v>175.68139600558433</c:v>
                </c:pt>
                <c:pt idx="116">
                  <c:v>175.77988882268389</c:v>
                </c:pt>
                <c:pt idx="117">
                  <c:v>175.87452273675879</c:v>
                </c:pt>
                <c:pt idx="118">
                  <c:v>176.0742809688995</c:v>
                </c:pt>
                <c:pt idx="119">
                  <c:v>176.17667191279685</c:v>
                </c:pt>
                <c:pt idx="120">
                  <c:v>176.24926106507041</c:v>
                </c:pt>
                <c:pt idx="121">
                  <c:v>176.33025175074897</c:v>
                </c:pt>
                <c:pt idx="122">
                  <c:v>176.41063510060033</c:v>
                </c:pt>
                <c:pt idx="123">
                  <c:v>176.57945968287973</c:v>
                </c:pt>
                <c:pt idx="124">
                  <c:v>176.67126862305275</c:v>
                </c:pt>
                <c:pt idx="125">
                  <c:v>176.70345341178614</c:v>
                </c:pt>
                <c:pt idx="126">
                  <c:v>176.70002655480761</c:v>
                </c:pt>
                <c:pt idx="127">
                  <c:v>176.76778455001167</c:v>
                </c:pt>
                <c:pt idx="128">
                  <c:v>176.84352163381686</c:v>
                </c:pt>
                <c:pt idx="129">
                  <c:v>176.91405261405995</c:v>
                </c:pt>
                <c:pt idx="130">
                  <c:v>176.97318616946114</c:v>
                </c:pt>
                <c:pt idx="131">
                  <c:v>177.07236322190613</c:v>
                </c:pt>
                <c:pt idx="132">
                  <c:v>177.24103562256468</c:v>
                </c:pt>
                <c:pt idx="133">
                  <c:v>177.32965429831842</c:v>
                </c:pt>
                <c:pt idx="134">
                  <c:v>177.41586899118874</c:v>
                </c:pt>
                <c:pt idx="135">
                  <c:v>177.48303295781244</c:v>
                </c:pt>
                <c:pt idx="136">
                  <c:v>177.60363460735385</c:v>
                </c:pt>
                <c:pt idx="137">
                  <c:v>177.65692328532273</c:v>
                </c:pt>
                <c:pt idx="138">
                  <c:v>177.70219189731722</c:v>
                </c:pt>
                <c:pt idx="139">
                  <c:v>177.71588443845258</c:v>
                </c:pt>
                <c:pt idx="140">
                  <c:v>177.76589150916516</c:v>
                </c:pt>
                <c:pt idx="141">
                  <c:v>177.80654092965068</c:v>
                </c:pt>
                <c:pt idx="142">
                  <c:v>177.85325527722904</c:v>
                </c:pt>
                <c:pt idx="143">
                  <c:v>177.88642038635686</c:v>
                </c:pt>
                <c:pt idx="144">
                  <c:v>177.9332750794228</c:v>
                </c:pt>
                <c:pt idx="145">
                  <c:v>178.00011654911302</c:v>
                </c:pt>
                <c:pt idx="146">
                  <c:v>178.10856533216099</c:v>
                </c:pt>
                <c:pt idx="147">
                  <c:v>178.24568337029334</c:v>
                </c:pt>
                <c:pt idx="148">
                  <c:v>178.3255286795719</c:v>
                </c:pt>
                <c:pt idx="149">
                  <c:v>178.41850746201098</c:v>
                </c:pt>
                <c:pt idx="150">
                  <c:v>178.50129606735237</c:v>
                </c:pt>
                <c:pt idx="151">
                  <c:v>178.5736359552711</c:v>
                </c:pt>
                <c:pt idx="152">
                  <c:v>178.62044837509822</c:v>
                </c:pt>
                <c:pt idx="153">
                  <c:v>178.68091756836449</c:v>
                </c:pt>
                <c:pt idx="154">
                  <c:v>178.73011084821911</c:v>
                </c:pt>
                <c:pt idx="155">
                  <c:v>178.77819466289111</c:v>
                </c:pt>
                <c:pt idx="156">
                  <c:v>178.8212157170862</c:v>
                </c:pt>
                <c:pt idx="157">
                  <c:v>178.86680444162394</c:v>
                </c:pt>
                <c:pt idx="158">
                  <c:v>178.87603930631829</c:v>
                </c:pt>
                <c:pt idx="159">
                  <c:v>178.88700273920847</c:v>
                </c:pt>
                <c:pt idx="160">
                  <c:v>178.8928482763896</c:v>
                </c:pt>
                <c:pt idx="161">
                  <c:v>178.88701927513702</c:v>
                </c:pt>
                <c:pt idx="162">
                  <c:v>178.90559882474619</c:v>
                </c:pt>
                <c:pt idx="163">
                  <c:v>178.88297209210188</c:v>
                </c:pt>
                <c:pt idx="164">
                  <c:v>178.85690001338853</c:v>
                </c:pt>
                <c:pt idx="165">
                  <c:v>178.85051137354856</c:v>
                </c:pt>
                <c:pt idx="166">
                  <c:v>178.83882593401566</c:v>
                </c:pt>
                <c:pt idx="167">
                  <c:v>178.85487954322753</c:v>
                </c:pt>
                <c:pt idx="168">
                  <c:v>178.91081471294282</c:v>
                </c:pt>
                <c:pt idx="169">
                  <c:v>178.94645372282605</c:v>
                </c:pt>
                <c:pt idx="170">
                  <c:v>179.00360365013185</c:v>
                </c:pt>
                <c:pt idx="171">
                  <c:v>179.07489107270356</c:v>
                </c:pt>
                <c:pt idx="172">
                  <c:v>179.15001206467358</c:v>
                </c:pt>
                <c:pt idx="173">
                  <c:v>179.38486512122014</c:v>
                </c:pt>
                <c:pt idx="174">
                  <c:v>179.51031483444999</c:v>
                </c:pt>
                <c:pt idx="175">
                  <c:v>179.59524763841694</c:v>
                </c:pt>
                <c:pt idx="176">
                  <c:v>179.6839865407766</c:v>
                </c:pt>
                <c:pt idx="177">
                  <c:v>179.7648069491438</c:v>
                </c:pt>
                <c:pt idx="178">
                  <c:v>179.83516437078771</c:v>
                </c:pt>
                <c:pt idx="179">
                  <c:v>179.91198558047188</c:v>
                </c:pt>
                <c:pt idx="180">
                  <c:v>180.02046170242977</c:v>
                </c:pt>
                <c:pt idx="181">
                  <c:v>180.2210870555177</c:v>
                </c:pt>
                <c:pt idx="182">
                  <c:v>180.28278070381791</c:v>
                </c:pt>
                <c:pt idx="183">
                  <c:v>180.34524703533404</c:v>
                </c:pt>
                <c:pt idx="184">
                  <c:v>180.42504874516098</c:v>
                </c:pt>
                <c:pt idx="185">
                  <c:v>180.49421753017151</c:v>
                </c:pt>
                <c:pt idx="186">
                  <c:v>180.55540888960545</c:v>
                </c:pt>
                <c:pt idx="187">
                  <c:v>180.63122408846755</c:v>
                </c:pt>
                <c:pt idx="188">
                  <c:v>180.7054018426052</c:v>
                </c:pt>
                <c:pt idx="189">
                  <c:v>180.75992329540122</c:v>
                </c:pt>
                <c:pt idx="190">
                  <c:v>180.82375947373723</c:v>
                </c:pt>
                <c:pt idx="191">
                  <c:v>180.91230784062137</c:v>
                </c:pt>
                <c:pt idx="192">
                  <c:v>180.96893422466562</c:v>
                </c:pt>
                <c:pt idx="193">
                  <c:v>181.01970432899944</c:v>
                </c:pt>
                <c:pt idx="194">
                  <c:v>181.07455124715628</c:v>
                </c:pt>
                <c:pt idx="195">
                  <c:v>181.13964770095268</c:v>
                </c:pt>
                <c:pt idx="196">
                  <c:v>181.33012210864337</c:v>
                </c:pt>
                <c:pt idx="197">
                  <c:v>181.38557420545186</c:v>
                </c:pt>
                <c:pt idx="198">
                  <c:v>181.44120029881464</c:v>
                </c:pt>
                <c:pt idx="199">
                  <c:v>181.44973510294355</c:v>
                </c:pt>
                <c:pt idx="200">
                  <c:v>181.45711493788818</c:v>
                </c:pt>
                <c:pt idx="201">
                  <c:v>181.46942692266063</c:v>
                </c:pt>
                <c:pt idx="202">
                  <c:v>181.4797278580254</c:v>
                </c:pt>
                <c:pt idx="203">
                  <c:v>181.54115530731917</c:v>
                </c:pt>
                <c:pt idx="204">
                  <c:v>181.55680068234207</c:v>
                </c:pt>
                <c:pt idx="205">
                  <c:v>181.56300843701234</c:v>
                </c:pt>
                <c:pt idx="206">
                  <c:v>181.58964658727635</c:v>
                </c:pt>
                <c:pt idx="207">
                  <c:v>181.60917003433434</c:v>
                </c:pt>
                <c:pt idx="208">
                  <c:v>181.63866371021794</c:v>
                </c:pt>
                <c:pt idx="209">
                  <c:v>181.67022575528057</c:v>
                </c:pt>
                <c:pt idx="210">
                  <c:v>181.72222503757681</c:v>
                </c:pt>
                <c:pt idx="211">
                  <c:v>181.75928809786137</c:v>
                </c:pt>
                <c:pt idx="212">
                  <c:v>181.82313551104158</c:v>
                </c:pt>
                <c:pt idx="213">
                  <c:v>181.85015694263853</c:v>
                </c:pt>
                <c:pt idx="214">
                  <c:v>182.15070462474344</c:v>
                </c:pt>
                <c:pt idx="215">
                  <c:v>182.30435541255196</c:v>
                </c:pt>
                <c:pt idx="216">
                  <c:v>182.32121253539162</c:v>
                </c:pt>
                <c:pt idx="217">
                  <c:v>182.3173743941951</c:v>
                </c:pt>
                <c:pt idx="218">
                  <c:v>182.2718635181036</c:v>
                </c:pt>
                <c:pt idx="219">
                  <c:v>182.31624551421339</c:v>
                </c:pt>
                <c:pt idx="220">
                  <c:v>182.33264957660262</c:v>
                </c:pt>
                <c:pt idx="221">
                  <c:v>182.3615827451907</c:v>
                </c:pt>
                <c:pt idx="222">
                  <c:v>182.34182018860906</c:v>
                </c:pt>
                <c:pt idx="223">
                  <c:v>182.2922741901863</c:v>
                </c:pt>
                <c:pt idx="224">
                  <c:v>182.3080692364197</c:v>
                </c:pt>
                <c:pt idx="225">
                  <c:v>182.29823980016528</c:v>
                </c:pt>
                <c:pt idx="226">
                  <c:v>182.24869892043913</c:v>
                </c:pt>
                <c:pt idx="227">
                  <c:v>182.24695833982105</c:v>
                </c:pt>
                <c:pt idx="228">
                  <c:v>182.15648669880571</c:v>
                </c:pt>
                <c:pt idx="229">
                  <c:v>182.05665779059177</c:v>
                </c:pt>
                <c:pt idx="230">
                  <c:v>181.96419962947681</c:v>
                </c:pt>
                <c:pt idx="231">
                  <c:v>181.97713051988043</c:v>
                </c:pt>
                <c:pt idx="232">
                  <c:v>181.95490064260812</c:v>
                </c:pt>
                <c:pt idx="233">
                  <c:v>181.95819648595307</c:v>
                </c:pt>
                <c:pt idx="234">
                  <c:v>181.93675460784959</c:v>
                </c:pt>
                <c:pt idx="235">
                  <c:v>181.88453341513437</c:v>
                </c:pt>
                <c:pt idx="236">
                  <c:v>181.88947010658177</c:v>
                </c:pt>
                <c:pt idx="237">
                  <c:v>181.94042803802273</c:v>
                </c:pt>
                <c:pt idx="238">
                  <c:v>181.96690857576186</c:v>
                </c:pt>
                <c:pt idx="239">
                  <c:v>181.97196049595883</c:v>
                </c:pt>
                <c:pt idx="240">
                  <c:v>182.06040436324767</c:v>
                </c:pt>
                <c:pt idx="241">
                  <c:v>182.12722647496165</c:v>
                </c:pt>
                <c:pt idx="242">
                  <c:v>182.18295161654254</c:v>
                </c:pt>
                <c:pt idx="243">
                  <c:v>182.29841899702089</c:v>
                </c:pt>
                <c:pt idx="244">
                  <c:v>182.41883534868686</c:v>
                </c:pt>
                <c:pt idx="245">
                  <c:v>182.84970575519307</c:v>
                </c:pt>
                <c:pt idx="246">
                  <c:v>182.91254352605736</c:v>
                </c:pt>
                <c:pt idx="247">
                  <c:v>182.88083538084129</c:v>
                </c:pt>
                <c:pt idx="248">
                  <c:v>182.85913980671376</c:v>
                </c:pt>
                <c:pt idx="249">
                  <c:v>182.87051141624997</c:v>
                </c:pt>
                <c:pt idx="250">
                  <c:v>182.89081584687983</c:v>
                </c:pt>
                <c:pt idx="251">
                  <c:v>182.89746893470226</c:v>
                </c:pt>
                <c:pt idx="252">
                  <c:v>182.97234551950893</c:v>
                </c:pt>
                <c:pt idx="253">
                  <c:v>183.04368660003061</c:v>
                </c:pt>
                <c:pt idx="254">
                  <c:v>183.12862736369487</c:v>
                </c:pt>
                <c:pt idx="255">
                  <c:v>183.18930390104458</c:v>
                </c:pt>
                <c:pt idx="256">
                  <c:v>183.2496849039465</c:v>
                </c:pt>
                <c:pt idx="257">
                  <c:v>183.34299127326383</c:v>
                </c:pt>
                <c:pt idx="258">
                  <c:v>183.42366364566766</c:v>
                </c:pt>
                <c:pt idx="259">
                  <c:v>183.53913135673193</c:v>
                </c:pt>
                <c:pt idx="260">
                  <c:v>183.76241238925942</c:v>
                </c:pt>
                <c:pt idx="261">
                  <c:v>183.91928889034799</c:v>
                </c:pt>
                <c:pt idx="262">
                  <c:v>184.11797898103794</c:v>
                </c:pt>
                <c:pt idx="263">
                  <c:v>184.21702475730004</c:v>
                </c:pt>
                <c:pt idx="264">
                  <c:v>184.21125167246265</c:v>
                </c:pt>
                <c:pt idx="265">
                  <c:v>184.23372395756499</c:v>
                </c:pt>
                <c:pt idx="266">
                  <c:v>184.19330315987509</c:v>
                </c:pt>
                <c:pt idx="267">
                  <c:v>184.1479415209979</c:v>
                </c:pt>
                <c:pt idx="268">
                  <c:v>184.09584495727643</c:v>
                </c:pt>
                <c:pt idx="269">
                  <c:v>184.05929111087107</c:v>
                </c:pt>
                <c:pt idx="270">
                  <c:v>184.04334004652154</c:v>
                </c:pt>
                <c:pt idx="271">
                  <c:v>183.99972690927078</c:v>
                </c:pt>
                <c:pt idx="272">
                  <c:v>183.99091342015268</c:v>
                </c:pt>
                <c:pt idx="273">
                  <c:v>183.91466327645352</c:v>
                </c:pt>
                <c:pt idx="274">
                  <c:v>183.82886553580221</c:v>
                </c:pt>
                <c:pt idx="275">
                  <c:v>183.74571105974823</c:v>
                </c:pt>
                <c:pt idx="276">
                  <c:v>183.66513685156337</c:v>
                </c:pt>
                <c:pt idx="277">
                  <c:v>183.66235099631635</c:v>
                </c:pt>
                <c:pt idx="278">
                  <c:v>183.60578975987471</c:v>
                </c:pt>
                <c:pt idx="279">
                  <c:v>183.53818480944739</c:v>
                </c:pt>
                <c:pt idx="280">
                  <c:v>183.51488193457385</c:v>
                </c:pt>
                <c:pt idx="281">
                  <c:v>183.42422537474599</c:v>
                </c:pt>
                <c:pt idx="282">
                  <c:v>183.37738327512426</c:v>
                </c:pt>
                <c:pt idx="283">
                  <c:v>183.31529779918972</c:v>
                </c:pt>
                <c:pt idx="284">
                  <c:v>183.46995268911107</c:v>
                </c:pt>
                <c:pt idx="285">
                  <c:v>183.60757782254419</c:v>
                </c:pt>
                <c:pt idx="286">
                  <c:v>183.70226915247588</c:v>
                </c:pt>
                <c:pt idx="287">
                  <c:v>183.79169646235479</c:v>
                </c:pt>
                <c:pt idx="288">
                  <c:v>183.81294068366151</c:v>
                </c:pt>
                <c:pt idx="289">
                  <c:v>183.87523204828818</c:v>
                </c:pt>
                <c:pt idx="290">
                  <c:v>183.96728290351993</c:v>
                </c:pt>
                <c:pt idx="291">
                  <c:v>184.04275307152548</c:v>
                </c:pt>
                <c:pt idx="292">
                  <c:v>184.19947208805394</c:v>
                </c:pt>
                <c:pt idx="293">
                  <c:v>184.27397541356862</c:v>
                </c:pt>
                <c:pt idx="294">
                  <c:v>184.38231652642077</c:v>
                </c:pt>
                <c:pt idx="295">
                  <c:v>184.60532202395737</c:v>
                </c:pt>
                <c:pt idx="296">
                  <c:v>184.76654581489115</c:v>
                </c:pt>
                <c:pt idx="297">
                  <c:v>184.90656084899859</c:v>
                </c:pt>
                <c:pt idx="298">
                  <c:v>185.02794533826898</c:v>
                </c:pt>
                <c:pt idx="299">
                  <c:v>185.13843300329546</c:v>
                </c:pt>
                <c:pt idx="300">
                  <c:v>185.24690918115036</c:v>
                </c:pt>
                <c:pt idx="301">
                  <c:v>185.34017502183414</c:v>
                </c:pt>
                <c:pt idx="302">
                  <c:v>185.43984524661053</c:v>
                </c:pt>
                <c:pt idx="303">
                  <c:v>185.54095127676419</c:v>
                </c:pt>
                <c:pt idx="304">
                  <c:v>185.62541091339125</c:v>
                </c:pt>
                <c:pt idx="305">
                  <c:v>185.81738688588223</c:v>
                </c:pt>
                <c:pt idx="306">
                  <c:v>185.90947481312872</c:v>
                </c:pt>
                <c:pt idx="307">
                  <c:v>185.99725180087597</c:v>
                </c:pt>
                <c:pt idx="308">
                  <c:v>186.12998093717673</c:v>
                </c:pt>
                <c:pt idx="309">
                  <c:v>186.20495827514694</c:v>
                </c:pt>
                <c:pt idx="310">
                  <c:v>186.3227948100488</c:v>
                </c:pt>
                <c:pt idx="311">
                  <c:v>186.45905984616817</c:v>
                </c:pt>
                <c:pt idx="312">
                  <c:v>186.53712982286399</c:v>
                </c:pt>
                <c:pt idx="313">
                  <c:v>186.61059894463008</c:v>
                </c:pt>
                <c:pt idx="314">
                  <c:v>186.72622835307229</c:v>
                </c:pt>
                <c:pt idx="315">
                  <c:v>186.72774088248499</c:v>
                </c:pt>
                <c:pt idx="316">
                  <c:v>186.769314522369</c:v>
                </c:pt>
                <c:pt idx="317">
                  <c:v>186.82668015490256</c:v>
                </c:pt>
                <c:pt idx="318">
                  <c:v>187.0044456475334</c:v>
                </c:pt>
                <c:pt idx="319">
                  <c:v>187.11532020626407</c:v>
                </c:pt>
                <c:pt idx="320">
                  <c:v>187.27385051548418</c:v>
                </c:pt>
                <c:pt idx="321">
                  <c:v>187.37846065538173</c:v>
                </c:pt>
                <c:pt idx="322">
                  <c:v>187.46689396305098</c:v>
                </c:pt>
                <c:pt idx="323">
                  <c:v>187.5414591254619</c:v>
                </c:pt>
                <c:pt idx="324">
                  <c:v>187.61995505994278</c:v>
                </c:pt>
                <c:pt idx="325">
                  <c:v>187.69029407752481</c:v>
                </c:pt>
                <c:pt idx="326">
                  <c:v>187.77917678395031</c:v>
                </c:pt>
                <c:pt idx="327">
                  <c:v>187.89993700478738</c:v>
                </c:pt>
                <c:pt idx="328">
                  <c:v>187.97907356937228</c:v>
                </c:pt>
                <c:pt idx="329">
                  <c:v>188.05420598436257</c:v>
                </c:pt>
                <c:pt idx="330">
                  <c:v>188.11898698871926</c:v>
                </c:pt>
                <c:pt idx="331">
                  <c:v>188.18110454280028</c:v>
                </c:pt>
                <c:pt idx="332">
                  <c:v>188.29501486356358</c:v>
                </c:pt>
                <c:pt idx="333">
                  <c:v>188.36889387357229</c:v>
                </c:pt>
                <c:pt idx="334">
                  <c:v>188.42040439387503</c:v>
                </c:pt>
                <c:pt idx="335">
                  <c:v>188.45274853117149</c:v>
                </c:pt>
                <c:pt idx="336">
                  <c:v>188.50148044309057</c:v>
                </c:pt>
                <c:pt idx="337">
                  <c:v>188.57425072637594</c:v>
                </c:pt>
                <c:pt idx="338">
                  <c:v>188.63832039788042</c:v>
                </c:pt>
                <c:pt idx="339">
                  <c:v>188.66668140217763</c:v>
                </c:pt>
                <c:pt idx="340">
                  <c:v>188.73761583372851</c:v>
                </c:pt>
                <c:pt idx="341">
                  <c:v>188.78939673366938</c:v>
                </c:pt>
                <c:pt idx="342">
                  <c:v>188.83659719537727</c:v>
                </c:pt>
                <c:pt idx="343">
                  <c:v>188.88879938959812</c:v>
                </c:pt>
                <c:pt idx="344">
                  <c:v>188.93728401740046</c:v>
                </c:pt>
                <c:pt idx="345">
                  <c:v>189.03884830959652</c:v>
                </c:pt>
                <c:pt idx="346">
                  <c:v>189.08554294870032</c:v>
                </c:pt>
                <c:pt idx="347">
                  <c:v>189.12969542739668</c:v>
                </c:pt>
                <c:pt idx="348">
                  <c:v>189.16283690783976</c:v>
                </c:pt>
                <c:pt idx="349">
                  <c:v>189.19849685472752</c:v>
                </c:pt>
                <c:pt idx="350">
                  <c:v>189.2353180086356</c:v>
                </c:pt>
                <c:pt idx="351">
                  <c:v>189.2501787033431</c:v>
                </c:pt>
                <c:pt idx="352">
                  <c:v>189.25707174289914</c:v>
                </c:pt>
                <c:pt idx="353">
                  <c:v>189.34649350410868</c:v>
                </c:pt>
                <c:pt idx="354">
                  <c:v>189.36680942965975</c:v>
                </c:pt>
                <c:pt idx="355">
                  <c:v>189.39751847421186</c:v>
                </c:pt>
                <c:pt idx="356">
                  <c:v>189.41920609230689</c:v>
                </c:pt>
                <c:pt idx="357">
                  <c:v>189.47626075218807</c:v>
                </c:pt>
                <c:pt idx="358">
                  <c:v>189.5205153861165</c:v>
                </c:pt>
                <c:pt idx="359">
                  <c:v>189.57085454475964</c:v>
                </c:pt>
                <c:pt idx="360">
                  <c:v>189.60688492772763</c:v>
                </c:pt>
                <c:pt idx="361">
                  <c:v>189.64322668647938</c:v>
                </c:pt>
                <c:pt idx="362">
                  <c:v>189.66834485367937</c:v>
                </c:pt>
                <c:pt idx="363">
                  <c:v>189.70862226883736</c:v>
                </c:pt>
                <c:pt idx="364">
                  <c:v>189.75850027930679</c:v>
                </c:pt>
                <c:pt idx="365">
                  <c:v>189.78422486822527</c:v>
                </c:pt>
                <c:pt idx="366">
                  <c:v>189.84333767798998</c:v>
                </c:pt>
                <c:pt idx="367">
                  <c:v>189.97072474724928</c:v>
                </c:pt>
                <c:pt idx="368">
                  <c:v>189.99597910508189</c:v>
                </c:pt>
                <c:pt idx="369">
                  <c:v>190.03409546281131</c:v>
                </c:pt>
                <c:pt idx="370">
                  <c:v>190.02082336609382</c:v>
                </c:pt>
                <c:pt idx="371">
                  <c:v>190.03272995262685</c:v>
                </c:pt>
                <c:pt idx="372">
                  <c:v>190.22077593379763</c:v>
                </c:pt>
                <c:pt idx="373">
                  <c:v>190.30480340441031</c:v>
                </c:pt>
                <c:pt idx="374">
                  <c:v>190.32325055968698</c:v>
                </c:pt>
                <c:pt idx="375">
                  <c:v>190.31480454501525</c:v>
                </c:pt>
                <c:pt idx="376">
                  <c:v>190.25938808279494</c:v>
                </c:pt>
                <c:pt idx="377">
                  <c:v>190.26894701150115</c:v>
                </c:pt>
                <c:pt idx="378">
                  <c:v>190.42043314587909</c:v>
                </c:pt>
                <c:pt idx="379">
                  <c:v>190.5003952329439</c:v>
                </c:pt>
                <c:pt idx="380">
                  <c:v>190.51813302128576</c:v>
                </c:pt>
                <c:pt idx="381">
                  <c:v>190.52294282504536</c:v>
                </c:pt>
                <c:pt idx="382">
                  <c:v>190.5543204052583</c:v>
                </c:pt>
                <c:pt idx="383">
                  <c:v>190.65350635258852</c:v>
                </c:pt>
                <c:pt idx="384">
                  <c:v>190.71031712853792</c:v>
                </c:pt>
                <c:pt idx="385">
                  <c:v>190.73124744129422</c:v>
                </c:pt>
                <c:pt idx="386">
                  <c:v>190.81842525638089</c:v>
                </c:pt>
                <c:pt idx="387">
                  <c:v>190.82754422147667</c:v>
                </c:pt>
                <c:pt idx="388">
                  <c:v>190.81498972664517</c:v>
                </c:pt>
                <c:pt idx="389">
                  <c:v>190.79216605763079</c:v>
                </c:pt>
                <c:pt idx="390">
                  <c:v>190.7706284129037</c:v>
                </c:pt>
                <c:pt idx="391">
                  <c:v>190.72165002191196</c:v>
                </c:pt>
                <c:pt idx="392">
                  <c:v>190.67484215308389</c:v>
                </c:pt>
                <c:pt idx="393">
                  <c:v>190.6704356231543</c:v>
                </c:pt>
                <c:pt idx="394">
                  <c:v>190.66762482400665</c:v>
                </c:pt>
                <c:pt idx="395">
                  <c:v>190.80623548900624</c:v>
                </c:pt>
                <c:pt idx="396">
                  <c:v>190.90483849705461</c:v>
                </c:pt>
                <c:pt idx="397">
                  <c:v>190.89683562167113</c:v>
                </c:pt>
                <c:pt idx="398">
                  <c:v>190.90883464955067</c:v>
                </c:pt>
                <c:pt idx="399">
                  <c:v>190.90718281365437</c:v>
                </c:pt>
                <c:pt idx="400">
                  <c:v>190.94772226659217</c:v>
                </c:pt>
                <c:pt idx="401">
                  <c:v>190.96107250763998</c:v>
                </c:pt>
                <c:pt idx="402">
                  <c:v>190.95430093231934</c:v>
                </c:pt>
                <c:pt idx="403">
                  <c:v>190.99262954824437</c:v>
                </c:pt>
                <c:pt idx="404">
                  <c:v>191.03480674146635</c:v>
                </c:pt>
                <c:pt idx="405">
                  <c:v>191.03163502477116</c:v>
                </c:pt>
                <c:pt idx="406">
                  <c:v>191.05765817136779</c:v>
                </c:pt>
                <c:pt idx="407">
                  <c:v>191.04864454883869</c:v>
                </c:pt>
                <c:pt idx="408">
                  <c:v>191.05430605349187</c:v>
                </c:pt>
                <c:pt idx="409">
                  <c:v>191.07963541499109</c:v>
                </c:pt>
                <c:pt idx="410">
                  <c:v>191.09518549396341</c:v>
                </c:pt>
                <c:pt idx="411">
                  <c:v>191.13338658618841</c:v>
                </c:pt>
                <c:pt idx="412">
                  <c:v>191.12817234290392</c:v>
                </c:pt>
                <c:pt idx="413">
                  <c:v>191.1287854764314</c:v>
                </c:pt>
                <c:pt idx="414">
                  <c:v>191.11637840562696</c:v>
                </c:pt>
                <c:pt idx="415">
                  <c:v>191.10648403644973</c:v>
                </c:pt>
                <c:pt idx="416">
                  <c:v>191.10440490612297</c:v>
                </c:pt>
                <c:pt idx="417">
                  <c:v>191.11681528617197</c:v>
                </c:pt>
                <c:pt idx="418">
                  <c:v>191.11430562594148</c:v>
                </c:pt>
                <c:pt idx="419">
                  <c:v>191.1054749882442</c:v>
                </c:pt>
                <c:pt idx="420">
                  <c:v>191.17979967976845</c:v>
                </c:pt>
                <c:pt idx="421">
                  <c:v>191.2296693637274</c:v>
                </c:pt>
                <c:pt idx="422">
                  <c:v>191.26367634623085</c:v>
                </c:pt>
                <c:pt idx="423">
                  <c:v>191.29099787367491</c:v>
                </c:pt>
                <c:pt idx="424">
                  <c:v>191.30916232935908</c:v>
                </c:pt>
                <c:pt idx="425">
                  <c:v>191.30322160273272</c:v>
                </c:pt>
                <c:pt idx="426">
                  <c:v>191.29825998757286</c:v>
                </c:pt>
                <c:pt idx="427">
                  <c:v>191.3630017347931</c:v>
                </c:pt>
                <c:pt idx="428">
                  <c:v>191.38415558898174</c:v>
                </c:pt>
                <c:pt idx="429">
                  <c:v>191.389895339254</c:v>
                </c:pt>
                <c:pt idx="430">
                  <c:v>191.7231563641765</c:v>
                </c:pt>
                <c:pt idx="431">
                  <c:v>191.72247976069232</c:v>
                </c:pt>
                <c:pt idx="432">
                  <c:v>191.74444576558477</c:v>
                </c:pt>
                <c:pt idx="433">
                  <c:v>191.73976584897778</c:v>
                </c:pt>
                <c:pt idx="434">
                  <c:v>191.73202325517079</c:v>
                </c:pt>
                <c:pt idx="435">
                  <c:v>191.72152934140738</c:v>
                </c:pt>
                <c:pt idx="436">
                  <c:v>191.69732604520476</c:v>
                </c:pt>
                <c:pt idx="437">
                  <c:v>191.78746118453643</c:v>
                </c:pt>
                <c:pt idx="438">
                  <c:v>191.83611439551203</c:v>
                </c:pt>
                <c:pt idx="439">
                  <c:v>191.86195129735131</c:v>
                </c:pt>
                <c:pt idx="440">
                  <c:v>191.85249283254549</c:v>
                </c:pt>
                <c:pt idx="441">
                  <c:v>191.86935103105139</c:v>
                </c:pt>
                <c:pt idx="442">
                  <c:v>191.91406863413764</c:v>
                </c:pt>
                <c:pt idx="443">
                  <c:v>191.93253969784234</c:v>
                </c:pt>
                <c:pt idx="444">
                  <c:v>191.95852096911122</c:v>
                </c:pt>
                <c:pt idx="445">
                  <c:v>192.02112085583198</c:v>
                </c:pt>
                <c:pt idx="446">
                  <c:v>192.1113384954553</c:v>
                </c:pt>
                <c:pt idx="447">
                  <c:v>192.30017683303097</c:v>
                </c:pt>
                <c:pt idx="448">
                  <c:v>192.40372017754297</c:v>
                </c:pt>
                <c:pt idx="449">
                  <c:v>192.50188402398754</c:v>
                </c:pt>
                <c:pt idx="450">
                  <c:v>192.59494769431416</c:v>
                </c:pt>
                <c:pt idx="451">
                  <c:v>192.62891179837331</c:v>
                </c:pt>
                <c:pt idx="452">
                  <c:v>192.68070410909917</c:v>
                </c:pt>
                <c:pt idx="453">
                  <c:v>192.74729581494699</c:v>
                </c:pt>
                <c:pt idx="454">
                  <c:v>192.77568616149551</c:v>
                </c:pt>
                <c:pt idx="455">
                  <c:v>192.82084595307956</c:v>
                </c:pt>
                <c:pt idx="456">
                  <c:v>192.83316331678219</c:v>
                </c:pt>
                <c:pt idx="457">
                  <c:v>192.85519750185475</c:v>
                </c:pt>
                <c:pt idx="458">
                  <c:v>192.8977058435587</c:v>
                </c:pt>
                <c:pt idx="459">
                  <c:v>192.93287664711272</c:v>
                </c:pt>
                <c:pt idx="460">
                  <c:v>192.96901186631726</c:v>
                </c:pt>
                <c:pt idx="461">
                  <c:v>193.01048646097271</c:v>
                </c:pt>
                <c:pt idx="462">
                  <c:v>193.04089194940968</c:v>
                </c:pt>
                <c:pt idx="463">
                  <c:v>193.06284514593267</c:v>
                </c:pt>
                <c:pt idx="464">
                  <c:v>193.08796569588384</c:v>
                </c:pt>
                <c:pt idx="465">
                  <c:v>193.11401427736817</c:v>
                </c:pt>
                <c:pt idx="466">
                  <c:v>193.10605934956749</c:v>
                </c:pt>
                <c:pt idx="467">
                  <c:v>193.08841212418105</c:v>
                </c:pt>
                <c:pt idx="468">
                  <c:v>193.16778850105749</c:v>
                </c:pt>
                <c:pt idx="469">
                  <c:v>193.2361320951922</c:v>
                </c:pt>
                <c:pt idx="470">
                  <c:v>193.33430455851351</c:v>
                </c:pt>
                <c:pt idx="471">
                  <c:v>193.40567249078325</c:v>
                </c:pt>
                <c:pt idx="472">
                  <c:v>193.47448391427179</c:v>
                </c:pt>
                <c:pt idx="473">
                  <c:v>193.49940185384841</c:v>
                </c:pt>
                <c:pt idx="474">
                  <c:v>193.56179587728118</c:v>
                </c:pt>
                <c:pt idx="475">
                  <c:v>193.68527568590565</c:v>
                </c:pt>
                <c:pt idx="476">
                  <c:v>193.79682799770853</c:v>
                </c:pt>
                <c:pt idx="477">
                  <c:v>193.87423183180229</c:v>
                </c:pt>
                <c:pt idx="478">
                  <c:v>193.93049932697409</c:v>
                </c:pt>
                <c:pt idx="479">
                  <c:v>193.91583799875357</c:v>
                </c:pt>
                <c:pt idx="480">
                  <c:v>193.96828267789351</c:v>
                </c:pt>
                <c:pt idx="481">
                  <c:v>194.01518337551869</c:v>
                </c:pt>
                <c:pt idx="482">
                  <c:v>194.07691026843233</c:v>
                </c:pt>
                <c:pt idx="483">
                  <c:v>194.1519914801672</c:v>
                </c:pt>
                <c:pt idx="484">
                  <c:v>194.1747283758817</c:v>
                </c:pt>
                <c:pt idx="485">
                  <c:v>194.21359039613901</c:v>
                </c:pt>
                <c:pt idx="486">
                  <c:v>194.42563067393868</c:v>
                </c:pt>
                <c:pt idx="487">
                  <c:v>194.65853156464328</c:v>
                </c:pt>
                <c:pt idx="488">
                  <c:v>194.73429857959431</c:v>
                </c:pt>
                <c:pt idx="489">
                  <c:v>194.79567558104077</c:v>
                </c:pt>
                <c:pt idx="490">
                  <c:v>194.88904855066409</c:v>
                </c:pt>
                <c:pt idx="491">
                  <c:v>194.94498976079731</c:v>
                </c:pt>
                <c:pt idx="492">
                  <c:v>195.00886568393395</c:v>
                </c:pt>
                <c:pt idx="493">
                  <c:v>195.12041916484205</c:v>
                </c:pt>
                <c:pt idx="494">
                  <c:v>195.45092824938001</c:v>
                </c:pt>
                <c:pt idx="495">
                  <c:v>195.4949501252494</c:v>
                </c:pt>
                <c:pt idx="496">
                  <c:v>195.50250090101434</c:v>
                </c:pt>
                <c:pt idx="497">
                  <c:v>195.45694839162678</c:v>
                </c:pt>
                <c:pt idx="498">
                  <c:v>195.41404736504023</c:v>
                </c:pt>
                <c:pt idx="499">
                  <c:v>195.46585107235367</c:v>
                </c:pt>
                <c:pt idx="500">
                  <c:v>195.50571257227676</c:v>
                </c:pt>
                <c:pt idx="501">
                  <c:v>195.4978782917922</c:v>
                </c:pt>
                <c:pt idx="502">
                  <c:v>195.53817226187249</c:v>
                </c:pt>
                <c:pt idx="503">
                  <c:v>195.61574627759157</c:v>
                </c:pt>
                <c:pt idx="504">
                  <c:v>195.63060793739055</c:v>
                </c:pt>
                <c:pt idx="505">
                  <c:v>195.70310072545092</c:v>
                </c:pt>
                <c:pt idx="506">
                  <c:v>195.80819876482315</c:v>
                </c:pt>
                <c:pt idx="507">
                  <c:v>195.82035864394621</c:v>
                </c:pt>
                <c:pt idx="508">
                  <c:v>195.95116035141535</c:v>
                </c:pt>
                <c:pt idx="509">
                  <c:v>196.18443925156103</c:v>
                </c:pt>
                <c:pt idx="510">
                  <c:v>196.50357598360563</c:v>
                </c:pt>
                <c:pt idx="511">
                  <c:v>196.66560772763637</c:v>
                </c:pt>
                <c:pt idx="512">
                  <c:v>196.82631977297925</c:v>
                </c:pt>
                <c:pt idx="513">
                  <c:v>196.96062691959642</c:v>
                </c:pt>
                <c:pt idx="514">
                  <c:v>197.06179149715317</c:v>
                </c:pt>
                <c:pt idx="515">
                  <c:v>197.16564977156355</c:v>
                </c:pt>
                <c:pt idx="516">
                  <c:v>197.27682589869477</c:v>
                </c:pt>
                <c:pt idx="517">
                  <c:v>197.39547493624502</c:v>
                </c:pt>
                <c:pt idx="518">
                  <c:v>197.51106973310601</c:v>
                </c:pt>
                <c:pt idx="519">
                  <c:v>197.60308027415348</c:v>
                </c:pt>
                <c:pt idx="520">
                  <c:v>197.71850886591716</c:v>
                </c:pt>
                <c:pt idx="521">
                  <c:v>197.83852583691399</c:v>
                </c:pt>
                <c:pt idx="522">
                  <c:v>197.93016384805176</c:v>
                </c:pt>
                <c:pt idx="523">
                  <c:v>198.05821674522369</c:v>
                </c:pt>
                <c:pt idx="524">
                  <c:v>198.14290732993459</c:v>
                </c:pt>
                <c:pt idx="525">
                  <c:v>198.22714454946043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A7F-43E8-8F32-C1789BDA5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607600"/>
        <c:axId val="196606160"/>
      </c:lineChart>
      <c:dateAx>
        <c:axId val="196607600"/>
        <c:scaling>
          <c:orientation val="minMax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6160"/>
        <c:crosses val="autoZero"/>
        <c:auto val="1"/>
        <c:lblOffset val="100"/>
        <c:baseTimeUnit val="days"/>
      </c:dateAx>
      <c:valAx>
        <c:axId val="196606160"/>
        <c:scaling>
          <c:orientation val="minMax"/>
          <c:min val="1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Data!$C$2:$C$527</c:f>
              <c:numCache>
                <c:formatCode>_([$$-409]* #,##0.00_);_([$$-409]* \(#,##0.00\);_([$$-409]* "-"??_);_(@_)</c:formatCode>
                <c:ptCount val="526"/>
                <c:pt idx="0">
                  <c:v>172.08</c:v>
                </c:pt>
                <c:pt idx="1">
                  <c:v>171.33</c:v>
                </c:pt>
                <c:pt idx="2">
                  <c:v>171.41</c:v>
                </c:pt>
                <c:pt idx="3">
                  <c:v>172.27</c:v>
                </c:pt>
                <c:pt idx="4">
                  <c:v>172.02</c:v>
                </c:pt>
                <c:pt idx="5">
                  <c:v>170.66</c:v>
                </c:pt>
                <c:pt idx="6">
                  <c:v>171.02</c:v>
                </c:pt>
                <c:pt idx="7">
                  <c:v>170.3</c:v>
                </c:pt>
                <c:pt idx="8">
                  <c:v>169.05</c:v>
                </c:pt>
                <c:pt idx="9">
                  <c:v>167.99</c:v>
                </c:pt>
                <c:pt idx="10">
                  <c:v>167.09</c:v>
                </c:pt>
                <c:pt idx="11">
                  <c:v>167.42</c:v>
                </c:pt>
                <c:pt idx="12">
                  <c:v>170.31</c:v>
                </c:pt>
                <c:pt idx="13">
                  <c:v>170.11</c:v>
                </c:pt>
                <c:pt idx="14">
                  <c:v>168.99</c:v>
                </c:pt>
                <c:pt idx="15">
                  <c:v>170.5</c:v>
                </c:pt>
                <c:pt idx="16">
                  <c:v>172.94</c:v>
                </c:pt>
                <c:pt idx="17">
                  <c:v>172.28</c:v>
                </c:pt>
                <c:pt idx="18">
                  <c:v>172.73</c:v>
                </c:pt>
                <c:pt idx="19">
                  <c:v>176.27</c:v>
                </c:pt>
                <c:pt idx="20">
                  <c:v>174.36</c:v>
                </c:pt>
                <c:pt idx="21">
                  <c:v>173.73</c:v>
                </c:pt>
                <c:pt idx="22">
                  <c:v>174.73</c:v>
                </c:pt>
                <c:pt idx="23">
                  <c:v>174.5</c:v>
                </c:pt>
                <c:pt idx="24">
                  <c:v>175.1</c:v>
                </c:pt>
                <c:pt idx="25">
                  <c:v>175.43</c:v>
                </c:pt>
                <c:pt idx="26">
                  <c:v>174.8</c:v>
                </c:pt>
                <c:pt idx="27">
                  <c:v>175.01</c:v>
                </c:pt>
                <c:pt idx="28">
                  <c:v>175.79</c:v>
                </c:pt>
                <c:pt idx="29">
                  <c:v>174.26</c:v>
                </c:pt>
                <c:pt idx="30">
                  <c:v>176.03</c:v>
                </c:pt>
                <c:pt idx="31">
                  <c:v>179.87</c:v>
                </c:pt>
                <c:pt idx="32">
                  <c:v>179.03</c:v>
                </c:pt>
                <c:pt idx="33">
                  <c:v>179.73</c:v>
                </c:pt>
                <c:pt idx="34">
                  <c:v>180.9</c:v>
                </c:pt>
                <c:pt idx="35">
                  <c:v>183.07</c:v>
                </c:pt>
                <c:pt idx="36">
                  <c:v>183.99</c:v>
                </c:pt>
                <c:pt idx="37">
                  <c:v>183.36</c:v>
                </c:pt>
                <c:pt idx="38">
                  <c:v>183.45</c:v>
                </c:pt>
                <c:pt idx="39">
                  <c:v>184.38</c:v>
                </c:pt>
                <c:pt idx="40">
                  <c:v>186.06</c:v>
                </c:pt>
                <c:pt idx="41">
                  <c:v>185.29</c:v>
                </c:pt>
                <c:pt idx="42">
                  <c:v>186.68</c:v>
                </c:pt>
                <c:pt idx="43">
                  <c:v>188.55</c:v>
                </c:pt>
                <c:pt idx="44">
                  <c:v>189.53</c:v>
                </c:pt>
                <c:pt idx="45">
                  <c:v>187.87</c:v>
                </c:pt>
                <c:pt idx="46">
                  <c:v>188.22</c:v>
                </c:pt>
                <c:pt idx="47">
                  <c:v>188.29</c:v>
                </c:pt>
                <c:pt idx="48">
                  <c:v>189.84</c:v>
                </c:pt>
                <c:pt idx="49">
                  <c:v>191.38</c:v>
                </c:pt>
                <c:pt idx="50">
                  <c:v>187.97</c:v>
                </c:pt>
                <c:pt idx="51">
                  <c:v>190.3</c:v>
                </c:pt>
                <c:pt idx="52">
                  <c:v>192.66</c:v>
                </c:pt>
                <c:pt idx="53">
                  <c:v>193.79</c:v>
                </c:pt>
                <c:pt idx="54">
                  <c:v>196.33</c:v>
                </c:pt>
                <c:pt idx="55">
                  <c:v>199.06</c:v>
                </c:pt>
                <c:pt idx="56">
                  <c:v>196.62</c:v>
                </c:pt>
                <c:pt idx="57">
                  <c:v>194.82</c:v>
                </c:pt>
                <c:pt idx="58">
                  <c:v>195.73</c:v>
                </c:pt>
                <c:pt idx="59">
                  <c:v>199.52</c:v>
                </c:pt>
                <c:pt idx="60">
                  <c:v>200.3</c:v>
                </c:pt>
                <c:pt idx="61">
                  <c:v>198.94</c:v>
                </c:pt>
                <c:pt idx="62">
                  <c:v>198.86</c:v>
                </c:pt>
                <c:pt idx="63">
                  <c:v>198.3</c:v>
                </c:pt>
                <c:pt idx="64">
                  <c:v>195.65</c:v>
                </c:pt>
                <c:pt idx="65">
                  <c:v>197.45</c:v>
                </c:pt>
                <c:pt idx="66">
                  <c:v>198.48</c:v>
                </c:pt>
                <c:pt idx="67">
                  <c:v>197.15</c:v>
                </c:pt>
                <c:pt idx="68">
                  <c:v>195.47</c:v>
                </c:pt>
                <c:pt idx="69">
                  <c:v>195.43</c:v>
                </c:pt>
                <c:pt idx="70">
                  <c:v>182.79</c:v>
                </c:pt>
                <c:pt idx="71">
                  <c:v>182.89</c:v>
                </c:pt>
                <c:pt idx="72">
                  <c:v>180.8</c:v>
                </c:pt>
                <c:pt idx="73">
                  <c:v>180.08</c:v>
                </c:pt>
                <c:pt idx="74">
                  <c:v>181.25</c:v>
                </c:pt>
                <c:pt idx="75">
                  <c:v>185.8</c:v>
                </c:pt>
                <c:pt idx="76">
                  <c:v>189.41</c:v>
                </c:pt>
                <c:pt idx="77">
                  <c:v>192.14</c:v>
                </c:pt>
                <c:pt idx="78">
                  <c:v>193.08</c:v>
                </c:pt>
                <c:pt idx="79">
                  <c:v>193.37</c:v>
                </c:pt>
                <c:pt idx="80">
                  <c:v>193.49</c:v>
                </c:pt>
                <c:pt idx="81">
                  <c:v>193.28</c:v>
                </c:pt>
                <c:pt idx="82">
                  <c:v>191.74</c:v>
                </c:pt>
                <c:pt idx="83">
                  <c:v>191.86</c:v>
                </c:pt>
                <c:pt idx="84">
                  <c:v>191.66</c:v>
                </c:pt>
                <c:pt idx="85">
                  <c:v>190.51</c:v>
                </c:pt>
                <c:pt idx="86">
                  <c:v>192</c:v>
                </c:pt>
                <c:pt idx="87">
                  <c:v>191.75</c:v>
                </c:pt>
                <c:pt idx="88">
                  <c:v>195.65</c:v>
                </c:pt>
                <c:pt idx="89">
                  <c:v>197.5</c:v>
                </c:pt>
                <c:pt idx="90">
                  <c:v>198.77</c:v>
                </c:pt>
                <c:pt idx="91">
                  <c:v>198.73</c:v>
                </c:pt>
                <c:pt idx="92">
                  <c:v>201.51</c:v>
                </c:pt>
                <c:pt idx="93">
                  <c:v>202.11</c:v>
                </c:pt>
                <c:pt idx="94">
                  <c:v>202.47</c:v>
                </c:pt>
                <c:pt idx="95">
                  <c:v>204.79</c:v>
                </c:pt>
                <c:pt idx="96">
                  <c:v>195.58</c:v>
                </c:pt>
                <c:pt idx="97">
                  <c:v>199.52</c:v>
                </c:pt>
                <c:pt idx="98">
                  <c:v>198.31</c:v>
                </c:pt>
                <c:pt idx="99">
                  <c:v>196.92</c:v>
                </c:pt>
                <c:pt idx="100">
                  <c:v>200.71</c:v>
                </c:pt>
                <c:pt idx="101">
                  <c:v>199.5</c:v>
                </c:pt>
                <c:pt idx="102">
                  <c:v>198.11</c:v>
                </c:pt>
                <c:pt idx="103">
                  <c:v>199.33</c:v>
                </c:pt>
                <c:pt idx="104">
                  <c:v>202.63</c:v>
                </c:pt>
                <c:pt idx="105">
                  <c:v>201.82</c:v>
                </c:pt>
                <c:pt idx="106">
                  <c:v>199.16</c:v>
                </c:pt>
                <c:pt idx="107">
                  <c:v>197.26</c:v>
                </c:pt>
                <c:pt idx="108">
                  <c:v>196.91</c:v>
                </c:pt>
                <c:pt idx="109">
                  <c:v>199.95</c:v>
                </c:pt>
                <c:pt idx="110">
                  <c:v>199.61</c:v>
                </c:pt>
                <c:pt idx="111">
                  <c:v>194.36</c:v>
                </c:pt>
                <c:pt idx="112">
                  <c:v>191.53</c:v>
                </c:pt>
                <c:pt idx="113">
                  <c:v>193.66</c:v>
                </c:pt>
                <c:pt idx="114">
                  <c:v>193.78</c:v>
                </c:pt>
                <c:pt idx="115">
                  <c:v>194.98</c:v>
                </c:pt>
                <c:pt idx="116">
                  <c:v>197</c:v>
                </c:pt>
                <c:pt idx="117">
                  <c:v>198.67</c:v>
                </c:pt>
                <c:pt idx="118">
                  <c:v>196.3</c:v>
                </c:pt>
                <c:pt idx="119">
                  <c:v>198.88</c:v>
                </c:pt>
                <c:pt idx="120">
                  <c:v>198.07</c:v>
                </c:pt>
                <c:pt idx="121">
                  <c:v>197.43</c:v>
                </c:pt>
                <c:pt idx="122">
                  <c:v>199.17</c:v>
                </c:pt>
                <c:pt idx="123">
                  <c:v>202.26</c:v>
                </c:pt>
                <c:pt idx="124">
                  <c:v>205.45</c:v>
                </c:pt>
                <c:pt idx="125">
                  <c:v>208.83</c:v>
                </c:pt>
                <c:pt idx="126">
                  <c:v>208.69</c:v>
                </c:pt>
                <c:pt idx="127">
                  <c:v>204.79</c:v>
                </c:pt>
                <c:pt idx="128">
                  <c:v>205.17</c:v>
                </c:pt>
                <c:pt idx="129">
                  <c:v>207.63</c:v>
                </c:pt>
                <c:pt idx="130">
                  <c:v>207.8</c:v>
                </c:pt>
                <c:pt idx="131">
                  <c:v>207.45</c:v>
                </c:pt>
                <c:pt idx="132">
                  <c:v>204.94</c:v>
                </c:pt>
                <c:pt idx="133">
                  <c:v>210.05</c:v>
                </c:pt>
                <c:pt idx="134">
                  <c:v>213.62</c:v>
                </c:pt>
                <c:pt idx="135">
                  <c:v>216.87</c:v>
                </c:pt>
                <c:pt idx="136">
                  <c:v>209.98</c:v>
                </c:pt>
                <c:pt idx="137">
                  <c:v>209.78</c:v>
                </c:pt>
                <c:pt idx="138">
                  <c:v>210.28</c:v>
                </c:pt>
                <c:pt idx="139">
                  <c:v>210.33</c:v>
                </c:pt>
                <c:pt idx="140">
                  <c:v>208.59</c:v>
                </c:pt>
                <c:pt idx="141">
                  <c:v>208.67</c:v>
                </c:pt>
                <c:pt idx="142">
                  <c:v>212.24</c:v>
                </c:pt>
                <c:pt idx="143">
                  <c:v>210.85</c:v>
                </c:pt>
                <c:pt idx="144">
                  <c:v>215.19</c:v>
                </c:pt>
                <c:pt idx="145">
                  <c:v>212.8</c:v>
                </c:pt>
                <c:pt idx="146">
                  <c:v>207.96</c:v>
                </c:pt>
                <c:pt idx="147">
                  <c:v>199.14</c:v>
                </c:pt>
                <c:pt idx="148">
                  <c:v>194.9</c:v>
                </c:pt>
                <c:pt idx="149">
                  <c:v>200.34</c:v>
                </c:pt>
                <c:pt idx="150">
                  <c:v>200.4</c:v>
                </c:pt>
                <c:pt idx="151">
                  <c:v>204.06</c:v>
                </c:pt>
                <c:pt idx="152">
                  <c:v>205.8</c:v>
                </c:pt>
                <c:pt idx="153">
                  <c:v>206.19</c:v>
                </c:pt>
                <c:pt idx="154">
                  <c:v>207.94</c:v>
                </c:pt>
                <c:pt idx="155">
                  <c:v>210.24</c:v>
                </c:pt>
                <c:pt idx="156">
                  <c:v>211.55</c:v>
                </c:pt>
                <c:pt idx="157">
                  <c:v>213.97</c:v>
                </c:pt>
                <c:pt idx="158">
                  <c:v>215.45</c:v>
                </c:pt>
                <c:pt idx="159">
                  <c:v>214.52</c:v>
                </c:pt>
                <c:pt idx="160">
                  <c:v>214.6</c:v>
                </c:pt>
                <c:pt idx="161">
                  <c:v>216.63</c:v>
                </c:pt>
                <c:pt idx="162">
                  <c:v>218.31</c:v>
                </c:pt>
                <c:pt idx="163">
                  <c:v>219.17</c:v>
                </c:pt>
                <c:pt idx="164">
                  <c:v>220.18</c:v>
                </c:pt>
                <c:pt idx="165">
                  <c:v>221.29</c:v>
                </c:pt>
                <c:pt idx="166">
                  <c:v>222.21</c:v>
                </c:pt>
                <c:pt idx="167">
                  <c:v>224.8</c:v>
                </c:pt>
                <c:pt idx="168">
                  <c:v>220.3</c:v>
                </c:pt>
                <c:pt idx="169">
                  <c:v>219.33</c:v>
                </c:pt>
                <c:pt idx="170">
                  <c:v>217.63</c:v>
                </c:pt>
                <c:pt idx="171">
                  <c:v>212.46</c:v>
                </c:pt>
                <c:pt idx="172">
                  <c:v>216.81</c:v>
                </c:pt>
                <c:pt idx="173">
                  <c:v>205.56</c:v>
                </c:pt>
                <c:pt idx="174">
                  <c:v>207.23</c:v>
                </c:pt>
                <c:pt idx="175">
                  <c:v>206.6</c:v>
                </c:pt>
                <c:pt idx="176">
                  <c:v>204.32</c:v>
                </c:pt>
                <c:pt idx="177">
                  <c:v>207.86</c:v>
                </c:pt>
                <c:pt idx="178">
                  <c:v>209.25</c:v>
                </c:pt>
                <c:pt idx="179">
                  <c:v>207.53</c:v>
                </c:pt>
                <c:pt idx="180">
                  <c:v>210.48</c:v>
                </c:pt>
                <c:pt idx="181">
                  <c:v>211.09</c:v>
                </c:pt>
                <c:pt idx="182">
                  <c:v>211.44</c:v>
                </c:pt>
                <c:pt idx="183">
                  <c:v>211.59</c:v>
                </c:pt>
                <c:pt idx="184">
                  <c:v>210.19</c:v>
                </c:pt>
                <c:pt idx="185">
                  <c:v>209.78</c:v>
                </c:pt>
                <c:pt idx="186">
                  <c:v>210.5</c:v>
                </c:pt>
                <c:pt idx="187">
                  <c:v>210.86</c:v>
                </c:pt>
                <c:pt idx="188">
                  <c:v>207.04</c:v>
                </c:pt>
                <c:pt idx="189">
                  <c:v>207.29</c:v>
                </c:pt>
                <c:pt idx="190">
                  <c:v>205.23</c:v>
                </c:pt>
                <c:pt idx="191">
                  <c:v>211.22</c:v>
                </c:pt>
                <c:pt idx="192">
                  <c:v>210.93</c:v>
                </c:pt>
                <c:pt idx="193">
                  <c:v>210.75</c:v>
                </c:pt>
                <c:pt idx="194">
                  <c:v>213.42</c:v>
                </c:pt>
                <c:pt idx="195">
                  <c:v>212.84</c:v>
                </c:pt>
                <c:pt idx="196">
                  <c:v>222.29</c:v>
                </c:pt>
                <c:pt idx="197">
                  <c:v>221.48</c:v>
                </c:pt>
                <c:pt idx="198">
                  <c:v>222.39</c:v>
                </c:pt>
                <c:pt idx="199">
                  <c:v>223.64</c:v>
                </c:pt>
                <c:pt idx="200">
                  <c:v>224.42</c:v>
                </c:pt>
                <c:pt idx="201">
                  <c:v>225.37</c:v>
                </c:pt>
                <c:pt idx="202">
                  <c:v>223</c:v>
                </c:pt>
                <c:pt idx="203">
                  <c:v>224.12</c:v>
                </c:pt>
                <c:pt idx="204">
                  <c:v>223.41</c:v>
                </c:pt>
                <c:pt idx="205">
                  <c:v>224.98</c:v>
                </c:pt>
                <c:pt idx="206">
                  <c:v>222.31</c:v>
                </c:pt>
                <c:pt idx="207">
                  <c:v>225.5</c:v>
                </c:pt>
                <c:pt idx="208">
                  <c:v>222.9</c:v>
                </c:pt>
                <c:pt idx="209">
                  <c:v>224.41</c:v>
                </c:pt>
                <c:pt idx="210">
                  <c:v>221.92</c:v>
                </c:pt>
                <c:pt idx="211">
                  <c:v>222.94</c:v>
                </c:pt>
                <c:pt idx="212">
                  <c:v>219.78</c:v>
                </c:pt>
                <c:pt idx="213">
                  <c:v>221.49</c:v>
                </c:pt>
                <c:pt idx="214">
                  <c:v>247.06</c:v>
                </c:pt>
                <c:pt idx="215">
                  <c:v>236.38</c:v>
                </c:pt>
                <c:pt idx="216">
                  <c:v>236.98</c:v>
                </c:pt>
                <c:pt idx="217">
                  <c:v>239.29</c:v>
                </c:pt>
                <c:pt idx="218">
                  <c:v>239.56</c:v>
                </c:pt>
                <c:pt idx="219">
                  <c:v>241.16</c:v>
                </c:pt>
                <c:pt idx="220">
                  <c:v>241.87</c:v>
                </c:pt>
                <c:pt idx="221">
                  <c:v>245.31</c:v>
                </c:pt>
                <c:pt idx="222">
                  <c:v>245.03</c:v>
                </c:pt>
                <c:pt idx="223">
                  <c:v>243.09</c:v>
                </c:pt>
                <c:pt idx="224">
                  <c:v>240.78</c:v>
                </c:pt>
                <c:pt idx="225">
                  <c:v>244.76</c:v>
                </c:pt>
                <c:pt idx="226">
                  <c:v>248.55</c:v>
                </c:pt>
                <c:pt idx="227">
                  <c:v>250.29</c:v>
                </c:pt>
                <c:pt idx="228">
                  <c:v>249.97</c:v>
                </c:pt>
                <c:pt idx="229">
                  <c:v>249.79</c:v>
                </c:pt>
                <c:pt idx="230">
                  <c:v>249.72</c:v>
                </c:pt>
                <c:pt idx="231">
                  <c:v>246.25</c:v>
                </c:pt>
                <c:pt idx="232">
                  <c:v>244.82</c:v>
                </c:pt>
                <c:pt idx="233">
                  <c:v>243.4</c:v>
                </c:pt>
                <c:pt idx="234">
                  <c:v>245.48</c:v>
                </c:pt>
                <c:pt idx="235">
                  <c:v>247.36</c:v>
                </c:pt>
                <c:pt idx="236">
                  <c:v>243.81</c:v>
                </c:pt>
                <c:pt idx="237">
                  <c:v>242.86</c:v>
                </c:pt>
                <c:pt idx="238">
                  <c:v>243.53</c:v>
                </c:pt>
                <c:pt idx="239">
                  <c:v>241.53</c:v>
                </c:pt>
                <c:pt idx="240">
                  <c:v>239.94</c:v>
                </c:pt>
                <c:pt idx="241">
                  <c:v>239.58</c:v>
                </c:pt>
                <c:pt idx="242">
                  <c:v>238.36</c:v>
                </c:pt>
                <c:pt idx="243">
                  <c:v>230.37</c:v>
                </c:pt>
                <c:pt idx="244">
                  <c:v>232.96</c:v>
                </c:pt>
                <c:pt idx="245">
                  <c:v>237.6</c:v>
                </c:pt>
                <c:pt idx="246">
                  <c:v>238.39</c:v>
                </c:pt>
                <c:pt idx="247">
                  <c:v>242.31</c:v>
                </c:pt>
                <c:pt idx="248">
                  <c:v>243.14</c:v>
                </c:pt>
                <c:pt idx="249">
                  <c:v>241.17</c:v>
                </c:pt>
                <c:pt idx="250">
                  <c:v>239.32</c:v>
                </c:pt>
                <c:pt idx="251">
                  <c:v>239.71</c:v>
                </c:pt>
                <c:pt idx="252">
                  <c:v>240</c:v>
                </c:pt>
                <c:pt idx="253">
                  <c:v>243.28</c:v>
                </c:pt>
                <c:pt idx="254">
                  <c:v>240.85</c:v>
                </c:pt>
                <c:pt idx="255">
                  <c:v>243.17</c:v>
                </c:pt>
                <c:pt idx="256">
                  <c:v>243.13</c:v>
                </c:pt>
                <c:pt idx="257">
                  <c:v>239.87</c:v>
                </c:pt>
                <c:pt idx="258">
                  <c:v>244.21</c:v>
                </c:pt>
                <c:pt idx="259">
                  <c:v>247.47</c:v>
                </c:pt>
                <c:pt idx="260">
                  <c:v>252.35</c:v>
                </c:pt>
                <c:pt idx="261">
                  <c:v>254.27</c:v>
                </c:pt>
                <c:pt idx="262">
                  <c:v>259.16000000000003</c:v>
                </c:pt>
                <c:pt idx="263">
                  <c:v>263.02999999999997</c:v>
                </c:pt>
                <c:pt idx="264">
                  <c:v>262.83999999999997</c:v>
                </c:pt>
                <c:pt idx="265">
                  <c:v>265.95</c:v>
                </c:pt>
                <c:pt idx="266">
                  <c:v>264.83999999999997</c:v>
                </c:pt>
                <c:pt idx="267">
                  <c:v>265.85000000000002</c:v>
                </c:pt>
                <c:pt idx="268">
                  <c:v>267.14</c:v>
                </c:pt>
                <c:pt idx="269">
                  <c:v>266.58</c:v>
                </c:pt>
                <c:pt idx="270">
                  <c:v>268.23</c:v>
                </c:pt>
                <c:pt idx="271">
                  <c:v>267.3</c:v>
                </c:pt>
                <c:pt idx="272">
                  <c:v>266.81</c:v>
                </c:pt>
                <c:pt idx="273">
                  <c:v>267.94</c:v>
                </c:pt>
                <c:pt idx="274">
                  <c:v>270.43</c:v>
                </c:pt>
                <c:pt idx="275">
                  <c:v>276.89999999999998</c:v>
                </c:pt>
                <c:pt idx="276">
                  <c:v>275.8</c:v>
                </c:pt>
                <c:pt idx="277">
                  <c:v>271.04000000000002</c:v>
                </c:pt>
                <c:pt idx="278">
                  <c:v>274.99</c:v>
                </c:pt>
                <c:pt idx="279">
                  <c:v>275.45</c:v>
                </c:pt>
                <c:pt idx="280">
                  <c:v>276.32</c:v>
                </c:pt>
                <c:pt idx="281">
                  <c:v>276.58999999999997</c:v>
                </c:pt>
                <c:pt idx="282">
                  <c:v>279.95</c:v>
                </c:pt>
                <c:pt idx="283">
                  <c:v>279.25</c:v>
                </c:pt>
                <c:pt idx="284">
                  <c:v>266.8</c:v>
                </c:pt>
                <c:pt idx="285">
                  <c:v>264.24</c:v>
                </c:pt>
                <c:pt idx="286">
                  <c:v>261.33999999999997</c:v>
                </c:pt>
                <c:pt idx="287">
                  <c:v>257.39999999999998</c:v>
                </c:pt>
                <c:pt idx="288">
                  <c:v>258.79000000000002</c:v>
                </c:pt>
                <c:pt idx="289">
                  <c:v>259.05</c:v>
                </c:pt>
                <c:pt idx="290">
                  <c:v>264.64999999999998</c:v>
                </c:pt>
                <c:pt idx="291">
                  <c:v>260.62</c:v>
                </c:pt>
                <c:pt idx="292">
                  <c:v>250.25</c:v>
                </c:pt>
                <c:pt idx="293">
                  <c:v>251.53</c:v>
                </c:pt>
                <c:pt idx="294">
                  <c:v>246.54</c:v>
                </c:pt>
                <c:pt idx="295">
                  <c:v>242.28</c:v>
                </c:pt>
                <c:pt idx="296">
                  <c:v>232.22</c:v>
                </c:pt>
                <c:pt idx="297">
                  <c:v>229.14</c:v>
                </c:pt>
                <c:pt idx="298">
                  <c:v>227.9</c:v>
                </c:pt>
                <c:pt idx="299">
                  <c:v>225.19</c:v>
                </c:pt>
                <c:pt idx="300">
                  <c:v>232.44</c:v>
                </c:pt>
                <c:pt idx="301">
                  <c:v>233.93</c:v>
                </c:pt>
                <c:pt idx="302">
                  <c:v>234.97</c:v>
                </c:pt>
                <c:pt idx="303">
                  <c:v>239.11</c:v>
                </c:pt>
                <c:pt idx="304">
                  <c:v>239.01</c:v>
                </c:pt>
                <c:pt idx="305">
                  <c:v>241.63</c:v>
                </c:pt>
                <c:pt idx="306">
                  <c:v>248.06</c:v>
                </c:pt>
                <c:pt idx="307">
                  <c:v>251.13</c:v>
                </c:pt>
                <c:pt idx="308">
                  <c:v>251.03</c:v>
                </c:pt>
                <c:pt idx="309">
                  <c:v>248.12</c:v>
                </c:pt>
                <c:pt idx="310">
                  <c:v>242.85</c:v>
                </c:pt>
                <c:pt idx="311">
                  <c:v>245.3</c:v>
                </c:pt>
                <c:pt idx="312">
                  <c:v>243.66</c:v>
                </c:pt>
                <c:pt idx="313">
                  <c:v>245.82</c:v>
                </c:pt>
                <c:pt idx="314">
                  <c:v>228.69</c:v>
                </c:pt>
                <c:pt idx="315">
                  <c:v>210.28</c:v>
                </c:pt>
                <c:pt idx="316">
                  <c:v>214.44</c:v>
                </c:pt>
                <c:pt idx="317">
                  <c:v>216.87</c:v>
                </c:pt>
                <c:pt idx="318">
                  <c:v>234.34</c:v>
                </c:pt>
                <c:pt idx="319">
                  <c:v>227.11</c:v>
                </c:pt>
                <c:pt idx="320">
                  <c:v>236.2</c:v>
                </c:pt>
                <c:pt idx="321">
                  <c:v>234.72</c:v>
                </c:pt>
                <c:pt idx="322">
                  <c:v>233.13</c:v>
                </c:pt>
                <c:pt idx="323">
                  <c:v>229.61</c:v>
                </c:pt>
                <c:pt idx="324">
                  <c:v>231.96</c:v>
                </c:pt>
                <c:pt idx="325">
                  <c:v>228.99</c:v>
                </c:pt>
                <c:pt idx="326">
                  <c:v>235.59</c:v>
                </c:pt>
                <c:pt idx="327">
                  <c:v>240.88</c:v>
                </c:pt>
                <c:pt idx="328">
                  <c:v>244.64</c:v>
                </c:pt>
                <c:pt idx="329">
                  <c:v>243.55</c:v>
                </c:pt>
                <c:pt idx="330">
                  <c:v>243.22</c:v>
                </c:pt>
                <c:pt idx="331">
                  <c:v>244.62</c:v>
                </c:pt>
                <c:pt idx="332">
                  <c:v>244.62</c:v>
                </c:pt>
                <c:pt idx="333">
                  <c:v>246.89</c:v>
                </c:pt>
                <c:pt idx="334">
                  <c:v>252.51</c:v>
                </c:pt>
                <c:pt idx="335">
                  <c:v>252.56</c:v>
                </c:pt>
                <c:pt idx="336">
                  <c:v>249.25</c:v>
                </c:pt>
                <c:pt idx="337">
                  <c:v>249.39</c:v>
                </c:pt>
                <c:pt idx="338">
                  <c:v>253.47</c:v>
                </c:pt>
                <c:pt idx="339">
                  <c:v>253.08</c:v>
                </c:pt>
                <c:pt idx="340">
                  <c:v>260.05</c:v>
                </c:pt>
                <c:pt idx="341">
                  <c:v>263.01</c:v>
                </c:pt>
                <c:pt idx="342">
                  <c:v>265.64</c:v>
                </c:pt>
                <c:pt idx="343">
                  <c:v>267.49</c:v>
                </c:pt>
                <c:pt idx="344">
                  <c:v>267.56</c:v>
                </c:pt>
                <c:pt idx="345">
                  <c:v>264.88</c:v>
                </c:pt>
                <c:pt idx="346">
                  <c:v>265.68</c:v>
                </c:pt>
                <c:pt idx="347">
                  <c:v>261.04000000000002</c:v>
                </c:pt>
                <c:pt idx="348">
                  <c:v>260.67</c:v>
                </c:pt>
                <c:pt idx="349">
                  <c:v>260.70999999999998</c:v>
                </c:pt>
                <c:pt idx="350">
                  <c:v>265.29000000000002</c:v>
                </c:pt>
                <c:pt idx="351">
                  <c:v>263.49</c:v>
                </c:pt>
                <c:pt idx="352">
                  <c:v>264.37</c:v>
                </c:pt>
                <c:pt idx="353">
                  <c:v>264</c:v>
                </c:pt>
                <c:pt idx="354">
                  <c:v>264.66000000000003</c:v>
                </c:pt>
                <c:pt idx="355">
                  <c:v>266.27</c:v>
                </c:pt>
                <c:pt idx="356">
                  <c:v>264.22000000000003</c:v>
                </c:pt>
                <c:pt idx="357">
                  <c:v>261.95</c:v>
                </c:pt>
                <c:pt idx="358">
                  <c:v>265.73</c:v>
                </c:pt>
                <c:pt idx="359">
                  <c:v>266.74</c:v>
                </c:pt>
                <c:pt idx="360">
                  <c:v>268.60000000000002</c:v>
                </c:pt>
                <c:pt idx="361">
                  <c:v>268.14999999999998</c:v>
                </c:pt>
                <c:pt idx="362">
                  <c:v>268.24</c:v>
                </c:pt>
                <c:pt idx="363">
                  <c:v>264.95</c:v>
                </c:pt>
                <c:pt idx="364">
                  <c:v>270.36</c:v>
                </c:pt>
                <c:pt idx="365">
                  <c:v>269.52</c:v>
                </c:pt>
                <c:pt idx="366">
                  <c:v>273.95999999999998</c:v>
                </c:pt>
                <c:pt idx="367">
                  <c:v>275</c:v>
                </c:pt>
                <c:pt idx="368">
                  <c:v>278.27</c:v>
                </c:pt>
                <c:pt idx="369">
                  <c:v>281.26</c:v>
                </c:pt>
                <c:pt idx="370">
                  <c:v>284.06</c:v>
                </c:pt>
                <c:pt idx="371">
                  <c:v>288.75</c:v>
                </c:pt>
                <c:pt idx="372">
                  <c:v>287.11</c:v>
                </c:pt>
                <c:pt idx="373">
                  <c:v>289.91000000000003</c:v>
                </c:pt>
                <c:pt idx="374">
                  <c:v>290.41000000000003</c:v>
                </c:pt>
                <c:pt idx="375">
                  <c:v>292</c:v>
                </c:pt>
                <c:pt idx="376">
                  <c:v>296</c:v>
                </c:pt>
                <c:pt idx="377">
                  <c:v>291.97000000000003</c:v>
                </c:pt>
                <c:pt idx="378">
                  <c:v>282.77999999999997</c:v>
                </c:pt>
                <c:pt idx="379">
                  <c:v>283.16000000000003</c:v>
                </c:pt>
                <c:pt idx="380">
                  <c:v>288.19</c:v>
                </c:pt>
                <c:pt idx="381">
                  <c:v>286.86</c:v>
                </c:pt>
                <c:pt idx="382">
                  <c:v>288.7</c:v>
                </c:pt>
                <c:pt idx="383">
                  <c:v>286.55</c:v>
                </c:pt>
                <c:pt idx="384">
                  <c:v>285.82</c:v>
                </c:pt>
                <c:pt idx="385">
                  <c:v>289.89999999999998</c:v>
                </c:pt>
                <c:pt idx="386">
                  <c:v>291.27</c:v>
                </c:pt>
                <c:pt idx="387">
                  <c:v>290.97000000000003</c:v>
                </c:pt>
                <c:pt idx="388">
                  <c:v>291.43</c:v>
                </c:pt>
                <c:pt idx="389">
                  <c:v>296.76</c:v>
                </c:pt>
                <c:pt idx="390">
                  <c:v>296.55</c:v>
                </c:pt>
                <c:pt idx="391">
                  <c:v>298.62</c:v>
                </c:pt>
                <c:pt idx="392">
                  <c:v>298.27999999999997</c:v>
                </c:pt>
                <c:pt idx="393">
                  <c:v>297.04000000000002</c:v>
                </c:pt>
                <c:pt idx="394">
                  <c:v>299.63</c:v>
                </c:pt>
                <c:pt idx="395">
                  <c:v>296.24</c:v>
                </c:pt>
                <c:pt idx="396">
                  <c:v>289.37</c:v>
                </c:pt>
                <c:pt idx="397">
                  <c:v>294.26</c:v>
                </c:pt>
                <c:pt idx="398">
                  <c:v>291.37</c:v>
                </c:pt>
                <c:pt idx="399">
                  <c:v>291.35000000000002</c:v>
                </c:pt>
                <c:pt idx="400">
                  <c:v>286.94</c:v>
                </c:pt>
                <c:pt idx="401">
                  <c:v>288.76</c:v>
                </c:pt>
                <c:pt idx="402">
                  <c:v>289.56</c:v>
                </c:pt>
                <c:pt idx="403">
                  <c:v>292.85000000000002</c:v>
                </c:pt>
                <c:pt idx="404">
                  <c:v>290.52999999999997</c:v>
                </c:pt>
                <c:pt idx="405">
                  <c:v>294.16000000000003</c:v>
                </c:pt>
                <c:pt idx="406">
                  <c:v>290.49</c:v>
                </c:pt>
                <c:pt idx="407">
                  <c:v>291.52999999999997</c:v>
                </c:pt>
                <c:pt idx="408">
                  <c:v>290.66000000000003</c:v>
                </c:pt>
                <c:pt idx="409">
                  <c:v>292.24</c:v>
                </c:pt>
                <c:pt idx="410">
                  <c:v>291.47000000000003</c:v>
                </c:pt>
                <c:pt idx="411">
                  <c:v>296.24</c:v>
                </c:pt>
                <c:pt idx="412">
                  <c:v>294.89999999999998</c:v>
                </c:pt>
                <c:pt idx="413">
                  <c:v>298.57</c:v>
                </c:pt>
                <c:pt idx="414">
                  <c:v>299.27999999999997</c:v>
                </c:pt>
                <c:pt idx="415">
                  <c:v>301.07</c:v>
                </c:pt>
                <c:pt idx="416">
                  <c:v>301.42</c:v>
                </c:pt>
                <c:pt idx="417">
                  <c:v>299.7</c:v>
                </c:pt>
                <c:pt idx="418">
                  <c:v>299.51</c:v>
                </c:pt>
                <c:pt idx="419">
                  <c:v>303.82</c:v>
                </c:pt>
                <c:pt idx="420">
                  <c:v>294.38</c:v>
                </c:pt>
                <c:pt idx="421">
                  <c:v>292.91000000000003</c:v>
                </c:pt>
                <c:pt idx="422">
                  <c:v>297.85000000000002</c:v>
                </c:pt>
                <c:pt idx="423">
                  <c:v>300.54000000000002</c:v>
                </c:pt>
                <c:pt idx="424">
                  <c:v>305.56</c:v>
                </c:pt>
                <c:pt idx="425">
                  <c:v>306.91000000000003</c:v>
                </c:pt>
                <c:pt idx="426">
                  <c:v>308.89999999999998</c:v>
                </c:pt>
                <c:pt idx="427">
                  <c:v>309.19</c:v>
                </c:pt>
                <c:pt idx="428">
                  <c:v>311.75</c:v>
                </c:pt>
                <c:pt idx="429">
                  <c:v>313.23</c:v>
                </c:pt>
                <c:pt idx="430">
                  <c:v>314.77999999999997</c:v>
                </c:pt>
                <c:pt idx="431">
                  <c:v>312.44</c:v>
                </c:pt>
                <c:pt idx="432">
                  <c:v>312.74</c:v>
                </c:pt>
                <c:pt idx="433">
                  <c:v>313.42</c:v>
                </c:pt>
                <c:pt idx="434">
                  <c:v>313.45</c:v>
                </c:pt>
                <c:pt idx="435">
                  <c:v>316.06</c:v>
                </c:pt>
                <c:pt idx="436">
                  <c:v>315.69</c:v>
                </c:pt>
                <c:pt idx="437">
                  <c:v>315.43</c:v>
                </c:pt>
                <c:pt idx="438">
                  <c:v>310.70999999999998</c:v>
                </c:pt>
                <c:pt idx="439">
                  <c:v>307.55</c:v>
                </c:pt>
                <c:pt idx="440">
                  <c:v>310.02999999999997</c:v>
                </c:pt>
                <c:pt idx="441">
                  <c:v>309.18</c:v>
                </c:pt>
                <c:pt idx="442">
                  <c:v>307.69</c:v>
                </c:pt>
                <c:pt idx="443">
                  <c:v>304.02999999999997</c:v>
                </c:pt>
                <c:pt idx="444">
                  <c:v>305.52999999999997</c:v>
                </c:pt>
                <c:pt idx="445">
                  <c:v>300.89</c:v>
                </c:pt>
                <c:pt idx="446">
                  <c:v>307.97000000000003</c:v>
                </c:pt>
                <c:pt idx="447">
                  <c:v>302.08</c:v>
                </c:pt>
                <c:pt idx="448">
                  <c:v>305.69</c:v>
                </c:pt>
                <c:pt idx="449">
                  <c:v>298.54000000000002</c:v>
                </c:pt>
                <c:pt idx="450">
                  <c:v>297.56</c:v>
                </c:pt>
                <c:pt idx="451">
                  <c:v>302.36</c:v>
                </c:pt>
                <c:pt idx="452">
                  <c:v>297.08999999999997</c:v>
                </c:pt>
                <c:pt idx="453">
                  <c:v>294.11</c:v>
                </c:pt>
                <c:pt idx="454">
                  <c:v>294.54000000000002</c:v>
                </c:pt>
                <c:pt idx="455">
                  <c:v>300.44</c:v>
                </c:pt>
                <c:pt idx="456">
                  <c:v>304.14999999999998</c:v>
                </c:pt>
                <c:pt idx="457">
                  <c:v>305.36</c:v>
                </c:pt>
                <c:pt idx="458">
                  <c:v>305.51</c:v>
                </c:pt>
                <c:pt idx="459">
                  <c:v>309.44</c:v>
                </c:pt>
                <c:pt idx="460">
                  <c:v>311.12</c:v>
                </c:pt>
                <c:pt idx="461">
                  <c:v>309.35000000000002</c:v>
                </c:pt>
                <c:pt idx="462">
                  <c:v>309.25</c:v>
                </c:pt>
                <c:pt idx="463">
                  <c:v>311.68</c:v>
                </c:pt>
                <c:pt idx="464">
                  <c:v>313.42</c:v>
                </c:pt>
                <c:pt idx="465">
                  <c:v>314.20999999999998</c:v>
                </c:pt>
                <c:pt idx="466">
                  <c:v>316.89</c:v>
                </c:pt>
                <c:pt idx="467">
                  <c:v>315.62</c:v>
                </c:pt>
                <c:pt idx="468">
                  <c:v>320.41000000000003</c:v>
                </c:pt>
                <c:pt idx="469">
                  <c:v>309.48</c:v>
                </c:pt>
                <c:pt idx="470">
                  <c:v>303.61</c:v>
                </c:pt>
                <c:pt idx="471">
                  <c:v>300.37</c:v>
                </c:pt>
                <c:pt idx="472">
                  <c:v>299.41000000000003</c:v>
                </c:pt>
                <c:pt idx="473">
                  <c:v>303.27</c:v>
                </c:pt>
                <c:pt idx="474">
                  <c:v>298.38</c:v>
                </c:pt>
                <c:pt idx="475">
                  <c:v>298.02</c:v>
                </c:pt>
                <c:pt idx="476">
                  <c:v>298</c:v>
                </c:pt>
                <c:pt idx="477">
                  <c:v>303</c:v>
                </c:pt>
                <c:pt idx="478">
                  <c:v>307.64</c:v>
                </c:pt>
                <c:pt idx="479">
                  <c:v>313.08</c:v>
                </c:pt>
                <c:pt idx="480">
                  <c:v>308.92</c:v>
                </c:pt>
                <c:pt idx="481">
                  <c:v>307.88</c:v>
                </c:pt>
                <c:pt idx="482">
                  <c:v>312.13</c:v>
                </c:pt>
                <c:pt idx="483">
                  <c:v>316.10000000000002</c:v>
                </c:pt>
                <c:pt idx="484">
                  <c:v>315.04000000000002</c:v>
                </c:pt>
                <c:pt idx="485">
                  <c:v>315.20999999999998</c:v>
                </c:pt>
                <c:pt idx="486">
                  <c:v>300.51</c:v>
                </c:pt>
                <c:pt idx="487">
                  <c:v>310.11</c:v>
                </c:pt>
                <c:pt idx="488">
                  <c:v>317.38</c:v>
                </c:pt>
                <c:pt idx="489">
                  <c:v>318.52</c:v>
                </c:pt>
                <c:pt idx="490">
                  <c:v>320.02</c:v>
                </c:pt>
                <c:pt idx="491">
                  <c:v>315.55</c:v>
                </c:pt>
                <c:pt idx="492">
                  <c:v>314.98</c:v>
                </c:pt>
                <c:pt idx="493">
                  <c:v>313</c:v>
                </c:pt>
                <c:pt idx="494">
                  <c:v>317.20999999999998</c:v>
                </c:pt>
                <c:pt idx="495">
                  <c:v>323.08999999999997</c:v>
                </c:pt>
                <c:pt idx="496">
                  <c:v>325.93</c:v>
                </c:pt>
                <c:pt idx="497">
                  <c:v>329.17</c:v>
                </c:pt>
                <c:pt idx="498">
                  <c:v>327.91</c:v>
                </c:pt>
                <c:pt idx="499">
                  <c:v>323.75</c:v>
                </c:pt>
                <c:pt idx="500">
                  <c:v>323.42</c:v>
                </c:pt>
                <c:pt idx="501">
                  <c:v>322.22000000000003</c:v>
                </c:pt>
                <c:pt idx="502">
                  <c:v>325.48</c:v>
                </c:pt>
                <c:pt idx="503">
                  <c:v>334.04</c:v>
                </c:pt>
                <c:pt idx="504">
                  <c:v>334.61</c:v>
                </c:pt>
                <c:pt idx="505">
                  <c:v>326.99</c:v>
                </c:pt>
                <c:pt idx="506">
                  <c:v>329.79</c:v>
                </c:pt>
                <c:pt idx="507">
                  <c:v>329.19</c:v>
                </c:pt>
                <c:pt idx="508">
                  <c:v>324.49</c:v>
                </c:pt>
                <c:pt idx="509">
                  <c:v>310.89999999999998</c:v>
                </c:pt>
                <c:pt idx="510">
                  <c:v>307.87</c:v>
                </c:pt>
                <c:pt idx="511">
                  <c:v>309.26</c:v>
                </c:pt>
                <c:pt idx="512">
                  <c:v>312.47000000000003</c:v>
                </c:pt>
                <c:pt idx="513">
                  <c:v>302.74</c:v>
                </c:pt>
                <c:pt idx="514">
                  <c:v>302.04000000000002</c:v>
                </c:pt>
                <c:pt idx="515">
                  <c:v>303.63</c:v>
                </c:pt>
                <c:pt idx="516">
                  <c:v>297.72000000000003</c:v>
                </c:pt>
                <c:pt idx="517">
                  <c:v>301.04000000000002</c:v>
                </c:pt>
                <c:pt idx="518">
                  <c:v>300.31</c:v>
                </c:pt>
                <c:pt idx="519">
                  <c:v>300.77</c:v>
                </c:pt>
                <c:pt idx="520">
                  <c:v>306.42</c:v>
                </c:pt>
                <c:pt idx="521">
                  <c:v>305.89</c:v>
                </c:pt>
                <c:pt idx="522">
                  <c:v>308.14</c:v>
                </c:pt>
                <c:pt idx="523">
                  <c:v>314.85000000000002</c:v>
                </c:pt>
                <c:pt idx="524">
                  <c:v>317.27</c:v>
                </c:pt>
                <c:pt idx="525">
                  <c:v>310.16000000000003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E5-46AA-B4DC-E19C89F87DE8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Data!$J$2:$J$527</c:f>
              <c:numCache>
                <c:formatCode>General</c:formatCode>
                <c:ptCount val="526"/>
                <c:pt idx="19">
                  <c:v>170.83850000000001</c:v>
                </c:pt>
                <c:pt idx="20">
                  <c:v>170.95250000000004</c:v>
                </c:pt>
                <c:pt idx="21">
                  <c:v>171.07250000000005</c:v>
                </c:pt>
                <c:pt idx="22">
                  <c:v>171.23849999999999</c:v>
                </c:pt>
                <c:pt idx="23">
                  <c:v>171.35</c:v>
                </c:pt>
                <c:pt idx="24">
                  <c:v>171.50399999999999</c:v>
                </c:pt>
                <c:pt idx="25">
                  <c:v>171.74250000000001</c:v>
                </c:pt>
                <c:pt idx="26">
                  <c:v>171.9315</c:v>
                </c:pt>
                <c:pt idx="27">
                  <c:v>172.167</c:v>
                </c:pt>
                <c:pt idx="28">
                  <c:v>172.50399999999999</c:v>
                </c:pt>
                <c:pt idx="29">
                  <c:v>172.81750000000002</c:v>
                </c:pt>
                <c:pt idx="30">
                  <c:v>173.26450000000003</c:v>
                </c:pt>
                <c:pt idx="31">
                  <c:v>173.887</c:v>
                </c:pt>
                <c:pt idx="32">
                  <c:v>174.32300000000001</c:v>
                </c:pt>
                <c:pt idx="33">
                  <c:v>174.80400000000003</c:v>
                </c:pt>
                <c:pt idx="34">
                  <c:v>175.39950000000005</c:v>
                </c:pt>
                <c:pt idx="35">
                  <c:v>176.02800000000005</c:v>
                </c:pt>
                <c:pt idx="36">
                  <c:v>176.58050000000003</c:v>
                </c:pt>
                <c:pt idx="37">
                  <c:v>177.13450000000006</c:v>
                </c:pt>
                <c:pt idx="38">
                  <c:v>177.6705</c:v>
                </c:pt>
                <c:pt idx="39">
                  <c:v>178.07600000000005</c:v>
                </c:pt>
                <c:pt idx="40">
                  <c:v>178.661</c:v>
                </c:pt>
                <c:pt idx="41">
                  <c:v>179.23899999999998</c:v>
                </c:pt>
                <c:pt idx="42">
                  <c:v>179.8365</c:v>
                </c:pt>
                <c:pt idx="43">
                  <c:v>180.53900000000002</c:v>
                </c:pt>
                <c:pt idx="44">
                  <c:v>181.26050000000001</c:v>
                </c:pt>
                <c:pt idx="45">
                  <c:v>181.88249999999999</c:v>
                </c:pt>
                <c:pt idx="46">
                  <c:v>182.55349999999999</c:v>
                </c:pt>
                <c:pt idx="47">
                  <c:v>183.21749999999997</c:v>
                </c:pt>
                <c:pt idx="48">
                  <c:v>183.92</c:v>
                </c:pt>
                <c:pt idx="49">
                  <c:v>184.77600000000001</c:v>
                </c:pt>
                <c:pt idx="50">
                  <c:v>185.37299999999999</c:v>
                </c:pt>
                <c:pt idx="51">
                  <c:v>185.89449999999999</c:v>
                </c:pt>
                <c:pt idx="52">
                  <c:v>186.57599999999999</c:v>
                </c:pt>
                <c:pt idx="53">
                  <c:v>187.279</c:v>
                </c:pt>
                <c:pt idx="54">
                  <c:v>188.0505</c:v>
                </c:pt>
                <c:pt idx="55">
                  <c:v>188.85</c:v>
                </c:pt>
                <c:pt idx="56">
                  <c:v>189.48150000000001</c:v>
                </c:pt>
                <c:pt idx="57">
                  <c:v>190.05449999999999</c:v>
                </c:pt>
                <c:pt idx="58">
                  <c:v>190.66849999999999</c:v>
                </c:pt>
                <c:pt idx="59">
                  <c:v>191.4255</c:v>
                </c:pt>
                <c:pt idx="60">
                  <c:v>192.13749999999999</c:v>
                </c:pt>
                <c:pt idx="61">
                  <c:v>192.82</c:v>
                </c:pt>
                <c:pt idx="62">
                  <c:v>193.42900000000003</c:v>
                </c:pt>
                <c:pt idx="63">
                  <c:v>193.91650000000004</c:v>
                </c:pt>
                <c:pt idx="64">
                  <c:v>194.22250000000003</c:v>
                </c:pt>
                <c:pt idx="65">
                  <c:v>194.70150000000004</c:v>
                </c:pt>
                <c:pt idx="66">
                  <c:v>195.21450000000002</c:v>
                </c:pt>
                <c:pt idx="67">
                  <c:v>195.6575</c:v>
                </c:pt>
                <c:pt idx="68">
                  <c:v>195.93900000000002</c:v>
                </c:pt>
                <c:pt idx="69">
                  <c:v>196.14150000000001</c:v>
                </c:pt>
                <c:pt idx="70">
                  <c:v>195.88249999999999</c:v>
                </c:pt>
                <c:pt idx="71">
                  <c:v>195.512</c:v>
                </c:pt>
                <c:pt idx="72">
                  <c:v>194.91900000000001</c:v>
                </c:pt>
                <c:pt idx="73">
                  <c:v>194.23349999999996</c:v>
                </c:pt>
                <c:pt idx="74">
                  <c:v>193.47949999999997</c:v>
                </c:pt>
                <c:pt idx="75">
                  <c:v>192.81649999999999</c:v>
                </c:pt>
                <c:pt idx="76">
                  <c:v>192.45599999999999</c:v>
                </c:pt>
                <c:pt idx="77">
                  <c:v>192.322</c:v>
                </c:pt>
                <c:pt idx="78">
                  <c:v>192.18950000000001</c:v>
                </c:pt>
                <c:pt idx="79">
                  <c:v>191.88200000000001</c:v>
                </c:pt>
                <c:pt idx="80">
                  <c:v>191.54149999999998</c:v>
                </c:pt>
                <c:pt idx="81">
                  <c:v>191.25850000000003</c:v>
                </c:pt>
                <c:pt idx="82">
                  <c:v>190.9025</c:v>
                </c:pt>
                <c:pt idx="83">
                  <c:v>190.5805</c:v>
                </c:pt>
                <c:pt idx="84">
                  <c:v>190.38099999999997</c:v>
                </c:pt>
                <c:pt idx="85">
                  <c:v>190.03399999999996</c:v>
                </c:pt>
                <c:pt idx="86">
                  <c:v>189.70999999999998</c:v>
                </c:pt>
                <c:pt idx="87">
                  <c:v>189.44</c:v>
                </c:pt>
                <c:pt idx="88">
                  <c:v>189.44900000000001</c:v>
                </c:pt>
                <c:pt idx="89">
                  <c:v>189.55250000000004</c:v>
                </c:pt>
                <c:pt idx="90">
                  <c:v>190.35149999999999</c:v>
                </c:pt>
                <c:pt idx="91">
                  <c:v>191.14349999999996</c:v>
                </c:pt>
                <c:pt idx="92">
                  <c:v>192.179</c:v>
                </c:pt>
                <c:pt idx="93">
                  <c:v>193.28050000000002</c:v>
                </c:pt>
                <c:pt idx="94">
                  <c:v>194.3415</c:v>
                </c:pt>
                <c:pt idx="95">
                  <c:v>195.291</c:v>
                </c:pt>
                <c:pt idx="96">
                  <c:v>195.59949999999998</c:v>
                </c:pt>
                <c:pt idx="97">
                  <c:v>195.96850000000001</c:v>
                </c:pt>
                <c:pt idx="98">
                  <c:v>196.23000000000002</c:v>
                </c:pt>
                <c:pt idx="99">
                  <c:v>196.40749999999997</c:v>
                </c:pt>
                <c:pt idx="100">
                  <c:v>196.76849999999999</c:v>
                </c:pt>
                <c:pt idx="101">
                  <c:v>197.0795</c:v>
                </c:pt>
                <c:pt idx="102">
                  <c:v>197.398</c:v>
                </c:pt>
                <c:pt idx="103">
                  <c:v>197.7715</c:v>
                </c:pt>
                <c:pt idx="104">
                  <c:v>198.32000000000002</c:v>
                </c:pt>
                <c:pt idx="105">
                  <c:v>198.88550000000004</c:v>
                </c:pt>
                <c:pt idx="106">
                  <c:v>199.24350000000001</c:v>
                </c:pt>
                <c:pt idx="107">
                  <c:v>199.51900000000001</c:v>
                </c:pt>
                <c:pt idx="108">
                  <c:v>199.58199999999997</c:v>
                </c:pt>
                <c:pt idx="109">
                  <c:v>199.7045</c:v>
                </c:pt>
                <c:pt idx="110">
                  <c:v>199.7465</c:v>
                </c:pt>
                <c:pt idx="111">
                  <c:v>199.52800000000002</c:v>
                </c:pt>
                <c:pt idx="112">
                  <c:v>199.02900000000002</c:v>
                </c:pt>
                <c:pt idx="113">
                  <c:v>198.60650000000004</c:v>
                </c:pt>
                <c:pt idx="114">
                  <c:v>198.17200000000003</c:v>
                </c:pt>
                <c:pt idx="115">
                  <c:v>197.68150000000003</c:v>
                </c:pt>
                <c:pt idx="116">
                  <c:v>197.75250000000003</c:v>
                </c:pt>
                <c:pt idx="117">
                  <c:v>197.71000000000004</c:v>
                </c:pt>
                <c:pt idx="118">
                  <c:v>197.60950000000005</c:v>
                </c:pt>
                <c:pt idx="119">
                  <c:v>197.70750000000004</c:v>
                </c:pt>
                <c:pt idx="120">
                  <c:v>197.57550000000006</c:v>
                </c:pt>
                <c:pt idx="121">
                  <c:v>197.47200000000004</c:v>
                </c:pt>
                <c:pt idx="122">
                  <c:v>197.52500000000003</c:v>
                </c:pt>
                <c:pt idx="123">
                  <c:v>197.67150000000007</c:v>
                </c:pt>
                <c:pt idx="124">
                  <c:v>197.8125</c:v>
                </c:pt>
                <c:pt idx="125">
                  <c:v>198.16300000000001</c:v>
                </c:pt>
                <c:pt idx="126">
                  <c:v>198.63950000000003</c:v>
                </c:pt>
                <c:pt idx="127">
                  <c:v>199.01600000000002</c:v>
                </c:pt>
                <c:pt idx="128">
                  <c:v>199.42900000000003</c:v>
                </c:pt>
                <c:pt idx="129">
                  <c:v>199.81299999999999</c:v>
                </c:pt>
                <c:pt idx="130">
                  <c:v>200.22250000000003</c:v>
                </c:pt>
                <c:pt idx="131">
                  <c:v>200.87700000000001</c:v>
                </c:pt>
                <c:pt idx="132">
                  <c:v>201.54749999999999</c:v>
                </c:pt>
                <c:pt idx="133">
                  <c:v>202.36700000000002</c:v>
                </c:pt>
                <c:pt idx="134">
                  <c:v>203.35900000000004</c:v>
                </c:pt>
                <c:pt idx="135">
                  <c:v>204.45350000000002</c:v>
                </c:pt>
                <c:pt idx="136">
                  <c:v>205.10250000000002</c:v>
                </c:pt>
                <c:pt idx="137">
                  <c:v>205.65799999999999</c:v>
                </c:pt>
                <c:pt idx="138">
                  <c:v>206.35700000000003</c:v>
                </c:pt>
                <c:pt idx="139">
                  <c:v>206.92950000000002</c:v>
                </c:pt>
                <c:pt idx="140">
                  <c:v>207.45550000000003</c:v>
                </c:pt>
                <c:pt idx="141">
                  <c:v>208.01750000000001</c:v>
                </c:pt>
                <c:pt idx="142">
                  <c:v>208.67100000000005</c:v>
                </c:pt>
                <c:pt idx="143">
                  <c:v>209.10050000000007</c:v>
                </c:pt>
                <c:pt idx="144">
                  <c:v>209.58750000000001</c:v>
                </c:pt>
                <c:pt idx="145">
                  <c:v>209.786</c:v>
                </c:pt>
                <c:pt idx="146">
                  <c:v>209.74950000000004</c:v>
                </c:pt>
                <c:pt idx="147">
                  <c:v>209.46700000000004</c:v>
                </c:pt>
                <c:pt idx="148">
                  <c:v>208.95349999999999</c:v>
                </c:pt>
                <c:pt idx="149">
                  <c:v>208.58900000000003</c:v>
                </c:pt>
                <c:pt idx="150">
                  <c:v>208.21899999999999</c:v>
                </c:pt>
                <c:pt idx="151">
                  <c:v>208.04949999999999</c:v>
                </c:pt>
                <c:pt idx="152">
                  <c:v>208.09250000000003</c:v>
                </c:pt>
                <c:pt idx="153">
                  <c:v>207.89950000000005</c:v>
                </c:pt>
                <c:pt idx="154">
                  <c:v>207.61550000000003</c:v>
                </c:pt>
                <c:pt idx="155">
                  <c:v>207.28400000000002</c:v>
                </c:pt>
                <c:pt idx="156">
                  <c:v>207.36250000000004</c:v>
                </c:pt>
                <c:pt idx="157">
                  <c:v>207.57200000000006</c:v>
                </c:pt>
                <c:pt idx="158">
                  <c:v>207.83050000000003</c:v>
                </c:pt>
                <c:pt idx="159">
                  <c:v>208.04000000000002</c:v>
                </c:pt>
                <c:pt idx="160">
                  <c:v>208.34050000000002</c:v>
                </c:pt>
                <c:pt idx="161">
                  <c:v>208.73849999999999</c:v>
                </c:pt>
                <c:pt idx="162">
                  <c:v>209.042</c:v>
                </c:pt>
                <c:pt idx="163">
                  <c:v>209.458</c:v>
                </c:pt>
                <c:pt idx="164">
                  <c:v>209.70749999999998</c:v>
                </c:pt>
                <c:pt idx="165">
                  <c:v>210.13199999999998</c:v>
                </c:pt>
                <c:pt idx="166">
                  <c:v>210.84449999999998</c:v>
                </c:pt>
                <c:pt idx="167">
                  <c:v>212.12749999999997</c:v>
                </c:pt>
                <c:pt idx="168">
                  <c:v>213.39749999999998</c:v>
                </c:pt>
                <c:pt idx="169">
                  <c:v>214.34700000000004</c:v>
                </c:pt>
                <c:pt idx="170">
                  <c:v>215.20850000000002</c:v>
                </c:pt>
                <c:pt idx="171">
                  <c:v>215.62849999999997</c:v>
                </c:pt>
                <c:pt idx="172">
                  <c:v>216.17900000000003</c:v>
                </c:pt>
                <c:pt idx="173">
                  <c:v>216.14750000000004</c:v>
                </c:pt>
                <c:pt idx="174">
                  <c:v>216.11199999999999</c:v>
                </c:pt>
                <c:pt idx="175">
                  <c:v>215.93</c:v>
                </c:pt>
                <c:pt idx="176">
                  <c:v>215.5685</c:v>
                </c:pt>
                <c:pt idx="177">
                  <c:v>215.26300000000001</c:v>
                </c:pt>
                <c:pt idx="178">
                  <c:v>214.95300000000003</c:v>
                </c:pt>
                <c:pt idx="179">
                  <c:v>214.6035</c:v>
                </c:pt>
                <c:pt idx="180">
                  <c:v>214.39749999999998</c:v>
                </c:pt>
                <c:pt idx="181">
                  <c:v>214.12049999999999</c:v>
                </c:pt>
                <c:pt idx="182">
                  <c:v>213.77699999999999</c:v>
                </c:pt>
                <c:pt idx="183">
                  <c:v>213.398</c:v>
                </c:pt>
                <c:pt idx="184">
                  <c:v>212.89850000000001</c:v>
                </c:pt>
                <c:pt idx="185">
                  <c:v>212.32300000000004</c:v>
                </c:pt>
                <c:pt idx="186">
                  <c:v>211.73750000000004</c:v>
                </c:pt>
                <c:pt idx="187">
                  <c:v>211.04050000000001</c:v>
                </c:pt>
                <c:pt idx="188">
                  <c:v>210.37750000000005</c:v>
                </c:pt>
                <c:pt idx="189">
                  <c:v>209.77550000000005</c:v>
                </c:pt>
                <c:pt idx="190">
                  <c:v>209.15549999999999</c:v>
                </c:pt>
                <c:pt idx="191">
                  <c:v>209.09350000000003</c:v>
                </c:pt>
                <c:pt idx="192">
                  <c:v>208.79950000000002</c:v>
                </c:pt>
                <c:pt idx="193">
                  <c:v>209.05900000000003</c:v>
                </c:pt>
                <c:pt idx="194">
                  <c:v>209.36849999999998</c:v>
                </c:pt>
                <c:pt idx="195">
                  <c:v>209.68049999999999</c:v>
                </c:pt>
                <c:pt idx="196">
                  <c:v>210.57900000000001</c:v>
                </c:pt>
                <c:pt idx="197">
                  <c:v>211.26</c:v>
                </c:pt>
                <c:pt idx="198">
                  <c:v>211.917</c:v>
                </c:pt>
                <c:pt idx="199">
                  <c:v>212.7225</c:v>
                </c:pt>
                <c:pt idx="200">
                  <c:v>213.41949999999997</c:v>
                </c:pt>
                <c:pt idx="201">
                  <c:v>214.1335</c:v>
                </c:pt>
                <c:pt idx="202">
                  <c:v>214.71149999999997</c:v>
                </c:pt>
                <c:pt idx="203">
                  <c:v>215.33800000000002</c:v>
                </c:pt>
                <c:pt idx="204">
                  <c:v>215.99899999999997</c:v>
                </c:pt>
                <c:pt idx="205">
                  <c:v>216.75899999999996</c:v>
                </c:pt>
                <c:pt idx="206">
                  <c:v>217.34949999999998</c:v>
                </c:pt>
                <c:pt idx="207">
                  <c:v>218.08149999999995</c:v>
                </c:pt>
                <c:pt idx="208">
                  <c:v>218.87449999999998</c:v>
                </c:pt>
                <c:pt idx="209">
                  <c:v>219.73049999999995</c:v>
                </c:pt>
                <c:pt idx="210">
                  <c:v>220.56499999999997</c:v>
                </c:pt>
                <c:pt idx="211">
                  <c:v>221.15099999999993</c:v>
                </c:pt>
                <c:pt idx="212">
                  <c:v>221.59349999999995</c:v>
                </c:pt>
                <c:pt idx="213">
                  <c:v>222.13049999999998</c:v>
                </c:pt>
                <c:pt idx="214">
                  <c:v>223.8125</c:v>
                </c:pt>
                <c:pt idx="215">
                  <c:v>224.98950000000005</c:v>
                </c:pt>
                <c:pt idx="216">
                  <c:v>225.72399999999999</c:v>
                </c:pt>
                <c:pt idx="217">
                  <c:v>226.61450000000005</c:v>
                </c:pt>
                <c:pt idx="218">
                  <c:v>227.47300000000004</c:v>
                </c:pt>
                <c:pt idx="219">
                  <c:v>228.34900000000002</c:v>
                </c:pt>
                <c:pt idx="220">
                  <c:v>229.22150000000002</c:v>
                </c:pt>
                <c:pt idx="221">
                  <c:v>230.21850000000003</c:v>
                </c:pt>
                <c:pt idx="222">
                  <c:v>231.32000000000002</c:v>
                </c:pt>
                <c:pt idx="223">
                  <c:v>232.26849999999999</c:v>
                </c:pt>
                <c:pt idx="224">
                  <c:v>233.137</c:v>
                </c:pt>
                <c:pt idx="225">
                  <c:v>234.12599999999998</c:v>
                </c:pt>
                <c:pt idx="226">
                  <c:v>235.43800000000002</c:v>
                </c:pt>
                <c:pt idx="227">
                  <c:v>236.67750000000001</c:v>
                </c:pt>
                <c:pt idx="228">
                  <c:v>238.03100000000003</c:v>
                </c:pt>
                <c:pt idx="229">
                  <c:v>239.30000000000004</c:v>
                </c:pt>
                <c:pt idx="230">
                  <c:v>240.69000000000005</c:v>
                </c:pt>
                <c:pt idx="231">
                  <c:v>241.85550000000003</c:v>
                </c:pt>
                <c:pt idx="232">
                  <c:v>243.10750000000002</c:v>
                </c:pt>
                <c:pt idx="233">
                  <c:v>244.20299999999997</c:v>
                </c:pt>
                <c:pt idx="234">
                  <c:v>244.12399999999994</c:v>
                </c:pt>
                <c:pt idx="235">
                  <c:v>244.67299999999992</c:v>
                </c:pt>
                <c:pt idx="236">
                  <c:v>245.01449999999994</c:v>
                </c:pt>
                <c:pt idx="237">
                  <c:v>245.19299999999998</c:v>
                </c:pt>
                <c:pt idx="238">
                  <c:v>245.39149999999995</c:v>
                </c:pt>
                <c:pt idx="239">
                  <c:v>245.41</c:v>
                </c:pt>
                <c:pt idx="240">
                  <c:v>245.31349999999998</c:v>
                </c:pt>
                <c:pt idx="241">
                  <c:v>245.02699999999999</c:v>
                </c:pt>
                <c:pt idx="242">
                  <c:v>244.6935</c:v>
                </c:pt>
                <c:pt idx="243">
                  <c:v>244.05749999999998</c:v>
                </c:pt>
                <c:pt idx="244">
                  <c:v>243.66650000000004</c:v>
                </c:pt>
                <c:pt idx="245">
                  <c:v>243.30850000000004</c:v>
                </c:pt>
                <c:pt idx="246">
                  <c:v>242.80050000000006</c:v>
                </c:pt>
                <c:pt idx="247">
                  <c:v>242.40150000000008</c:v>
                </c:pt>
                <c:pt idx="248">
                  <c:v>242.06000000000009</c:v>
                </c:pt>
                <c:pt idx="249">
                  <c:v>241.62900000000005</c:v>
                </c:pt>
                <c:pt idx="250">
                  <c:v>241.10900000000001</c:v>
                </c:pt>
                <c:pt idx="251">
                  <c:v>240.78199999999998</c:v>
                </c:pt>
                <c:pt idx="252">
                  <c:v>240.541</c:v>
                </c:pt>
                <c:pt idx="253">
                  <c:v>240.535</c:v>
                </c:pt>
                <c:pt idx="254">
                  <c:v>240.30349999999999</c:v>
                </c:pt>
                <c:pt idx="255">
                  <c:v>240.09399999999999</c:v>
                </c:pt>
                <c:pt idx="256">
                  <c:v>240.06</c:v>
                </c:pt>
                <c:pt idx="257">
                  <c:v>239.91050000000001</c:v>
                </c:pt>
                <c:pt idx="258">
                  <c:v>239.94450000000001</c:v>
                </c:pt>
                <c:pt idx="259">
                  <c:v>240.24150000000003</c:v>
                </c:pt>
                <c:pt idx="260">
                  <c:v>240.86200000000002</c:v>
                </c:pt>
                <c:pt idx="261">
                  <c:v>241.59650000000005</c:v>
                </c:pt>
                <c:pt idx="262">
                  <c:v>242.63650000000001</c:v>
                </c:pt>
                <c:pt idx="263">
                  <c:v>244.26950000000002</c:v>
                </c:pt>
                <c:pt idx="264">
                  <c:v>245.76349999999996</c:v>
                </c:pt>
                <c:pt idx="265">
                  <c:v>247.18099999999998</c:v>
                </c:pt>
                <c:pt idx="266">
                  <c:v>248.50349999999997</c:v>
                </c:pt>
                <c:pt idx="267">
                  <c:v>249.68049999999999</c:v>
                </c:pt>
                <c:pt idx="268">
                  <c:v>250.88050000000004</c:v>
                </c:pt>
                <c:pt idx="269">
                  <c:v>252.15100000000001</c:v>
                </c:pt>
                <c:pt idx="270">
                  <c:v>253.59650000000002</c:v>
                </c:pt>
                <c:pt idx="271">
                  <c:v>254.97599999999997</c:v>
                </c:pt>
                <c:pt idx="272">
                  <c:v>256.31650000000002</c:v>
                </c:pt>
                <c:pt idx="273">
                  <c:v>257.54950000000002</c:v>
                </c:pt>
                <c:pt idx="274">
                  <c:v>259.02850000000001</c:v>
                </c:pt>
                <c:pt idx="275">
                  <c:v>260.71499999999997</c:v>
                </c:pt>
                <c:pt idx="276">
                  <c:v>262.3485</c:v>
                </c:pt>
                <c:pt idx="277">
                  <c:v>263.90699999999998</c:v>
                </c:pt>
                <c:pt idx="278">
                  <c:v>265.44599999999997</c:v>
                </c:pt>
                <c:pt idx="279">
                  <c:v>266.84499999999997</c:v>
                </c:pt>
                <c:pt idx="280">
                  <c:v>268.04349999999994</c:v>
                </c:pt>
                <c:pt idx="281">
                  <c:v>269.15949999999998</c:v>
                </c:pt>
                <c:pt idx="282">
                  <c:v>270.19899999999996</c:v>
                </c:pt>
                <c:pt idx="283">
                  <c:v>271.01</c:v>
                </c:pt>
                <c:pt idx="284">
                  <c:v>271.20799999999997</c:v>
                </c:pt>
                <c:pt idx="285">
                  <c:v>271.1225</c:v>
                </c:pt>
                <c:pt idx="286">
                  <c:v>270.94750000000005</c:v>
                </c:pt>
                <c:pt idx="287">
                  <c:v>270.52499999999998</c:v>
                </c:pt>
                <c:pt idx="288">
                  <c:v>270.10749999999996</c:v>
                </c:pt>
                <c:pt idx="289">
                  <c:v>269.73100000000005</c:v>
                </c:pt>
                <c:pt idx="290">
                  <c:v>269.55200000000002</c:v>
                </c:pt>
                <c:pt idx="291">
                  <c:v>269.21799999999996</c:v>
                </c:pt>
                <c:pt idx="292">
                  <c:v>268.39</c:v>
                </c:pt>
                <c:pt idx="293">
                  <c:v>267.56949999999995</c:v>
                </c:pt>
                <c:pt idx="294">
                  <c:v>266.375</c:v>
                </c:pt>
                <c:pt idx="295">
                  <c:v>264.64400000000001</c:v>
                </c:pt>
                <c:pt idx="296">
                  <c:v>262.46500000000003</c:v>
                </c:pt>
                <c:pt idx="297">
                  <c:v>260.37</c:v>
                </c:pt>
                <c:pt idx="298">
                  <c:v>258.01550000000003</c:v>
                </c:pt>
                <c:pt idx="299">
                  <c:v>255.5025</c:v>
                </c:pt>
                <c:pt idx="300">
                  <c:v>253.30849999999995</c:v>
                </c:pt>
                <c:pt idx="301">
                  <c:v>251.17549999999997</c:v>
                </c:pt>
                <c:pt idx="302">
                  <c:v>248.92649999999998</c:v>
                </c:pt>
                <c:pt idx="303">
                  <c:v>246.91949999999997</c:v>
                </c:pt>
                <c:pt idx="304">
                  <c:v>245.53000000000003</c:v>
                </c:pt>
                <c:pt idx="305">
                  <c:v>244.39949999999999</c:v>
                </c:pt>
                <c:pt idx="306">
                  <c:v>243.7355</c:v>
                </c:pt>
                <c:pt idx="307">
                  <c:v>243.42200000000003</c:v>
                </c:pt>
                <c:pt idx="308">
                  <c:v>243.03400000000002</c:v>
                </c:pt>
                <c:pt idx="309">
                  <c:v>242.48750000000001</c:v>
                </c:pt>
                <c:pt idx="310">
                  <c:v>241.39750000000004</c:v>
                </c:pt>
                <c:pt idx="311">
                  <c:v>240.63150000000005</c:v>
                </c:pt>
                <c:pt idx="312">
                  <c:v>240.30200000000005</c:v>
                </c:pt>
                <c:pt idx="313">
                  <c:v>240.01650000000001</c:v>
                </c:pt>
                <c:pt idx="314">
                  <c:v>239.12400000000002</c:v>
                </c:pt>
                <c:pt idx="315">
                  <c:v>237.52399999999997</c:v>
                </c:pt>
                <c:pt idx="316">
                  <c:v>236.63499999999999</c:v>
                </c:pt>
                <c:pt idx="317">
                  <c:v>236.02149999999997</c:v>
                </c:pt>
                <c:pt idx="318">
                  <c:v>236.34350000000001</c:v>
                </c:pt>
                <c:pt idx="319">
                  <c:v>236.43950000000004</c:v>
                </c:pt>
                <c:pt idx="320">
                  <c:v>236.6275</c:v>
                </c:pt>
                <c:pt idx="321">
                  <c:v>236.667</c:v>
                </c:pt>
                <c:pt idx="322">
                  <c:v>236.57500000000005</c:v>
                </c:pt>
                <c:pt idx="323">
                  <c:v>236.1</c:v>
                </c:pt>
                <c:pt idx="324">
                  <c:v>235.7475</c:v>
                </c:pt>
                <c:pt idx="325">
                  <c:v>235.11549999999997</c:v>
                </c:pt>
                <c:pt idx="326">
                  <c:v>234.49200000000002</c:v>
                </c:pt>
                <c:pt idx="327">
                  <c:v>233.9795</c:v>
                </c:pt>
                <c:pt idx="328">
                  <c:v>233.66000000000003</c:v>
                </c:pt>
                <c:pt idx="329">
                  <c:v>233.43150000000006</c:v>
                </c:pt>
                <c:pt idx="330">
                  <c:v>233.45000000000005</c:v>
                </c:pt>
                <c:pt idx="331">
                  <c:v>233.416</c:v>
                </c:pt>
                <c:pt idx="332">
                  <c:v>233.464</c:v>
                </c:pt>
                <c:pt idx="333">
                  <c:v>233.51750000000001</c:v>
                </c:pt>
                <c:pt idx="334">
                  <c:v>234.70850000000004</c:v>
                </c:pt>
                <c:pt idx="335">
                  <c:v>236.82250000000005</c:v>
                </c:pt>
                <c:pt idx="336">
                  <c:v>238.56300000000002</c:v>
                </c:pt>
                <c:pt idx="337">
                  <c:v>240.18900000000002</c:v>
                </c:pt>
                <c:pt idx="338">
                  <c:v>241.1455</c:v>
                </c:pt>
                <c:pt idx="339">
                  <c:v>242.44399999999996</c:v>
                </c:pt>
                <c:pt idx="340">
                  <c:v>243.63649999999998</c:v>
                </c:pt>
                <c:pt idx="341">
                  <c:v>245.05099999999999</c:v>
                </c:pt>
                <c:pt idx="342">
                  <c:v>246.67650000000003</c:v>
                </c:pt>
                <c:pt idx="343">
                  <c:v>248.57049999999995</c:v>
                </c:pt>
                <c:pt idx="344">
                  <c:v>250.35050000000001</c:v>
                </c:pt>
                <c:pt idx="345">
                  <c:v>252.14499999999998</c:v>
                </c:pt>
                <c:pt idx="346">
                  <c:v>253.64950000000005</c:v>
                </c:pt>
                <c:pt idx="347">
                  <c:v>254.65750000000003</c:v>
                </c:pt>
                <c:pt idx="348">
                  <c:v>255.459</c:v>
                </c:pt>
                <c:pt idx="349">
                  <c:v>256.31700000000001</c:v>
                </c:pt>
                <c:pt idx="350">
                  <c:v>257.42050000000006</c:v>
                </c:pt>
                <c:pt idx="351">
                  <c:v>258.36399999999998</c:v>
                </c:pt>
                <c:pt idx="352">
                  <c:v>259.35149999999999</c:v>
                </c:pt>
                <c:pt idx="353">
                  <c:v>260.20699999999999</c:v>
                </c:pt>
                <c:pt idx="354">
                  <c:v>260.81449999999995</c:v>
                </c:pt>
                <c:pt idx="355">
                  <c:v>261.5</c:v>
                </c:pt>
                <c:pt idx="356">
                  <c:v>262.24850000000004</c:v>
                </c:pt>
                <c:pt idx="357">
                  <c:v>262.87649999999996</c:v>
                </c:pt>
                <c:pt idx="358">
                  <c:v>263.48949999999996</c:v>
                </c:pt>
                <c:pt idx="359">
                  <c:v>264.17249999999996</c:v>
                </c:pt>
                <c:pt idx="360">
                  <c:v>264.60000000000002</c:v>
                </c:pt>
                <c:pt idx="361">
                  <c:v>264.85699999999997</c:v>
                </c:pt>
                <c:pt idx="362">
                  <c:v>264.98699999999997</c:v>
                </c:pt>
                <c:pt idx="363">
                  <c:v>264.86</c:v>
                </c:pt>
                <c:pt idx="364">
                  <c:v>264.99999999999994</c:v>
                </c:pt>
                <c:pt idx="365">
                  <c:v>265.23199999999997</c:v>
                </c:pt>
                <c:pt idx="366">
                  <c:v>265.64599999999996</c:v>
                </c:pt>
                <c:pt idx="367">
                  <c:v>266.34399999999999</c:v>
                </c:pt>
                <c:pt idx="368">
                  <c:v>267.22399999999999</c:v>
                </c:pt>
                <c:pt idx="369">
                  <c:v>268.25150000000002</c:v>
                </c:pt>
                <c:pt idx="370">
                  <c:v>269.19</c:v>
                </c:pt>
                <c:pt idx="371">
                  <c:v>270.45300000000003</c:v>
                </c:pt>
                <c:pt idx="372">
                  <c:v>271.59000000000003</c:v>
                </c:pt>
                <c:pt idx="373">
                  <c:v>272.88549999999998</c:v>
                </c:pt>
                <c:pt idx="374">
                  <c:v>274.173</c:v>
                </c:pt>
                <c:pt idx="375">
                  <c:v>275.45949999999999</c:v>
                </c:pt>
                <c:pt idx="376">
                  <c:v>277.04849999999999</c:v>
                </c:pt>
                <c:pt idx="377">
                  <c:v>278.54949999999997</c:v>
                </c:pt>
                <c:pt idx="378">
                  <c:v>279.40199999999999</c:v>
                </c:pt>
                <c:pt idx="379">
                  <c:v>280.22300000000001</c:v>
                </c:pt>
                <c:pt idx="380">
                  <c:v>281.20249999999999</c:v>
                </c:pt>
                <c:pt idx="381">
                  <c:v>282.13799999999998</c:v>
                </c:pt>
                <c:pt idx="382">
                  <c:v>283.16099999999994</c:v>
                </c:pt>
                <c:pt idx="383">
                  <c:v>284.24099999999993</c:v>
                </c:pt>
                <c:pt idx="384">
                  <c:v>285.0139999999999</c:v>
                </c:pt>
                <c:pt idx="385">
                  <c:v>286.0329999999999</c:v>
                </c:pt>
                <c:pt idx="386">
                  <c:v>286.89849999999996</c:v>
                </c:pt>
                <c:pt idx="387">
                  <c:v>287.697</c:v>
                </c:pt>
                <c:pt idx="388">
                  <c:v>288.35499999999996</c:v>
                </c:pt>
                <c:pt idx="389">
                  <c:v>289.13</c:v>
                </c:pt>
                <c:pt idx="390">
                  <c:v>289.75450000000012</c:v>
                </c:pt>
                <c:pt idx="391">
                  <c:v>290.2480000000001</c:v>
                </c:pt>
                <c:pt idx="392">
                  <c:v>290.80650000000003</c:v>
                </c:pt>
                <c:pt idx="393">
                  <c:v>291.16300000000007</c:v>
                </c:pt>
                <c:pt idx="394">
                  <c:v>291.62399999999997</c:v>
                </c:pt>
                <c:pt idx="395">
                  <c:v>291.83599999999996</c:v>
                </c:pt>
                <c:pt idx="396">
                  <c:v>291.50449999999995</c:v>
                </c:pt>
                <c:pt idx="397">
                  <c:v>291.61899999999997</c:v>
                </c:pt>
                <c:pt idx="398">
                  <c:v>292.04849999999999</c:v>
                </c:pt>
                <c:pt idx="399">
                  <c:v>292.45799999999997</c:v>
                </c:pt>
                <c:pt idx="400">
                  <c:v>292.39549999999997</c:v>
                </c:pt>
                <c:pt idx="401">
                  <c:v>292.4905</c:v>
                </c:pt>
                <c:pt idx="402">
                  <c:v>292.5335</c:v>
                </c:pt>
                <c:pt idx="403">
                  <c:v>292.84850000000006</c:v>
                </c:pt>
                <c:pt idx="404">
                  <c:v>293.084</c:v>
                </c:pt>
                <c:pt idx="405">
                  <c:v>293.29700000000003</c:v>
                </c:pt>
                <c:pt idx="406">
                  <c:v>293.25800000000004</c:v>
                </c:pt>
                <c:pt idx="407">
                  <c:v>293.286</c:v>
                </c:pt>
                <c:pt idx="408">
                  <c:v>293.2475</c:v>
                </c:pt>
                <c:pt idx="409">
                  <c:v>293.02149999999995</c:v>
                </c:pt>
                <c:pt idx="410">
                  <c:v>292.76749999999998</c:v>
                </c:pt>
                <c:pt idx="411">
                  <c:v>292.6484999999999</c:v>
                </c:pt>
                <c:pt idx="412">
                  <c:v>292.47949999999992</c:v>
                </c:pt>
                <c:pt idx="413">
                  <c:v>292.55599999999993</c:v>
                </c:pt>
                <c:pt idx="414">
                  <c:v>292.53849999999994</c:v>
                </c:pt>
                <c:pt idx="415">
                  <c:v>292.77999999999986</c:v>
                </c:pt>
                <c:pt idx="416">
                  <c:v>293.38249999999988</c:v>
                </c:pt>
                <c:pt idx="417">
                  <c:v>293.65449999999993</c:v>
                </c:pt>
                <c:pt idx="418">
                  <c:v>294.06149999999997</c:v>
                </c:pt>
                <c:pt idx="419">
                  <c:v>294.685</c:v>
                </c:pt>
                <c:pt idx="420">
                  <c:v>295.05699999999996</c:v>
                </c:pt>
                <c:pt idx="421">
                  <c:v>295.2645</c:v>
                </c:pt>
                <c:pt idx="422">
                  <c:v>295.67899999999997</c:v>
                </c:pt>
                <c:pt idx="423">
                  <c:v>296.06350000000009</c:v>
                </c:pt>
                <c:pt idx="424">
                  <c:v>296.815</c:v>
                </c:pt>
                <c:pt idx="425">
                  <c:v>297.45249999999999</c:v>
                </c:pt>
                <c:pt idx="426">
                  <c:v>298.37299999999999</c:v>
                </c:pt>
                <c:pt idx="427">
                  <c:v>299.25600000000003</c:v>
                </c:pt>
                <c:pt idx="428">
                  <c:v>300.31049999999993</c:v>
                </c:pt>
                <c:pt idx="429">
                  <c:v>301.35999999999996</c:v>
                </c:pt>
                <c:pt idx="430">
                  <c:v>302.52549999999997</c:v>
                </c:pt>
                <c:pt idx="431">
                  <c:v>303.33549999999997</c:v>
                </c:pt>
                <c:pt idx="432">
                  <c:v>304.22749999999985</c:v>
                </c:pt>
                <c:pt idx="433">
                  <c:v>304.96999999999991</c:v>
                </c:pt>
                <c:pt idx="434">
                  <c:v>305.67849999999993</c:v>
                </c:pt>
                <c:pt idx="435">
                  <c:v>306.428</c:v>
                </c:pt>
                <c:pt idx="436">
                  <c:v>307.14149999999995</c:v>
                </c:pt>
                <c:pt idx="437">
                  <c:v>307.928</c:v>
                </c:pt>
                <c:pt idx="438">
                  <c:v>308.488</c:v>
                </c:pt>
                <c:pt idx="439">
                  <c:v>308.67450000000002</c:v>
                </c:pt>
                <c:pt idx="440">
                  <c:v>309.45699999999999</c:v>
                </c:pt>
                <c:pt idx="441">
                  <c:v>310.27050000000003</c:v>
                </c:pt>
                <c:pt idx="442">
                  <c:v>310.76249999999999</c:v>
                </c:pt>
                <c:pt idx="443">
                  <c:v>310.93700000000001</c:v>
                </c:pt>
                <c:pt idx="444">
                  <c:v>310.93549999999993</c:v>
                </c:pt>
                <c:pt idx="445">
                  <c:v>310.63449999999995</c:v>
                </c:pt>
                <c:pt idx="446">
                  <c:v>310.58800000000002</c:v>
                </c:pt>
                <c:pt idx="447">
                  <c:v>310.23249999999996</c:v>
                </c:pt>
                <c:pt idx="448">
                  <c:v>309.92950000000002</c:v>
                </c:pt>
                <c:pt idx="449">
                  <c:v>309.19499999999999</c:v>
                </c:pt>
                <c:pt idx="450">
                  <c:v>308.334</c:v>
                </c:pt>
                <c:pt idx="451">
                  <c:v>307.83</c:v>
                </c:pt>
                <c:pt idx="452">
                  <c:v>307.04749999999996</c:v>
                </c:pt>
                <c:pt idx="453">
                  <c:v>306.08199999999994</c:v>
                </c:pt>
                <c:pt idx="454">
                  <c:v>305.13649999999996</c:v>
                </c:pt>
                <c:pt idx="455">
                  <c:v>304.35549999999995</c:v>
                </c:pt>
                <c:pt idx="456">
                  <c:v>303.77849999999989</c:v>
                </c:pt>
                <c:pt idx="457">
                  <c:v>303.27499999999992</c:v>
                </c:pt>
                <c:pt idx="458">
                  <c:v>303.01499999999993</c:v>
                </c:pt>
                <c:pt idx="459">
                  <c:v>303.10949999999991</c:v>
                </c:pt>
                <c:pt idx="460">
                  <c:v>303.16399999999993</c:v>
                </c:pt>
                <c:pt idx="461">
                  <c:v>303.17249999999996</c:v>
                </c:pt>
                <c:pt idx="462">
                  <c:v>303.25049999999999</c:v>
                </c:pt>
                <c:pt idx="463">
                  <c:v>303.63300000000004</c:v>
                </c:pt>
                <c:pt idx="464">
                  <c:v>304.02750000000003</c:v>
                </c:pt>
                <c:pt idx="465">
                  <c:v>304.69350000000003</c:v>
                </c:pt>
                <c:pt idx="466">
                  <c:v>305.13950000000011</c:v>
                </c:pt>
                <c:pt idx="467">
                  <c:v>305.81650000000002</c:v>
                </c:pt>
                <c:pt idx="468">
                  <c:v>306.55250000000001</c:v>
                </c:pt>
                <c:pt idx="469">
                  <c:v>307.09949999999998</c:v>
                </c:pt>
                <c:pt idx="470">
                  <c:v>307.40199999999999</c:v>
                </c:pt>
                <c:pt idx="471">
                  <c:v>307.30249999999995</c:v>
                </c:pt>
                <c:pt idx="472">
                  <c:v>307.41849999999994</c:v>
                </c:pt>
                <c:pt idx="473">
                  <c:v>307.87649999999996</c:v>
                </c:pt>
                <c:pt idx="474">
                  <c:v>308.06849999999997</c:v>
                </c:pt>
                <c:pt idx="475">
                  <c:v>307.94749999999993</c:v>
                </c:pt>
                <c:pt idx="476">
                  <c:v>307.64</c:v>
                </c:pt>
                <c:pt idx="477">
                  <c:v>307.52199999999993</c:v>
                </c:pt>
                <c:pt idx="478">
                  <c:v>307.62849999999992</c:v>
                </c:pt>
                <c:pt idx="479">
                  <c:v>307.81049999999999</c:v>
                </c:pt>
                <c:pt idx="480">
                  <c:v>307.70049999999998</c:v>
                </c:pt>
                <c:pt idx="481">
                  <c:v>307.62700000000007</c:v>
                </c:pt>
                <c:pt idx="482">
                  <c:v>307.77100000000007</c:v>
                </c:pt>
                <c:pt idx="483">
                  <c:v>307.99200000000008</c:v>
                </c:pt>
                <c:pt idx="484">
                  <c:v>308.07299999999998</c:v>
                </c:pt>
                <c:pt idx="485">
                  <c:v>308.12300000000005</c:v>
                </c:pt>
                <c:pt idx="486">
                  <c:v>307.30400000000003</c:v>
                </c:pt>
                <c:pt idx="487">
                  <c:v>307.02850000000001</c:v>
                </c:pt>
                <c:pt idx="488">
                  <c:v>306.87700000000001</c:v>
                </c:pt>
                <c:pt idx="489">
                  <c:v>307.32900000000001</c:v>
                </c:pt>
                <c:pt idx="490">
                  <c:v>308.14949999999999</c:v>
                </c:pt>
                <c:pt idx="491">
                  <c:v>308.90850000000006</c:v>
                </c:pt>
                <c:pt idx="492">
                  <c:v>309.68700000000007</c:v>
                </c:pt>
                <c:pt idx="493">
                  <c:v>310.17350000000005</c:v>
                </c:pt>
                <c:pt idx="494">
                  <c:v>311.11500000000001</c:v>
                </c:pt>
                <c:pt idx="495">
                  <c:v>312.3685000000001</c:v>
                </c:pt>
                <c:pt idx="496">
                  <c:v>313.7650000000001</c:v>
                </c:pt>
                <c:pt idx="497">
                  <c:v>315.07350000000002</c:v>
                </c:pt>
                <c:pt idx="498">
                  <c:v>316.08700000000005</c:v>
                </c:pt>
                <c:pt idx="499">
                  <c:v>316.62050000000005</c:v>
                </c:pt>
                <c:pt idx="500">
                  <c:v>317.34550000000002</c:v>
                </c:pt>
                <c:pt idx="501">
                  <c:v>318.06250000000006</c:v>
                </c:pt>
                <c:pt idx="502">
                  <c:v>318.73</c:v>
                </c:pt>
                <c:pt idx="503">
                  <c:v>319.62700000000001</c:v>
                </c:pt>
                <c:pt idx="504">
                  <c:v>320.60550000000001</c:v>
                </c:pt>
                <c:pt idx="505">
                  <c:v>321.19449999999995</c:v>
                </c:pt>
                <c:pt idx="506">
                  <c:v>322.65849999999995</c:v>
                </c:pt>
                <c:pt idx="507">
                  <c:v>323.6124999999999</c:v>
                </c:pt>
                <c:pt idx="508">
                  <c:v>323.96799999999996</c:v>
                </c:pt>
                <c:pt idx="509">
                  <c:v>323.58699999999988</c:v>
                </c:pt>
                <c:pt idx="510">
                  <c:v>322.97949999999992</c:v>
                </c:pt>
                <c:pt idx="511">
                  <c:v>322.66499999999996</c:v>
                </c:pt>
                <c:pt idx="512">
                  <c:v>322.53949999999998</c:v>
                </c:pt>
                <c:pt idx="513">
                  <c:v>322.02649999999994</c:v>
                </c:pt>
                <c:pt idx="514">
                  <c:v>321.26799999999997</c:v>
                </c:pt>
                <c:pt idx="515">
                  <c:v>320.29500000000002</c:v>
                </c:pt>
                <c:pt idx="516">
                  <c:v>318.8845</c:v>
                </c:pt>
                <c:pt idx="517">
                  <c:v>317.47800000000007</c:v>
                </c:pt>
                <c:pt idx="518">
                  <c:v>316.09800000000007</c:v>
                </c:pt>
                <c:pt idx="519">
                  <c:v>314.94900000000007</c:v>
                </c:pt>
                <c:pt idx="520">
                  <c:v>314.09899999999999</c:v>
                </c:pt>
                <c:pt idx="521">
                  <c:v>313.28250000000003</c:v>
                </c:pt>
                <c:pt idx="522">
                  <c:v>312.41550000000007</c:v>
                </c:pt>
                <c:pt idx="523">
                  <c:v>311.45600000000013</c:v>
                </c:pt>
                <c:pt idx="524">
                  <c:v>310.58900000000011</c:v>
                </c:pt>
                <c:pt idx="525">
                  <c:v>309.74750000000006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E5-46AA-B4DC-E19C89F87DE8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Data!$L$2:$L$527</c:f>
              <c:numCache>
                <c:formatCode>General</c:formatCode>
                <c:ptCount val="526"/>
                <c:pt idx="19">
                  <c:v>175.11510108522006</c:v>
                </c:pt>
                <c:pt idx="20">
                  <c:v>175.48249302892464</c:v>
                </c:pt>
                <c:pt idx="21">
                  <c:v>175.76870171269465</c:v>
                </c:pt>
                <c:pt idx="22">
                  <c:v>176.21148501908058</c:v>
                </c:pt>
                <c:pt idx="23">
                  <c:v>176.51659309511851</c:v>
                </c:pt>
                <c:pt idx="24">
                  <c:v>176.93169273458369</c:v>
                </c:pt>
                <c:pt idx="25">
                  <c:v>177.42715663454106</c:v>
                </c:pt>
                <c:pt idx="26">
                  <c:v>177.76443110392691</c:v>
                </c:pt>
                <c:pt idx="27">
                  <c:v>178.10201332415477</c:v>
                </c:pt>
                <c:pt idx="28">
                  <c:v>178.45918137953478</c:v>
                </c:pt>
                <c:pt idx="29">
                  <c:v>178.42194513428029</c:v>
                </c:pt>
                <c:pt idx="30">
                  <c:v>178.34731511307311</c:v>
                </c:pt>
                <c:pt idx="31">
                  <c:v>179.00540065480985</c:v>
                </c:pt>
                <c:pt idx="32">
                  <c:v>179.64018603853779</c:v>
                </c:pt>
                <c:pt idx="33">
                  <c:v>180.25528241792702</c:v>
                </c:pt>
                <c:pt idx="34">
                  <c:v>180.77820058657298</c:v>
                </c:pt>
                <c:pt idx="35">
                  <c:v>181.9101893525241</c:v>
                </c:pt>
                <c:pt idx="36">
                  <c:v>183.26281436428715</c:v>
                </c:pt>
                <c:pt idx="37">
                  <c:v>184.14475256696451</c:v>
                </c:pt>
                <c:pt idx="38">
                  <c:v>184.89869472256859</c:v>
                </c:pt>
                <c:pt idx="39">
                  <c:v>185.86181273856499</c:v>
                </c:pt>
                <c:pt idx="40">
                  <c:v>187.00909502379531</c:v>
                </c:pt>
                <c:pt idx="41">
                  <c:v>187.748783595492</c:v>
                </c:pt>
                <c:pt idx="42">
                  <c:v>188.68463694335824</c:v>
                </c:pt>
                <c:pt idx="43">
                  <c:v>189.82341795925333</c:v>
                </c:pt>
                <c:pt idx="44">
                  <c:v>190.99698693804584</c:v>
                </c:pt>
                <c:pt idx="45">
                  <c:v>191.64007924034331</c:v>
                </c:pt>
                <c:pt idx="46">
                  <c:v>192.10388114422665</c:v>
                </c:pt>
                <c:pt idx="47">
                  <c:v>192.39907852498828</c:v>
                </c:pt>
                <c:pt idx="48">
                  <c:v>192.85545510283256</c:v>
                </c:pt>
                <c:pt idx="49">
                  <c:v>193.07225762174224</c:v>
                </c:pt>
                <c:pt idx="50">
                  <c:v>192.67856269672566</c:v>
                </c:pt>
                <c:pt idx="51">
                  <c:v>193.03322309089106</c:v>
                </c:pt>
                <c:pt idx="52">
                  <c:v>193.55609621408578</c:v>
                </c:pt>
                <c:pt idx="53">
                  <c:v>194.1877005404703</c:v>
                </c:pt>
                <c:pt idx="54">
                  <c:v>195.39241850733995</c:v>
                </c:pt>
                <c:pt idx="55">
                  <c:v>197.30623532013351</c:v>
                </c:pt>
                <c:pt idx="56">
                  <c:v>198.28867476654241</c:v>
                </c:pt>
                <c:pt idx="57">
                  <c:v>198.67394307640396</c:v>
                </c:pt>
                <c:pt idx="58">
                  <c:v>199.05335169187487</c:v>
                </c:pt>
                <c:pt idx="59">
                  <c:v>200.14686028742983</c:v>
                </c:pt>
                <c:pt idx="60">
                  <c:v>201.32701776983455</c:v>
                </c:pt>
                <c:pt idx="61">
                  <c:v>201.89505545872572</c:v>
                </c:pt>
                <c:pt idx="62">
                  <c:v>202.40333041044232</c:v>
                </c:pt>
                <c:pt idx="63">
                  <c:v>202.83398436322832</c:v>
                </c:pt>
                <c:pt idx="64">
                  <c:v>202.92359702702393</c:v>
                </c:pt>
                <c:pt idx="65">
                  <c:v>202.9743707548418</c:v>
                </c:pt>
                <c:pt idx="66">
                  <c:v>203.05630020953836</c:v>
                </c:pt>
                <c:pt idx="67">
                  <c:v>202.8242092205999</c:v>
                </c:pt>
                <c:pt idx="68">
                  <c:v>202.56550467520597</c:v>
                </c:pt>
                <c:pt idx="69">
                  <c:v>202.41977758813547</c:v>
                </c:pt>
                <c:pt idx="70">
                  <c:v>203.79487771170156</c:v>
                </c:pt>
                <c:pt idx="71">
                  <c:v>205.05164050961207</c:v>
                </c:pt>
                <c:pt idx="72">
                  <c:v>206.46796741795788</c:v>
                </c:pt>
                <c:pt idx="73">
                  <c:v>207.55599111366502</c:v>
                </c:pt>
                <c:pt idx="74">
                  <c:v>207.95908486610497</c:v>
                </c:pt>
                <c:pt idx="75">
                  <c:v>207.43385561800278</c:v>
                </c:pt>
                <c:pt idx="76">
                  <c:v>207.03397242417475</c:v>
                </c:pt>
                <c:pt idx="77">
                  <c:v>206.85768617684005</c:v>
                </c:pt>
                <c:pt idx="78">
                  <c:v>206.64246032324394</c:v>
                </c:pt>
                <c:pt idx="79">
                  <c:v>205.9344170612446</c:v>
                </c:pt>
                <c:pt idx="80">
                  <c:v>205.05475785644367</c:v>
                </c:pt>
                <c:pt idx="81">
                  <c:v>204.34985074048996</c:v>
                </c:pt>
                <c:pt idx="82">
                  <c:v>203.50146215441657</c:v>
                </c:pt>
                <c:pt idx="83">
                  <c:v>202.70360447473183</c:v>
                </c:pt>
                <c:pt idx="84">
                  <c:v>202.28213112713505</c:v>
                </c:pt>
                <c:pt idx="85">
                  <c:v>201.46261671419595</c:v>
                </c:pt>
                <c:pt idx="86">
                  <c:v>200.47880289491238</c:v>
                </c:pt>
                <c:pt idx="87">
                  <c:v>199.68123553401432</c:v>
                </c:pt>
                <c:pt idx="88">
                  <c:v>199.71283923244485</c:v>
                </c:pt>
                <c:pt idx="89">
                  <c:v>200.10789148841411</c:v>
                </c:pt>
                <c:pt idx="90">
                  <c:v>201.16757239737527</c:v>
                </c:pt>
                <c:pt idx="91">
                  <c:v>201.97882483179555</c:v>
                </c:pt>
                <c:pt idx="92">
                  <c:v>202.80866435079332</c:v>
                </c:pt>
                <c:pt idx="93">
                  <c:v>203.17121116595877</c:v>
                </c:pt>
                <c:pt idx="94">
                  <c:v>203.30779777497233</c:v>
                </c:pt>
                <c:pt idx="95">
                  <c:v>204.46828064297915</c:v>
                </c:pt>
                <c:pt idx="96">
                  <c:v>204.3492451992976</c:v>
                </c:pt>
                <c:pt idx="97">
                  <c:v>204.72640956792773</c:v>
                </c:pt>
                <c:pt idx="98">
                  <c:v>204.9369385519463</c:v>
                </c:pt>
                <c:pt idx="99">
                  <c:v>205.01309885068707</c:v>
                </c:pt>
                <c:pt idx="100">
                  <c:v>205.4640627522862</c:v>
                </c:pt>
                <c:pt idx="101">
                  <c:v>205.69427183007249</c:v>
                </c:pt>
                <c:pt idx="102">
                  <c:v>205.64473102699361</c:v>
                </c:pt>
                <c:pt idx="103">
                  <c:v>205.62963497358999</c:v>
                </c:pt>
                <c:pt idx="104">
                  <c:v>205.90879229001908</c:v>
                </c:pt>
                <c:pt idx="105">
                  <c:v>205.66642518140333</c:v>
                </c:pt>
                <c:pt idx="106">
                  <c:v>205.19968130931841</c:v>
                </c:pt>
                <c:pt idx="107">
                  <c:v>204.43460736730199</c:v>
                </c:pt>
                <c:pt idx="108">
                  <c:v>204.31783250059416</c:v>
                </c:pt>
                <c:pt idx="109">
                  <c:v>204.3392450960396</c:v>
                </c:pt>
                <c:pt idx="110">
                  <c:v>204.36076746196255</c:v>
                </c:pt>
                <c:pt idx="111">
                  <c:v>204.72234348214732</c:v>
                </c:pt>
                <c:pt idx="112">
                  <c:v>205.23969332514073</c:v>
                </c:pt>
                <c:pt idx="113">
                  <c:v>205.07885180554467</c:v>
                </c:pt>
                <c:pt idx="114">
                  <c:v>204.71861857273223</c:v>
                </c:pt>
                <c:pt idx="115">
                  <c:v>203.57807625906318</c:v>
                </c:pt>
                <c:pt idx="116">
                  <c:v>203.57628019755845</c:v>
                </c:pt>
                <c:pt idx="117">
                  <c:v>203.49172438309762</c:v>
                </c:pt>
                <c:pt idx="118">
                  <c:v>203.41713009913869</c:v>
                </c:pt>
                <c:pt idx="119">
                  <c:v>203.53226337897541</c:v>
                </c:pt>
                <c:pt idx="120">
                  <c:v>203.23096396253919</c:v>
                </c:pt>
                <c:pt idx="121">
                  <c:v>203.05446351957349</c:v>
                </c:pt>
                <c:pt idx="122">
                  <c:v>203.15290977371288</c:v>
                </c:pt>
                <c:pt idx="123">
                  <c:v>203.63951042400677</c:v>
                </c:pt>
                <c:pt idx="124">
                  <c:v>204.37719304208827</c:v>
                </c:pt>
                <c:pt idx="125">
                  <c:v>206.20984207428114</c:v>
                </c:pt>
                <c:pt idx="126">
                  <c:v>207.96239874731202</c:v>
                </c:pt>
                <c:pt idx="127">
                  <c:v>208.70531782944497</c:v>
                </c:pt>
                <c:pt idx="128">
                  <c:v>209.43919248986808</c:v>
                </c:pt>
                <c:pt idx="129">
                  <c:v>210.47532541042969</c:v>
                </c:pt>
                <c:pt idx="130">
                  <c:v>211.46529207689136</c:v>
                </c:pt>
                <c:pt idx="131">
                  <c:v>212.2065349465573</c:v>
                </c:pt>
                <c:pt idx="132">
                  <c:v>212.10912243318006</c:v>
                </c:pt>
                <c:pt idx="133">
                  <c:v>212.89516393249431</c:v>
                </c:pt>
                <c:pt idx="134">
                  <c:v>214.21414944501848</c:v>
                </c:pt>
                <c:pt idx="135">
                  <c:v>216.1342863379862</c:v>
                </c:pt>
                <c:pt idx="136">
                  <c:v>216.47797847461004</c:v>
                </c:pt>
                <c:pt idx="137">
                  <c:v>216.79341075271043</c:v>
                </c:pt>
                <c:pt idx="138">
                  <c:v>216.74936784730434</c:v>
                </c:pt>
                <c:pt idx="139">
                  <c:v>216.83781968334534</c:v>
                </c:pt>
                <c:pt idx="140">
                  <c:v>216.45916352337235</c:v>
                </c:pt>
                <c:pt idx="141">
                  <c:v>215.69125259878561</c:v>
                </c:pt>
                <c:pt idx="142">
                  <c:v>215.33150069241682</c:v>
                </c:pt>
                <c:pt idx="143">
                  <c:v>215.09485690769603</c:v>
                </c:pt>
                <c:pt idx="144">
                  <c:v>215.90690994913791</c:v>
                </c:pt>
                <c:pt idx="145">
                  <c:v>216.2529081524815</c:v>
                </c:pt>
                <c:pt idx="146">
                  <c:v>216.25060427866728</c:v>
                </c:pt>
                <c:pt idx="147">
                  <c:v>217.24178271823658</c:v>
                </c:pt>
                <c:pt idx="148">
                  <c:v>218.95964605866655</c:v>
                </c:pt>
                <c:pt idx="149">
                  <c:v>219.30414010027036</c:v>
                </c:pt>
                <c:pt idx="150">
                  <c:v>219.54262950926767</c:v>
                </c:pt>
                <c:pt idx="151">
                  <c:v>219.52210439390061</c:v>
                </c:pt>
                <c:pt idx="152">
                  <c:v>219.52239961737016</c:v>
                </c:pt>
                <c:pt idx="153">
                  <c:v>219.32058018672402</c:v>
                </c:pt>
                <c:pt idx="154">
                  <c:v>218.71561375000988</c:v>
                </c:pt>
                <c:pt idx="155">
                  <c:v>217.58784578178154</c:v>
                </c:pt>
                <c:pt idx="156">
                  <c:v>217.77616485870726</c:v>
                </c:pt>
                <c:pt idx="157">
                  <c:v>218.35256653134905</c:v>
                </c:pt>
                <c:pt idx="158">
                  <c:v>219.12037524988187</c:v>
                </c:pt>
                <c:pt idx="159">
                  <c:v>219.6753834216334</c:v>
                </c:pt>
                <c:pt idx="160">
                  <c:v>220.3404148681191</c:v>
                </c:pt>
                <c:pt idx="161">
                  <c:v>221.29933683936954</c:v>
                </c:pt>
                <c:pt idx="162">
                  <c:v>222.23641923494051</c:v>
                </c:pt>
                <c:pt idx="163">
                  <c:v>223.39610921255291</c:v>
                </c:pt>
                <c:pt idx="164">
                  <c:v>224.24346030901512</c:v>
                </c:pt>
                <c:pt idx="165">
                  <c:v>225.51917114317874</c:v>
                </c:pt>
                <c:pt idx="166">
                  <c:v>227.10320646113868</c:v>
                </c:pt>
                <c:pt idx="167">
                  <c:v>228.54623240186982</c:v>
                </c:pt>
                <c:pt idx="168">
                  <c:v>228.03864731627414</c:v>
                </c:pt>
                <c:pt idx="169">
                  <c:v>227.84078351998474</c:v>
                </c:pt>
                <c:pt idx="170">
                  <c:v>227.05227300303281</c:v>
                </c:pt>
                <c:pt idx="171">
                  <c:v>226.35027572684868</c:v>
                </c:pt>
                <c:pt idx="172">
                  <c:v>225.85565427173759</c:v>
                </c:pt>
                <c:pt idx="173">
                  <c:v>225.96415582461503</c:v>
                </c:pt>
                <c:pt idx="174">
                  <c:v>226.0579118287497</c:v>
                </c:pt>
                <c:pt idx="175">
                  <c:v>226.44526008888238</c:v>
                </c:pt>
                <c:pt idx="176">
                  <c:v>227.15982938200384</c:v>
                </c:pt>
                <c:pt idx="177">
                  <c:v>227.3434672269351</c:v>
                </c:pt>
                <c:pt idx="178">
                  <c:v>227.32787454481866</c:v>
                </c:pt>
                <c:pt idx="179">
                  <c:v>227.41692761982216</c:v>
                </c:pt>
                <c:pt idx="180">
                  <c:v>227.34295785004795</c:v>
                </c:pt>
                <c:pt idx="181">
                  <c:v>227.10185582084432</c:v>
                </c:pt>
                <c:pt idx="182">
                  <c:v>226.65474432683644</c:v>
                </c:pt>
                <c:pt idx="183">
                  <c:v>226.05167115442038</c:v>
                </c:pt>
                <c:pt idx="184">
                  <c:v>225.20899064822359</c:v>
                </c:pt>
                <c:pt idx="185">
                  <c:v>224.04376537827767</c:v>
                </c:pt>
                <c:pt idx="186">
                  <c:v>222.51029199504111</c:v>
                </c:pt>
                <c:pt idx="187">
                  <c:v>219.88627680977885</c:v>
                </c:pt>
                <c:pt idx="188">
                  <c:v>218.23345550153553</c:v>
                </c:pt>
                <c:pt idx="189">
                  <c:v>216.50780225734192</c:v>
                </c:pt>
                <c:pt idx="190">
                  <c:v>215.07725107459555</c:v>
                </c:pt>
                <c:pt idx="191">
                  <c:v>214.89430674970032</c:v>
                </c:pt>
                <c:pt idx="192">
                  <c:v>213.43197336459525</c:v>
                </c:pt>
                <c:pt idx="193">
                  <c:v>213.50510722696657</c:v>
                </c:pt>
                <c:pt idx="194">
                  <c:v>214.12918670411494</c:v>
                </c:pt>
                <c:pt idx="195">
                  <c:v>214.49483156534245</c:v>
                </c:pt>
                <c:pt idx="196">
                  <c:v>217.44942448700073</c:v>
                </c:pt>
                <c:pt idx="197">
                  <c:v>219.54920159954472</c:v>
                </c:pt>
                <c:pt idx="198">
                  <c:v>221.51503071906996</c:v>
                </c:pt>
                <c:pt idx="199">
                  <c:v>223.41225677927238</c:v>
                </c:pt>
                <c:pt idx="200">
                  <c:v>225.25053229913422</c:v>
                </c:pt>
                <c:pt idx="201">
                  <c:v>227.04669402781511</c:v>
                </c:pt>
                <c:pt idx="202">
                  <c:v>228.1415797897069</c:v>
                </c:pt>
                <c:pt idx="203">
                  <c:v>229.31293636177961</c:v>
                </c:pt>
                <c:pt idx="204">
                  <c:v>230.19749050538746</c:v>
                </c:pt>
                <c:pt idx="205">
                  <c:v>231.18132757330028</c:v>
                </c:pt>
                <c:pt idx="206">
                  <c:v>231.65946336749144</c:v>
                </c:pt>
                <c:pt idx="207">
                  <c:v>232.49116090400531</c:v>
                </c:pt>
                <c:pt idx="208">
                  <c:v>232.44698218387404</c:v>
                </c:pt>
                <c:pt idx="209">
                  <c:v>232.35290860324872</c:v>
                </c:pt>
                <c:pt idx="210">
                  <c:v>231.20154375997646</c:v>
                </c:pt>
                <c:pt idx="211">
                  <c:v>230.87173183296503</c:v>
                </c:pt>
                <c:pt idx="212">
                  <c:v>230.08293188229987</c:v>
                </c:pt>
                <c:pt idx="213">
                  <c:v>228.92053131532967</c:v>
                </c:pt>
                <c:pt idx="214">
                  <c:v>236.02139386773774</c:v>
                </c:pt>
                <c:pt idx="215">
                  <c:v>237.28293765891726</c:v>
                </c:pt>
                <c:pt idx="216">
                  <c:v>239.05031650453145</c:v>
                </c:pt>
                <c:pt idx="217">
                  <c:v>241.0783998526459</c:v>
                </c:pt>
                <c:pt idx="218">
                  <c:v>242.88809868176077</c:v>
                </c:pt>
                <c:pt idx="219">
                  <c:v>244.80317611364811</c:v>
                </c:pt>
                <c:pt idx="220">
                  <c:v>246.62186209544595</c:v>
                </c:pt>
                <c:pt idx="221">
                  <c:v>248.92563601529474</c:v>
                </c:pt>
                <c:pt idx="222">
                  <c:v>250.81522586632298</c:v>
                </c:pt>
                <c:pt idx="223">
                  <c:v>252.13120271003842</c:v>
                </c:pt>
                <c:pt idx="224">
                  <c:v>252.88749537020328</c:v>
                </c:pt>
                <c:pt idx="225">
                  <c:v>254.1359179619034</c:v>
                </c:pt>
                <c:pt idx="226">
                  <c:v>255.62602104427799</c:v>
                </c:pt>
                <c:pt idx="227">
                  <c:v>257.33502201474016</c:v>
                </c:pt>
                <c:pt idx="228">
                  <c:v>258.4333454792</c:v>
                </c:pt>
                <c:pt idx="229">
                  <c:v>259.28815333351764</c:v>
                </c:pt>
                <c:pt idx="230">
                  <c:v>259.41583242475491</c:v>
                </c:pt>
                <c:pt idx="231">
                  <c:v>258.74089135029544</c:v>
                </c:pt>
                <c:pt idx="232">
                  <c:v>256.44058962496575</c:v>
                </c:pt>
                <c:pt idx="233">
                  <c:v>252.82586336616663</c:v>
                </c:pt>
                <c:pt idx="234">
                  <c:v>252.66521746529571</c:v>
                </c:pt>
                <c:pt idx="235">
                  <c:v>252.50005187491627</c:v>
                </c:pt>
                <c:pt idx="236">
                  <c:v>251.97647332884708</c:v>
                </c:pt>
                <c:pt idx="237">
                  <c:v>251.70554368608438</c:v>
                </c:pt>
                <c:pt idx="238">
                  <c:v>251.40393719739598</c:v>
                </c:pt>
                <c:pt idx="239">
                  <c:v>251.36966088756205</c:v>
                </c:pt>
                <c:pt idx="240">
                  <c:v>251.56963728143893</c:v>
                </c:pt>
                <c:pt idx="241">
                  <c:v>251.78823345956465</c:v>
                </c:pt>
                <c:pt idx="242">
                  <c:v>252.08292708412355</c:v>
                </c:pt>
                <c:pt idx="243">
                  <c:v>253.83253560365031</c:v>
                </c:pt>
                <c:pt idx="244">
                  <c:v>254.55564142862661</c:v>
                </c:pt>
                <c:pt idx="245">
                  <c:v>254.51251295589176</c:v>
                </c:pt>
                <c:pt idx="246">
                  <c:v>253.92490744725905</c:v>
                </c:pt>
                <c:pt idx="247">
                  <c:v>252.95250948026458</c:v>
                </c:pt>
                <c:pt idx="248">
                  <c:v>252.00425303484653</c:v>
                </c:pt>
                <c:pt idx="249">
                  <c:v>250.88606307865007</c:v>
                </c:pt>
                <c:pt idx="250">
                  <c:v>249.58810099504723</c:v>
                </c:pt>
                <c:pt idx="251">
                  <c:v>248.92403802238078</c:v>
                </c:pt>
                <c:pt idx="252">
                  <c:v>248.46212671411413</c:v>
                </c:pt>
                <c:pt idx="253">
                  <c:v>248.44718513965708</c:v>
                </c:pt>
                <c:pt idx="254">
                  <c:v>247.86986678438134</c:v>
                </c:pt>
                <c:pt idx="255">
                  <c:v>247.04468160232088</c:v>
                </c:pt>
                <c:pt idx="256">
                  <c:v>246.94044368214418</c:v>
                </c:pt>
                <c:pt idx="257">
                  <c:v>246.66353432773587</c:v>
                </c:pt>
                <c:pt idx="258">
                  <c:v>246.7806006891048</c:v>
                </c:pt>
                <c:pt idx="259">
                  <c:v>247.84113233182683</c:v>
                </c:pt>
                <c:pt idx="260">
                  <c:v>250.1883398360151</c:v>
                </c:pt>
                <c:pt idx="261">
                  <c:v>252.65137798975738</c:v>
                </c:pt>
                <c:pt idx="262">
                  <c:v>256.06756105460892</c:v>
                </c:pt>
                <c:pt idx="263">
                  <c:v>259.27099252223718</c:v>
                </c:pt>
                <c:pt idx="264">
                  <c:v>261.92896452032522</c:v>
                </c:pt>
                <c:pt idx="265">
                  <c:v>265.19822322200559</c:v>
                </c:pt>
                <c:pt idx="266">
                  <c:v>267.65126367318675</c:v>
                </c:pt>
                <c:pt idx="267">
                  <c:v>270.07843640233455</c:v>
                </c:pt>
                <c:pt idx="268">
                  <c:v>272.44858604836031</c:v>
                </c:pt>
                <c:pt idx="269">
                  <c:v>274.29651483638213</c:v>
                </c:pt>
                <c:pt idx="270">
                  <c:v>275.98833805717942</c:v>
                </c:pt>
                <c:pt idx="271">
                  <c:v>277.16425711236036</c:v>
                </c:pt>
                <c:pt idx="272">
                  <c:v>277.92711267063015</c:v>
                </c:pt>
                <c:pt idx="273">
                  <c:v>278.83991244563532</c:v>
                </c:pt>
                <c:pt idx="274">
                  <c:v>279.52945276348214</c:v>
                </c:pt>
                <c:pt idx="275">
                  <c:v>281.27242099327481</c:v>
                </c:pt>
                <c:pt idx="276">
                  <c:v>282.20241094973483</c:v>
                </c:pt>
                <c:pt idx="277">
                  <c:v>281.03822860988697</c:v>
                </c:pt>
                <c:pt idx="278">
                  <c:v>280.53531919220381</c:v>
                </c:pt>
                <c:pt idx="279">
                  <c:v>279.97844705623572</c:v>
                </c:pt>
                <c:pt idx="280">
                  <c:v>279.92234324511878</c:v>
                </c:pt>
                <c:pt idx="281">
                  <c:v>279.70945230720071</c:v>
                </c:pt>
                <c:pt idx="282">
                  <c:v>280.6972783550948</c:v>
                </c:pt>
                <c:pt idx="283">
                  <c:v>281.68103704327501</c:v>
                </c:pt>
                <c:pt idx="284">
                  <c:v>281.37583908109025</c:v>
                </c:pt>
                <c:pt idx="285">
                  <c:v>281.50303618937613</c:v>
                </c:pt>
                <c:pt idx="286">
                  <c:v>281.87745666192598</c:v>
                </c:pt>
                <c:pt idx="287">
                  <c:v>282.84899371359103</c:v>
                </c:pt>
                <c:pt idx="288">
                  <c:v>283.43890159252027</c:v>
                </c:pt>
                <c:pt idx="289">
                  <c:v>283.88198865804088</c:v>
                </c:pt>
                <c:pt idx="290">
                  <c:v>283.87248602527166</c:v>
                </c:pt>
                <c:pt idx="291">
                  <c:v>284.06168034942101</c:v>
                </c:pt>
                <c:pt idx="292">
                  <c:v>285.47717832639125</c:v>
                </c:pt>
                <c:pt idx="293">
                  <c:v>286.24939684970951</c:v>
                </c:pt>
                <c:pt idx="294">
                  <c:v>287.21513789226026</c:v>
                </c:pt>
                <c:pt idx="295">
                  <c:v>287.46063788139099</c:v>
                </c:pt>
                <c:pt idx="296">
                  <c:v>288.84179881618456</c:v>
                </c:pt>
                <c:pt idx="297">
                  <c:v>290.29618357154641</c:v>
                </c:pt>
                <c:pt idx="298">
                  <c:v>290.40676358822867</c:v>
                </c:pt>
                <c:pt idx="299">
                  <c:v>289.93296256778405</c:v>
                </c:pt>
                <c:pt idx="300">
                  <c:v>287.74580368747172</c:v>
                </c:pt>
                <c:pt idx="301">
                  <c:v>284.8165203706568</c:v>
                </c:pt>
                <c:pt idx="302">
                  <c:v>280.41299854344419</c:v>
                </c:pt>
                <c:pt idx="303">
                  <c:v>275.22399506796808</c:v>
                </c:pt>
                <c:pt idx="304">
                  <c:v>272.41825922611071</c:v>
                </c:pt>
                <c:pt idx="305">
                  <c:v>269.83769380794411</c:v>
                </c:pt>
                <c:pt idx="306">
                  <c:v>267.97697769944381</c:v>
                </c:pt>
                <c:pt idx="307">
                  <c:v>267.07443203251268</c:v>
                </c:pt>
                <c:pt idx="308">
                  <c:v>265.86529744797468</c:v>
                </c:pt>
                <c:pt idx="309">
                  <c:v>264.20048701844496</c:v>
                </c:pt>
                <c:pt idx="310">
                  <c:v>260.45198462201296</c:v>
                </c:pt>
                <c:pt idx="311">
                  <c:v>257.54358509040992</c:v>
                </c:pt>
                <c:pt idx="312">
                  <c:v>256.6731769824126</c:v>
                </c:pt>
                <c:pt idx="313">
                  <c:v>255.74996052208479</c:v>
                </c:pt>
                <c:pt idx="314">
                  <c:v>255.31773420086984</c:v>
                </c:pt>
                <c:pt idx="315">
                  <c:v>258.12773946641721</c:v>
                </c:pt>
                <c:pt idx="316">
                  <c:v>259.60121821169884</c:v>
                </c:pt>
                <c:pt idx="317">
                  <c:v>260.4403307621285</c:v>
                </c:pt>
                <c:pt idx="318">
                  <c:v>260.4796125156563</c:v>
                </c:pt>
                <c:pt idx="319">
                  <c:v>260.40348304034404</c:v>
                </c:pt>
                <c:pt idx="320">
                  <c:v>260.51825476325297</c:v>
                </c:pt>
                <c:pt idx="321">
                  <c:v>260.54158291727174</c:v>
                </c:pt>
                <c:pt idx="322">
                  <c:v>260.49126136951048</c:v>
                </c:pt>
                <c:pt idx="323">
                  <c:v>260.18106222521624</c:v>
                </c:pt>
                <c:pt idx="324">
                  <c:v>259.85558894606908</c:v>
                </c:pt>
                <c:pt idx="325">
                  <c:v>259.23699639680444</c:v>
                </c:pt>
                <c:pt idx="326">
                  <c:v>257.83683520023897</c:v>
                </c:pt>
                <c:pt idx="327">
                  <c:v>256.20983344921211</c:v>
                </c:pt>
                <c:pt idx="328">
                  <c:v>255.02537681193081</c:v>
                </c:pt>
                <c:pt idx="329">
                  <c:v>254.23612021055095</c:v>
                </c:pt>
                <c:pt idx="330">
                  <c:v>254.29051115647502</c:v>
                </c:pt>
                <c:pt idx="331">
                  <c:v>254.17717875164834</c:v>
                </c:pt>
                <c:pt idx="332">
                  <c:v>254.32908077601124</c:v>
                </c:pt>
                <c:pt idx="333">
                  <c:v>254.52100634887825</c:v>
                </c:pt>
                <c:pt idx="334">
                  <c:v>257.20757719745063</c:v>
                </c:pt>
                <c:pt idx="335">
                  <c:v>257.53117997521309</c:v>
                </c:pt>
                <c:pt idx="336">
                  <c:v>257.08703514072289</c:v>
                </c:pt>
                <c:pt idx="337">
                  <c:v>256.23941124247699</c:v>
                </c:pt>
                <c:pt idx="338">
                  <c:v>257.9887456867184</c:v>
                </c:pt>
                <c:pt idx="339">
                  <c:v>258.72615607085834</c:v>
                </c:pt>
                <c:pt idx="340">
                  <c:v>261.41767546881056</c:v>
                </c:pt>
                <c:pt idx="341">
                  <c:v>264.28704500328536</c:v>
                </c:pt>
                <c:pt idx="342">
                  <c:v>267.12706918523298</c:v>
                </c:pt>
                <c:pt idx="343">
                  <c:v>269.3792233478755</c:v>
                </c:pt>
                <c:pt idx="344">
                  <c:v>271.26681694961718</c:v>
                </c:pt>
                <c:pt idx="345">
                  <c:v>271.44059153360109</c:v>
                </c:pt>
                <c:pt idx="346">
                  <c:v>272.18752405299648</c:v>
                </c:pt>
                <c:pt idx="347">
                  <c:v>272.44936789400975</c:v>
                </c:pt>
                <c:pt idx="348">
                  <c:v>272.7890285783468</c:v>
                </c:pt>
                <c:pt idx="349">
                  <c:v>272.84507767343035</c:v>
                </c:pt>
                <c:pt idx="350">
                  <c:v>273.19670790270828</c:v>
                </c:pt>
                <c:pt idx="351">
                  <c:v>273.14238877336908</c:v>
                </c:pt>
                <c:pt idx="352">
                  <c:v>272.846723755482</c:v>
                </c:pt>
                <c:pt idx="353">
                  <c:v>272.49098203909637</c:v>
                </c:pt>
                <c:pt idx="354">
                  <c:v>272.69071501817365</c:v>
                </c:pt>
                <c:pt idx="355">
                  <c:v>272.94496027906928</c:v>
                </c:pt>
                <c:pt idx="356">
                  <c:v>272.17793158387974</c:v>
                </c:pt>
                <c:pt idx="357">
                  <c:v>270.75959390237637</c:v>
                </c:pt>
                <c:pt idx="358">
                  <c:v>270.09611383128976</c:v>
                </c:pt>
                <c:pt idx="359">
                  <c:v>268.76547346641121</c:v>
                </c:pt>
                <c:pt idx="360">
                  <c:v>269.16890635307379</c:v>
                </c:pt>
                <c:pt idx="361">
                  <c:v>269.62331204667879</c:v>
                </c:pt>
                <c:pt idx="362">
                  <c:v>269.97968559731976</c:v>
                </c:pt>
                <c:pt idx="363">
                  <c:v>269.71183850123901</c:v>
                </c:pt>
                <c:pt idx="364">
                  <c:v>270.3189749705034</c:v>
                </c:pt>
                <c:pt idx="365">
                  <c:v>270.92084633573262</c:v>
                </c:pt>
                <c:pt idx="366">
                  <c:v>272.54792162410314</c:v>
                </c:pt>
                <c:pt idx="367">
                  <c:v>274.06016867022544</c:v>
                </c:pt>
                <c:pt idx="368">
                  <c:v>276.13713259362714</c:v>
                </c:pt>
                <c:pt idx="369">
                  <c:v>278.62170686998655</c:v>
                </c:pt>
                <c:pt idx="370">
                  <c:v>281.62376726583909</c:v>
                </c:pt>
                <c:pt idx="371">
                  <c:v>285.33883516034803</c:v>
                </c:pt>
                <c:pt idx="372">
                  <c:v>287.92298760822791</c:v>
                </c:pt>
                <c:pt idx="373">
                  <c:v>290.72447976195298</c:v>
                </c:pt>
                <c:pt idx="374">
                  <c:v>293.19035949350655</c:v>
                </c:pt>
                <c:pt idx="375">
                  <c:v>295.66959489808181</c:v>
                </c:pt>
                <c:pt idx="376">
                  <c:v>298.49716603630264</c:v>
                </c:pt>
                <c:pt idx="377">
                  <c:v>299.74950742303741</c:v>
                </c:pt>
                <c:pt idx="378">
                  <c:v>299.78705086938385</c:v>
                </c:pt>
                <c:pt idx="379">
                  <c:v>299.76609365156105</c:v>
                </c:pt>
                <c:pt idx="380">
                  <c:v>300.25019622760055</c:v>
                </c:pt>
                <c:pt idx="381">
                  <c:v>300.30393874607961</c:v>
                </c:pt>
                <c:pt idx="382">
                  <c:v>300.30731266175718</c:v>
                </c:pt>
                <c:pt idx="383">
                  <c:v>299.13004917256831</c:v>
                </c:pt>
                <c:pt idx="384">
                  <c:v>298.39787466515691</c:v>
                </c:pt>
                <c:pt idx="385">
                  <c:v>297.40147182249865</c:v>
                </c:pt>
                <c:pt idx="386">
                  <c:v>296.9571412705954</c:v>
                </c:pt>
                <c:pt idx="387">
                  <c:v>296.19267097192198</c:v>
                </c:pt>
                <c:pt idx="388">
                  <c:v>295.74269531757113</c:v>
                </c:pt>
                <c:pt idx="389">
                  <c:v>296.63492049118094</c:v>
                </c:pt>
                <c:pt idx="390">
                  <c:v>297.55584529559195</c:v>
                </c:pt>
                <c:pt idx="391">
                  <c:v>298.97553561406306</c:v>
                </c:pt>
                <c:pt idx="392">
                  <c:v>300.09978512535008</c:v>
                </c:pt>
                <c:pt idx="393">
                  <c:v>300.85016372591241</c:v>
                </c:pt>
                <c:pt idx="394">
                  <c:v>302.01243567576336</c:v>
                </c:pt>
                <c:pt idx="395">
                  <c:v>302.4278069627822</c:v>
                </c:pt>
                <c:pt idx="396">
                  <c:v>301.96172812221283</c:v>
                </c:pt>
                <c:pt idx="397">
                  <c:v>302.14759344831964</c:v>
                </c:pt>
                <c:pt idx="398">
                  <c:v>301.72525734074065</c:v>
                </c:pt>
                <c:pt idx="399">
                  <c:v>301.19891311621745</c:v>
                </c:pt>
                <c:pt idx="400">
                  <c:v>301.28157775650971</c:v>
                </c:pt>
                <c:pt idx="401">
                  <c:v>301.16552033973045</c:v>
                </c:pt>
                <c:pt idx="402">
                  <c:v>301.13764655237446</c:v>
                </c:pt>
                <c:pt idx="403">
                  <c:v>300.97852563600549</c:v>
                </c:pt>
                <c:pt idx="404">
                  <c:v>300.60699884214716</c:v>
                </c:pt>
                <c:pt idx="405">
                  <c:v>300.6803556769691</c:v>
                </c:pt>
                <c:pt idx="406">
                  <c:v>300.69448643690799</c:v>
                </c:pt>
                <c:pt idx="407">
                  <c:v>300.6903611615403</c:v>
                </c:pt>
                <c:pt idx="408">
                  <c:v>300.70034368193569</c:v>
                </c:pt>
                <c:pt idx="409">
                  <c:v>300.29790823772998</c:v>
                </c:pt>
                <c:pt idx="410">
                  <c:v>299.87806404602554</c:v>
                </c:pt>
                <c:pt idx="411">
                  <c:v>299.41815139427422</c:v>
                </c:pt>
                <c:pt idx="412">
                  <c:v>298.81184129811311</c:v>
                </c:pt>
                <c:pt idx="413">
                  <c:v>299.1518053656132</c:v>
                </c:pt>
                <c:pt idx="414">
                  <c:v>299.05667951659245</c:v>
                </c:pt>
                <c:pt idx="415">
                  <c:v>300.17460116002121</c:v>
                </c:pt>
                <c:pt idx="416">
                  <c:v>301.53230755342679</c:v>
                </c:pt>
                <c:pt idx="417">
                  <c:v>302.27702979119232</c:v>
                </c:pt>
                <c:pt idx="418">
                  <c:v>302.99291180565001</c:v>
                </c:pt>
                <c:pt idx="419">
                  <c:v>304.51523370713238</c:v>
                </c:pt>
                <c:pt idx="420">
                  <c:v>304.19165834927031</c:v>
                </c:pt>
                <c:pt idx="421">
                  <c:v>303.97560235334919</c:v>
                </c:pt>
                <c:pt idx="422">
                  <c:v>304.02863573110255</c:v>
                </c:pt>
                <c:pt idx="423">
                  <c:v>304.57135711161044</c:v>
                </c:pt>
                <c:pt idx="424">
                  <c:v>305.90045511996192</c:v>
                </c:pt>
                <c:pt idx="425">
                  <c:v>307.49266119602197</c:v>
                </c:pt>
                <c:pt idx="426">
                  <c:v>309.07907717238447</c:v>
                </c:pt>
                <c:pt idx="427">
                  <c:v>310.48596442793263</c:v>
                </c:pt>
                <c:pt idx="428">
                  <c:v>312.08917738978488</c:v>
                </c:pt>
                <c:pt idx="429">
                  <c:v>313.83104773380916</c:v>
                </c:pt>
                <c:pt idx="430">
                  <c:v>315.45339635673668</c:v>
                </c:pt>
                <c:pt idx="431">
                  <c:v>316.63003940137588</c:v>
                </c:pt>
                <c:pt idx="432">
                  <c:v>317.53291144362726</c:v>
                </c:pt>
                <c:pt idx="433">
                  <c:v>318.59953449411654</c:v>
                </c:pt>
                <c:pt idx="434">
                  <c:v>319.53395573715306</c:v>
                </c:pt>
                <c:pt idx="435">
                  <c:v>320.84419790739787</c:v>
                </c:pt>
                <c:pt idx="436">
                  <c:v>321.92199963545488</c:v>
                </c:pt>
                <c:pt idx="437">
                  <c:v>322.71527561114624</c:v>
                </c:pt>
                <c:pt idx="438">
                  <c:v>322.77274725749555</c:v>
                </c:pt>
                <c:pt idx="439">
                  <c:v>322.79913689333006</c:v>
                </c:pt>
                <c:pt idx="440">
                  <c:v>321.8786196926759</c:v>
                </c:pt>
                <c:pt idx="441">
                  <c:v>319.95985275661411</c:v>
                </c:pt>
                <c:pt idx="442">
                  <c:v>318.62307149388806</c:v>
                </c:pt>
                <c:pt idx="443">
                  <c:v>317.95147856035533</c:v>
                </c:pt>
                <c:pt idx="444">
                  <c:v>317.95483112722883</c:v>
                </c:pt>
                <c:pt idx="445">
                  <c:v>318.80289474019088</c:v>
                </c:pt>
                <c:pt idx="446">
                  <c:v>318.8083921023142</c:v>
                </c:pt>
                <c:pt idx="447">
                  <c:v>319.2807283814073</c:v>
                </c:pt>
                <c:pt idx="448">
                  <c:v>319.16763486530016</c:v>
                </c:pt>
                <c:pt idx="449">
                  <c:v>319.59153282286178</c:v>
                </c:pt>
                <c:pt idx="450">
                  <c:v>319.59896272799682</c:v>
                </c:pt>
                <c:pt idx="451">
                  <c:v>319.22271419996594</c:v>
                </c:pt>
                <c:pt idx="452">
                  <c:v>319.14808350050237</c:v>
                </c:pt>
                <c:pt idx="453">
                  <c:v>319.08921192666827</c:v>
                </c:pt>
                <c:pt idx="454">
                  <c:v>318.62873445268849</c:v>
                </c:pt>
                <c:pt idx="455">
                  <c:v>316.96482733294971</c:v>
                </c:pt>
                <c:pt idx="456">
                  <c:v>315.20459805848446</c:v>
                </c:pt>
                <c:pt idx="457">
                  <c:v>313.34646150477198</c:v>
                </c:pt>
                <c:pt idx="458">
                  <c:v>312.53149094992472</c:v>
                </c:pt>
                <c:pt idx="459">
                  <c:v>312.85049200611292</c:v>
                </c:pt>
                <c:pt idx="460">
                  <c:v>313.07867046988019</c:v>
                </c:pt>
                <c:pt idx="461">
                  <c:v>313.10915383686495</c:v>
                </c:pt>
                <c:pt idx="462">
                  <c:v>313.35946105859603</c:v>
                </c:pt>
                <c:pt idx="463">
                  <c:v>314.42217996005849</c:v>
                </c:pt>
                <c:pt idx="464">
                  <c:v>315.65328418407711</c:v>
                </c:pt>
                <c:pt idx="465">
                  <c:v>317.06471323242414</c:v>
                </c:pt>
                <c:pt idx="466">
                  <c:v>318.60300775439424</c:v>
                </c:pt>
                <c:pt idx="467">
                  <c:v>319.97594880729179</c:v>
                </c:pt>
                <c:pt idx="468">
                  <c:v>322.14229271325007</c:v>
                </c:pt>
                <c:pt idx="469">
                  <c:v>322.26756683723892</c:v>
                </c:pt>
                <c:pt idx="470">
                  <c:v>321.99960701369628</c:v>
                </c:pt>
                <c:pt idx="471">
                  <c:v>322.07093985631087</c:v>
                </c:pt>
                <c:pt idx="472">
                  <c:v>321.88249999272233</c:v>
                </c:pt>
                <c:pt idx="473">
                  <c:v>321.09238561661982</c:v>
                </c:pt>
                <c:pt idx="474">
                  <c:v>320.56032684377016</c:v>
                </c:pt>
                <c:pt idx="475">
                  <c:v>320.79234557691274</c:v>
                </c:pt>
                <c:pt idx="476">
                  <c:v>321.14511326166968</c:v>
                </c:pt>
                <c:pt idx="477">
                  <c:v>321.15165899098452</c:v>
                </c:pt>
                <c:pt idx="478">
                  <c:v>321.22521055420151</c:v>
                </c:pt>
                <c:pt idx="479">
                  <c:v>321.6053113434001</c:v>
                </c:pt>
                <c:pt idx="480">
                  <c:v>321.41907054852061</c:v>
                </c:pt>
                <c:pt idx="481">
                  <c:v>321.32409473613029</c:v>
                </c:pt>
                <c:pt idx="482">
                  <c:v>321.59986059164527</c:v>
                </c:pt>
                <c:pt idx="483">
                  <c:v>322.21942141078284</c:v>
                </c:pt>
                <c:pt idx="484">
                  <c:v>322.44821712421833</c:v>
                </c:pt>
                <c:pt idx="485">
                  <c:v>322.59472648195174</c:v>
                </c:pt>
                <c:pt idx="486">
                  <c:v>321.53871575520844</c:v>
                </c:pt>
                <c:pt idx="487">
                  <c:v>320.79098642620875</c:v>
                </c:pt>
                <c:pt idx="488">
                  <c:v>320.074357151698</c:v>
                </c:pt>
                <c:pt idx="489">
                  <c:v>321.48606169335551</c:v>
                </c:pt>
                <c:pt idx="490">
                  <c:v>323.26848419728964</c:v>
                </c:pt>
                <c:pt idx="491">
                  <c:v>323.90672905335305</c:v>
                </c:pt>
                <c:pt idx="492">
                  <c:v>324.21840352550487</c:v>
                </c:pt>
                <c:pt idx="493">
                  <c:v>324.44959304507296</c:v>
                </c:pt>
                <c:pt idx="494">
                  <c:v>324.57667816237517</c:v>
                </c:pt>
                <c:pt idx="495">
                  <c:v>325.35655973921723</c:v>
                </c:pt>
                <c:pt idx="496">
                  <c:v>326.24430750440411</c:v>
                </c:pt>
                <c:pt idx="497">
                  <c:v>328.26773841562755</c:v>
                </c:pt>
                <c:pt idx="498">
                  <c:v>329.97294761089904</c:v>
                </c:pt>
                <c:pt idx="499">
                  <c:v>330.83598373762703</c:v>
                </c:pt>
                <c:pt idx="500">
                  <c:v>331.38531477610616</c:v>
                </c:pt>
                <c:pt idx="501">
                  <c:v>331.51953631249432</c:v>
                </c:pt>
                <c:pt idx="502">
                  <c:v>332.27213541428927</c:v>
                </c:pt>
                <c:pt idx="503">
                  <c:v>334.72309095445786</c:v>
                </c:pt>
                <c:pt idx="504">
                  <c:v>336.93620917337222</c:v>
                </c:pt>
                <c:pt idx="505">
                  <c:v>337.55555320892461</c:v>
                </c:pt>
                <c:pt idx="506">
                  <c:v>336.22833849727419</c:v>
                </c:pt>
                <c:pt idx="507">
                  <c:v>336.10806363379874</c:v>
                </c:pt>
                <c:pt idx="508">
                  <c:v>336.11671983725898</c:v>
                </c:pt>
                <c:pt idx="509">
                  <c:v>336.87924403849644</c:v>
                </c:pt>
                <c:pt idx="510">
                  <c:v>337.96136479152636</c:v>
                </c:pt>
                <c:pt idx="511">
                  <c:v>338.54094207731009</c:v>
                </c:pt>
                <c:pt idx="512">
                  <c:v>338.70821635044206</c:v>
                </c:pt>
                <c:pt idx="513">
                  <c:v>340.01792986038214</c:v>
                </c:pt>
                <c:pt idx="514">
                  <c:v>341.28004858131851</c:v>
                </c:pt>
                <c:pt idx="515">
                  <c:v>341.77269810267092</c:v>
                </c:pt>
                <c:pt idx="516">
                  <c:v>342.41151423783663</c:v>
                </c:pt>
                <c:pt idx="517">
                  <c:v>341.76701298074812</c:v>
                </c:pt>
                <c:pt idx="518">
                  <c:v>341.01942312401758</c:v>
                </c:pt>
                <c:pt idx="519">
                  <c:v>340.49609904223348</c:v>
                </c:pt>
                <c:pt idx="520">
                  <c:v>339.5905621953205</c:v>
                </c:pt>
                <c:pt idx="521">
                  <c:v>338.72489054888723</c:v>
                </c:pt>
                <c:pt idx="522">
                  <c:v>337.28306456447683</c:v>
                </c:pt>
                <c:pt idx="523">
                  <c:v>334.2006922900361</c:v>
                </c:pt>
                <c:pt idx="524">
                  <c:v>330.79809633647301</c:v>
                </c:pt>
                <c:pt idx="525">
                  <c:v>328.42461673341705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E5-46AA-B4DC-E19C89F87DE8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Data!$B$2:$B$527</c:f>
              <c:numCache>
                <c:formatCode>m/d/yyyy</c:formatCode>
                <c:ptCount val="526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  <c:pt idx="522">
                  <c:v>46055</c:v>
                </c:pt>
                <c:pt idx="523">
                  <c:v>46056</c:v>
                </c:pt>
                <c:pt idx="524">
                  <c:v>46057</c:v>
                </c:pt>
                <c:pt idx="525">
                  <c:v>46058</c:v>
                </c:pt>
              </c:numCache>
            </c:numRef>
          </c:cat>
          <c:val>
            <c:numRef>
              <c:f>Data!$M$2:$M$527</c:f>
              <c:numCache>
                <c:formatCode>General</c:formatCode>
                <c:ptCount val="526"/>
                <c:pt idx="19">
                  <c:v>166.56189891477996</c:v>
                </c:pt>
                <c:pt idx="20">
                  <c:v>166.42250697107545</c:v>
                </c:pt>
                <c:pt idx="21">
                  <c:v>166.37629828730545</c:v>
                </c:pt>
                <c:pt idx="22">
                  <c:v>166.26551498091939</c:v>
                </c:pt>
                <c:pt idx="23">
                  <c:v>166.18340690488148</c:v>
                </c:pt>
                <c:pt idx="24">
                  <c:v>166.07630726541629</c:v>
                </c:pt>
                <c:pt idx="25">
                  <c:v>166.05784336545895</c:v>
                </c:pt>
                <c:pt idx="26">
                  <c:v>166.09856889607309</c:v>
                </c:pt>
                <c:pt idx="27">
                  <c:v>166.23198667584523</c:v>
                </c:pt>
                <c:pt idx="28">
                  <c:v>166.5488186204652</c:v>
                </c:pt>
                <c:pt idx="29">
                  <c:v>167.21305486571976</c:v>
                </c:pt>
                <c:pt idx="30">
                  <c:v>168.18168488692694</c:v>
                </c:pt>
                <c:pt idx="31">
                  <c:v>168.76859934519015</c:v>
                </c:pt>
                <c:pt idx="32">
                  <c:v>169.00581396146222</c:v>
                </c:pt>
                <c:pt idx="33">
                  <c:v>169.35271758207304</c:v>
                </c:pt>
                <c:pt idx="34">
                  <c:v>170.02079941342711</c:v>
                </c:pt>
                <c:pt idx="35">
                  <c:v>170.145810647476</c:v>
                </c:pt>
                <c:pt idx="36">
                  <c:v>169.89818563571291</c:v>
                </c:pt>
                <c:pt idx="37">
                  <c:v>170.12424743303561</c:v>
                </c:pt>
                <c:pt idx="38">
                  <c:v>170.44230527743142</c:v>
                </c:pt>
                <c:pt idx="39">
                  <c:v>170.29018726143511</c:v>
                </c:pt>
                <c:pt idx="40">
                  <c:v>170.31290497620469</c:v>
                </c:pt>
                <c:pt idx="41">
                  <c:v>170.72921640450795</c:v>
                </c:pt>
                <c:pt idx="42">
                  <c:v>170.98836305664176</c:v>
                </c:pt>
                <c:pt idx="43">
                  <c:v>171.2545820407467</c:v>
                </c:pt>
                <c:pt idx="44">
                  <c:v>171.52401306195418</c:v>
                </c:pt>
                <c:pt idx="45">
                  <c:v>172.12492075965667</c:v>
                </c:pt>
                <c:pt idx="46">
                  <c:v>173.00311885577332</c:v>
                </c:pt>
                <c:pt idx="47">
                  <c:v>174.03592147501166</c:v>
                </c:pt>
                <c:pt idx="48">
                  <c:v>174.98454489716741</c:v>
                </c:pt>
                <c:pt idx="49">
                  <c:v>176.47974237825778</c:v>
                </c:pt>
                <c:pt idx="50">
                  <c:v>178.06743730327432</c:v>
                </c:pt>
                <c:pt idx="51">
                  <c:v>178.75577690910893</c:v>
                </c:pt>
                <c:pt idx="52">
                  <c:v>179.5959037859142</c:v>
                </c:pt>
                <c:pt idx="53">
                  <c:v>180.37029945952969</c:v>
                </c:pt>
                <c:pt idx="54">
                  <c:v>180.70858149266004</c:v>
                </c:pt>
                <c:pt idx="55">
                  <c:v>180.39376467986648</c:v>
                </c:pt>
                <c:pt idx="56">
                  <c:v>180.67432523345761</c:v>
                </c:pt>
                <c:pt idx="57">
                  <c:v>181.43505692359602</c:v>
                </c:pt>
                <c:pt idx="58">
                  <c:v>182.28364830812512</c:v>
                </c:pt>
                <c:pt idx="59">
                  <c:v>182.70413971257017</c:v>
                </c:pt>
                <c:pt idx="60">
                  <c:v>182.94798223016542</c:v>
                </c:pt>
                <c:pt idx="61">
                  <c:v>183.74494454127426</c:v>
                </c:pt>
                <c:pt idx="62">
                  <c:v>184.45466958955774</c:v>
                </c:pt>
                <c:pt idx="63">
                  <c:v>184.99901563677176</c:v>
                </c:pt>
                <c:pt idx="64">
                  <c:v>185.52140297297612</c:v>
                </c:pt>
                <c:pt idx="65">
                  <c:v>186.42862924515828</c:v>
                </c:pt>
                <c:pt idx="66">
                  <c:v>187.37269979046167</c:v>
                </c:pt>
                <c:pt idx="67">
                  <c:v>188.4907907794001</c:v>
                </c:pt>
                <c:pt idx="68">
                  <c:v>189.31249532479407</c:v>
                </c:pt>
                <c:pt idx="69">
                  <c:v>189.86322241186454</c:v>
                </c:pt>
                <c:pt idx="70">
                  <c:v>187.97012228829843</c:v>
                </c:pt>
                <c:pt idx="71">
                  <c:v>185.97235949038793</c:v>
                </c:pt>
                <c:pt idx="72">
                  <c:v>183.37003258204214</c:v>
                </c:pt>
                <c:pt idx="73">
                  <c:v>180.91100888633491</c:v>
                </c:pt>
                <c:pt idx="74">
                  <c:v>178.99991513389497</c:v>
                </c:pt>
                <c:pt idx="75">
                  <c:v>178.1991443819972</c:v>
                </c:pt>
                <c:pt idx="76">
                  <c:v>177.87802757582523</c:v>
                </c:pt>
                <c:pt idx="77">
                  <c:v>177.78631382315996</c:v>
                </c:pt>
                <c:pt idx="78">
                  <c:v>177.73653967675608</c:v>
                </c:pt>
                <c:pt idx="79">
                  <c:v>177.82958293875541</c:v>
                </c:pt>
                <c:pt idx="80">
                  <c:v>178.0282421435563</c:v>
                </c:pt>
                <c:pt idx="81">
                  <c:v>178.1671492595101</c:v>
                </c:pt>
                <c:pt idx="82">
                  <c:v>178.30353784558343</c:v>
                </c:pt>
                <c:pt idx="83">
                  <c:v>178.45739552526817</c:v>
                </c:pt>
                <c:pt idx="84">
                  <c:v>178.4798688728649</c:v>
                </c:pt>
                <c:pt idx="85">
                  <c:v>178.60538328580398</c:v>
                </c:pt>
                <c:pt idx="86">
                  <c:v>178.94119710508758</c:v>
                </c:pt>
                <c:pt idx="87">
                  <c:v>179.19876446598568</c:v>
                </c:pt>
                <c:pt idx="88">
                  <c:v>179.18516076755517</c:v>
                </c:pt>
                <c:pt idx="89">
                  <c:v>178.99710851158596</c:v>
                </c:pt>
                <c:pt idx="90">
                  <c:v>179.53542760262471</c:v>
                </c:pt>
                <c:pt idx="91">
                  <c:v>180.30817516820437</c:v>
                </c:pt>
                <c:pt idx="92">
                  <c:v>181.54933564920668</c:v>
                </c:pt>
                <c:pt idx="93">
                  <c:v>183.38978883404127</c:v>
                </c:pt>
                <c:pt idx="94">
                  <c:v>185.37520222502766</c:v>
                </c:pt>
                <c:pt idx="95">
                  <c:v>186.11371935702084</c:v>
                </c:pt>
                <c:pt idx="96">
                  <c:v>186.84975480070236</c:v>
                </c:pt>
                <c:pt idx="97">
                  <c:v>187.21059043207228</c:v>
                </c:pt>
                <c:pt idx="98">
                  <c:v>187.52306144805374</c:v>
                </c:pt>
                <c:pt idx="99">
                  <c:v>187.80190114931287</c:v>
                </c:pt>
                <c:pt idx="100">
                  <c:v>188.07293724771378</c:v>
                </c:pt>
                <c:pt idx="101">
                  <c:v>188.4647281699275</c:v>
                </c:pt>
                <c:pt idx="102">
                  <c:v>189.15126897300638</c:v>
                </c:pt>
                <c:pt idx="103">
                  <c:v>189.91336502641002</c:v>
                </c:pt>
                <c:pt idx="104">
                  <c:v>190.73120770998096</c:v>
                </c:pt>
                <c:pt idx="105">
                  <c:v>192.10457481859675</c:v>
                </c:pt>
                <c:pt idx="106">
                  <c:v>193.28731869068162</c:v>
                </c:pt>
                <c:pt idx="107">
                  <c:v>194.60339263269802</c:v>
                </c:pt>
                <c:pt idx="108">
                  <c:v>194.84616749940577</c:v>
                </c:pt>
                <c:pt idx="109">
                  <c:v>195.06975490396039</c:v>
                </c:pt>
                <c:pt idx="110">
                  <c:v>195.13223253803744</c:v>
                </c:pt>
                <c:pt idx="111">
                  <c:v>194.33365651785272</c:v>
                </c:pt>
                <c:pt idx="112">
                  <c:v>192.81830667485931</c:v>
                </c:pt>
                <c:pt idx="113">
                  <c:v>192.13414819445541</c:v>
                </c:pt>
                <c:pt idx="114">
                  <c:v>191.62538142726783</c:v>
                </c:pt>
                <c:pt idx="115">
                  <c:v>191.78492374093688</c:v>
                </c:pt>
                <c:pt idx="116">
                  <c:v>191.92871980244161</c:v>
                </c:pt>
                <c:pt idx="117">
                  <c:v>191.92827561690245</c:v>
                </c:pt>
                <c:pt idx="118">
                  <c:v>191.80186990086142</c:v>
                </c:pt>
                <c:pt idx="119">
                  <c:v>191.88273662102466</c:v>
                </c:pt>
                <c:pt idx="120">
                  <c:v>191.92003603746093</c:v>
                </c:pt>
                <c:pt idx="121">
                  <c:v>191.88953648042659</c:v>
                </c:pt>
                <c:pt idx="122">
                  <c:v>191.89709022628719</c:v>
                </c:pt>
                <c:pt idx="123">
                  <c:v>191.70348957599336</c:v>
                </c:pt>
                <c:pt idx="124">
                  <c:v>191.24780695791173</c:v>
                </c:pt>
                <c:pt idx="125">
                  <c:v>190.11615792571888</c:v>
                </c:pt>
                <c:pt idx="126">
                  <c:v>189.31660125268803</c:v>
                </c:pt>
                <c:pt idx="127">
                  <c:v>189.32668217055507</c:v>
                </c:pt>
                <c:pt idx="128">
                  <c:v>189.41880751013198</c:v>
                </c:pt>
                <c:pt idx="129">
                  <c:v>189.15067458957029</c:v>
                </c:pt>
                <c:pt idx="130">
                  <c:v>188.97970792310869</c:v>
                </c:pt>
                <c:pt idx="131">
                  <c:v>189.54746505344272</c:v>
                </c:pt>
                <c:pt idx="132">
                  <c:v>190.98587756681991</c:v>
                </c:pt>
                <c:pt idx="133">
                  <c:v>191.83883606750572</c:v>
                </c:pt>
                <c:pt idx="134">
                  <c:v>192.5038505549816</c:v>
                </c:pt>
                <c:pt idx="135">
                  <c:v>192.77271366201384</c:v>
                </c:pt>
                <c:pt idx="136">
                  <c:v>193.72702152539</c:v>
                </c:pt>
                <c:pt idx="137">
                  <c:v>194.52258924728955</c:v>
                </c:pt>
                <c:pt idx="138">
                  <c:v>195.96463215269571</c:v>
                </c:pt>
                <c:pt idx="139">
                  <c:v>197.02118031665469</c:v>
                </c:pt>
                <c:pt idx="140">
                  <c:v>198.4518364766277</c:v>
                </c:pt>
                <c:pt idx="141">
                  <c:v>200.34374740121442</c:v>
                </c:pt>
                <c:pt idx="142">
                  <c:v>202.01049930758327</c:v>
                </c:pt>
                <c:pt idx="143">
                  <c:v>203.10614309230411</c:v>
                </c:pt>
                <c:pt idx="144">
                  <c:v>203.2680900508621</c:v>
                </c:pt>
                <c:pt idx="145">
                  <c:v>203.31909184751851</c:v>
                </c:pt>
                <c:pt idx="146">
                  <c:v>203.2483957213328</c:v>
                </c:pt>
                <c:pt idx="147">
                  <c:v>201.6922172817635</c:v>
                </c:pt>
                <c:pt idx="148">
                  <c:v>198.94735394133343</c:v>
                </c:pt>
                <c:pt idx="149">
                  <c:v>197.87385989972969</c:v>
                </c:pt>
                <c:pt idx="150">
                  <c:v>196.89537049073232</c:v>
                </c:pt>
                <c:pt idx="151">
                  <c:v>196.57689560609938</c:v>
                </c:pt>
                <c:pt idx="152">
                  <c:v>196.6626003826299</c:v>
                </c:pt>
                <c:pt idx="153">
                  <c:v>196.47841981327608</c:v>
                </c:pt>
                <c:pt idx="154">
                  <c:v>196.51538624999017</c:v>
                </c:pt>
                <c:pt idx="155">
                  <c:v>196.9801542182185</c:v>
                </c:pt>
                <c:pt idx="156">
                  <c:v>196.94883514129282</c:v>
                </c:pt>
                <c:pt idx="157">
                  <c:v>196.79143346865106</c:v>
                </c:pt>
                <c:pt idx="158">
                  <c:v>196.54062475011818</c:v>
                </c:pt>
                <c:pt idx="159">
                  <c:v>196.40461657836664</c:v>
                </c:pt>
                <c:pt idx="160">
                  <c:v>196.34058513188094</c:v>
                </c:pt>
                <c:pt idx="161">
                  <c:v>196.17766316063043</c:v>
                </c:pt>
                <c:pt idx="162">
                  <c:v>195.84758076505949</c:v>
                </c:pt>
                <c:pt idx="163">
                  <c:v>195.51989078744708</c:v>
                </c:pt>
                <c:pt idx="164">
                  <c:v>195.17153969098484</c:v>
                </c:pt>
                <c:pt idx="165">
                  <c:v>194.74482885682121</c:v>
                </c:pt>
                <c:pt idx="166">
                  <c:v>194.58579353886128</c:v>
                </c:pt>
                <c:pt idx="167">
                  <c:v>195.70876759813012</c:v>
                </c:pt>
                <c:pt idx="168">
                  <c:v>198.75635268372582</c:v>
                </c:pt>
                <c:pt idx="169">
                  <c:v>200.85321648001533</c:v>
                </c:pt>
                <c:pt idx="170">
                  <c:v>203.36472699696722</c:v>
                </c:pt>
                <c:pt idx="171">
                  <c:v>204.90672427315127</c:v>
                </c:pt>
                <c:pt idx="172">
                  <c:v>206.50234572826247</c:v>
                </c:pt>
                <c:pt idx="173">
                  <c:v>206.33084417538504</c:v>
                </c:pt>
                <c:pt idx="174">
                  <c:v>206.16608817125029</c:v>
                </c:pt>
                <c:pt idx="175">
                  <c:v>205.41473991111764</c:v>
                </c:pt>
                <c:pt idx="176">
                  <c:v>203.97717061799617</c:v>
                </c:pt>
                <c:pt idx="177">
                  <c:v>203.18253277306491</c:v>
                </c:pt>
                <c:pt idx="178">
                  <c:v>202.57812545518141</c:v>
                </c:pt>
                <c:pt idx="179">
                  <c:v>201.79007238017783</c:v>
                </c:pt>
                <c:pt idx="180">
                  <c:v>201.45204214995201</c:v>
                </c:pt>
                <c:pt idx="181">
                  <c:v>201.13914417915566</c:v>
                </c:pt>
                <c:pt idx="182">
                  <c:v>200.89925567316354</c:v>
                </c:pt>
                <c:pt idx="183">
                  <c:v>200.74432884557962</c:v>
                </c:pt>
                <c:pt idx="184">
                  <c:v>200.58800935177644</c:v>
                </c:pt>
                <c:pt idx="185">
                  <c:v>200.6022346217224</c:v>
                </c:pt>
                <c:pt idx="186">
                  <c:v>200.96470800495896</c:v>
                </c:pt>
                <c:pt idx="187">
                  <c:v>202.19472319022117</c:v>
                </c:pt>
                <c:pt idx="188">
                  <c:v>202.52154449846458</c:v>
                </c:pt>
                <c:pt idx="189">
                  <c:v>203.04319774265818</c:v>
                </c:pt>
                <c:pt idx="190">
                  <c:v>203.23374892540443</c:v>
                </c:pt>
                <c:pt idx="191">
                  <c:v>203.29269325029975</c:v>
                </c:pt>
                <c:pt idx="192">
                  <c:v>204.1670266354048</c:v>
                </c:pt>
                <c:pt idx="193">
                  <c:v>204.61289277303348</c:v>
                </c:pt>
                <c:pt idx="194">
                  <c:v>204.60781329588502</c:v>
                </c:pt>
                <c:pt idx="195">
                  <c:v>204.86616843465754</c:v>
                </c:pt>
                <c:pt idx="196">
                  <c:v>203.70857551299929</c:v>
                </c:pt>
                <c:pt idx="197">
                  <c:v>202.97079840045527</c:v>
                </c:pt>
                <c:pt idx="198">
                  <c:v>202.31896928093005</c:v>
                </c:pt>
                <c:pt idx="199">
                  <c:v>202.03274322072761</c:v>
                </c:pt>
                <c:pt idx="200">
                  <c:v>201.58846770086572</c:v>
                </c:pt>
                <c:pt idx="201">
                  <c:v>201.22030597218489</c:v>
                </c:pt>
                <c:pt idx="202">
                  <c:v>201.28142021029305</c:v>
                </c:pt>
                <c:pt idx="203">
                  <c:v>201.36306363822044</c:v>
                </c:pt>
                <c:pt idx="204">
                  <c:v>201.80050949461247</c:v>
                </c:pt>
                <c:pt idx="205">
                  <c:v>202.33667242669964</c:v>
                </c:pt>
                <c:pt idx="206">
                  <c:v>203.03953663250851</c:v>
                </c:pt>
                <c:pt idx="207">
                  <c:v>203.67183909599459</c:v>
                </c:pt>
                <c:pt idx="208">
                  <c:v>205.30201781612593</c:v>
                </c:pt>
                <c:pt idx="209">
                  <c:v>207.10809139675118</c:v>
                </c:pt>
                <c:pt idx="210">
                  <c:v>209.92845624002348</c:v>
                </c:pt>
                <c:pt idx="211">
                  <c:v>211.43026816703482</c:v>
                </c:pt>
                <c:pt idx="212">
                  <c:v>213.10406811770002</c:v>
                </c:pt>
                <c:pt idx="213">
                  <c:v>215.3404686846703</c:v>
                </c:pt>
                <c:pt idx="214">
                  <c:v>211.60360613226226</c:v>
                </c:pt>
                <c:pt idx="215">
                  <c:v>212.69606234108284</c:v>
                </c:pt>
                <c:pt idx="216">
                  <c:v>212.39768349546853</c:v>
                </c:pt>
                <c:pt idx="217">
                  <c:v>212.1506001473542</c:v>
                </c:pt>
                <c:pt idx="218">
                  <c:v>212.05790131823932</c:v>
                </c:pt>
                <c:pt idx="219">
                  <c:v>211.89482388635193</c:v>
                </c:pt>
                <c:pt idx="220">
                  <c:v>211.82113790455409</c:v>
                </c:pt>
                <c:pt idx="221">
                  <c:v>211.51136398470533</c:v>
                </c:pt>
                <c:pt idx="222">
                  <c:v>211.82477413367707</c:v>
                </c:pt>
                <c:pt idx="223">
                  <c:v>212.40579728996155</c:v>
                </c:pt>
                <c:pt idx="224">
                  <c:v>213.38650462979672</c:v>
                </c:pt>
                <c:pt idx="225">
                  <c:v>214.11608203809655</c:v>
                </c:pt>
                <c:pt idx="226">
                  <c:v>215.24997895572204</c:v>
                </c:pt>
                <c:pt idx="227">
                  <c:v>216.01997798525986</c:v>
                </c:pt>
                <c:pt idx="228">
                  <c:v>217.62865452080007</c:v>
                </c:pt>
                <c:pt idx="229">
                  <c:v>219.31184666648244</c:v>
                </c:pt>
                <c:pt idx="230">
                  <c:v>221.9641675752452</c:v>
                </c:pt>
                <c:pt idx="231">
                  <c:v>224.9701086497046</c:v>
                </c:pt>
                <c:pt idx="232">
                  <c:v>229.77441037503431</c:v>
                </c:pt>
                <c:pt idx="233">
                  <c:v>235.58013663383332</c:v>
                </c:pt>
                <c:pt idx="234">
                  <c:v>235.58278253470417</c:v>
                </c:pt>
                <c:pt idx="235">
                  <c:v>236.84594812508357</c:v>
                </c:pt>
                <c:pt idx="236">
                  <c:v>238.0525266711528</c:v>
                </c:pt>
                <c:pt idx="237">
                  <c:v>238.68045631391558</c:v>
                </c:pt>
                <c:pt idx="238">
                  <c:v>239.37906280260393</c:v>
                </c:pt>
                <c:pt idx="239">
                  <c:v>239.45033911243794</c:v>
                </c:pt>
                <c:pt idx="240">
                  <c:v>239.05736271856102</c:v>
                </c:pt>
                <c:pt idx="241">
                  <c:v>238.26576654043532</c:v>
                </c:pt>
                <c:pt idx="242">
                  <c:v>237.30407291587645</c:v>
                </c:pt>
                <c:pt idx="243">
                  <c:v>234.28246439634964</c:v>
                </c:pt>
                <c:pt idx="244">
                  <c:v>232.77735857137347</c:v>
                </c:pt>
                <c:pt idx="245">
                  <c:v>232.10448704410831</c:v>
                </c:pt>
                <c:pt idx="246">
                  <c:v>231.67609255274107</c:v>
                </c:pt>
                <c:pt idx="247">
                  <c:v>231.85049051973559</c:v>
                </c:pt>
                <c:pt idx="248">
                  <c:v>232.11574696515365</c:v>
                </c:pt>
                <c:pt idx="249">
                  <c:v>232.37193692135003</c:v>
                </c:pt>
                <c:pt idx="250">
                  <c:v>232.62989900495279</c:v>
                </c:pt>
                <c:pt idx="251">
                  <c:v>232.63996197761918</c:v>
                </c:pt>
                <c:pt idx="252">
                  <c:v>232.61987328588586</c:v>
                </c:pt>
                <c:pt idx="253">
                  <c:v>232.62281486034291</c:v>
                </c:pt>
                <c:pt idx="254">
                  <c:v>232.73713321561863</c:v>
                </c:pt>
                <c:pt idx="255">
                  <c:v>233.14331839767911</c:v>
                </c:pt>
                <c:pt idx="256">
                  <c:v>233.17955631785583</c:v>
                </c:pt>
                <c:pt idx="257">
                  <c:v>233.15746567226415</c:v>
                </c:pt>
                <c:pt idx="258">
                  <c:v>233.10839931089521</c:v>
                </c:pt>
                <c:pt idx="259">
                  <c:v>232.64186766817323</c:v>
                </c:pt>
                <c:pt idx="260">
                  <c:v>231.53566016398494</c:v>
                </c:pt>
                <c:pt idx="261">
                  <c:v>230.54162201024272</c:v>
                </c:pt>
                <c:pt idx="262">
                  <c:v>229.20543894539111</c:v>
                </c:pt>
                <c:pt idx="263">
                  <c:v>229.26800747776289</c:v>
                </c:pt>
                <c:pt idx="264">
                  <c:v>229.59803547967471</c:v>
                </c:pt>
                <c:pt idx="265">
                  <c:v>229.16377677799437</c:v>
                </c:pt>
                <c:pt idx="266">
                  <c:v>229.35573632681323</c:v>
                </c:pt>
                <c:pt idx="267">
                  <c:v>229.28256359766547</c:v>
                </c:pt>
                <c:pt idx="268">
                  <c:v>229.31241395163977</c:v>
                </c:pt>
                <c:pt idx="269">
                  <c:v>230.00548516361789</c:v>
                </c:pt>
                <c:pt idx="270">
                  <c:v>231.20466194282062</c:v>
                </c:pt>
                <c:pt idx="271">
                  <c:v>232.78774288763961</c:v>
                </c:pt>
                <c:pt idx="272">
                  <c:v>234.70588732936989</c:v>
                </c:pt>
                <c:pt idx="273">
                  <c:v>236.2590875543647</c:v>
                </c:pt>
                <c:pt idx="274">
                  <c:v>238.52754723651788</c:v>
                </c:pt>
                <c:pt idx="275">
                  <c:v>240.15757900672514</c:v>
                </c:pt>
                <c:pt idx="276">
                  <c:v>242.49458905026518</c:v>
                </c:pt>
                <c:pt idx="277">
                  <c:v>246.77577139011299</c:v>
                </c:pt>
                <c:pt idx="278">
                  <c:v>250.35668080779615</c:v>
                </c:pt>
                <c:pt idx="279">
                  <c:v>253.71155294376422</c:v>
                </c:pt>
                <c:pt idx="280">
                  <c:v>256.16465675488109</c:v>
                </c:pt>
                <c:pt idx="281">
                  <c:v>258.60954769279925</c:v>
                </c:pt>
                <c:pt idx="282">
                  <c:v>259.70072164490512</c:v>
                </c:pt>
                <c:pt idx="283">
                  <c:v>260.33896295672497</c:v>
                </c:pt>
                <c:pt idx="284">
                  <c:v>261.04016091890969</c:v>
                </c:pt>
                <c:pt idx="285">
                  <c:v>260.74196381062387</c:v>
                </c:pt>
                <c:pt idx="286">
                  <c:v>260.01754333807412</c:v>
                </c:pt>
                <c:pt idx="287">
                  <c:v>258.20100628640893</c:v>
                </c:pt>
                <c:pt idx="288">
                  <c:v>256.77609840747965</c:v>
                </c:pt>
                <c:pt idx="289">
                  <c:v>255.58001134195922</c:v>
                </c:pt>
                <c:pt idx="290">
                  <c:v>255.23151397472839</c:v>
                </c:pt>
                <c:pt idx="291">
                  <c:v>254.37431965057888</c:v>
                </c:pt>
                <c:pt idx="292">
                  <c:v>251.30282167360875</c:v>
                </c:pt>
                <c:pt idx="293">
                  <c:v>248.88960315029038</c:v>
                </c:pt>
                <c:pt idx="294">
                  <c:v>245.53486210773977</c:v>
                </c:pt>
                <c:pt idx="295">
                  <c:v>241.82736211860902</c:v>
                </c:pt>
                <c:pt idx="296">
                  <c:v>236.0882011838155</c:v>
                </c:pt>
                <c:pt idx="297">
                  <c:v>230.4438164284536</c:v>
                </c:pt>
                <c:pt idx="298">
                  <c:v>225.62423641177142</c:v>
                </c:pt>
                <c:pt idx="299">
                  <c:v>221.07203743221595</c:v>
                </c:pt>
                <c:pt idx="300">
                  <c:v>218.87119631252818</c:v>
                </c:pt>
                <c:pt idx="301">
                  <c:v>217.53447962934314</c:v>
                </c:pt>
                <c:pt idx="302">
                  <c:v>217.44000145655573</c:v>
                </c:pt>
                <c:pt idx="303">
                  <c:v>218.61500493203187</c:v>
                </c:pt>
                <c:pt idx="304">
                  <c:v>218.64174077388935</c:v>
                </c:pt>
                <c:pt idx="305">
                  <c:v>218.96130619205587</c:v>
                </c:pt>
                <c:pt idx="306">
                  <c:v>219.4940223005562</c:v>
                </c:pt>
                <c:pt idx="307">
                  <c:v>219.76956796748735</c:v>
                </c:pt>
                <c:pt idx="308">
                  <c:v>220.20270255202536</c:v>
                </c:pt>
                <c:pt idx="309">
                  <c:v>220.77451298155509</c:v>
                </c:pt>
                <c:pt idx="310">
                  <c:v>222.34301537798711</c:v>
                </c:pt>
                <c:pt idx="311">
                  <c:v>223.7194149095902</c:v>
                </c:pt>
                <c:pt idx="312">
                  <c:v>223.93082301758753</c:v>
                </c:pt>
                <c:pt idx="313">
                  <c:v>224.28303947791522</c:v>
                </c:pt>
                <c:pt idx="314">
                  <c:v>222.93026579913021</c:v>
                </c:pt>
                <c:pt idx="315">
                  <c:v>216.92026053358271</c:v>
                </c:pt>
                <c:pt idx="316">
                  <c:v>213.66878178830112</c:v>
                </c:pt>
                <c:pt idx="317">
                  <c:v>211.60266923787145</c:v>
                </c:pt>
                <c:pt idx="318">
                  <c:v>212.20738748434371</c:v>
                </c:pt>
                <c:pt idx="319">
                  <c:v>212.47551695965603</c:v>
                </c:pt>
                <c:pt idx="320">
                  <c:v>212.73674523674703</c:v>
                </c:pt>
                <c:pt idx="321">
                  <c:v>212.79241708272826</c:v>
                </c:pt>
                <c:pt idx="322">
                  <c:v>212.65873863048961</c:v>
                </c:pt>
                <c:pt idx="323">
                  <c:v>212.01893777478375</c:v>
                </c:pt>
                <c:pt idx="324">
                  <c:v>211.6394110539309</c:v>
                </c:pt>
                <c:pt idx="325">
                  <c:v>210.99400360319547</c:v>
                </c:pt>
                <c:pt idx="326">
                  <c:v>211.14716479976107</c:v>
                </c:pt>
                <c:pt idx="327">
                  <c:v>211.74916655078792</c:v>
                </c:pt>
                <c:pt idx="328">
                  <c:v>212.29462318806924</c:v>
                </c:pt>
                <c:pt idx="329">
                  <c:v>212.62687978944916</c:v>
                </c:pt>
                <c:pt idx="330">
                  <c:v>212.60948884352507</c:v>
                </c:pt>
                <c:pt idx="331">
                  <c:v>212.65482124835165</c:v>
                </c:pt>
                <c:pt idx="332">
                  <c:v>212.59891922398876</c:v>
                </c:pt>
                <c:pt idx="333">
                  <c:v>212.51399365112178</c:v>
                </c:pt>
                <c:pt idx="334">
                  <c:v>212.20942280254943</c:v>
                </c:pt>
                <c:pt idx="335">
                  <c:v>216.113820024787</c:v>
                </c:pt>
                <c:pt idx="336">
                  <c:v>220.03896485927712</c:v>
                </c:pt>
                <c:pt idx="337">
                  <c:v>224.13858875752305</c:v>
                </c:pt>
                <c:pt idx="338">
                  <c:v>224.30225431328162</c:v>
                </c:pt>
                <c:pt idx="339">
                  <c:v>226.16184392914161</c:v>
                </c:pt>
                <c:pt idx="340">
                  <c:v>225.85532453118941</c:v>
                </c:pt>
                <c:pt idx="341">
                  <c:v>225.81495499671459</c:v>
                </c:pt>
                <c:pt idx="342">
                  <c:v>226.22593081476708</c:v>
                </c:pt>
                <c:pt idx="343">
                  <c:v>227.76177665212441</c:v>
                </c:pt>
                <c:pt idx="344">
                  <c:v>229.43418305038284</c:v>
                </c:pt>
                <c:pt idx="345">
                  <c:v>232.84940846639887</c:v>
                </c:pt>
                <c:pt idx="346">
                  <c:v>235.11147594700361</c:v>
                </c:pt>
                <c:pt idx="347">
                  <c:v>236.86563210599027</c:v>
                </c:pt>
                <c:pt idx="348">
                  <c:v>238.12897142165323</c:v>
                </c:pt>
                <c:pt idx="349">
                  <c:v>239.78892232656963</c:v>
                </c:pt>
                <c:pt idx="350">
                  <c:v>241.64429209729184</c:v>
                </c:pt>
                <c:pt idx="351">
                  <c:v>243.58561122663087</c:v>
                </c:pt>
                <c:pt idx="352">
                  <c:v>245.85627624451797</c:v>
                </c:pt>
                <c:pt idx="353">
                  <c:v>247.92301796090362</c:v>
                </c:pt>
                <c:pt idx="354">
                  <c:v>248.93828498182623</c:v>
                </c:pt>
                <c:pt idx="355">
                  <c:v>250.05503972093072</c:v>
                </c:pt>
                <c:pt idx="356">
                  <c:v>252.31906841612036</c:v>
                </c:pt>
                <c:pt idx="357">
                  <c:v>254.99340609762356</c:v>
                </c:pt>
                <c:pt idx="358">
                  <c:v>256.88288616871017</c:v>
                </c:pt>
                <c:pt idx="359">
                  <c:v>259.57952653358871</c:v>
                </c:pt>
                <c:pt idx="360">
                  <c:v>260.03109364692625</c:v>
                </c:pt>
                <c:pt idx="361">
                  <c:v>260.09068795332115</c:v>
                </c:pt>
                <c:pt idx="362">
                  <c:v>259.99431440268017</c:v>
                </c:pt>
                <c:pt idx="363">
                  <c:v>260.00816149876101</c:v>
                </c:pt>
                <c:pt idx="364">
                  <c:v>259.68102502949648</c:v>
                </c:pt>
                <c:pt idx="365">
                  <c:v>259.54315366426732</c:v>
                </c:pt>
                <c:pt idx="366">
                  <c:v>258.74407837589678</c:v>
                </c:pt>
                <c:pt idx="367">
                  <c:v>258.62783132977455</c:v>
                </c:pt>
                <c:pt idx="368">
                  <c:v>258.31086740637284</c:v>
                </c:pt>
                <c:pt idx="369">
                  <c:v>257.88129313001349</c:v>
                </c:pt>
                <c:pt idx="370">
                  <c:v>256.7562327341609</c:v>
                </c:pt>
                <c:pt idx="371">
                  <c:v>255.56716483965204</c:v>
                </c:pt>
                <c:pt idx="372">
                  <c:v>255.25701239177212</c:v>
                </c:pt>
                <c:pt idx="373">
                  <c:v>255.04652023804698</c:v>
                </c:pt>
                <c:pt idx="374">
                  <c:v>255.15564050649346</c:v>
                </c:pt>
                <c:pt idx="375">
                  <c:v>255.24940510191814</c:v>
                </c:pt>
                <c:pt idx="376">
                  <c:v>255.59983396369734</c:v>
                </c:pt>
                <c:pt idx="377">
                  <c:v>257.34949257696252</c:v>
                </c:pt>
                <c:pt idx="378">
                  <c:v>259.01694913061613</c:v>
                </c:pt>
                <c:pt idx="379">
                  <c:v>260.67990634843898</c:v>
                </c:pt>
                <c:pt idx="380">
                  <c:v>262.15480377239942</c:v>
                </c:pt>
                <c:pt idx="381">
                  <c:v>263.97206125392034</c:v>
                </c:pt>
                <c:pt idx="382">
                  <c:v>266.01468733824271</c:v>
                </c:pt>
                <c:pt idx="383">
                  <c:v>269.35195082743155</c:v>
                </c:pt>
                <c:pt idx="384">
                  <c:v>271.63012533484289</c:v>
                </c:pt>
                <c:pt idx="385">
                  <c:v>274.66452817750115</c:v>
                </c:pt>
                <c:pt idx="386">
                  <c:v>276.83985872940451</c:v>
                </c:pt>
                <c:pt idx="387">
                  <c:v>279.20132902807802</c:v>
                </c:pt>
                <c:pt idx="388">
                  <c:v>280.96730468242879</c:v>
                </c:pt>
                <c:pt idx="389">
                  <c:v>281.62507950881906</c:v>
                </c:pt>
                <c:pt idx="390">
                  <c:v>281.95315470440829</c:v>
                </c:pt>
                <c:pt idx="391">
                  <c:v>281.52046438593715</c:v>
                </c:pt>
                <c:pt idx="392">
                  <c:v>281.51321487464998</c:v>
                </c:pt>
                <c:pt idx="393">
                  <c:v>281.47583627408773</c:v>
                </c:pt>
                <c:pt idx="394">
                  <c:v>281.23556432423658</c:v>
                </c:pt>
                <c:pt idx="395">
                  <c:v>281.24419303721771</c:v>
                </c:pt>
                <c:pt idx="396">
                  <c:v>281.04727187778707</c:v>
                </c:pt>
                <c:pt idx="397">
                  <c:v>281.0904065516803</c:v>
                </c:pt>
                <c:pt idx="398">
                  <c:v>282.37174265925933</c:v>
                </c:pt>
                <c:pt idx="399">
                  <c:v>283.71708688378249</c:v>
                </c:pt>
                <c:pt idx="400">
                  <c:v>283.50942224349023</c:v>
                </c:pt>
                <c:pt idx="401">
                  <c:v>283.81547966026955</c:v>
                </c:pt>
                <c:pt idx="402">
                  <c:v>283.92935344762554</c:v>
                </c:pt>
                <c:pt idx="403">
                  <c:v>284.71847436399463</c:v>
                </c:pt>
                <c:pt idx="404">
                  <c:v>285.56100115785284</c:v>
                </c:pt>
                <c:pt idx="405">
                  <c:v>285.91364432303095</c:v>
                </c:pt>
                <c:pt idx="406">
                  <c:v>285.82151356309208</c:v>
                </c:pt>
                <c:pt idx="407">
                  <c:v>285.88163883845971</c:v>
                </c:pt>
                <c:pt idx="408">
                  <c:v>285.79465631806431</c:v>
                </c:pt>
                <c:pt idx="409">
                  <c:v>285.74509176226991</c:v>
                </c:pt>
                <c:pt idx="410">
                  <c:v>285.65693595397443</c:v>
                </c:pt>
                <c:pt idx="411">
                  <c:v>285.87884860572558</c:v>
                </c:pt>
                <c:pt idx="412">
                  <c:v>286.14715870188672</c:v>
                </c:pt>
                <c:pt idx="413">
                  <c:v>285.96019463438665</c:v>
                </c:pt>
                <c:pt idx="414">
                  <c:v>286.02032048340743</c:v>
                </c:pt>
                <c:pt idx="415">
                  <c:v>285.38539883997851</c:v>
                </c:pt>
                <c:pt idx="416">
                  <c:v>285.23269244657297</c:v>
                </c:pt>
                <c:pt idx="417">
                  <c:v>285.03197020880754</c:v>
                </c:pt>
                <c:pt idx="418">
                  <c:v>285.13008819434992</c:v>
                </c:pt>
                <c:pt idx="419">
                  <c:v>284.85476629286762</c:v>
                </c:pt>
                <c:pt idx="420">
                  <c:v>285.92234165072961</c:v>
                </c:pt>
                <c:pt idx="421">
                  <c:v>286.55339764665081</c:v>
                </c:pt>
                <c:pt idx="422">
                  <c:v>287.32936426889739</c:v>
                </c:pt>
                <c:pt idx="423">
                  <c:v>287.55564288838974</c:v>
                </c:pt>
                <c:pt idx="424">
                  <c:v>287.72954488003808</c:v>
                </c:pt>
                <c:pt idx="425">
                  <c:v>287.412338803978</c:v>
                </c:pt>
                <c:pt idx="426">
                  <c:v>287.66692282761551</c:v>
                </c:pt>
                <c:pt idx="427">
                  <c:v>288.02603557206743</c:v>
                </c:pt>
                <c:pt idx="428">
                  <c:v>288.53182261021499</c:v>
                </c:pt>
                <c:pt idx="429">
                  <c:v>288.88895226619076</c:v>
                </c:pt>
                <c:pt idx="430">
                  <c:v>289.59760364326326</c:v>
                </c:pt>
                <c:pt idx="431">
                  <c:v>290.04096059862405</c:v>
                </c:pt>
                <c:pt idx="432">
                  <c:v>290.92208855637244</c:v>
                </c:pt>
                <c:pt idx="433">
                  <c:v>291.34046550588329</c:v>
                </c:pt>
                <c:pt idx="434">
                  <c:v>291.82304426284679</c:v>
                </c:pt>
                <c:pt idx="435">
                  <c:v>292.01180209260212</c:v>
                </c:pt>
                <c:pt idx="436">
                  <c:v>292.36100036454502</c:v>
                </c:pt>
                <c:pt idx="437">
                  <c:v>293.14072438885376</c:v>
                </c:pt>
                <c:pt idx="438">
                  <c:v>294.20325274250445</c:v>
                </c:pt>
                <c:pt idx="439">
                  <c:v>294.54986310666999</c:v>
                </c:pt>
                <c:pt idx="440">
                  <c:v>297.03538030732409</c:v>
                </c:pt>
                <c:pt idx="441">
                  <c:v>300.58114724338594</c:v>
                </c:pt>
                <c:pt idx="442">
                  <c:v>302.90192850611191</c:v>
                </c:pt>
                <c:pt idx="443">
                  <c:v>303.9225214396447</c:v>
                </c:pt>
                <c:pt idx="444">
                  <c:v>303.91616887277104</c:v>
                </c:pt>
                <c:pt idx="445">
                  <c:v>302.46610525980901</c:v>
                </c:pt>
                <c:pt idx="446">
                  <c:v>302.36760789768584</c:v>
                </c:pt>
                <c:pt idx="447">
                  <c:v>301.18427161859262</c:v>
                </c:pt>
                <c:pt idx="448">
                  <c:v>300.69136513469988</c:v>
                </c:pt>
                <c:pt idx="449">
                  <c:v>298.79846717713821</c:v>
                </c:pt>
                <c:pt idx="450">
                  <c:v>297.06903727200319</c:v>
                </c:pt>
                <c:pt idx="451">
                  <c:v>296.43728580003403</c:v>
                </c:pt>
                <c:pt idx="452">
                  <c:v>294.94691649949755</c:v>
                </c:pt>
                <c:pt idx="453">
                  <c:v>293.0747880733316</c:v>
                </c:pt>
                <c:pt idx="454">
                  <c:v>291.64426554731142</c:v>
                </c:pt>
                <c:pt idx="455">
                  <c:v>291.74617266705019</c:v>
                </c:pt>
                <c:pt idx="456">
                  <c:v>292.35240194151532</c:v>
                </c:pt>
                <c:pt idx="457">
                  <c:v>293.20353849522786</c:v>
                </c:pt>
                <c:pt idx="458">
                  <c:v>293.49850905007514</c:v>
                </c:pt>
                <c:pt idx="459">
                  <c:v>293.36850799388691</c:v>
                </c:pt>
                <c:pt idx="460">
                  <c:v>293.24932953011967</c:v>
                </c:pt>
                <c:pt idx="461">
                  <c:v>293.23584616313497</c:v>
                </c:pt>
                <c:pt idx="462">
                  <c:v>293.14153894140395</c:v>
                </c:pt>
                <c:pt idx="463">
                  <c:v>292.84382003994159</c:v>
                </c:pt>
                <c:pt idx="464">
                  <c:v>292.40171581592296</c:v>
                </c:pt>
                <c:pt idx="465">
                  <c:v>292.32228676757592</c:v>
                </c:pt>
                <c:pt idx="466">
                  <c:v>291.67599224560598</c:v>
                </c:pt>
                <c:pt idx="467">
                  <c:v>291.65705119270825</c:v>
                </c:pt>
                <c:pt idx="468">
                  <c:v>290.96270728674995</c:v>
                </c:pt>
                <c:pt idx="469">
                  <c:v>291.93143316276104</c:v>
                </c:pt>
                <c:pt idx="470">
                  <c:v>292.8043929863037</c:v>
                </c:pt>
                <c:pt idx="471">
                  <c:v>292.53406014368903</c:v>
                </c:pt>
                <c:pt idx="472">
                  <c:v>292.95450000727755</c:v>
                </c:pt>
                <c:pt idx="473">
                  <c:v>294.66061438338011</c:v>
                </c:pt>
                <c:pt idx="474">
                  <c:v>295.57667315622979</c:v>
                </c:pt>
                <c:pt idx="475">
                  <c:v>295.10265442308713</c:v>
                </c:pt>
                <c:pt idx="476">
                  <c:v>294.13488673833029</c:v>
                </c:pt>
                <c:pt idx="477">
                  <c:v>293.89234100901535</c:v>
                </c:pt>
                <c:pt idx="478">
                  <c:v>294.03178944579832</c:v>
                </c:pt>
                <c:pt idx="479">
                  <c:v>294.01568865659988</c:v>
                </c:pt>
                <c:pt idx="480">
                  <c:v>293.98192945147935</c:v>
                </c:pt>
                <c:pt idx="481">
                  <c:v>293.92990526386984</c:v>
                </c:pt>
                <c:pt idx="482">
                  <c:v>293.94213940835488</c:v>
                </c:pt>
                <c:pt idx="483">
                  <c:v>293.76457858921731</c:v>
                </c:pt>
                <c:pt idx="484">
                  <c:v>293.69778287578163</c:v>
                </c:pt>
                <c:pt idx="485">
                  <c:v>293.65127351804836</c:v>
                </c:pt>
                <c:pt idx="486">
                  <c:v>293.06928424479162</c:v>
                </c:pt>
                <c:pt idx="487">
                  <c:v>293.26601357379127</c:v>
                </c:pt>
                <c:pt idx="488">
                  <c:v>293.67964284830202</c:v>
                </c:pt>
                <c:pt idx="489">
                  <c:v>293.17193830664451</c:v>
                </c:pt>
                <c:pt idx="490">
                  <c:v>293.03051580271034</c:v>
                </c:pt>
                <c:pt idx="491">
                  <c:v>293.91027094664707</c:v>
                </c:pt>
                <c:pt idx="492">
                  <c:v>295.15559647449527</c:v>
                </c:pt>
                <c:pt idx="493">
                  <c:v>295.89740695492713</c:v>
                </c:pt>
                <c:pt idx="494">
                  <c:v>297.65332183762484</c:v>
                </c:pt>
                <c:pt idx="495">
                  <c:v>299.38044026078296</c:v>
                </c:pt>
                <c:pt idx="496">
                  <c:v>301.28569249559609</c:v>
                </c:pt>
                <c:pt idx="497">
                  <c:v>301.8792615843725</c:v>
                </c:pt>
                <c:pt idx="498">
                  <c:v>302.20105238910105</c:v>
                </c:pt>
                <c:pt idx="499">
                  <c:v>302.40501626237307</c:v>
                </c:pt>
                <c:pt idx="500">
                  <c:v>303.30568522389387</c:v>
                </c:pt>
                <c:pt idx="501">
                  <c:v>304.60546368750579</c:v>
                </c:pt>
                <c:pt idx="502">
                  <c:v>305.18786458571077</c:v>
                </c:pt>
                <c:pt idx="503">
                  <c:v>304.53090904554216</c:v>
                </c:pt>
                <c:pt idx="504">
                  <c:v>304.27479082662779</c:v>
                </c:pt>
                <c:pt idx="505">
                  <c:v>304.83344679107529</c:v>
                </c:pt>
                <c:pt idx="506">
                  <c:v>309.0886615027257</c:v>
                </c:pt>
                <c:pt idx="507">
                  <c:v>311.11693636620106</c:v>
                </c:pt>
                <c:pt idx="508">
                  <c:v>311.81928016274094</c:v>
                </c:pt>
                <c:pt idx="509">
                  <c:v>310.29475596150331</c:v>
                </c:pt>
                <c:pt idx="510">
                  <c:v>307.99763520847347</c:v>
                </c:pt>
                <c:pt idx="511">
                  <c:v>306.78905792268984</c:v>
                </c:pt>
                <c:pt idx="512">
                  <c:v>306.37078364955789</c:v>
                </c:pt>
                <c:pt idx="513">
                  <c:v>304.03507013961774</c:v>
                </c:pt>
                <c:pt idx="514">
                  <c:v>301.25595141868143</c:v>
                </c:pt>
                <c:pt idx="515">
                  <c:v>298.81730189732912</c:v>
                </c:pt>
                <c:pt idx="516">
                  <c:v>295.35748576216338</c:v>
                </c:pt>
                <c:pt idx="517">
                  <c:v>293.18898701925201</c:v>
                </c:pt>
                <c:pt idx="518">
                  <c:v>291.17657687598256</c:v>
                </c:pt>
                <c:pt idx="519">
                  <c:v>289.40190095776666</c:v>
                </c:pt>
                <c:pt idx="520">
                  <c:v>288.60743780467948</c:v>
                </c:pt>
                <c:pt idx="521">
                  <c:v>287.84010945111282</c:v>
                </c:pt>
                <c:pt idx="522">
                  <c:v>287.5479354355233</c:v>
                </c:pt>
                <c:pt idx="523">
                  <c:v>288.71130770996416</c:v>
                </c:pt>
                <c:pt idx="524">
                  <c:v>290.37990366352722</c:v>
                </c:pt>
                <c:pt idx="525">
                  <c:v>291.07038326658306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E5-46AA-B4DC-E19C89F87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05088"/>
        <c:axId val="164406048"/>
      </c:lineChart>
      <c:dateAx>
        <c:axId val="164405088"/>
        <c:scaling>
          <c:orientation val="minMax"/>
          <c:min val="4581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6048"/>
        <c:crosses val="autoZero"/>
        <c:auto val="1"/>
        <c:lblOffset val="100"/>
        <c:baseTimeUnit val="days"/>
      </c:dateAx>
      <c:valAx>
        <c:axId val="164406048"/>
        <c:scaling>
          <c:orientation val="minMax"/>
          <c:max val="350"/>
          <c:min val="2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0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Forecast!$B$2:$B$120</c:f>
              <c:numCache>
                <c:formatCode>General</c:formatCode>
                <c:ptCount val="119"/>
                <c:pt idx="0">
                  <c:v>171.77250000000001</c:v>
                </c:pt>
                <c:pt idx="1">
                  <c:v>170.61</c:v>
                </c:pt>
                <c:pt idx="2">
                  <c:v>168.20249999999999</c:v>
                </c:pt>
                <c:pt idx="3">
                  <c:v>170.964</c:v>
                </c:pt>
                <c:pt idx="4">
                  <c:v>174.364</c:v>
                </c:pt>
                <c:pt idx="5">
                  <c:v>174.96799999999999</c:v>
                </c:pt>
                <c:pt idx="6">
                  <c:v>176.99600000000001</c:v>
                </c:pt>
                <c:pt idx="7">
                  <c:v>181.92250000000001</c:v>
                </c:pt>
                <c:pt idx="8">
                  <c:v>184.50800000000001</c:v>
                </c:pt>
                <c:pt idx="9">
                  <c:v>188.17000000000002</c:v>
                </c:pt>
                <c:pt idx="10">
                  <c:v>189.55600000000001</c:v>
                </c:pt>
                <c:pt idx="11">
                  <c:v>195.69200000000001</c:v>
                </c:pt>
                <c:pt idx="12">
                  <c:v>197.5925</c:v>
                </c:pt>
                <c:pt idx="13">
                  <c:v>197.84</c:v>
                </c:pt>
                <c:pt idx="14">
                  <c:v>193.864</c:v>
                </c:pt>
                <c:pt idx="15">
                  <c:v>182.16400000000002</c:v>
                </c:pt>
                <c:pt idx="16">
                  <c:v>192.298</c:v>
                </c:pt>
                <c:pt idx="17">
                  <c:v>191.81</c:v>
                </c:pt>
                <c:pt idx="18">
                  <c:v>195.13400000000001</c:v>
                </c:pt>
                <c:pt idx="19">
                  <c:v>201.922</c:v>
                </c:pt>
                <c:pt idx="20">
                  <c:v>198.208</c:v>
                </c:pt>
                <c:pt idx="21">
                  <c:v>199.89250000000001</c:v>
                </c:pt>
                <c:pt idx="22">
                  <c:v>199.01999999999998</c:v>
                </c:pt>
                <c:pt idx="23">
                  <c:v>194.58799999999999</c:v>
                </c:pt>
                <c:pt idx="24">
                  <c:v>196.73750000000001</c:v>
                </c:pt>
                <c:pt idx="25">
                  <c:v>199.16200000000001</c:v>
                </c:pt>
                <c:pt idx="26">
                  <c:v>206.94</c:v>
                </c:pt>
                <c:pt idx="27">
                  <c:v>206.59799999999998</c:v>
                </c:pt>
                <c:pt idx="28">
                  <c:v>212.06</c:v>
                </c:pt>
                <c:pt idx="29">
                  <c:v>210.02199999999999</c:v>
                </c:pt>
                <c:pt idx="30">
                  <c:v>209.18799999999999</c:v>
                </c:pt>
                <c:pt idx="31">
                  <c:v>201.1</c:v>
                </c:pt>
                <c:pt idx="32">
                  <c:v>209.97800000000001</c:v>
                </c:pt>
                <c:pt idx="33">
                  <c:v>215.90199999999999</c:v>
                </c:pt>
                <c:pt idx="34">
                  <c:v>221.53</c:v>
                </c:pt>
                <c:pt idx="35">
                  <c:v>217.43</c:v>
                </c:pt>
                <c:pt idx="36">
                  <c:v>208.10399999999998</c:v>
                </c:pt>
                <c:pt idx="37">
                  <c:v>209.24199999999999</c:v>
                </c:pt>
                <c:pt idx="38">
                  <c:v>210.7</c:v>
                </c:pt>
                <c:pt idx="39">
                  <c:v>208.328</c:v>
                </c:pt>
                <c:pt idx="40">
                  <c:v>214.04599999999999</c:v>
                </c:pt>
                <c:pt idx="41">
                  <c:v>223.45999999999998</c:v>
                </c:pt>
                <c:pt idx="42">
                  <c:v>223.56399999999999</c:v>
                </c:pt>
                <c:pt idx="43">
                  <c:v>223.53399999999999</c:v>
                </c:pt>
                <c:pt idx="44">
                  <c:v>232.33799999999999</c:v>
                </c:pt>
                <c:pt idx="45">
                  <c:v>241.43799999999999</c:v>
                </c:pt>
                <c:pt idx="46">
                  <c:v>244.44200000000001</c:v>
                </c:pt>
                <c:pt idx="47">
                  <c:v>249.9425</c:v>
                </c:pt>
                <c:pt idx="48">
                  <c:v>245.46199999999999</c:v>
                </c:pt>
                <c:pt idx="49">
                  <c:v>242.334</c:v>
                </c:pt>
                <c:pt idx="50">
                  <c:v>235.774</c:v>
                </c:pt>
                <c:pt idx="51">
                  <c:v>241.2525</c:v>
                </c:pt>
                <c:pt idx="52">
                  <c:v>240.57749999999999</c:v>
                </c:pt>
                <c:pt idx="53">
                  <c:v>241.755</c:v>
                </c:pt>
                <c:pt idx="54">
                  <c:v>251.49200000000002</c:v>
                </c:pt>
                <c:pt idx="55">
                  <c:v>264.16499999999996</c:v>
                </c:pt>
                <c:pt idx="56">
                  <c:v>267.02</c:v>
                </c:pt>
                <c:pt idx="57">
                  <c:v>271.57600000000002</c:v>
                </c:pt>
                <c:pt idx="58">
                  <c:v>274.87799999999999</c:v>
                </c:pt>
                <c:pt idx="59">
                  <c:v>272.56</c:v>
                </c:pt>
                <c:pt idx="60">
                  <c:v>260.24599999999998</c:v>
                </c:pt>
                <c:pt idx="61">
                  <c:v>250.244</c:v>
                </c:pt>
                <c:pt idx="62">
                  <c:v>229.37799999999999</c:v>
                </c:pt>
                <c:pt idx="63">
                  <c:v>237.73</c:v>
                </c:pt>
                <c:pt idx="64">
                  <c:v>248.238</c:v>
                </c:pt>
                <c:pt idx="65">
                  <c:v>234.75</c:v>
                </c:pt>
                <c:pt idx="66">
                  <c:v>225.792</c:v>
                </c:pt>
                <c:pt idx="67">
                  <c:v>232.35500000000002</c:v>
                </c:pt>
                <c:pt idx="68">
                  <c:v>238.73</c:v>
                </c:pt>
                <c:pt idx="69">
                  <c:v>246.37199999999999</c:v>
                </c:pt>
                <c:pt idx="70">
                  <c:v>251.55</c:v>
                </c:pt>
                <c:pt idx="71">
                  <c:v>264.75</c:v>
                </c:pt>
                <c:pt idx="72">
                  <c:v>262.596</c:v>
                </c:pt>
                <c:pt idx="73">
                  <c:v>264.28750000000002</c:v>
                </c:pt>
                <c:pt idx="74">
                  <c:v>264.56600000000003</c:v>
                </c:pt>
                <c:pt idx="75">
                  <c:v>267.33600000000001</c:v>
                </c:pt>
                <c:pt idx="76">
                  <c:v>272.20999999999998</c:v>
                </c:pt>
                <c:pt idx="77">
                  <c:v>283.89</c:v>
                </c:pt>
                <c:pt idx="78">
                  <c:v>292.08000000000004</c:v>
                </c:pt>
                <c:pt idx="79">
                  <c:v>286.59199999999998</c:v>
                </c:pt>
                <c:pt idx="80">
                  <c:v>288.44799999999998</c:v>
                </c:pt>
                <c:pt idx="81">
                  <c:v>294.86599999999999</c:v>
                </c:pt>
                <c:pt idx="82">
                  <c:v>296.11200000000002</c:v>
                </c:pt>
                <c:pt idx="83">
                  <c:v>290.536</c:v>
                </c:pt>
                <c:pt idx="84">
                  <c:v>291.51800000000003</c:v>
                </c:pt>
                <c:pt idx="85">
                  <c:v>292.428</c:v>
                </c:pt>
                <c:pt idx="86">
                  <c:v>299.048</c:v>
                </c:pt>
                <c:pt idx="87">
                  <c:v>299.35249999999996</c:v>
                </c:pt>
                <c:pt idx="88">
                  <c:v>300.75400000000002</c:v>
                </c:pt>
                <c:pt idx="89">
                  <c:v>311.57</c:v>
                </c:pt>
                <c:pt idx="90">
                  <c:v>313.62200000000001</c:v>
                </c:pt>
                <c:pt idx="91">
                  <c:v>311.88200000000001</c:v>
                </c:pt>
                <c:pt idx="92">
                  <c:v>305.464</c:v>
                </c:pt>
                <c:pt idx="93">
                  <c:v>302.36799999999999</c:v>
                </c:pt>
                <c:pt idx="94">
                  <c:v>297.70800000000003</c:v>
                </c:pt>
                <c:pt idx="95">
                  <c:v>307.11599999999999</c:v>
                </c:pt>
                <c:pt idx="96">
                  <c:v>311.58199999999999</c:v>
                </c:pt>
                <c:pt idx="97">
                  <c:v>313.202</c:v>
                </c:pt>
                <c:pt idx="98">
                  <c:v>299.89</c:v>
                </c:pt>
                <c:pt idx="99">
                  <c:v>305.43</c:v>
                </c:pt>
                <c:pt idx="100">
                  <c:v>312.01400000000001</c:v>
                </c:pt>
                <c:pt idx="101">
                  <c:v>312.346</c:v>
                </c:pt>
                <c:pt idx="102">
                  <c:v>316.15199999999999</c:v>
                </c:pt>
                <c:pt idx="103">
                  <c:v>326.52499999999998</c:v>
                </c:pt>
                <c:pt idx="104">
                  <c:v>323.71750000000003</c:v>
                </c:pt>
                <c:pt idx="105">
                  <c:v>330.92400000000004</c:v>
                </c:pt>
                <c:pt idx="106">
                  <c:v>312.99799999999999</c:v>
                </c:pt>
                <c:pt idx="107">
                  <c:v>301.53250000000003</c:v>
                </c:pt>
                <c:pt idx="108">
                  <c:v>302.88600000000002</c:v>
                </c:pt>
                <c:pt idx="109">
                  <c:v>313.42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D7-42EE-A1F6-2BECB146D7F0}"/>
            </c:ext>
          </c:extLst>
        </c:ser>
        <c:ser>
          <c:idx val="1"/>
          <c:order val="1"/>
          <c:tx>
            <c:strRef>
              <c:f>Forecast!$C$1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Forecast!$C$2:$C$120</c:f>
              <c:numCache>
                <c:formatCode>General</c:formatCode>
                <c:ptCount val="119"/>
                <c:pt idx="109">
                  <c:v>302.50001525154153</c:v>
                </c:pt>
                <c:pt idx="110">
                  <c:v>312.31346462843186</c:v>
                </c:pt>
                <c:pt idx="111">
                  <c:v>309.89487529477998</c:v>
                </c:pt>
                <c:pt idx="112">
                  <c:v>319.15766268122877</c:v>
                </c:pt>
                <c:pt idx="113">
                  <c:v>325.37188248945682</c:v>
                </c:pt>
                <c:pt idx="114">
                  <c:v>336.39070712130842</c:v>
                </c:pt>
                <c:pt idx="115">
                  <c:v>341.49042526138277</c:v>
                </c:pt>
                <c:pt idx="116">
                  <c:v>340.04438620023973</c:v>
                </c:pt>
                <c:pt idx="117">
                  <c:v>331.68725074782708</c:v>
                </c:pt>
                <c:pt idx="118">
                  <c:v>333.00460971770406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D7-42EE-A1F6-2BECB146D7F0}"/>
            </c:ext>
          </c:extLst>
        </c:ser>
        <c:ser>
          <c:idx val="2"/>
          <c:order val="2"/>
          <c:tx>
            <c:strRef>
              <c:f>Forecast!$D$1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Forecast!$A$2:$A$120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Forecast!$D$2:$D$120</c:f>
              <c:numCache>
                <c:formatCode>General</c:formatCode>
                <c:ptCount val="119"/>
                <c:pt idx="109">
                  <c:v>309.94538037737499</c:v>
                </c:pt>
                <c:pt idx="110">
                  <c:v>305.41518568640902</c:v>
                </c:pt>
                <c:pt idx="111">
                  <c:v>306.99768268754201</c:v>
                </c:pt>
                <c:pt idx="112">
                  <c:v>307.21357313097002</c:v>
                </c:pt>
                <c:pt idx="113">
                  <c:v>303.05160556016199</c:v>
                </c:pt>
                <c:pt idx="114">
                  <c:v>304.89567881271103</c:v>
                </c:pt>
                <c:pt idx="115">
                  <c:v>307.135848286986</c:v>
                </c:pt>
                <c:pt idx="116">
                  <c:v>315.06425698562401</c:v>
                </c:pt>
                <c:pt idx="117">
                  <c:v>314.29336766854902</c:v>
                </c:pt>
                <c:pt idx="118">
                  <c:v>319.61081870599202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7-42EE-A1F6-2BECB146D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201983"/>
        <c:axId val="2072202463"/>
      </c:lineChart>
      <c:dateAx>
        <c:axId val="2072201983"/>
        <c:scaling>
          <c:orientation val="minMax"/>
          <c:min val="4580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02463"/>
        <c:crosses val="autoZero"/>
        <c:auto val="1"/>
        <c:lblOffset val="100"/>
        <c:baseTimeUnit val="days"/>
      </c:dateAx>
      <c:valAx>
        <c:axId val="2072202463"/>
        <c:scaling>
          <c:orientation val="minMax"/>
          <c:min val="2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20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yyyy\-mm\-dd;@</c:formatCode>
                <c:ptCount val="105"/>
                <c:pt idx="0">
                  <c:v>36529</c:v>
                </c:pt>
                <c:pt idx="1">
                  <c:v>36620</c:v>
                </c:pt>
                <c:pt idx="2">
                  <c:v>36710</c:v>
                </c:pt>
                <c:pt idx="3">
                  <c:v>36803</c:v>
                </c:pt>
                <c:pt idx="4">
                  <c:v>36894</c:v>
                </c:pt>
                <c:pt idx="5">
                  <c:v>36985</c:v>
                </c:pt>
                <c:pt idx="6">
                  <c:v>37075</c:v>
                </c:pt>
                <c:pt idx="7">
                  <c:v>37167</c:v>
                </c:pt>
                <c:pt idx="8">
                  <c:v>37258</c:v>
                </c:pt>
                <c:pt idx="9">
                  <c:v>37349</c:v>
                </c:pt>
                <c:pt idx="10">
                  <c:v>37439</c:v>
                </c:pt>
                <c:pt idx="11">
                  <c:v>37531</c:v>
                </c:pt>
                <c:pt idx="12">
                  <c:v>37623</c:v>
                </c:pt>
                <c:pt idx="13">
                  <c:v>37713</c:v>
                </c:pt>
                <c:pt idx="14">
                  <c:v>37803</c:v>
                </c:pt>
                <c:pt idx="15">
                  <c:v>37896</c:v>
                </c:pt>
                <c:pt idx="16">
                  <c:v>37988</c:v>
                </c:pt>
                <c:pt idx="17">
                  <c:v>38079</c:v>
                </c:pt>
                <c:pt idx="18">
                  <c:v>38169</c:v>
                </c:pt>
                <c:pt idx="19">
                  <c:v>38264</c:v>
                </c:pt>
                <c:pt idx="20">
                  <c:v>38356</c:v>
                </c:pt>
                <c:pt idx="21">
                  <c:v>38446</c:v>
                </c:pt>
                <c:pt idx="22">
                  <c:v>38534</c:v>
                </c:pt>
                <c:pt idx="23">
                  <c:v>38629</c:v>
                </c:pt>
                <c:pt idx="24">
                  <c:v>38721</c:v>
                </c:pt>
                <c:pt idx="25">
                  <c:v>38811</c:v>
                </c:pt>
                <c:pt idx="26">
                  <c:v>38901</c:v>
                </c:pt>
                <c:pt idx="27">
                  <c:v>38994</c:v>
                </c:pt>
                <c:pt idx="28">
                  <c:v>39085</c:v>
                </c:pt>
                <c:pt idx="29">
                  <c:v>39175</c:v>
                </c:pt>
                <c:pt idx="30">
                  <c:v>39266</c:v>
                </c:pt>
                <c:pt idx="31">
                  <c:v>39358</c:v>
                </c:pt>
                <c:pt idx="32">
                  <c:v>39449</c:v>
                </c:pt>
                <c:pt idx="33">
                  <c:v>39540</c:v>
                </c:pt>
                <c:pt idx="34">
                  <c:v>39630</c:v>
                </c:pt>
                <c:pt idx="35">
                  <c:v>39723</c:v>
                </c:pt>
                <c:pt idx="36">
                  <c:v>39815</c:v>
                </c:pt>
                <c:pt idx="37">
                  <c:v>39905</c:v>
                </c:pt>
                <c:pt idx="38">
                  <c:v>39995</c:v>
                </c:pt>
                <c:pt idx="39">
                  <c:v>40088</c:v>
                </c:pt>
                <c:pt idx="40">
                  <c:v>40182</c:v>
                </c:pt>
                <c:pt idx="41">
                  <c:v>40269</c:v>
                </c:pt>
                <c:pt idx="42">
                  <c:v>40360</c:v>
                </c:pt>
                <c:pt idx="43">
                  <c:v>40455</c:v>
                </c:pt>
                <c:pt idx="44">
                  <c:v>40547</c:v>
                </c:pt>
                <c:pt idx="45">
                  <c:v>40637</c:v>
                </c:pt>
                <c:pt idx="46">
                  <c:v>40725</c:v>
                </c:pt>
                <c:pt idx="47">
                  <c:v>40820</c:v>
                </c:pt>
                <c:pt idx="48">
                  <c:v>40912</c:v>
                </c:pt>
                <c:pt idx="49">
                  <c:v>41002</c:v>
                </c:pt>
                <c:pt idx="50">
                  <c:v>41093</c:v>
                </c:pt>
                <c:pt idx="51">
                  <c:v>41185</c:v>
                </c:pt>
                <c:pt idx="52">
                  <c:v>41276</c:v>
                </c:pt>
                <c:pt idx="53">
                  <c:v>41367</c:v>
                </c:pt>
                <c:pt idx="54">
                  <c:v>41457</c:v>
                </c:pt>
                <c:pt idx="55">
                  <c:v>41549</c:v>
                </c:pt>
                <c:pt idx="56">
                  <c:v>41641</c:v>
                </c:pt>
                <c:pt idx="57">
                  <c:v>41731</c:v>
                </c:pt>
                <c:pt idx="58">
                  <c:v>41821</c:v>
                </c:pt>
                <c:pt idx="59">
                  <c:v>41914</c:v>
                </c:pt>
                <c:pt idx="60">
                  <c:v>42006</c:v>
                </c:pt>
                <c:pt idx="61">
                  <c:v>42095</c:v>
                </c:pt>
                <c:pt idx="62">
                  <c:v>42186</c:v>
                </c:pt>
                <c:pt idx="63">
                  <c:v>42279</c:v>
                </c:pt>
                <c:pt idx="64">
                  <c:v>42373</c:v>
                </c:pt>
                <c:pt idx="65">
                  <c:v>42464</c:v>
                </c:pt>
                <c:pt idx="66">
                  <c:v>42552</c:v>
                </c:pt>
                <c:pt idx="67">
                  <c:v>42647</c:v>
                </c:pt>
                <c:pt idx="68">
                  <c:v>42739</c:v>
                </c:pt>
                <c:pt idx="69">
                  <c:v>42829</c:v>
                </c:pt>
                <c:pt idx="70">
                  <c:v>42919</c:v>
                </c:pt>
                <c:pt idx="71">
                  <c:v>43013</c:v>
                </c:pt>
                <c:pt idx="72">
                  <c:v>43104</c:v>
                </c:pt>
                <c:pt idx="73">
                  <c:v>43195</c:v>
                </c:pt>
                <c:pt idx="74">
                  <c:v>43286</c:v>
                </c:pt>
                <c:pt idx="75">
                  <c:v>43377</c:v>
                </c:pt>
                <c:pt idx="76">
                  <c:v>43468</c:v>
                </c:pt>
                <c:pt idx="77">
                  <c:v>43559</c:v>
                </c:pt>
                <c:pt idx="78">
                  <c:v>43649</c:v>
                </c:pt>
                <c:pt idx="79">
                  <c:v>43741</c:v>
                </c:pt>
                <c:pt idx="80">
                  <c:v>43833</c:v>
                </c:pt>
                <c:pt idx="81">
                  <c:v>43924</c:v>
                </c:pt>
                <c:pt idx="82">
                  <c:v>44014</c:v>
                </c:pt>
                <c:pt idx="83">
                  <c:v>44109</c:v>
                </c:pt>
                <c:pt idx="84">
                  <c:v>44201</c:v>
                </c:pt>
                <c:pt idx="85">
                  <c:v>44291</c:v>
                </c:pt>
                <c:pt idx="86">
                  <c:v>44379</c:v>
                </c:pt>
                <c:pt idx="87">
                  <c:v>44474</c:v>
                </c:pt>
                <c:pt idx="88">
                  <c:v>44566</c:v>
                </c:pt>
                <c:pt idx="89">
                  <c:v>44656</c:v>
                </c:pt>
                <c:pt idx="90">
                  <c:v>44747</c:v>
                </c:pt>
                <c:pt idx="91">
                  <c:v>44839</c:v>
                </c:pt>
                <c:pt idx="92">
                  <c:v>44931</c:v>
                </c:pt>
                <c:pt idx="93">
                  <c:v>45021</c:v>
                </c:pt>
                <c:pt idx="94">
                  <c:v>45112</c:v>
                </c:pt>
                <c:pt idx="95">
                  <c:v>45204</c:v>
                </c:pt>
                <c:pt idx="96">
                  <c:v>45295</c:v>
                </c:pt>
                <c:pt idx="97">
                  <c:v>45386</c:v>
                </c:pt>
                <c:pt idx="98">
                  <c:v>45478</c:v>
                </c:pt>
                <c:pt idx="99">
                  <c:v>45569</c:v>
                </c:pt>
                <c:pt idx="100">
                  <c:v>45663</c:v>
                </c:pt>
                <c:pt idx="101">
                  <c:v>45751</c:v>
                </c:pt>
                <c:pt idx="102">
                  <c:v>45841</c:v>
                </c:pt>
                <c:pt idx="103">
                  <c:v>45936</c:v>
                </c:pt>
                <c:pt idx="104">
                  <c:v>46028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0.27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  <c:pt idx="5">
                  <c:v>0.34</c:v>
                </c:pt>
                <c:pt idx="6">
                  <c:v>0.34</c:v>
                </c:pt>
                <c:pt idx="7">
                  <c:v>0.34</c:v>
                </c:pt>
                <c:pt idx="8">
                  <c:v>0.34</c:v>
                </c:pt>
                <c:pt idx="9">
                  <c:v>0.34</c:v>
                </c:pt>
                <c:pt idx="10">
                  <c:v>0.34</c:v>
                </c:pt>
                <c:pt idx="11">
                  <c:v>0.34</c:v>
                </c:pt>
                <c:pt idx="12">
                  <c:v>0.34</c:v>
                </c:pt>
                <c:pt idx="13">
                  <c:v>0.34</c:v>
                </c:pt>
                <c:pt idx="14">
                  <c:v>0.34</c:v>
                </c:pt>
                <c:pt idx="15">
                  <c:v>0.34</c:v>
                </c:pt>
                <c:pt idx="16">
                  <c:v>0.34</c:v>
                </c:pt>
                <c:pt idx="17">
                  <c:v>0.34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0.34</c:v>
                </c:pt>
                <c:pt idx="22">
                  <c:v>0.34</c:v>
                </c:pt>
                <c:pt idx="23">
                  <c:v>0.34</c:v>
                </c:pt>
                <c:pt idx="24">
                  <c:v>0.34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0.3</c:v>
                </c:pt>
                <c:pt idx="50">
                  <c:v>0.3</c:v>
                </c:pt>
                <c:pt idx="51">
                  <c:v>0.3</c:v>
                </c:pt>
                <c:pt idx="52">
                  <c:v>0.3</c:v>
                </c:pt>
                <c:pt idx="53">
                  <c:v>0.3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  <c:pt idx="58">
                  <c:v>0.4</c:v>
                </c:pt>
                <c:pt idx="59">
                  <c:v>0.4</c:v>
                </c:pt>
                <c:pt idx="60">
                  <c:v>0.4</c:v>
                </c:pt>
                <c:pt idx="61">
                  <c:v>0.4</c:v>
                </c:pt>
                <c:pt idx="62">
                  <c:v>0.44</c:v>
                </c:pt>
                <c:pt idx="63">
                  <c:v>0.44</c:v>
                </c:pt>
                <c:pt idx="64">
                  <c:v>0.44</c:v>
                </c:pt>
                <c:pt idx="65">
                  <c:v>0.44</c:v>
                </c:pt>
                <c:pt idx="66">
                  <c:v>0.48</c:v>
                </c:pt>
                <c:pt idx="67">
                  <c:v>0.48</c:v>
                </c:pt>
                <c:pt idx="68">
                  <c:v>0.48</c:v>
                </c:pt>
                <c:pt idx="69">
                  <c:v>0.5</c:v>
                </c:pt>
                <c:pt idx="70">
                  <c:v>0.5</c:v>
                </c:pt>
                <c:pt idx="71">
                  <c:v>0.56000000000000005</c:v>
                </c:pt>
                <c:pt idx="72">
                  <c:v>0.56000000000000005</c:v>
                </c:pt>
                <c:pt idx="73">
                  <c:v>0.56000000000000005</c:v>
                </c:pt>
                <c:pt idx="74">
                  <c:v>0.56000000000000005</c:v>
                </c:pt>
                <c:pt idx="75">
                  <c:v>0.8</c:v>
                </c:pt>
                <c:pt idx="76">
                  <c:v>0.8</c:v>
                </c:pt>
                <c:pt idx="77">
                  <c:v>0.8</c:v>
                </c:pt>
                <c:pt idx="78">
                  <c:v>0.8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1.05</c:v>
                </c:pt>
                <c:pt idx="96">
                  <c:v>1.05</c:v>
                </c:pt>
                <c:pt idx="97">
                  <c:v>1.1499999999999999</c:v>
                </c:pt>
                <c:pt idx="98">
                  <c:v>1.1499999999999999</c:v>
                </c:pt>
                <c:pt idx="99">
                  <c:v>1.25</c:v>
                </c:pt>
                <c:pt idx="100">
                  <c:v>1.25</c:v>
                </c:pt>
                <c:pt idx="101">
                  <c:v>1.4</c:v>
                </c:pt>
                <c:pt idx="102">
                  <c:v>1.4</c:v>
                </c:pt>
                <c:pt idx="103">
                  <c:v>1.5</c:v>
                </c:pt>
                <c:pt idx="10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7-4296-AF50-4F1C46ED9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377743"/>
        <c:axId val="1851383023"/>
      </c:barChart>
      <c:dateAx>
        <c:axId val="1851377743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83023"/>
        <c:crosses val="autoZero"/>
        <c:auto val="1"/>
        <c:lblOffset val="100"/>
        <c:baseTimeUnit val="months"/>
      </c:dateAx>
      <c:valAx>
        <c:axId val="1851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37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278945</xdr:colOff>
      <xdr:row>5</xdr:row>
      <xdr:rowOff>2720</xdr:rowOff>
    </xdr:from>
    <xdr:to>
      <xdr:col>18</xdr:col>
      <xdr:colOff>285750</xdr:colOff>
      <xdr:row>24</xdr:row>
      <xdr:rowOff>149678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26D50-B135-F993-3260-3A6085829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442232</xdr:colOff>
      <xdr:row>28</xdr:row>
      <xdr:rowOff>2720</xdr:rowOff>
    </xdr:from>
    <xdr:to>
      <xdr:col>35</xdr:col>
      <xdr:colOff>476250</xdr:colOff>
      <xdr:row>47</xdr:row>
      <xdr:rowOff>27213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65045C-F292-B092-B383-CBE4A6E17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483054</xdr:colOff>
      <xdr:row>47</xdr:row>
      <xdr:rowOff>166008</xdr:rowOff>
    </xdr:from>
    <xdr:to>
      <xdr:col>36</xdr:col>
      <xdr:colOff>244929</xdr:colOff>
      <xdr:row>67</xdr:row>
      <xdr:rowOff>27216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4395C8-6AB0-F137-F856-C29B9F556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367393</xdr:colOff>
      <xdr:row>3</xdr:row>
      <xdr:rowOff>2721</xdr:rowOff>
    </xdr:from>
    <xdr:to>
      <xdr:col>21</xdr:col>
      <xdr:colOff>299357</xdr:colOff>
      <xdr:row>17</xdr:row>
      <xdr:rowOff>78921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39972F-C09E-9433-1877-02D65164B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2</xdr:row>
      <xdr:rowOff>42862</xdr:rowOff>
    </xdr:from>
    <xdr:to>
      <xdr:col>12</xdr:col>
      <xdr:colOff>352425</xdr:colOff>
      <xdr:row>16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7FF02D-67D2-11E8-3386-3E4CB9EAF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66676</xdr:colOff>
      <xdr:row>63</xdr:row>
      <xdr:rowOff>57150</xdr:rowOff>
    </xdr:from>
    <xdr:to>
      <xdr:col>12</xdr:col>
      <xdr:colOff>561976</xdr:colOff>
      <xdr:row>76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D29365-5F82-4227-A024-BBD5DCBDA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57151</xdr:colOff>
      <xdr:row>49</xdr:row>
      <xdr:rowOff>19050</xdr:rowOff>
    </xdr:from>
    <xdr:to>
      <xdr:col>12</xdr:col>
      <xdr:colOff>476251</xdr:colOff>
      <xdr:row>62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66012-E417-4068-A9B0-F3321B66B6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1</xdr:row>
      <xdr:rowOff>142876</xdr:rowOff>
    </xdr:from>
    <xdr:to>
      <xdr:col>12</xdr:col>
      <xdr:colOff>400050</xdr:colOff>
      <xdr:row>18</xdr:row>
      <xdr:rowOff>47626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04F6977-F7BE-4C69-87E3-CFFA3CC8C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</xdr:colOff>
      <xdr:row>19</xdr:row>
      <xdr:rowOff>142875</xdr:rowOff>
    </xdr:from>
    <xdr:to>
      <xdr:col>12</xdr:col>
      <xdr:colOff>400050</xdr:colOff>
      <xdr:row>32</xdr:row>
      <xdr:rowOff>104775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7E3072A-AD67-49D1-902A-ABD2FD0CC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</xdr:colOff>
      <xdr:row>33</xdr:row>
      <xdr:rowOff>133350</xdr:rowOff>
    </xdr:from>
    <xdr:to>
      <xdr:col>12</xdr:col>
      <xdr:colOff>409575</xdr:colOff>
      <xdr:row>48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0AD6FD-1557-4E87-BFAA-3D6E656A5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85725</xdr:colOff>
      <xdr:row>78</xdr:row>
      <xdr:rowOff>161925</xdr:rowOff>
    </xdr:from>
    <xdr:to>
      <xdr:col>12</xdr:col>
      <xdr:colOff>571500</xdr:colOff>
      <xdr:row>91</xdr:row>
      <xdr:rowOff>66675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0F9368-6E1F-44CA-B7E2-49ADAD432B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295275</xdr:colOff>
      <xdr:row>2</xdr:row>
      <xdr:rowOff>23812</xdr:rowOff>
    </xdr:from>
    <xdr:to>
      <xdr:col>13</xdr:col>
      <xdr:colOff>600075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DC942A-F548-960B-1DD4-7EF34544E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423146-C599-45AD-81F6-CF78B2C89360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Week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6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  <v t="i">765</v>
    <v t="i">766</v>
  </a>
  <a r="1" c="526">
    <v>172.08</v>
    <v>171.33</v>
    <v>171.41</v>
    <v>172.27</v>
    <v>172.02</v>
    <v>170.66</v>
    <v>171.02</v>
    <v>170.3</v>
    <v>169.05</v>
    <v>167.99</v>
    <v>167.09</v>
    <v>167.42</v>
    <v>170.31</v>
    <v>170.11</v>
    <v>168.99</v>
    <v>170.5</v>
    <v>172.94</v>
    <v>172.28</v>
    <v>172.73</v>
    <v>176.27</v>
    <v>174.36</v>
    <v>173.73</v>
    <v>174.73</v>
    <v>174.5</v>
    <v>175.1</v>
    <v>175.43</v>
    <v>174.8</v>
    <v>175.01</v>
    <v>175.79</v>
    <v>174.26</v>
    <v>176.03</v>
    <v>179.87</v>
    <v>179.03</v>
    <v>179.73</v>
    <v>180.9</v>
    <v>183.07</v>
    <v>183.99</v>
    <v>183.36</v>
    <v>183.45</v>
    <v>184.38</v>
    <v>186.06</v>
    <v>185.29</v>
    <v>186.68</v>
    <v>188.55</v>
    <v>189.53</v>
    <v>187.87</v>
    <v>188.22</v>
    <v>188.29</v>
    <v>189.84</v>
    <v>191.38</v>
    <v>187.97</v>
    <v>190.3</v>
    <v>192.66</v>
    <v>193.79</v>
    <v>196.33</v>
    <v>199.06</v>
    <v>196.62</v>
    <v>194.82</v>
    <v>195.73</v>
    <v>199.52</v>
    <v>200.3</v>
    <v>198.94</v>
    <v>198.86</v>
    <v>198.3</v>
    <v>195.65</v>
    <v>197.45</v>
    <v>198.48</v>
    <v>197.15</v>
    <v>195.47</v>
    <v>195.43</v>
    <v>182.79</v>
    <v>182.89</v>
    <v>180.8</v>
    <v>180.08</v>
    <v>181.25</v>
    <v>185.8</v>
    <v>189.41</v>
    <v>192.14</v>
    <v>193.08</v>
    <v>193.37</v>
    <v>193.49</v>
    <v>193.28</v>
    <v>191.74</v>
    <v>191.86</v>
    <v>191.66</v>
    <v>190.51</v>
    <v>192</v>
    <v>191.75</v>
    <v>195.65</v>
    <v>197.5</v>
    <v>198.77</v>
    <v>198.73</v>
    <v>201.51</v>
    <v>202.11</v>
    <v>202.47</v>
    <v>204.79</v>
    <v>195.58</v>
    <v>199.52</v>
    <v>198.31</v>
    <v>196.92</v>
    <v>200.71</v>
    <v>199.5</v>
    <v>198.11</v>
    <v>199.33</v>
    <v>202.63</v>
    <v>201.82</v>
    <v>199.16</v>
    <v>197.26</v>
    <v>196.91</v>
    <v>199.95</v>
    <v>199.61</v>
    <v>194.36</v>
    <v>191.53</v>
    <v>193.66</v>
    <v>193.78</v>
    <v>194.98</v>
    <v>197</v>
    <v>198.67</v>
    <v>196.3</v>
    <v>198.88</v>
    <v>198.07</v>
    <v>197.43</v>
    <v>199.17</v>
    <v>202.26</v>
    <v>205.45</v>
    <v>208.83</v>
    <v>208.69</v>
    <v>204.79</v>
    <v>205.17</v>
    <v>207.63</v>
    <v>207.8</v>
    <v>207.45</v>
    <v>204.94</v>
    <v>210.05</v>
    <v>213.62</v>
    <v>216.87</v>
    <v>209.98</v>
    <v>209.78</v>
    <v>210.28</v>
    <v>210.33</v>
    <v>208.59</v>
    <v>208.67</v>
    <v>212.24</v>
    <v>210.85</v>
    <v>215.19</v>
    <v>212.8</v>
    <v>207.96</v>
    <v>199.14</v>
    <v>194.9</v>
    <v>200.34</v>
    <v>200.4</v>
    <v>204.06</v>
    <v>205.8</v>
    <v>206.19</v>
    <v>207.94</v>
    <v>210.24</v>
    <v>211.55</v>
    <v>213.97</v>
    <v>215.45</v>
    <v>214.52</v>
    <v>214.6</v>
    <v>216.63</v>
    <v>218.31</v>
    <v>219.17</v>
    <v>220.18</v>
    <v>221.29</v>
    <v>222.21</v>
    <v>224.8</v>
    <v>220.3</v>
    <v>219.33</v>
    <v>217.63</v>
    <v>212.46</v>
    <v>216.81</v>
    <v>205.56</v>
    <v>207.23</v>
    <v>206.6</v>
    <v>204.32</v>
    <v>207.86</v>
    <v>209.25</v>
    <v>207.53</v>
    <v>210.48</v>
    <v>211.09</v>
    <v>211.44</v>
    <v>211.59</v>
    <v>210.19</v>
    <v>209.78</v>
    <v>210.5</v>
    <v>210.86</v>
    <v>207.04</v>
    <v>207.29</v>
    <v>205.23</v>
    <v>211.22</v>
    <v>210.93</v>
    <v>210.75</v>
    <v>213.42</v>
    <v>212.84</v>
    <v>222.29</v>
    <v>221.48</v>
    <v>222.39</v>
    <v>223.64</v>
    <v>224.42</v>
    <v>225.37</v>
    <v>223</v>
    <v>224.12</v>
    <v>223.41</v>
    <v>224.98</v>
    <v>222.31</v>
    <v>225.5</v>
    <v>222.9</v>
    <v>224.41</v>
    <v>221.92</v>
    <v>222.94</v>
    <v>219.78</v>
    <v>221.49</v>
    <v>247.06</v>
    <v>236.38</v>
    <v>236.98</v>
    <v>239.29</v>
    <v>239.56</v>
    <v>241.16</v>
    <v>241.87</v>
    <v>245.31</v>
    <v>245.03</v>
    <v>243.09</v>
    <v>240.78</v>
    <v>244.76</v>
    <v>248.55</v>
    <v>250.29</v>
    <v>249.97</v>
    <v>249.79</v>
    <v>249.72</v>
    <v>246.25</v>
    <v>244.82</v>
    <v>243.4</v>
    <v>245.48</v>
    <v>247.36</v>
    <v>243.81</v>
    <v>242.86</v>
    <v>243.53</v>
    <v>241.53</v>
    <v>239.94</v>
    <v>239.58</v>
    <v>238.36</v>
    <v>230.37</v>
    <v>232.96</v>
    <v>237.6</v>
    <v>238.39</v>
    <v>242.31</v>
    <v>243.14</v>
    <v>241.17</v>
    <v>239.32</v>
    <v>239.71</v>
    <v>240</v>
    <v>243.28</v>
    <v>240.85</v>
    <v>243.17</v>
    <v>243.13</v>
    <v>239.87</v>
    <v>244.21</v>
    <v>247.47</v>
    <v>252.35</v>
    <v>254.27</v>
    <v>259.16000000000003</v>
    <v>263.02999999999997</v>
    <v>262.83999999999997</v>
    <v>265.95</v>
    <v>264.83999999999997</v>
    <v>265.85000000000002</v>
    <v>267.14</v>
    <v>266.58</v>
    <v>268.23</v>
    <v>267.3</v>
    <v>266.81</v>
    <v>267.94</v>
    <v>270.43</v>
    <v>276.89999999999998</v>
    <v>275.8</v>
    <v>271.04000000000002</v>
    <v>274.99</v>
    <v>275.45</v>
    <v>276.32</v>
    <v>276.58999999999997</v>
    <v>279.95</v>
    <v>279.25</v>
    <v>266.8</v>
    <v>264.24</v>
    <v>261.33999999999997</v>
    <v>257.39999999999998</v>
    <v>258.79000000000002</v>
    <v>259.05</v>
    <v>264.64999999999998</v>
    <v>260.62</v>
    <v>250.25</v>
    <v>251.53</v>
    <v>246.54</v>
    <v>242.28</v>
    <v>232.22</v>
    <v>229.14</v>
    <v>227.9</v>
    <v>225.19</v>
    <v>232.44</v>
    <v>233.93</v>
    <v>234.97</v>
    <v>239.11</v>
    <v>239.01</v>
    <v>241.63</v>
    <v>248.06</v>
    <v>251.13</v>
    <v>251.03</v>
    <v>248.12</v>
    <v>242.85</v>
    <v>245.3</v>
    <v>243.66</v>
    <v>245.82</v>
    <v>228.69</v>
    <v>210.28</v>
    <v>214.44</v>
    <v>216.87</v>
    <v>234.34</v>
    <v>227.11</v>
    <v>236.2</v>
    <v>234.72</v>
    <v>233.13</v>
    <v>229.61</v>
    <v>231.96</v>
    <v>228.99</v>
    <v>235.59</v>
    <v>240.88</v>
    <v>244.64</v>
    <v>243.55</v>
    <v>243.22</v>
    <v>244.62</v>
    <v>244.62</v>
    <v>246.89</v>
    <v>252.51</v>
    <v>252.56</v>
    <v>249.25</v>
    <v>249.39</v>
    <v>253.47</v>
    <v>253.08</v>
    <v>260.05</v>
    <v>263.01</v>
    <v>265.64</v>
    <v>267.49</v>
    <v>267.56</v>
    <v>264.88</v>
    <v>265.68</v>
    <v>261.04000000000002</v>
    <v>260.67</v>
    <v>260.70999999999998</v>
    <v>265.29000000000002</v>
    <v>263.49</v>
    <v>264.37</v>
    <v>264</v>
    <v>264.66000000000003</v>
    <v>266.27</v>
    <v>264.22000000000003</v>
    <v>261.95</v>
    <v>265.73</v>
    <v>266.74</v>
    <v>268.60000000000002</v>
    <v>268.14999999999998</v>
    <v>268.24</v>
    <v>264.95</v>
    <v>270.36</v>
    <v>269.52</v>
    <v>273.95999999999998</v>
    <v>275</v>
    <v>278.27</v>
    <v>281.26</v>
    <v>284.06</v>
    <v>288.75</v>
    <v>287.11</v>
    <v>289.91000000000003</v>
    <v>290.41000000000003</v>
    <v>292</v>
    <v>296</v>
    <v>291.97000000000003</v>
    <v>282.77999999999997</v>
    <v>283.16000000000003</v>
    <v>288.19</v>
    <v>286.86</v>
    <v>288.7</v>
    <v>286.55</v>
    <v>285.82</v>
    <v>289.89999999999998</v>
    <v>291.27</v>
    <v>290.97000000000003</v>
    <v>291.43</v>
    <v>296.76</v>
    <v>296.55</v>
    <v>298.62</v>
    <v>298.27999999999997</v>
    <v>297.04000000000002</v>
    <v>299.63</v>
    <v>296.24</v>
    <v>289.37</v>
    <v>294.26</v>
    <v>291.37</v>
    <v>291.35000000000002</v>
    <v>286.94</v>
    <v>288.76</v>
    <v>289.56</v>
    <v>292.85000000000002</v>
    <v>290.52999999999997</v>
    <v>294.16000000000003</v>
    <v>290.49</v>
    <v>291.52999999999997</v>
    <v>290.66000000000003</v>
    <v>292.24</v>
    <v>291.47000000000003</v>
    <v>296.24</v>
    <v>294.89999999999998</v>
    <v>298.57</v>
    <v>299.27999999999997</v>
    <v>301.07</v>
    <v>301.42</v>
    <v>299.7</v>
    <v>299.51</v>
    <v>303.82</v>
    <v>294.38</v>
    <v>292.91000000000003</v>
    <v>297.85000000000002</v>
    <v>300.54000000000002</v>
    <v>305.56</v>
    <v>306.91000000000003</v>
    <v>308.89999999999998</v>
    <v>309.19</v>
    <v>311.75</v>
    <v>313.23</v>
    <v>314.77999999999997</v>
    <v>312.44</v>
    <v>312.74</v>
    <v>313.42</v>
    <v>313.45</v>
    <v>316.06</v>
    <v>315.69</v>
    <v>315.43</v>
    <v>310.70999999999998</v>
    <v>307.55</v>
    <v>310.02999999999997</v>
    <v>309.18</v>
    <v>307.69</v>
    <v>304.02999999999997</v>
    <v>305.52999999999997</v>
    <v>300.89</v>
    <v>307.97000000000003</v>
    <v>302.08</v>
    <v>305.69</v>
    <v>298.54000000000002</v>
    <v>297.56</v>
    <v>302.36</v>
    <v>297.08999999999997</v>
    <v>294.11</v>
    <v>294.54000000000002</v>
    <v>300.44</v>
    <v>304.14999999999998</v>
    <v>305.36</v>
    <v>305.51</v>
    <v>309.44</v>
    <v>311.12</v>
    <v>309.35000000000002</v>
    <v>309.25</v>
    <v>311.68</v>
    <v>313.42</v>
    <v>314.20999999999998</v>
    <v>316.89</v>
    <v>315.62</v>
    <v>320.41000000000003</v>
    <v>309.48</v>
    <v>303.61</v>
    <v>300.37</v>
    <v>299.41000000000003</v>
    <v>303.27</v>
    <v>298.38</v>
    <v>298.02</v>
    <v>298</v>
    <v>303</v>
    <v>307.64</v>
    <v>313.08</v>
    <v>308.92</v>
    <v>307.88</v>
    <v>312.13</v>
    <v>316.10000000000002</v>
    <v>315.04000000000002</v>
    <v>315.20999999999998</v>
    <v>300.51</v>
    <v>310.11</v>
    <v>317.38</v>
    <v>318.52</v>
    <v>320.02</v>
    <v>315.55</v>
    <v>314.98</v>
    <v>313</v>
    <v>317.20999999999998</v>
    <v>323.08999999999997</v>
    <v>325.93</v>
    <v>329.17</v>
    <v>327.91</v>
    <v>323.75</v>
    <v>323.42</v>
    <v>322.22000000000003</v>
    <v>325.48</v>
    <v>334.04</v>
    <v>334.61</v>
    <v>326.99</v>
    <v>329.79</v>
    <v>329.19</v>
    <v>324.49</v>
    <v>310.89999999999998</v>
    <v>307.87</v>
    <v>309.26</v>
    <v>312.47000000000003</v>
    <v>302.74</v>
    <v>302.04000000000002</v>
    <v>303.63</v>
    <v>297.72000000000003</v>
    <v>301.04000000000002</v>
    <v>300.31</v>
    <v>300.77</v>
    <v>306.42</v>
    <v>305.89</v>
    <v>308.14</v>
    <v>314.85000000000002</v>
    <v>317.27</v>
    <v>310.16000000000003</v>
  </a>
  <a r="1" c="526">
    <v>9977424</v>
    <v>9852335</v>
    <v>11972545</v>
    <v>10066029</v>
    <v>11229916</v>
    <v>9923630</v>
    <v>9670218</v>
    <v>11919498</v>
    <v>19436504</v>
    <v>17206420</v>
    <v>11107466</v>
    <v>9382255</v>
    <v>13115664</v>
    <v>12837505</v>
    <v>8360829</v>
    <v>9967060</v>
    <v>8873481</v>
    <v>7442955</v>
    <v>6971192</v>
    <v>10822075</v>
    <v>11521820</v>
    <v>9354798</v>
    <v>8607839</v>
    <v>7820160</v>
    <v>6765684</v>
    <v>7225478</v>
    <v>6060285</v>
    <v>6296729</v>
    <v>8539316</v>
    <v>8397631</v>
    <v>7056664</v>
    <v>8723390</v>
    <v>8152647</v>
    <v>9667959</v>
    <v>7027857</v>
    <v>9296459</v>
    <v>7105833</v>
    <v>7145391</v>
    <v>5717065</v>
    <v>6131608</v>
    <v>9643012</v>
    <v>6311996</v>
    <v>7063605</v>
    <v>6617832</v>
    <v>7572891</v>
    <v>7618277</v>
    <v>6172199</v>
    <v>5762569</v>
    <v>5708384</v>
    <v>7795535</v>
    <v>10310948</v>
    <v>17214229</v>
    <v>9013843</v>
    <v>8478717</v>
    <v>9367043</v>
    <v>11203796</v>
    <v>8108840</v>
    <v>8620015</v>
    <v>5961484</v>
    <v>8725757</v>
    <v>8628313</v>
    <v>7309009</v>
    <v>7014683</v>
    <v>9353426</v>
    <v>9243793</v>
    <v>6532278</v>
    <v>8000963</v>
    <v>7358631</v>
    <v>7681377</v>
    <v>10137699</v>
    <v>31532308</v>
    <v>14766592</v>
    <v>16451801</v>
    <v>9017093</v>
    <v>9557720</v>
    <v>13402313</v>
    <v>11529668</v>
    <v>9144372</v>
    <v>6964905</v>
    <v>9802265</v>
    <v>6413655</v>
    <v>5411129</v>
    <v>8153681</v>
    <v>7446703</v>
    <v>6501657</v>
    <v>8922775</v>
    <v>7911134</v>
    <v>7688771</v>
    <v>9227561</v>
    <v>7977291</v>
    <v>7529790</v>
    <v>7049241</v>
    <v>8596175</v>
    <v>8369975</v>
    <v>8497927</v>
    <v>9260490</v>
    <v>17373253</v>
    <v>14420799</v>
    <v>9425338</v>
    <v>8069445</v>
    <v>7356233</v>
    <v>6910206</v>
    <v>6120045</v>
    <v>6829719</v>
    <v>14417885</v>
    <v>6444309</v>
    <v>6848338</v>
    <v>8351597</v>
    <v>7640289</v>
    <v>6964498</v>
    <v>6071201</v>
    <v>9235302</v>
    <v>12751329</v>
    <v>8587786</v>
    <v>6874029</v>
    <v>8725445</v>
    <v>9022971</v>
    <v>8731062</v>
    <v>20972495</v>
    <v>9785929</v>
    <v>6915909</v>
    <v>7758582</v>
    <v>7913453</v>
    <v>15307616</v>
    <v>10205836</v>
    <v>7802936</v>
    <v>5560925</v>
    <v>8093096</v>
    <v>8706967</v>
    <v>9060258</v>
    <v>8328493</v>
    <v>10666937</v>
    <v>15443441</v>
    <v>10719670</v>
    <v>11557018</v>
    <v>11572470</v>
    <v>12415125</v>
    <v>8095898</v>
    <v>7663223</v>
    <v>5557262</v>
    <v>7118957</v>
    <v>6403774</v>
    <v>8027787</v>
    <v>6533636</v>
    <v>8850705</v>
    <v>9071637</v>
    <v>10918644</v>
    <v>18041676</v>
    <v>13926997</v>
    <v>10605780</v>
    <v>9204434</v>
    <v>7761199</v>
    <v>5540240</v>
    <v>6935954</v>
    <v>6387942</v>
    <v>6999809</v>
    <v>7001005</v>
    <v>7931234</v>
    <v>6090818</v>
    <v>5640223</v>
    <v>5202472</v>
    <v>5247098</v>
    <v>7213981</v>
    <v>5105245</v>
    <v>5185221</v>
    <v>6506402</v>
    <v>6416149</v>
    <v>8574128</v>
    <v>8956089</v>
    <v>7389474</v>
    <v>8067874</v>
    <v>7776998</v>
    <v>8935074</v>
    <v>28406903</v>
    <v>13658743</v>
    <v>9055756</v>
    <v>10226694</v>
    <v>8634936</v>
    <v>7573345</v>
    <v>8259876</v>
    <v>11635168</v>
    <v>20884974</v>
    <v>7223491</v>
    <v>7323239</v>
    <v>8976520</v>
    <v>7807480</v>
    <v>7032450</v>
    <v>8668314</v>
    <v>8540064</v>
    <v>5810931</v>
    <v>7251325</v>
    <v>10213415</v>
    <v>6718898</v>
    <v>6021772</v>
    <v>7023998</v>
    <v>7927051</v>
    <v>18320650</v>
    <v>9048925</v>
    <v>9235825</v>
    <v>6382515</v>
    <v>6470186</v>
    <v>7000543</v>
    <v>5869959</v>
    <v>9586793</v>
    <v>6180528</v>
    <v>6002202</v>
    <v>6369720</v>
    <v>6842956</v>
    <v>6580004</v>
    <v>7110941</v>
    <v>7829932</v>
    <v>6923452</v>
    <v>8229588</v>
    <v>5600686</v>
    <v>23987753</v>
    <v>16451071</v>
    <v>9502100</v>
    <v>9017079</v>
    <v>6860956</v>
    <v>11472557</v>
    <v>10172202</v>
    <v>11518836</v>
    <v>9052575</v>
    <v>6792660</v>
    <v>9015290</v>
    <v>8783516</v>
    <v>7997307</v>
    <v>10295350</v>
    <v>6212142</v>
    <v>5472265</v>
    <v>5494825</v>
    <v>8899741</v>
    <v>6657694</v>
    <v>7346265</v>
    <v>6572536</v>
    <v>5519738</v>
    <v>7076466</v>
    <v>9108339</v>
    <v>7884442</v>
    <v>6113771</v>
    <v>10392749</v>
    <v>9032044</v>
    <v>8083635</v>
    <v>11322358</v>
    <v>11790773</v>
    <v>32348414</v>
    <v>8611528</v>
    <v>3729092</v>
    <v>4452168</v>
    <v>5730607</v>
    <v>5723765</v>
    <v>4870971</v>
    <v>9220914</v>
    <v>9491053</v>
    <v>9917836</v>
    <v>8753357</v>
    <v>8675284</v>
    <v>10256829</v>
    <v>10005315</v>
    <v>12407386</v>
    <v>18448520</v>
    <v>15292348</v>
    <v>17678101</v>
    <v>13712114</v>
    <v>9021914</v>
    <v>10749681</v>
    <v>7666261</v>
    <v>7522258</v>
    <v>7375391</v>
    <v>7684870</v>
    <v>8753466</v>
    <v>7196268</v>
    <v>8381361</v>
    <v>5625972</v>
    <v>5704431</v>
    <v>7264371</v>
    <v>6857875</v>
    <v>8627352</v>
    <v>7196376</v>
    <v>6683894</v>
    <v>8398667</v>
    <v>5688627</v>
    <v>7919798</v>
    <v>7007248</v>
    <v>13846671</v>
    <v>12835566</v>
    <v>10372751</v>
    <v>9608439</v>
    <v>5943585</v>
    <v>8204447</v>
    <v>10467126</v>
    <v>9058307</v>
    <v>13465630</v>
    <v>7861424</v>
    <v>9983235</v>
    <v>20498734</v>
    <v>18887186</v>
    <v>18142995</v>
    <v>16054015</v>
    <v>16467851</v>
    <v>11962108</v>
    <v>9586025</v>
    <v>10344866</v>
    <v>10120588</v>
    <v>8328513</v>
    <v>19326865</v>
    <v>9422650</v>
    <v>9287694</v>
    <v>12785225</v>
    <v>8022517</v>
    <v>11978417</v>
    <v>13602996</v>
    <v>8054683</v>
    <v>7758750</v>
    <v>17188469</v>
    <v>27170689</v>
    <v>22914370</v>
    <v>19485734</v>
    <v>24022350</v>
    <v>18896440</v>
    <v>20284450</v>
    <v>13017824</v>
    <v>10912883</v>
    <v>9322325</v>
    <v>9557946</v>
    <v>8716177</v>
    <v>10701399</v>
    <v>14126766</v>
    <v>9055197</v>
    <v>8588564</v>
    <v>7394297</v>
    <v>7216788</v>
    <v>12991699</v>
    <v>8689579</v>
    <v>7165044</v>
    <v>5450744</v>
    <v>6369934</v>
    <v>8724267</v>
    <v>8320118</v>
    <v>5087639</v>
    <v>9603892</v>
    <v>8588961</v>
    <v>8643060</v>
    <v>9214641</v>
    <v>8932912</v>
    <v>12145045</v>
    <v>8436337</v>
    <v>7464045</v>
    <v>6514113</v>
    <v>6671841</v>
    <v>7506555</v>
    <v>5535408</v>
    <v>5081992</v>
    <v>10977662</v>
    <v>6011165</v>
    <v>6998383</v>
    <v>5915710</v>
    <v>8179258</v>
    <v>7738134</v>
    <v>8285364</v>
    <v>7538135</v>
    <v>7434064</v>
    <v>6618026</v>
    <v>7098265</v>
    <v>8566019</v>
    <v>6739262</v>
    <v>9586440</v>
    <v>13969674</v>
    <v>8094559</v>
    <v>9267941</v>
    <v>6826901</v>
    <v>8942062</v>
    <v>17868633</v>
    <v>12689156</v>
    <v>9338260</v>
    <v>8158692</v>
    <v>6541646</v>
    <v>8825732</v>
    <v>15440856</v>
    <v>11273801</v>
    <v>8413847</v>
    <v>7384674</v>
    <v>9079941</v>
    <v>12526110</v>
    <v>9979768</v>
    <v>8509504</v>
    <v>12217018</v>
    <v>7898141</v>
    <v>6717461</v>
    <v>7083510</v>
    <v>7001242</v>
    <v>5918875</v>
    <v>5840417</v>
    <v>7635719</v>
    <v>8061742</v>
    <v>14749652</v>
    <v>12007111</v>
    <v>6649542</v>
    <v>7182333</v>
    <v>6330155</v>
    <v>8057109</v>
    <v>6634506</v>
    <v>5510113</v>
    <v>8572034</v>
    <v>8420407</v>
    <v>6322381</v>
    <v>7340518</v>
    <v>5386856</v>
    <v>6031520</v>
    <v>7374244</v>
    <v>6624161</v>
    <v>8552847</v>
    <v>5856258</v>
    <v>6714749</v>
    <v>6056513</v>
    <v>6410535</v>
    <v>6796380</v>
    <v>7221855</v>
    <v>6316911</v>
    <v>6605797</v>
    <v>9837709</v>
    <v>8188506</v>
    <v>7848196</v>
    <v>7787303</v>
    <v>7942489</v>
    <v>6846674</v>
    <v>7122015</v>
    <v>10525594</v>
    <v>8657765</v>
    <v>8050671</v>
    <v>23568551</v>
    <v>7520190</v>
    <v>8584420</v>
    <v>7310513</v>
    <v>7083198</v>
    <v>7258136</v>
    <v>6462442</v>
    <v>11823315</v>
    <v>9235211</v>
    <v>7599973</v>
    <v>6029854</v>
    <v>7214502</v>
    <v>8454217</v>
    <v>6489883</v>
    <v>7060332</v>
    <v>8597384</v>
    <v>10788680</v>
    <v>16178755</v>
    <v>11354778</v>
    <v>10549447</v>
    <v>10153454</v>
    <v>6894943</v>
    <v>7372671</v>
    <v>8054115</v>
    <v>5438810</v>
    <v>7228330</v>
    <v>5642222</v>
    <v>6335993</v>
    <v>7520324</v>
    <v>7514556</v>
    <v>7721297</v>
    <v>7770040</v>
    <v>7085164</v>
    <v>6865198</v>
    <v>7206111</v>
    <v>7302347</v>
    <v>5794505</v>
    <v>5030216</v>
    <v>10578266</v>
    <v>8973258</v>
    <v>10326983</v>
    <v>8344046</v>
    <v>8077315</v>
    <v>5546555</v>
    <v>7501582</v>
    <v>11766810</v>
    <v>10940186</v>
    <v>8877188</v>
    <v>7910851</v>
    <v>4322448</v>
    <v>7727324</v>
    <v>7249043</v>
    <v>8535260</v>
    <v>9627834</v>
    <v>6518908</v>
    <v>7417191</v>
    <v>18049223</v>
    <v>18874092</v>
    <v>9721859</v>
    <v>8982911</v>
    <v>10864122</v>
    <v>8331336</v>
    <v>8718653</v>
    <v>11444909</v>
    <v>24494412</v>
    <v>8354588</v>
    <v>6668305</v>
    <v>4289306</v>
    <v>4158293</v>
    <v>8635338</v>
    <v>7904263</v>
    <v>5048531</v>
    <v>8054040</v>
    <v>10752627</v>
    <v>7660787</v>
    <v>9815240</v>
    <v>11737068</v>
    <v>6738143</v>
    <v>12805062</v>
    <v>19371171</v>
    <v>25951464</v>
    <v>14751447</v>
    <v>14652508</v>
    <v>12900620</v>
    <v>10270144</v>
    <v>10535822</v>
    <v>11107925</v>
    <v>11752666</v>
    <v>11527448</v>
    <v>9556743</v>
    <v>11579987</v>
    <v>11953180</v>
    <v>9839360</v>
    <v>12687963</v>
    <v>9848802</v>
    <v>9387999</v>
  </a>
</arrayData>
</file>

<file path=xl/richData/rdrichvalue.xml><?xml version="1.0" encoding="utf-8"?>
<rvData xmlns="http://schemas.microsoft.com/office/spreadsheetml/2017/richdata" count="1570">
  <rv s="0">
    <fb>45293</fb>
    <v>0</v>
  </rv>
  <rv s="0">
    <fb>172.08</fb>
    <v>1</v>
  </rv>
  <rv s="0">
    <fb>9977424</fb>
    <v>2</v>
  </rv>
  <rv s="0">
    <fb>45294</fb>
    <v>0</v>
  </rv>
  <rv s="0">
    <fb>171.33</fb>
    <v>1</v>
  </rv>
  <rv s="0">
    <fb>9852335</fb>
    <v>2</v>
  </rv>
  <rv s="0">
    <fb>45295</fb>
    <v>0</v>
  </rv>
  <rv s="0">
    <fb>171.41</fb>
    <v>1</v>
  </rv>
  <rv s="0">
    <fb>11972545</fb>
    <v>2</v>
  </rv>
  <rv s="0">
    <fb>45296</fb>
    <v>0</v>
  </rv>
  <rv s="0">
    <fb>172.27</fb>
    <v>1</v>
  </rv>
  <rv s="0">
    <fb>10066029</fb>
    <v>2</v>
  </rv>
  <rv s="0">
    <fb>45299</fb>
    <v>0</v>
  </rv>
  <rv s="0">
    <fb>172.02</fb>
    <v>1</v>
  </rv>
  <rv s="0">
    <fb>11229916</fb>
    <v>2</v>
  </rv>
  <rv s="0">
    <fb>45300</fb>
    <v>0</v>
  </rv>
  <rv s="0">
    <fb>170.66</fb>
    <v>1</v>
  </rv>
  <rv s="0">
    <fb>9923630</fb>
    <v>2</v>
  </rv>
  <rv s="0">
    <fb>45301</fb>
    <v>0</v>
  </rv>
  <rv s="0">
    <fb>171.02</fb>
    <v>1</v>
  </rv>
  <rv s="0">
    <fb>9670218</fb>
    <v>2</v>
  </rv>
  <rv s="0">
    <fb>45302</fb>
    <v>0</v>
  </rv>
  <rv s="0">
    <fb>170.3</fb>
    <v>1</v>
  </rv>
  <rv s="0">
    <fb>11919498</fb>
    <v>2</v>
  </rv>
  <rv s="0">
    <fb>45303</fb>
    <v>0</v>
  </rv>
  <rv s="0">
    <fb>169.05</fb>
    <v>1</v>
  </rv>
  <rv s="0">
    <fb>19436504</fb>
    <v>2</v>
  </rv>
  <rv s="0">
    <fb>45307</fb>
    <v>0</v>
  </rv>
  <rv s="0">
    <fb>167.99</fb>
    <v>1</v>
  </rv>
  <rv s="0">
    <fb>17206420</fb>
    <v>2</v>
  </rv>
  <rv s="0">
    <fb>45308</fb>
    <v>0</v>
  </rv>
  <rv s="0">
    <fb>167.09</fb>
    <v>1</v>
  </rv>
  <rv s="0">
    <fb>11107466</fb>
    <v>2</v>
  </rv>
  <rv s="0">
    <fb>45309</fb>
    <v>0</v>
  </rv>
  <rv s="0">
    <fb>167.42</fb>
    <v>1</v>
  </rv>
  <rv s="0">
    <fb>9382255</fb>
    <v>2</v>
  </rv>
  <rv s="0">
    <fb>45310</fb>
    <v>0</v>
  </rv>
  <rv s="0">
    <fb>170.31</fb>
    <v>1</v>
  </rv>
  <rv s="0">
    <fb>13115664</fb>
    <v>2</v>
  </rv>
  <rv s="0">
    <fb>45313</fb>
    <v>0</v>
  </rv>
  <rv s="0">
    <fb>170.11</fb>
    <v>1</v>
  </rv>
  <rv s="0">
    <fb>12837505</fb>
    <v>2</v>
  </rv>
  <rv s="0">
    <fb>45314</fb>
    <v>0</v>
  </rv>
  <rv s="0">
    <fb>168.99</fb>
    <v>1</v>
  </rv>
  <rv s="0">
    <fb>8360829</fb>
    <v>2</v>
  </rv>
  <rv s="0">
    <fb>45315</fb>
    <v>0</v>
  </rv>
  <rv s="0">
    <fb>170.5</fb>
    <v>1</v>
  </rv>
  <rv s="0">
    <fb>9967060</fb>
    <v>2</v>
  </rv>
  <rv s="0">
    <fb>45316</fb>
    <v>0</v>
  </rv>
  <rv s="0">
    <fb>172.94</fb>
    <v>1</v>
  </rv>
  <rv s="0">
    <fb>8873481</fb>
    <v>2</v>
  </rv>
  <rv s="0">
    <fb>45317</fb>
    <v>0</v>
  </rv>
  <rv s="0">
    <fb>172.28</fb>
    <v>1</v>
  </rv>
  <rv s="0">
    <fb>7442955</fb>
    <v>2</v>
  </rv>
  <rv s="0">
    <fb>45320</fb>
    <v>0</v>
  </rv>
  <rv s="0">
    <fb>172.73</fb>
    <v>1</v>
  </rv>
  <rv s="0">
    <fb>6971192</fb>
    <v>2</v>
  </rv>
  <rv s="0">
    <fb>45321</fb>
    <v>0</v>
  </rv>
  <rv s="0">
    <fb>176.27</fb>
    <v>1</v>
  </rv>
  <rv s="0">
    <fb>10822075</fb>
    <v>2</v>
  </rv>
  <rv s="0">
    <fb>45322</fb>
    <v>0</v>
  </rv>
  <rv s="0">
    <fb>174.36</fb>
    <v>1</v>
  </rv>
  <rv s="0">
    <fb>11521820</fb>
    <v>2</v>
  </rv>
  <rv s="0">
    <fb>45323</fb>
    <v>0</v>
  </rv>
  <rv s="0">
    <fb>173.73</fb>
    <v>1</v>
  </rv>
  <rv s="0">
    <fb>9354798</fb>
    <v>2</v>
  </rv>
  <rv s="0">
    <fb>45324</fb>
    <v>0</v>
  </rv>
  <rv s="0">
    <fb>174.73</fb>
    <v>1</v>
  </rv>
  <rv s="0">
    <fb>8607839</fb>
    <v>2</v>
  </rv>
  <rv s="0">
    <fb>45327</fb>
    <v>0</v>
  </rv>
  <rv s="0">
    <fb>174.5</fb>
    <v>1</v>
  </rv>
  <rv s="0">
    <fb>7820160</fb>
    <v>2</v>
  </rv>
  <rv s="0">
    <fb>45328</fb>
    <v>0</v>
  </rv>
  <rv s="0">
    <fb>175.1</fb>
    <v>1</v>
  </rv>
  <rv s="0">
    <fb>6765684</fb>
    <v>2</v>
  </rv>
  <rv s="0">
    <fb>45329</fb>
    <v>0</v>
  </rv>
  <rv s="0">
    <fb>175.43</fb>
    <v>1</v>
  </rv>
  <rv s="0">
    <fb>7225478</fb>
    <v>2</v>
  </rv>
  <rv s="0">
    <fb>45330</fb>
    <v>0</v>
  </rv>
  <rv s="0">
    <fb>174.8</fb>
    <v>1</v>
  </rv>
  <rv s="0">
    <fb>6060285</fb>
    <v>2</v>
  </rv>
  <rv s="0">
    <fb>45331</fb>
    <v>0</v>
  </rv>
  <rv s="0">
    <fb>175.01</fb>
    <v>1</v>
  </rv>
  <rv s="0">
    <fb>6296729</fb>
    <v>2</v>
  </rv>
  <rv s="0">
    <fb>45334</fb>
    <v>0</v>
  </rv>
  <rv s="0">
    <fb>175.79</fb>
    <v>1</v>
  </rv>
  <rv s="0">
    <fb>8539316</fb>
    <v>2</v>
  </rv>
  <rv s="0">
    <fb>45335</fb>
    <v>0</v>
  </rv>
  <rv s="0">
    <fb>174.26</fb>
    <v>1</v>
  </rv>
  <rv s="0">
    <fb>8397631</fb>
    <v>2</v>
  </rv>
  <rv s="0">
    <fb>45336</fb>
    <v>0</v>
  </rv>
  <rv s="0">
    <fb>176.03</fb>
    <v>1</v>
  </rv>
  <rv s="0">
    <fb>7056664</fb>
    <v>2</v>
  </rv>
  <rv s="0">
    <fb>45337</fb>
    <v>0</v>
  </rv>
  <rv s="0">
    <fb>179.87</fb>
    <v>1</v>
  </rv>
  <rv s="0">
    <fb>8723390</fb>
    <v>2</v>
  </rv>
  <rv s="0">
    <fb>45338</fb>
    <v>0</v>
  </rv>
  <rv s="0">
    <fb>179.03</fb>
    <v>1</v>
  </rv>
  <rv s="0">
    <fb>8152647</fb>
    <v>2</v>
  </rv>
  <rv s="0">
    <fb>45342</fb>
    <v>0</v>
  </rv>
  <rv s="0">
    <fb>179.73</fb>
    <v>1</v>
  </rv>
  <rv s="0">
    <fb>9667959</fb>
    <v>2</v>
  </rv>
  <rv s="0">
    <fb>45343</fb>
    <v>0</v>
  </rv>
  <rv s="0">
    <fb>180.9</fb>
    <v>1</v>
  </rv>
  <rv s="0">
    <fb>7027857</fb>
    <v>2</v>
  </rv>
  <rv s="0">
    <fb>45344</fb>
    <v>0</v>
  </rv>
  <rv s="0">
    <fb>183.07</fb>
    <v>1</v>
  </rv>
  <rv s="0">
    <fb>9296459</fb>
    <v>2</v>
  </rv>
  <rv s="0">
    <fb>45345</fb>
    <v>0</v>
  </rv>
  <rv s="0">
    <fb>183.99</fb>
    <v>1</v>
  </rv>
  <rv s="0">
    <fb>7105833</fb>
    <v>2</v>
  </rv>
  <rv s="0">
    <fb>45348</fb>
    <v>0</v>
  </rv>
  <rv s="0">
    <fb>183.36</fb>
    <v>1</v>
  </rv>
  <rv s="0">
    <fb>7145391</fb>
    <v>2</v>
  </rv>
  <rv s="0">
    <fb>45349</fb>
    <v>0</v>
  </rv>
  <rv s="0">
    <fb>183.45</fb>
    <v>1</v>
  </rv>
  <rv s="0">
    <fb>5717065</fb>
    <v>2</v>
  </rv>
  <rv s="0">
    <fb>45350</fb>
    <v>0</v>
  </rv>
  <rv s="0">
    <fb>184.38</fb>
    <v>1</v>
  </rv>
  <rv s="0">
    <fb>6131608</fb>
    <v>2</v>
  </rv>
  <rv s="0">
    <fb>45351</fb>
    <v>0</v>
  </rv>
  <rv s="0">
    <fb>186.06</fb>
    <v>1</v>
  </rv>
  <rv s="0">
    <fb>9643012</fb>
    <v>2</v>
  </rv>
  <rv s="0">
    <fb>45352</fb>
    <v>0</v>
  </rv>
  <rv s="0">
    <fb>185.29</fb>
    <v>1</v>
  </rv>
  <rv s="0">
    <fb>6311996</fb>
    <v>2</v>
  </rv>
  <rv s="0">
    <fb>45355</fb>
    <v>0</v>
  </rv>
  <rv s="0">
    <fb>186.68</fb>
    <v>1</v>
  </rv>
  <rv s="0">
    <fb>7063605</fb>
    <v>2</v>
  </rv>
  <rv s="0">
    <fb>45356</fb>
    <v>0</v>
  </rv>
  <rv s="0">
    <fb>188.55</fb>
    <v>1</v>
  </rv>
  <rv s="0">
    <fb>6617832</fb>
    <v>2</v>
  </rv>
  <rv s="0">
    <fb>45357</fb>
    <v>0</v>
  </rv>
  <rv s="0">
    <fb>189.53</fb>
    <v>1</v>
  </rv>
  <rv s="0">
    <fb>7572891</fb>
    <v>2</v>
  </rv>
  <rv s="0">
    <fb>45358</fb>
    <v>0</v>
  </rv>
  <rv s="0">
    <fb>187.87</fb>
    <v>1</v>
  </rv>
  <rv s="0">
    <fb>7618277</fb>
    <v>2</v>
  </rv>
  <rv s="0">
    <fb>45359</fb>
    <v>0</v>
  </rv>
  <rv s="0">
    <fb>188.22</fb>
    <v>1</v>
  </rv>
  <rv s="0">
    <fb>6172199</fb>
    <v>2</v>
  </rv>
  <rv s="0">
    <fb>45362</fb>
    <v>0</v>
  </rv>
  <rv s="0">
    <fb>188.29</fb>
    <v>1</v>
  </rv>
  <rv s="0">
    <fb>5762569</fb>
    <v>2</v>
  </rv>
  <rv s="0">
    <fb>45363</fb>
    <v>0</v>
  </rv>
  <rv s="0">
    <fb>189.84</fb>
    <v>1</v>
  </rv>
  <rv s="0">
    <fb>5708384</fb>
    <v>2</v>
  </rv>
  <rv s="0">
    <fb>45364</fb>
    <v>0</v>
  </rv>
  <rv s="0">
    <fb>191.38</fb>
    <v>1</v>
  </rv>
  <rv s="0">
    <fb>7795535</fb>
    <v>2</v>
  </rv>
  <rv s="0">
    <fb>45365</fb>
    <v>0</v>
  </rv>
  <rv s="0">
    <fb>187.97</fb>
    <v>1</v>
  </rv>
  <rv s="0">
    <fb>10310948</fb>
    <v>2</v>
  </rv>
  <rv s="0">
    <fb>45366</fb>
    <v>0</v>
  </rv>
  <rv s="0">
    <fb>190.3</fb>
    <v>1</v>
  </rv>
  <rv s="0">
    <fb>17214229</fb>
    <v>2</v>
  </rv>
  <rv s="0">
    <fb>45369</fb>
    <v>0</v>
  </rv>
  <rv s="0">
    <fb>192.66</fb>
    <v>1</v>
  </rv>
  <rv s="0">
    <fb>9013843</fb>
    <v>2</v>
  </rv>
  <rv s="0">
    <fb>45370</fb>
    <v>0</v>
  </rv>
  <rv s="0">
    <fb>193.79</fb>
    <v>1</v>
  </rv>
  <rv s="0">
    <fb>8478717</fb>
    <v>2</v>
  </rv>
  <rv s="0">
    <fb>45371</fb>
    <v>0</v>
  </rv>
  <rv s="0">
    <fb>196.33</fb>
    <v>1</v>
  </rv>
  <rv s="0">
    <fb>9367043</fb>
    <v>2</v>
  </rv>
  <rv s="0">
    <fb>45372</fb>
    <v>0</v>
  </rv>
  <rv s="0">
    <fb>199.06</fb>
    <v>1</v>
  </rv>
  <rv s="0">
    <fb>11203796</fb>
    <v>2</v>
  </rv>
  <rv s="0">
    <fb>45373</fb>
    <v>0</v>
  </rv>
  <rv s="0">
    <fb>196.62</fb>
    <v>1</v>
  </rv>
  <rv s="0">
    <fb>8108840</fb>
    <v>2</v>
  </rv>
  <rv s="0">
    <fb>45376</fb>
    <v>0</v>
  </rv>
  <rv s="0">
    <fb>194.82</fb>
    <v>1</v>
  </rv>
  <rv s="0">
    <fb>8620015</fb>
    <v>2</v>
  </rv>
  <rv s="0">
    <fb>45377</fb>
    <v>0</v>
  </rv>
  <rv s="0">
    <fb>195.73</fb>
    <v>1</v>
  </rv>
  <rv s="0">
    <fb>5961484</fb>
    <v>2</v>
  </rv>
  <rv s="0">
    <fb>45378</fb>
    <v>0</v>
  </rv>
  <rv s="0">
    <fb>199.52</fb>
    <v>1</v>
  </rv>
  <rv s="0">
    <fb>8725757</fb>
    <v>2</v>
  </rv>
  <rv s="0">
    <fb>45379</fb>
    <v>0</v>
  </rv>
  <rv s="0">
    <fb>200.3</fb>
    <v>1</v>
  </rv>
  <rv s="0">
    <fb>8628313</fb>
    <v>2</v>
  </rv>
  <rv s="0">
    <fb>45383</fb>
    <v>0</v>
  </rv>
  <rv s="0">
    <fb>198.94</fb>
    <v>1</v>
  </rv>
  <rv s="0">
    <fb>7309009</fb>
    <v>2</v>
  </rv>
  <rv s="0">
    <fb>45384</fb>
    <v>0</v>
  </rv>
  <rv s="0">
    <fb>198.86</fb>
    <v>1</v>
  </rv>
  <rv s="0">
    <fb>7014683</fb>
    <v>2</v>
  </rv>
  <rv s="0">
    <fb>45385</fb>
    <v>0</v>
  </rv>
  <rv s="0">
    <fb>198.3</fb>
    <v>1</v>
  </rv>
  <rv s="0">
    <fb>9353426</fb>
    <v>2</v>
  </rv>
  <rv s="0">
    <fb>45386</fb>
    <v>0</v>
  </rv>
  <rv s="0">
    <fb>195.65</fb>
    <v>1</v>
  </rv>
  <rv s="0">
    <fb>9243793</fb>
    <v>2</v>
  </rv>
  <rv s="0">
    <fb>45387</fb>
    <v>0</v>
  </rv>
  <rv s="0">
    <fb>197.45</fb>
    <v>1</v>
  </rv>
  <rv s="0">
    <fb>6532278</fb>
    <v>2</v>
  </rv>
  <rv s="0">
    <fb>45390</fb>
    <v>0</v>
  </rv>
  <rv s="0">
    <fb>198.48</fb>
    <v>1</v>
  </rv>
  <rv s="0">
    <fb>8000963</fb>
    <v>2</v>
  </rv>
  <rv s="0">
    <fb>45391</fb>
    <v>0</v>
  </rv>
  <rv s="0">
    <fb>197.15</fb>
    <v>1</v>
  </rv>
  <rv s="0">
    <fb>7358631</fb>
    <v>2</v>
  </rv>
  <rv s="0">
    <fb>45392</fb>
    <v>0</v>
  </rv>
  <rv s="0">
    <fb>195.47</fb>
    <v>1</v>
  </rv>
  <rv s="0">
    <fb>7681377</fb>
    <v>2</v>
  </rv>
  <rv s="0">
    <fb>45393</fb>
    <v>0</v>
  </rv>
  <rv s="0">
    <fb>195.43</fb>
    <v>1</v>
  </rv>
  <rv s="0">
    <fb>10137699</fb>
    <v>2</v>
  </rv>
  <rv s="0">
    <fb>45394</fb>
    <v>0</v>
  </rv>
  <rv s="0">
    <fb>182.79</fb>
    <v>1</v>
  </rv>
  <rv s="0">
    <fb>31532308</fb>
    <v>2</v>
  </rv>
  <rv s="0">
    <fb>45397</fb>
    <v>0</v>
  </rv>
  <rv s="0">
    <fb>182.89</fb>
    <v>1</v>
  </rv>
  <rv s="0">
    <fb>14766592</fb>
    <v>2</v>
  </rv>
  <rv s="0">
    <fb>45398</fb>
    <v>0</v>
  </rv>
  <rv s="0">
    <fb>180.8</fb>
    <v>1</v>
  </rv>
  <rv s="0">
    <fb>16451801</fb>
    <v>2</v>
  </rv>
  <rv s="0">
    <fb>45399</fb>
    <v>0</v>
  </rv>
  <rv s="0">
    <fb>180.08</fb>
    <v>1</v>
  </rv>
  <rv s="0">
    <fb>9017093</fb>
    <v>2</v>
  </rv>
  <rv s="0">
    <fb>45400</fb>
    <v>0</v>
  </rv>
  <rv s="0">
    <fb>181.25</fb>
    <v>1</v>
  </rv>
  <rv s="0">
    <fb>9557720</fb>
    <v>2</v>
  </rv>
  <rv s="0">
    <fb>45401</fb>
    <v>0</v>
  </rv>
  <rv s="0">
    <fb>185.8</fb>
    <v>1</v>
  </rv>
  <rv s="0">
    <fb>13402313</fb>
    <v>2</v>
  </rv>
  <rv s="0">
    <fb>45404</fb>
    <v>0</v>
  </rv>
  <rv s="0">
    <fb>189.41</fb>
    <v>1</v>
  </rv>
  <rv s="0">
    <fb>11529668</fb>
    <v>2</v>
  </rv>
  <rv s="0">
    <fb>45405</fb>
    <v>0</v>
  </rv>
  <rv s="0">
    <fb>192.14</fb>
    <v>1</v>
  </rv>
  <rv s="0">
    <fb>9144372</fb>
    <v>2</v>
  </rv>
  <rv s="0">
    <fb>45406</fb>
    <v>0</v>
  </rv>
  <rv s="0">
    <fb>193.08</fb>
    <v>1</v>
  </rv>
  <rv s="0">
    <fb>6964905</fb>
    <v>2</v>
  </rv>
  <rv s="0">
    <fb>45407</fb>
    <v>0</v>
  </rv>
  <rv s="0">
    <fb>193.37</fb>
    <v>1</v>
  </rv>
  <rv s="0">
    <fb>9802265</fb>
    <v>2</v>
  </rv>
  <rv s="0">
    <fb>45408</fb>
    <v>0</v>
  </rv>
  <rv s="0">
    <fb>193.49</fb>
    <v>1</v>
  </rv>
  <rv s="0">
    <fb>6413655</fb>
    <v>2</v>
  </rv>
  <rv s="0">
    <fb>45411</fb>
    <v>0</v>
  </rv>
  <rv s="0">
    <fb>193.28</fb>
    <v>1</v>
  </rv>
  <rv s="0">
    <fb>5411129</fb>
    <v>2</v>
  </rv>
  <rv s="0">
    <fb>45412</fb>
    <v>0</v>
  </rv>
  <rv s="0">
    <fb>191.74</fb>
    <v>1</v>
  </rv>
  <rv s="0">
    <fb>8153681</fb>
    <v>2</v>
  </rv>
  <rv s="0">
    <fb>45413</fb>
    <v>0</v>
  </rv>
  <rv s="0">
    <fb>191.86</fb>
    <v>1</v>
  </rv>
  <rv s="0">
    <fb>7446703</fb>
    <v>2</v>
  </rv>
  <rv s="0">
    <fb>45414</fb>
    <v>0</v>
  </rv>
  <rv s="0">
    <fb>191.66</fb>
    <v>1</v>
  </rv>
  <rv s="0">
    <fb>6501657</fb>
    <v>2</v>
  </rv>
  <rv s="0">
    <fb>45415</fb>
    <v>0</v>
  </rv>
  <rv s="0">
    <fb>190.51</fb>
    <v>1</v>
  </rv>
  <rv s="0">
    <fb>8922775</fb>
    <v>2</v>
  </rv>
  <rv s="0">
    <fb>45418</fb>
    <v>0</v>
  </rv>
  <rv s="0">
    <fb>192</fb>
    <v>1</v>
  </rv>
  <rv s="0">
    <fb>7911134</fb>
    <v>2</v>
  </rv>
  <rv s="0">
    <fb>45419</fb>
    <v>0</v>
  </rv>
  <rv s="0">
    <fb>191.75</fb>
    <v>1</v>
  </rv>
  <rv s="0">
    <fb>7688771</fb>
    <v>2</v>
  </rv>
  <rv s="0">
    <fb>45420</fb>
    <v>0</v>
  </rv>
  <rv s="0">
    <fb>9227561</fb>
    <v>2</v>
  </rv>
  <rv s="0">
    <fb>45421</fb>
    <v>0</v>
  </rv>
  <rv s="0">
    <fb>197.5</fb>
    <v>1</v>
  </rv>
  <rv s="0">
    <fb>7977291</fb>
    <v>2</v>
  </rv>
  <rv s="0">
    <fb>45422</fb>
    <v>0</v>
  </rv>
  <rv s="0">
    <fb>198.77</fb>
    <v>1</v>
  </rv>
  <rv s="0">
    <fb>7529790</fb>
    <v>2</v>
  </rv>
  <rv s="0">
    <fb>45425</fb>
    <v>0</v>
  </rv>
  <rv s="0">
    <fb>198.73</fb>
    <v>1</v>
  </rv>
  <rv s="0">
    <fb>7049241</fb>
    <v>2</v>
  </rv>
  <rv s="0">
    <fb>45426</fb>
    <v>0</v>
  </rv>
  <rv s="0">
    <fb>201.51</fb>
    <v>1</v>
  </rv>
  <rv s="0">
    <fb>8596175</fb>
    <v>2</v>
  </rv>
  <rv s="0">
    <fb>45427</fb>
    <v>0</v>
  </rv>
  <rv s="0">
    <fb>202.11</fb>
    <v>1</v>
  </rv>
  <rv s="0">
    <fb>8369975</fb>
    <v>2</v>
  </rv>
  <rv s="0">
    <fb>45428</fb>
    <v>0</v>
  </rv>
  <rv s="0">
    <fb>202.47</fb>
    <v>1</v>
  </rv>
  <rv s="0">
    <fb>8497927</fb>
    <v>2</v>
  </rv>
  <rv s="0">
    <fb>45429</fb>
    <v>0</v>
  </rv>
  <rv s="0">
    <fb>204.79</fb>
    <v>1</v>
  </rv>
  <rv s="0">
    <fb>9260490</fb>
    <v>2</v>
  </rv>
  <rv s="0">
    <fb>45432</fb>
    <v>0</v>
  </rv>
  <rv s="0">
    <fb>195.58</fb>
    <v>1</v>
  </rv>
  <rv s="0">
    <fb>17373253</fb>
    <v>2</v>
  </rv>
  <rv s="0">
    <fb>45433</fb>
    <v>0</v>
  </rv>
  <rv s="0">
    <fb>14420799</fb>
    <v>2</v>
  </rv>
  <rv s="0">
    <fb>45434</fb>
    <v>0</v>
  </rv>
  <rv s="0">
    <fb>198.31</fb>
    <v>1</v>
  </rv>
  <rv s="0">
    <fb>9425338</fb>
    <v>2</v>
  </rv>
  <rv s="0">
    <fb>45435</fb>
    <v>0</v>
  </rv>
  <rv s="0">
    <fb>196.92</fb>
    <v>1</v>
  </rv>
  <rv s="0">
    <fb>8069445</fb>
    <v>2</v>
  </rv>
  <rv s="0">
    <fb>45436</fb>
    <v>0</v>
  </rv>
  <rv s="0">
    <fb>200.71</fb>
    <v>1</v>
  </rv>
  <rv s="0">
    <fb>7356233</fb>
    <v>2</v>
  </rv>
  <rv s="0">
    <fb>45440</fb>
    <v>0</v>
  </rv>
  <rv s="0">
    <fb>199.5</fb>
    <v>1</v>
  </rv>
  <rv s="0">
    <fb>6910206</fb>
    <v>2</v>
  </rv>
  <rv s="0">
    <fb>45441</fb>
    <v>0</v>
  </rv>
  <rv s="0">
    <fb>198.11</fb>
    <v>1</v>
  </rv>
  <rv s="0">
    <fb>6120045</fb>
    <v>2</v>
  </rv>
  <rv s="0">
    <fb>45442</fb>
    <v>0</v>
  </rv>
  <rv s="0">
    <fb>199.33</fb>
    <v>1</v>
  </rv>
  <rv s="0">
    <fb>6829719</fb>
    <v>2</v>
  </rv>
  <rv s="0">
    <fb>45443</fb>
    <v>0</v>
  </rv>
  <rv s="0">
    <fb>202.63</fb>
    <v>1</v>
  </rv>
  <rv s="0">
    <fb>14417885</fb>
    <v>2</v>
  </rv>
  <rv s="0">
    <fb>45446</fb>
    <v>0</v>
  </rv>
  <rv s="0">
    <fb>201.82</fb>
    <v>1</v>
  </rv>
  <rv s="0">
    <fb>6444309</fb>
    <v>2</v>
  </rv>
  <rv s="0">
    <fb>45447</fb>
    <v>0</v>
  </rv>
  <rv s="0">
    <fb>199.16</fb>
    <v>1</v>
  </rv>
  <rv s="0">
    <fb>6848338</fb>
    <v>2</v>
  </rv>
  <rv s="0">
    <fb>45448</fb>
    <v>0</v>
  </rv>
  <rv s="0">
    <fb>197.26</fb>
    <v>1</v>
  </rv>
  <rv s="0">
    <fb>8351597</fb>
    <v>2</v>
  </rv>
  <rv s="0">
    <fb>45449</fb>
    <v>0</v>
  </rv>
  <rv s="0">
    <fb>196.91</fb>
    <v>1</v>
  </rv>
  <rv s="0">
    <fb>7640289</fb>
    <v>2</v>
  </rv>
  <rv s="0">
    <fb>45450</fb>
    <v>0</v>
  </rv>
  <rv s="0">
    <fb>199.95</fb>
    <v>1</v>
  </rv>
  <rv s="0">
    <fb>6964498</fb>
    <v>2</v>
  </rv>
  <rv s="0">
    <fb>45453</fb>
    <v>0</v>
  </rv>
  <rv s="0">
    <fb>199.61</fb>
    <v>1</v>
  </rv>
  <rv s="0">
    <fb>6071201</fb>
    <v>2</v>
  </rv>
  <rv s="0">
    <fb>45454</fb>
    <v>0</v>
  </rv>
  <rv s="0">
    <fb>194.36</fb>
    <v>1</v>
  </rv>
  <rv s="0">
    <fb>9235302</fb>
    <v>2</v>
  </rv>
  <rv s="0">
    <fb>45455</fb>
    <v>0</v>
  </rv>
  <rv s="0">
    <fb>191.53</fb>
    <v>1</v>
  </rv>
  <rv s="0">
    <fb>12751329</fb>
    <v>2</v>
  </rv>
  <rv s="0">
    <fb>45456</fb>
    <v>0</v>
  </rv>
  <rv s="0">
    <fb>193.66</fb>
    <v>1</v>
  </rv>
  <rv s="0">
    <fb>8587786</fb>
    <v>2</v>
  </rv>
  <rv s="0">
    <fb>45457</fb>
    <v>0</v>
  </rv>
  <rv s="0">
    <fb>193.78</fb>
    <v>1</v>
  </rv>
  <rv s="0">
    <fb>6874029</fb>
    <v>2</v>
  </rv>
  <rv s="0">
    <fb>45460</fb>
    <v>0</v>
  </rv>
  <rv s="0">
    <fb>194.98</fb>
    <v>1</v>
  </rv>
  <rv s="0">
    <fb>8725445</fb>
    <v>2</v>
  </rv>
  <rv s="0">
    <fb>45461</fb>
    <v>0</v>
  </rv>
  <rv s="0">
    <fb>197</fb>
    <v>1</v>
  </rv>
  <rv s="0">
    <fb>9022971</fb>
    <v>2</v>
  </rv>
  <rv s="0">
    <fb>45463</fb>
    <v>0</v>
  </rv>
  <rv s="0">
    <fb>198.67</fb>
    <v>1</v>
  </rv>
  <rv s="0">
    <fb>8731062</fb>
    <v>2</v>
  </rv>
  <rv s="0">
    <fb>45464</fb>
    <v>0</v>
  </rv>
  <rv s="0">
    <fb>196.3</fb>
    <v>1</v>
  </rv>
  <rv s="0">
    <fb>20972495</fb>
    <v>2</v>
  </rv>
  <rv s="0">
    <fb>45467</fb>
    <v>0</v>
  </rv>
  <rv s="0">
    <fb>198.88</fb>
    <v>1</v>
  </rv>
  <rv s="0">
    <fb>9785929</fb>
    <v>2</v>
  </rv>
  <rv s="0">
    <fb>45468</fb>
    <v>0</v>
  </rv>
  <rv s="0">
    <fb>198.07</fb>
    <v>1</v>
  </rv>
  <rv s="0">
    <fb>6915909</fb>
    <v>2</v>
  </rv>
  <rv s="0">
    <fb>45469</fb>
    <v>0</v>
  </rv>
  <rv s="0">
    <fb>197.43</fb>
    <v>1</v>
  </rv>
  <rv s="0">
    <fb>7758582</fb>
    <v>2</v>
  </rv>
  <rv s="0">
    <fb>45470</fb>
    <v>0</v>
  </rv>
  <rv s="0">
    <fb>199.17</fb>
    <v>1</v>
  </rv>
  <rv s="0">
    <fb>7913453</fb>
    <v>2</v>
  </rv>
  <rv s="0">
    <fb>45471</fb>
    <v>0</v>
  </rv>
  <rv s="0">
    <fb>202.26</fb>
    <v>1</v>
  </rv>
  <rv s="0">
    <fb>15307616</fb>
    <v>2</v>
  </rv>
  <rv s="0">
    <fb>45474</fb>
    <v>0</v>
  </rv>
  <rv s="0">
    <fb>205.45</fb>
    <v>1</v>
  </rv>
  <rv s="0">
    <fb>10205836</fb>
    <v>2</v>
  </rv>
  <rv s="0">
    <fb>45475</fb>
    <v>0</v>
  </rv>
  <rv s="0">
    <fb>208.83</fb>
    <v>1</v>
  </rv>
  <rv s="0">
    <fb>7802936</fb>
    <v>2</v>
  </rv>
  <rv s="0">
    <fb>45476</fb>
    <v>0</v>
  </rv>
  <rv s="0">
    <fb>208.69</fb>
    <v>1</v>
  </rv>
  <rv s="0">
    <fb>5560925</fb>
    <v>2</v>
  </rv>
  <rv s="0">
    <fb>45478</fb>
    <v>0</v>
  </rv>
  <rv s="0">
    <fb>8093096</fb>
    <v>2</v>
  </rv>
  <rv s="0">
    <fb>45481</fb>
    <v>0</v>
  </rv>
  <rv s="0">
    <fb>205.17</fb>
    <v>1</v>
  </rv>
  <rv s="0">
    <fb>8706967</fb>
    <v>2</v>
  </rv>
  <rv s="0">
    <fb>45482</fb>
    <v>0</v>
  </rv>
  <rv s="0">
    <fb>207.63</fb>
    <v>1</v>
  </rv>
  <rv s="0">
    <fb>9060258</fb>
    <v>2</v>
  </rv>
  <rv s="0">
    <fb>45483</fb>
    <v>0</v>
  </rv>
  <rv s="0">
    <fb>207.8</fb>
    <v>1</v>
  </rv>
  <rv s="0">
    <fb>8328493</fb>
    <v>2</v>
  </rv>
  <rv s="0">
    <fb>45484</fb>
    <v>0</v>
  </rv>
  <rv s="0">
    <fb>207.45</fb>
    <v>1</v>
  </rv>
  <rv s="0">
    <fb>10666937</fb>
    <v>2</v>
  </rv>
  <rv s="0">
    <fb>45485</fb>
    <v>0</v>
  </rv>
  <rv s="0">
    <fb>204.94</fb>
    <v>1</v>
  </rv>
  <rv s="0">
    <fb>15443441</fb>
    <v>2</v>
  </rv>
  <rv s="0">
    <fb>45488</fb>
    <v>0</v>
  </rv>
  <rv s="0">
    <fb>210.05</fb>
    <v>1</v>
  </rv>
  <rv s="0">
    <fb>10719670</fb>
    <v>2</v>
  </rv>
  <rv s="0">
    <fb>45489</fb>
    <v>0</v>
  </rv>
  <rv s="0">
    <fb>213.62</fb>
    <v>1</v>
  </rv>
  <rv s="0">
    <fb>11557018</fb>
    <v>2</v>
  </rv>
  <rv s="0">
    <fb>45490</fb>
    <v>0</v>
  </rv>
  <rv s="0">
    <fb>216.87</fb>
    <v>1</v>
  </rv>
  <rv s="0">
    <fb>11572470</fb>
    <v>2</v>
  </rv>
  <rv s="0">
    <fb>45491</fb>
    <v>0</v>
  </rv>
  <rv s="0">
    <fb>209.98</fb>
    <v>1</v>
  </rv>
  <rv s="0">
    <fb>12415125</fb>
    <v>2</v>
  </rv>
  <rv s="0">
    <fb>45492</fb>
    <v>0</v>
  </rv>
  <rv s="0">
    <fb>209.78</fb>
    <v>1</v>
  </rv>
  <rv s="0">
    <fb>8095898</fb>
    <v>2</v>
  </rv>
  <rv s="0">
    <fb>45495</fb>
    <v>0</v>
  </rv>
  <rv s="0">
    <fb>210.28</fb>
    <v>1</v>
  </rv>
  <rv s="0">
    <fb>7663223</fb>
    <v>2</v>
  </rv>
  <rv s="0">
    <fb>45496</fb>
    <v>0</v>
  </rv>
  <rv s="0">
    <fb>210.33</fb>
    <v>1</v>
  </rv>
  <rv s="0">
    <fb>5557262</fb>
    <v>2</v>
  </rv>
  <rv s="0">
    <fb>45497</fb>
    <v>0</v>
  </rv>
  <rv s="0">
    <fb>208.59</fb>
    <v>1</v>
  </rv>
  <rv s="0">
    <fb>7118957</fb>
    <v>2</v>
  </rv>
  <rv s="0">
    <fb>45498</fb>
    <v>0</v>
  </rv>
  <rv s="0">
    <fb>208.67</fb>
    <v>1</v>
  </rv>
  <rv s="0">
    <fb>6403774</fb>
    <v>2</v>
  </rv>
  <rv s="0">
    <fb>45499</fb>
    <v>0</v>
  </rv>
  <rv s="0">
    <fb>212.24</fb>
    <v>1</v>
  </rv>
  <rv s="0">
    <fb>8027787</fb>
    <v>2</v>
  </rv>
  <rv s="0">
    <fb>45502</fb>
    <v>0</v>
  </rv>
  <rv s="0">
    <fb>210.85</fb>
    <v>1</v>
  </rv>
  <rv s="0">
    <fb>6533636</fb>
    <v>2</v>
  </rv>
  <rv s="0">
    <fb>45503</fb>
    <v>0</v>
  </rv>
  <rv s="0">
    <fb>215.19</fb>
    <v>1</v>
  </rv>
  <rv s="0">
    <fb>8850705</fb>
    <v>2</v>
  </rv>
  <rv s="0">
    <fb>45504</fb>
    <v>0</v>
  </rv>
  <rv s="0">
    <fb>212.8</fb>
    <v>1</v>
  </rv>
  <rv s="0">
    <fb>9071637</fb>
    <v>2</v>
  </rv>
  <rv s="0">
    <fb>45505</fb>
    <v>0</v>
  </rv>
  <rv s="0">
    <fb>207.96</fb>
    <v>1</v>
  </rv>
  <rv s="0">
    <fb>10918644</fb>
    <v>2</v>
  </rv>
  <rv s="0">
    <fb>45506</fb>
    <v>0</v>
  </rv>
  <rv s="0">
    <fb>199.14</fb>
    <v>1</v>
  </rv>
  <rv s="0">
    <fb>18041676</fb>
    <v>2</v>
  </rv>
  <rv s="0">
    <fb>45509</fb>
    <v>0</v>
  </rv>
  <rv s="0">
    <fb>194.9</fb>
    <v>1</v>
  </rv>
  <rv s="0">
    <fb>13926997</fb>
    <v>2</v>
  </rv>
  <rv s="0">
    <fb>45510</fb>
    <v>0</v>
  </rv>
  <rv s="0">
    <fb>200.34</fb>
    <v>1</v>
  </rv>
  <rv s="0">
    <fb>10605780</fb>
    <v>2</v>
  </rv>
  <rv s="0">
    <fb>45511</fb>
    <v>0</v>
  </rv>
  <rv s="0">
    <fb>200.4</fb>
    <v>1</v>
  </rv>
  <rv s="0">
    <fb>9204434</fb>
    <v>2</v>
  </rv>
  <rv s="0">
    <fb>45512</fb>
    <v>0</v>
  </rv>
  <rv s="0">
    <fb>204.06</fb>
    <v>1</v>
  </rv>
  <rv s="0">
    <fb>7761199</fb>
    <v>2</v>
  </rv>
  <rv s="0">
    <fb>45513</fb>
    <v>0</v>
  </rv>
  <rv s="0">
    <fb>205.8</fb>
    <v>1</v>
  </rv>
  <rv s="0">
    <fb>5540240</fb>
    <v>2</v>
  </rv>
  <rv s="0">
    <fb>45516</fb>
    <v>0</v>
  </rv>
  <rv s="0">
    <fb>206.19</fb>
    <v>1</v>
  </rv>
  <rv s="0">
    <fb>6935954</fb>
    <v>2</v>
  </rv>
  <rv s="0">
    <fb>45517</fb>
    <v>0</v>
  </rv>
  <rv s="0">
    <fb>207.94</fb>
    <v>1</v>
  </rv>
  <rv s="0">
    <fb>6387942</fb>
    <v>2</v>
  </rv>
  <rv s="0">
    <fb>45518</fb>
    <v>0</v>
  </rv>
  <rv s="0">
    <fb>210.24</fb>
    <v>1</v>
  </rv>
  <rv s="0">
    <fb>6999809</fb>
    <v>2</v>
  </rv>
  <rv s="0">
    <fb>45519</fb>
    <v>0</v>
  </rv>
  <rv s="0">
    <fb>211.55</fb>
    <v>1</v>
  </rv>
  <rv s="0">
    <fb>7001005</fb>
    <v>2</v>
  </rv>
  <rv s="0">
    <fb>45520</fb>
    <v>0</v>
  </rv>
  <rv s="0">
    <fb>213.97</fb>
    <v>1</v>
  </rv>
  <rv s="0">
    <fb>7931234</fb>
    <v>2</v>
  </rv>
  <rv s="0">
    <fb>45523</fb>
    <v>0</v>
  </rv>
  <rv s="0">
    <fb>215.45</fb>
    <v>1</v>
  </rv>
  <rv s="0">
    <fb>6090818</fb>
    <v>2</v>
  </rv>
  <rv s="0">
    <fb>45524</fb>
    <v>0</v>
  </rv>
  <rv s="0">
    <fb>214.52</fb>
    <v>1</v>
  </rv>
  <rv s="0">
    <fb>5640223</fb>
    <v>2</v>
  </rv>
  <rv s="0">
    <fb>45525</fb>
    <v>0</v>
  </rv>
  <rv s="0">
    <fb>214.6</fb>
    <v>1</v>
  </rv>
  <rv s="0">
    <fb>5202472</fb>
    <v>2</v>
  </rv>
  <rv s="0">
    <fb>45526</fb>
    <v>0</v>
  </rv>
  <rv s="0">
    <fb>216.63</fb>
    <v>1</v>
  </rv>
  <rv s="0">
    <fb>5247098</fb>
    <v>2</v>
  </rv>
  <rv s="0">
    <fb>45527</fb>
    <v>0</v>
  </rv>
  <rv s="0">
    <fb>218.31</fb>
    <v>1</v>
  </rv>
  <rv s="0">
    <fb>7213981</fb>
    <v>2</v>
  </rv>
  <rv s="0">
    <fb>45530</fb>
    <v>0</v>
  </rv>
  <rv s="0">
    <fb>219.17</fb>
    <v>1</v>
  </rv>
  <rv s="0">
    <fb>5105245</fb>
    <v>2</v>
  </rv>
  <rv s="0">
    <fb>45531</fb>
    <v>0</v>
  </rv>
  <rv s="0">
    <fb>220.18</fb>
    <v>1</v>
  </rv>
  <rv s="0">
    <fb>5185221</fb>
    <v>2</v>
  </rv>
  <rv s="0">
    <fb>45532</fb>
    <v>0</v>
  </rv>
  <rv s="0">
    <fb>221.29</fb>
    <v>1</v>
  </rv>
  <rv s="0">
    <fb>6506402</fb>
    <v>2</v>
  </rv>
  <rv s="0">
    <fb>45533</fb>
    <v>0</v>
  </rv>
  <rv s="0">
    <fb>222.21</fb>
    <v>1</v>
  </rv>
  <rv s="0">
    <fb>6416149</fb>
    <v>2</v>
  </rv>
  <rv s="0">
    <fb>45534</fb>
    <v>0</v>
  </rv>
  <rv s="0">
    <fb>224.8</fb>
    <v>1</v>
  </rv>
  <rv s="0">
    <fb>8574128</fb>
    <v>2</v>
  </rv>
  <rv s="0">
    <fb>45538</fb>
    <v>0</v>
  </rv>
  <rv s="0">
    <fb>220.3</fb>
    <v>1</v>
  </rv>
  <rv s="0">
    <fb>8956089</fb>
    <v>2</v>
  </rv>
  <rv s="0">
    <fb>45539</fb>
    <v>0</v>
  </rv>
  <rv s="0">
    <fb>219.33</fb>
    <v>1</v>
  </rv>
  <rv s="0">
    <fb>7389474</fb>
    <v>2</v>
  </rv>
  <rv s="0">
    <fb>45540</fb>
    <v>0</v>
  </rv>
  <rv s="0">
    <fb>217.63</fb>
    <v>1</v>
  </rv>
  <rv s="0">
    <fb>8067874</fb>
    <v>2</v>
  </rv>
  <rv s="0">
    <fb>45541</fb>
    <v>0</v>
  </rv>
  <rv s="0">
    <fb>212.46</fb>
    <v>1</v>
  </rv>
  <rv s="0">
    <fb>7776998</fb>
    <v>2</v>
  </rv>
  <rv s="0">
    <fb>45544</fb>
    <v>0</v>
  </rv>
  <rv s="0">
    <fb>216.81</fb>
    <v>1</v>
  </rv>
  <rv s="0">
    <fb>8935074</fb>
    <v>2</v>
  </rv>
  <rv s="0">
    <fb>45545</fb>
    <v>0</v>
  </rv>
  <rv s="0">
    <fb>205.56</fb>
    <v>1</v>
  </rv>
  <rv s="0">
    <fb>28406903</fb>
    <v>2</v>
  </rv>
  <rv s="0">
    <fb>45546</fb>
    <v>0</v>
  </rv>
  <rv s="0">
    <fb>207.23</fb>
    <v>1</v>
  </rv>
  <rv s="0">
    <fb>13658743</fb>
    <v>2</v>
  </rv>
  <rv s="0">
    <fb>45547</fb>
    <v>0</v>
  </rv>
  <rv s="0">
    <fb>206.6</fb>
    <v>1</v>
  </rv>
  <rv s="0">
    <fb>9055756</fb>
    <v>2</v>
  </rv>
  <rv s="0">
    <fb>45548</fb>
    <v>0</v>
  </rv>
  <rv s="0">
    <fb>204.32</fb>
    <v>1</v>
  </rv>
  <rv s="0">
    <fb>10226694</fb>
    <v>2</v>
  </rv>
  <rv s="0">
    <fb>45551</fb>
    <v>0</v>
  </rv>
  <rv s="0">
    <fb>207.86</fb>
    <v>1</v>
  </rv>
  <rv s="0">
    <fb>8634936</fb>
    <v>2</v>
  </rv>
  <rv s="0">
    <fb>45552</fb>
    <v>0</v>
  </rv>
  <rv s="0">
    <fb>209.25</fb>
    <v>1</v>
  </rv>
  <rv s="0">
    <fb>7573345</fb>
    <v>2</v>
  </rv>
  <rv s="0">
    <fb>45553</fb>
    <v>0</v>
  </rv>
  <rv s="0">
    <fb>207.53</fb>
    <v>1</v>
  </rv>
  <rv s="0">
    <fb>8259876</fb>
    <v>2</v>
  </rv>
  <rv s="0">
    <fb>45554</fb>
    <v>0</v>
  </rv>
  <rv s="0">
    <fb>210.48</fb>
    <v>1</v>
  </rv>
  <rv s="0">
    <fb>11635168</fb>
    <v>2</v>
  </rv>
  <rv s="0">
    <fb>45555</fb>
    <v>0</v>
  </rv>
  <rv s="0">
    <fb>211.09</fb>
    <v>1</v>
  </rv>
  <rv s="0">
    <fb>20884974</fb>
    <v>2</v>
  </rv>
  <rv s="0">
    <fb>45558</fb>
    <v>0</v>
  </rv>
  <rv s="0">
    <fb>211.44</fb>
    <v>1</v>
  </rv>
  <rv s="0">
    <fb>7223491</fb>
    <v>2</v>
  </rv>
  <rv s="0">
    <fb>45559</fb>
    <v>0</v>
  </rv>
  <rv s="0">
    <fb>211.59</fb>
    <v>1</v>
  </rv>
  <rv s="0">
    <fb>7323239</fb>
    <v>2</v>
  </rv>
  <rv s="0">
    <fb>45560</fb>
    <v>0</v>
  </rv>
  <rv s="0">
    <fb>210.19</fb>
    <v>1</v>
  </rv>
  <rv s="0">
    <fb>8976520</fb>
    <v>2</v>
  </rv>
  <rv s="0">
    <fb>45561</fb>
    <v>0</v>
  </rv>
  <rv s="0">
    <fb>7807480</fb>
    <v>2</v>
  </rv>
  <rv s="0">
    <fb>45562</fb>
    <v>0</v>
  </rv>
  <rv s="0">
    <fb>210.5</fb>
    <v>1</v>
  </rv>
  <rv s="0">
    <fb>7032450</fb>
    <v>2</v>
  </rv>
  <rv s="0">
    <fb>45565</fb>
    <v>0</v>
  </rv>
  <rv s="0">
    <fb>210.86</fb>
    <v>1</v>
  </rv>
  <rv s="0">
    <fb>8668314</fb>
    <v>2</v>
  </rv>
  <rv s="0">
    <fb>45566</fb>
    <v>0</v>
  </rv>
  <rv s="0">
    <fb>207.04</fb>
    <v>1</v>
  </rv>
  <rv s="0">
    <fb>8540064</fb>
    <v>2</v>
  </rv>
  <rv s="0">
    <fb>45567</fb>
    <v>0</v>
  </rv>
  <rv s="0">
    <fb>207.29</fb>
    <v>1</v>
  </rv>
  <rv s="0">
    <fb>5810931</fb>
    <v>2</v>
  </rv>
  <rv s="0">
    <fb>45568</fb>
    <v>0</v>
  </rv>
  <rv s="0">
    <fb>205.23</fb>
    <v>1</v>
  </rv>
  <rv s="0">
    <fb>7251325</fb>
    <v>2</v>
  </rv>
  <rv s="0">
    <fb>45569</fb>
    <v>0</v>
  </rv>
  <rv s="0">
    <fb>211.22</fb>
    <v>1</v>
  </rv>
  <rv s="0">
    <fb>10213415</fb>
    <v>2</v>
  </rv>
  <rv s="0">
    <fb>45572</fb>
    <v>0</v>
  </rv>
  <rv s="0">
    <fb>210.93</fb>
    <v>1</v>
  </rv>
  <rv s="0">
    <fb>6718898</fb>
    <v>2</v>
  </rv>
  <rv s="0">
    <fb>45573</fb>
    <v>0</v>
  </rv>
  <rv s="0">
    <fb>210.75</fb>
    <v>1</v>
  </rv>
  <rv s="0">
    <fb>6021772</fb>
    <v>2</v>
  </rv>
  <rv s="0">
    <fb>45574</fb>
    <v>0</v>
  </rv>
  <rv s="0">
    <fb>213.42</fb>
    <v>1</v>
  </rv>
  <rv s="0">
    <fb>7023998</fb>
    <v>2</v>
  </rv>
  <rv s="0">
    <fb>45575</fb>
    <v>0</v>
  </rv>
  <rv s="0">
    <fb>212.84</fb>
    <v>1</v>
  </rv>
  <rv s="0">
    <fb>7927051</fb>
    <v>2</v>
  </rv>
  <rv s="0">
    <fb>45576</fb>
    <v>0</v>
  </rv>
  <rv s="0">
    <fb>222.29</fb>
    <v>1</v>
  </rv>
  <rv s="0">
    <fb>18320650</fb>
    <v>2</v>
  </rv>
  <rv s="0">
    <fb>45579</fb>
    <v>0</v>
  </rv>
  <rv s="0">
    <fb>221.48</fb>
    <v>1</v>
  </rv>
  <rv s="0">
    <fb>9048925</fb>
    <v>2</v>
  </rv>
  <rv s="0">
    <fb>45580</fb>
    <v>0</v>
  </rv>
  <rv s="0">
    <fb>222.39</fb>
    <v>1</v>
  </rv>
  <rv s="0">
    <fb>9235825</fb>
    <v>2</v>
  </rv>
  <rv s="0">
    <fb>45581</fb>
    <v>0</v>
  </rv>
  <rv s="0">
    <fb>223.64</fb>
    <v>1</v>
  </rv>
  <rv s="0">
    <fb>6382515</fb>
    <v>2</v>
  </rv>
  <rv s="0">
    <fb>45582</fb>
    <v>0</v>
  </rv>
  <rv s="0">
    <fb>224.42</fb>
    <v>1</v>
  </rv>
  <rv s="0">
    <fb>6470186</fb>
    <v>2</v>
  </rv>
  <rv s="0">
    <fb>45583</fb>
    <v>0</v>
  </rv>
  <rv s="0">
    <fb>225.37</fb>
    <v>1</v>
  </rv>
  <rv s="0">
    <fb>7000543</fb>
    <v>2</v>
  </rv>
  <rv s="0">
    <fb>45586</fb>
    <v>0</v>
  </rv>
  <rv s="0">
    <fb>223</fb>
    <v>1</v>
  </rv>
  <rv s="0">
    <fb>5869959</fb>
    <v>2</v>
  </rv>
  <rv s="0">
    <fb>45587</fb>
    <v>0</v>
  </rv>
  <rv s="0">
    <fb>224.12</fb>
    <v>1</v>
  </rv>
  <rv s="0">
    <fb>9586793</fb>
    <v>2</v>
  </rv>
  <rv s="0">
    <fb>45588</fb>
    <v>0</v>
  </rv>
  <rv s="0">
    <fb>223.41</fb>
    <v>1</v>
  </rv>
  <rv s="0">
    <fb>6180528</fb>
    <v>2</v>
  </rv>
  <rv s="0">
    <fb>45589</fb>
    <v>0</v>
  </rv>
  <rv s="0">
    <fb>224.98</fb>
    <v>1</v>
  </rv>
  <rv s="0">
    <fb>6002202</fb>
    <v>2</v>
  </rv>
  <rv s="0">
    <fb>45590</fb>
    <v>0</v>
  </rv>
  <rv s="0">
    <fb>222.31</fb>
    <v>1</v>
  </rv>
  <rv s="0">
    <fb>6369720</fb>
    <v>2</v>
  </rv>
  <rv s="0">
    <fb>45593</fb>
    <v>0</v>
  </rv>
  <rv s="0">
    <fb>225.5</fb>
    <v>1</v>
  </rv>
  <rv s="0">
    <fb>6842956</fb>
    <v>2</v>
  </rv>
  <rv s="0">
    <fb>45594</fb>
    <v>0</v>
  </rv>
  <rv s="0">
    <fb>222.9</fb>
    <v>1</v>
  </rv>
  <rv s="0">
    <fb>6580004</fb>
    <v>2</v>
  </rv>
  <rv s="0">
    <fb>45595</fb>
    <v>0</v>
  </rv>
  <rv s="0">
    <fb>224.41</fb>
    <v>1</v>
  </rv>
  <rv s="0">
    <fb>7110941</fb>
    <v>2</v>
  </rv>
  <rv s="0">
    <fb>45596</fb>
    <v>0</v>
  </rv>
  <rv s="0">
    <fb>221.92</fb>
    <v>1</v>
  </rv>
  <rv s="0">
    <fb>7829932</fb>
    <v>2</v>
  </rv>
  <rv s="0">
    <fb>45597</fb>
    <v>0</v>
  </rv>
  <rv s="0">
    <fb>222.94</fb>
    <v>1</v>
  </rv>
  <rv s="0">
    <fb>6923452</fb>
    <v>2</v>
  </rv>
  <rv s="0">
    <fb>45600</fb>
    <v>0</v>
  </rv>
  <rv s="0">
    <fb>219.78</fb>
    <v>1</v>
  </rv>
  <rv s="0">
    <fb>8229588</fb>
    <v>2</v>
  </rv>
  <rv s="0">
    <fb>45601</fb>
    <v>0</v>
  </rv>
  <rv s="0">
    <fb>221.49</fb>
    <v>1</v>
  </rv>
  <rv s="0">
    <fb>5600686</fb>
    <v>2</v>
  </rv>
  <rv s="0">
    <fb>45602</fb>
    <v>0</v>
  </rv>
  <rv s="0">
    <fb>247.06</fb>
    <v>1</v>
  </rv>
  <rv s="0">
    <fb>23987753</fb>
    <v>2</v>
  </rv>
  <rv s="0">
    <fb>45603</fb>
    <v>0</v>
  </rv>
  <rv s="0">
    <fb>236.38</fb>
    <v>1</v>
  </rv>
  <rv s="0">
    <fb>16451071</fb>
    <v>2</v>
  </rv>
  <rv s="0">
    <fb>45604</fb>
    <v>0</v>
  </rv>
  <rv s="0">
    <fb>236.98</fb>
    <v>1</v>
  </rv>
  <rv s="0">
    <fb>9502100</fb>
    <v>2</v>
  </rv>
  <rv s="0">
    <fb>45607</fb>
    <v>0</v>
  </rv>
  <rv s="0">
    <fb>239.29</fb>
    <v>1</v>
  </rv>
  <rv s="0">
    <fb>9017079</fb>
    <v>2</v>
  </rv>
  <rv s="0">
    <fb>45608</fb>
    <v>0</v>
  </rv>
  <rv s="0">
    <fb>239.56</fb>
    <v>1</v>
  </rv>
  <rv s="0">
    <fb>6860956</fb>
    <v>2</v>
  </rv>
  <rv s="0">
    <fb>45609</fb>
    <v>0</v>
  </rv>
  <rv s="0">
    <fb>241.16</fb>
    <v>1</v>
  </rv>
  <rv s="0">
    <fb>11472557</fb>
    <v>2</v>
  </rv>
  <rv s="0">
    <fb>45610</fb>
    <v>0</v>
  </rv>
  <rv s="0">
    <fb>241.87</fb>
    <v>1</v>
  </rv>
  <rv s="0">
    <fb>10172202</fb>
    <v>2</v>
  </rv>
  <rv s="0">
    <fb>45611</fb>
    <v>0</v>
  </rv>
  <rv s="0">
    <fb>245.31</fb>
    <v>1</v>
  </rv>
  <rv s="0">
    <fb>11518836</fb>
    <v>2</v>
  </rv>
  <rv s="0">
    <fb>45614</fb>
    <v>0</v>
  </rv>
  <rv s="0">
    <fb>245.03</fb>
    <v>1</v>
  </rv>
  <rv s="0">
    <fb>9052575</fb>
    <v>2</v>
  </rv>
  <rv s="0">
    <fb>45615</fb>
    <v>0</v>
  </rv>
  <rv s="0">
    <fb>243.09</fb>
    <v>1</v>
  </rv>
  <rv s="0">
    <fb>6792660</fb>
    <v>2</v>
  </rv>
  <rv s="0">
    <fb>45616</fb>
    <v>0</v>
  </rv>
  <rv s="0">
    <fb>240.78</fb>
    <v>1</v>
  </rv>
  <rv s="0">
    <fb>9015290</fb>
    <v>2</v>
  </rv>
  <rv s="0">
    <fb>45617</fb>
    <v>0</v>
  </rv>
  <rv s="0">
    <fb>244.76</fb>
    <v>1</v>
  </rv>
  <rv s="0">
    <fb>8783516</fb>
    <v>2</v>
  </rv>
  <rv s="0">
    <fb>45618</fb>
    <v>0</v>
  </rv>
  <rv s="0">
    <fb>248.55</fb>
    <v>1</v>
  </rv>
  <rv s="0">
    <fb>7997307</fb>
    <v>2</v>
  </rv>
  <rv s="0">
    <fb>45621</fb>
    <v>0</v>
  </rv>
  <rv s="0">
    <fb>250.29</fb>
    <v>1</v>
  </rv>
  <rv s="0">
    <fb>10295350</fb>
    <v>2</v>
  </rv>
  <rv s="0">
    <fb>45622</fb>
    <v>0</v>
  </rv>
  <rv s="0">
    <fb>249.97</fb>
    <v>1</v>
  </rv>
  <rv s="0">
    <fb>6212142</fb>
    <v>2</v>
  </rv>
  <rv s="0">
    <fb>45623</fb>
    <v>0</v>
  </rv>
  <rv s="0">
    <fb>249.79</fb>
    <v>1</v>
  </rv>
  <rv s="0">
    <fb>5472265</fb>
    <v>2</v>
  </rv>
  <rv s="0">
    <fb>45625</fb>
    <v>0</v>
  </rv>
  <rv s="0">
    <fb>249.72</fb>
    <v>1</v>
  </rv>
  <rv s="0">
    <fb>5494825</fb>
    <v>2</v>
  </rv>
  <rv s="0">
    <fb>45628</fb>
    <v>0</v>
  </rv>
  <rv s="0">
    <fb>246.25</fb>
    <v>1</v>
  </rv>
  <rv s="0">
    <fb>8899741</fb>
    <v>2</v>
  </rv>
  <rv s="0">
    <fb>45629</fb>
    <v>0</v>
  </rv>
  <rv s="0">
    <fb>244.82</fb>
    <v>1</v>
  </rv>
  <rv s="0">
    <fb>6657694</fb>
    <v>2</v>
  </rv>
  <rv s="0">
    <fb>45630</fb>
    <v>0</v>
  </rv>
  <rv s="0">
    <fb>243.4</fb>
    <v>1</v>
  </rv>
  <rv s="0">
    <fb>7346265</fb>
    <v>2</v>
  </rv>
  <rv s="0">
    <fb>45631</fb>
    <v>0</v>
  </rv>
  <rv s="0">
    <fb>245.48</fb>
    <v>1</v>
  </rv>
  <rv s="0">
    <fb>6572536</fb>
    <v>2</v>
  </rv>
  <rv s="0">
    <fb>45632</fb>
    <v>0</v>
  </rv>
  <rv s="0">
    <fb>247.36</fb>
    <v>1</v>
  </rv>
  <rv s="0">
    <fb>5519738</fb>
    <v>2</v>
  </rv>
  <rv s="0">
    <fb>45635</fb>
    <v>0</v>
  </rv>
  <rv s="0">
    <fb>243.81</fb>
    <v>1</v>
  </rv>
  <rv s="0">
    <fb>7076466</fb>
    <v>2</v>
  </rv>
  <rv s="0">
    <fb>45636</fb>
    <v>0</v>
  </rv>
  <rv s="0">
    <fb>242.86</fb>
    <v>1</v>
  </rv>
  <rv s="0">
    <fb>9108339</fb>
    <v>2</v>
  </rv>
  <rv s="0">
    <fb>45637</fb>
    <v>0</v>
  </rv>
  <rv s="0">
    <fb>243.53</fb>
    <v>1</v>
  </rv>
  <rv s="0">
    <fb>7884442</fb>
    <v>2</v>
  </rv>
  <rv s="0">
    <fb>45638</fb>
    <v>0</v>
  </rv>
  <rv s="0">
    <fb>241.53</fb>
    <v>1</v>
  </rv>
  <rv s="0">
    <fb>6113771</fb>
    <v>2</v>
  </rv>
  <rv s="0">
    <fb>45639</fb>
    <v>0</v>
  </rv>
  <rv s="0">
    <fb>239.94</fb>
    <v>1</v>
  </rv>
  <rv s="0">
    <fb>10392749</fb>
    <v>2</v>
  </rv>
  <rv s="0">
    <fb>45642</fb>
    <v>0</v>
  </rv>
  <rv s="0">
    <fb>239.58</fb>
    <v>1</v>
  </rv>
  <rv s="0">
    <fb>9032044</fb>
    <v>2</v>
  </rv>
  <rv s="0">
    <fb>45643</fb>
    <v>0</v>
  </rv>
  <rv s="0">
    <fb>238.36</fb>
    <v>1</v>
  </rv>
  <rv s="0">
    <fb>8083635</fb>
    <v>2</v>
  </rv>
  <rv s="0">
    <fb>45644</fb>
    <v>0</v>
  </rv>
  <rv s="0">
    <fb>230.37</fb>
    <v>1</v>
  </rv>
  <rv s="0">
    <fb>11322358</fb>
    <v>2</v>
  </rv>
  <rv s="0">
    <fb>45645</fb>
    <v>0</v>
  </rv>
  <rv s="0">
    <fb>232.96</fb>
    <v>1</v>
  </rv>
  <rv s="0">
    <fb>11790773</fb>
    <v>2</v>
  </rv>
  <rv s="0">
    <fb>45646</fb>
    <v>0</v>
  </rv>
  <rv s="0">
    <fb>237.6</fb>
    <v>1</v>
  </rv>
  <rv s="0">
    <fb>32348414</fb>
    <v>2</v>
  </rv>
  <rv s="0">
    <fb>45649</fb>
    <v>0</v>
  </rv>
  <rv s="0">
    <fb>238.39</fb>
    <v>1</v>
  </rv>
  <rv s="0">
    <fb>8611528</fb>
    <v>2</v>
  </rv>
  <rv s="0">
    <fb>45650</fb>
    <v>0</v>
  </rv>
  <rv s="0">
    <fb>242.31</fb>
    <v>1</v>
  </rv>
  <rv s="0">
    <fb>3729092</fb>
    <v>2</v>
  </rv>
  <rv s="0">
    <fb>45652</fb>
    <v>0</v>
  </rv>
  <rv s="0">
    <fb>243.14</fb>
    <v>1</v>
  </rv>
  <rv s="0">
    <fb>4452168</fb>
    <v>2</v>
  </rv>
  <rv s="0">
    <fb>45653</fb>
    <v>0</v>
  </rv>
  <rv s="0">
    <fb>241.17</fb>
    <v>1</v>
  </rv>
  <rv s="0">
    <fb>5730607</fb>
    <v>2</v>
  </rv>
  <rv s="0">
    <fb>45656</fb>
    <v>0</v>
  </rv>
  <rv s="0">
    <fb>239.32</fb>
    <v>1</v>
  </rv>
  <rv s="0">
    <fb>5723765</fb>
    <v>2</v>
  </rv>
  <rv s="0">
    <fb>45657</fb>
    <v>0</v>
  </rv>
  <rv s="0">
    <fb>239.71</fb>
    <v>1</v>
  </rv>
  <rv s="0">
    <fb>4870971</fb>
    <v>2</v>
  </rv>
  <rv s="0">
    <fb>45659</fb>
    <v>0</v>
  </rv>
  <rv s="0">
    <fb>240</fb>
    <v>1</v>
  </rv>
  <rv s="0">
    <fb>9220914</fb>
    <v>2</v>
  </rv>
  <rv s="0">
    <fb>45660</fb>
    <v>0</v>
  </rv>
  <rv s="0">
    <fb>243.28</fb>
    <v>1</v>
  </rv>
  <rv s="0">
    <fb>9491053</fb>
    <v>2</v>
  </rv>
  <rv s="0">
    <fb>45663</fb>
    <v>0</v>
  </rv>
  <rv s="0">
    <fb>240.85</fb>
    <v>1</v>
  </rv>
  <rv s="0">
    <fb>9917836</fb>
    <v>2</v>
  </rv>
  <rv s="0">
    <fb>45664</fb>
    <v>0</v>
  </rv>
  <rv s="0">
    <fb>243.17</fb>
    <v>1</v>
  </rv>
  <rv s="0">
    <fb>8753357</fb>
    <v>2</v>
  </rv>
  <rv s="0">
    <fb>45665</fb>
    <v>0</v>
  </rv>
  <rv s="0">
    <fb>243.13</fb>
    <v>1</v>
  </rv>
  <rv s="0">
    <fb>8675284</fb>
    <v>2</v>
  </rv>
  <rv s="0">
    <fb>45667</fb>
    <v>0</v>
  </rv>
  <rv s="0">
    <fb>239.87</fb>
    <v>1</v>
  </rv>
  <rv s="0">
    <fb>10256829</fb>
    <v>2</v>
  </rv>
  <rv s="0">
    <fb>45670</fb>
    <v>0</v>
  </rv>
  <rv s="0">
    <fb>244.21</fb>
    <v>1</v>
  </rv>
  <rv s="0">
    <fb>10005315</fb>
    <v>2</v>
  </rv>
  <rv s="0">
    <fb>45671</fb>
    <v>0</v>
  </rv>
  <rv s="0">
    <fb>247.47</fb>
    <v>1</v>
  </rv>
  <rv s="0">
    <fb>12407386</fb>
    <v>2</v>
  </rv>
  <rv s="0">
    <fb>45672</fb>
    <v>0</v>
  </rv>
  <rv s="0">
    <fb>252.35</fb>
    <v>1</v>
  </rv>
  <rv s="0">
    <fb>18448520</fb>
    <v>2</v>
  </rv>
  <rv s="0">
    <fb>45673</fb>
    <v>0</v>
  </rv>
  <rv s="0">
    <fb>254.27</fb>
    <v>1</v>
  </rv>
  <rv s="0">
    <fb>15292348</fb>
    <v>2</v>
  </rv>
  <rv s="0">
    <fb>45674</fb>
    <v>0</v>
  </rv>
  <rv s="0">
    <fb>259.16000000000003</fb>
    <v>1</v>
  </rv>
  <rv s="0">
    <fb>17678101</fb>
    <v>2</v>
  </rv>
  <rv s="0">
    <fb>45678</fb>
    <v>0</v>
  </rv>
  <rv s="0">
    <fb>263.02999999999997</fb>
    <v>1</v>
  </rv>
  <rv s="0">
    <fb>13712114</fb>
    <v>2</v>
  </rv>
  <rv s="0">
    <fb>45679</fb>
    <v>0</v>
  </rv>
  <rv s="0">
    <fb>262.83999999999997</fb>
    <v>1</v>
  </rv>
  <rv s="0">
    <fb>9021914</fb>
    <v>2</v>
  </rv>
  <rv s="0">
    <fb>45680</fb>
    <v>0</v>
  </rv>
  <rv s="0">
    <fb>265.95</fb>
    <v>1</v>
  </rv>
  <rv s="0">
    <fb>10749681</fb>
    <v>2</v>
  </rv>
  <rv s="0">
    <fb>45681</fb>
    <v>0</v>
  </rv>
  <rv s="0">
    <fb>264.83999999999997</fb>
    <v>1</v>
  </rv>
  <rv s="0">
    <fb>7666261</fb>
    <v>2</v>
  </rv>
  <rv s="0">
    <fb>45684</fb>
    <v>0</v>
  </rv>
  <rv s="0">
    <fb>265.85000000000002</fb>
    <v>1</v>
  </rv>
  <rv s="0">
    <fb>7522258</fb>
    <v>2</v>
  </rv>
  <rv s="0">
    <fb>45685</fb>
    <v>0</v>
  </rv>
  <rv s="0">
    <fb>267.14</fb>
    <v>1</v>
  </rv>
  <rv s="0">
    <fb>7375391</fb>
    <v>2</v>
  </rv>
  <rv s="0">
    <fb>45686</fb>
    <v>0</v>
  </rv>
  <rv s="0">
    <fb>266.58</fb>
    <v>1</v>
  </rv>
  <rv s="0">
    <fb>7684870</fb>
    <v>2</v>
  </rv>
  <rv s="0">
    <fb>45687</fb>
    <v>0</v>
  </rv>
  <rv s="0">
    <fb>268.23</fb>
    <v>1</v>
  </rv>
  <rv s="0">
    <fb>8753466</fb>
    <v>2</v>
  </rv>
  <rv s="0">
    <fb>45688</fb>
    <v>0</v>
  </rv>
  <rv s="0">
    <fb>267.3</fb>
    <v>1</v>
  </rv>
  <rv s="0">
    <fb>7196268</fb>
    <v>2</v>
  </rv>
  <rv s="0">
    <fb>45691</fb>
    <v>0</v>
  </rv>
  <rv s="0">
    <fb>266.81</fb>
    <v>1</v>
  </rv>
  <rv s="0">
    <fb>8381361</fb>
    <v>2</v>
  </rv>
  <rv s="0">
    <fb>45692</fb>
    <v>0</v>
  </rv>
  <rv s="0">
    <fb>267.94</fb>
    <v>1</v>
  </rv>
  <rv s="0">
    <fb>5625972</fb>
    <v>2</v>
  </rv>
  <rv s="0">
    <fb>45693</fb>
    <v>0</v>
  </rv>
  <rv s="0">
    <fb>270.43</fb>
    <v>1</v>
  </rv>
  <rv s="0">
    <fb>5704431</fb>
    <v>2</v>
  </rv>
  <rv s="0">
    <fb>45694</fb>
    <v>0</v>
  </rv>
  <rv s="0">
    <fb>276.89999999999998</fb>
    <v>1</v>
  </rv>
  <rv s="0">
    <fb>7264371</fb>
    <v>2</v>
  </rv>
  <rv s="0">
    <fb>45695</fb>
    <v>0</v>
  </rv>
  <rv s="0">
    <fb>275.8</fb>
    <v>1</v>
  </rv>
  <rv s="0">
    <fb>6857875</fb>
    <v>2</v>
  </rv>
  <rv s="0">
    <fb>45698</fb>
    <v>0</v>
  </rv>
  <rv s="0">
    <fb>271.04000000000002</fb>
    <v>1</v>
  </rv>
  <rv s="0">
    <fb>8627352</fb>
    <v>2</v>
  </rv>
  <rv s="0">
    <fb>45699</fb>
    <v>0</v>
  </rv>
  <rv s="0">
    <fb>274.99</fb>
    <v>1</v>
  </rv>
  <rv s="0">
    <fb>7196376</fb>
    <v>2</v>
  </rv>
  <rv s="0">
    <fb>45700</fb>
    <v>0</v>
  </rv>
  <rv s="0">
    <fb>275.45</fb>
    <v>1</v>
  </rv>
  <rv s="0">
    <fb>6683894</fb>
    <v>2</v>
  </rv>
  <rv s="0">
    <fb>45701</fb>
    <v>0</v>
  </rv>
  <rv s="0">
    <fb>276.32</fb>
    <v>1</v>
  </rv>
  <rv s="0">
    <fb>8398667</fb>
    <v>2</v>
  </rv>
  <rv s="0">
    <fb>45702</fb>
    <v>0</v>
  </rv>
  <rv s="0">
    <fb>276.58999999999997</fb>
    <v>1</v>
  </rv>
  <rv s="0">
    <fb>5688627</fb>
    <v>2</v>
  </rv>
  <rv s="0">
    <fb>45706</fb>
    <v>0</v>
  </rv>
  <rv s="0">
    <fb>279.95</fb>
    <v>1</v>
  </rv>
  <rv s="0">
    <fb>7919798</fb>
    <v>2</v>
  </rv>
  <rv s="0">
    <fb>45707</fb>
    <v>0</v>
  </rv>
  <rv s="0">
    <fb>279.25</fb>
    <v>1</v>
  </rv>
  <rv s="0">
    <fb>7007248</fb>
    <v>2</v>
  </rv>
  <rv s="0">
    <fb>45708</fb>
    <v>0</v>
  </rv>
  <rv s="0">
    <fb>266.8</fb>
    <v>1</v>
  </rv>
  <rv s="0">
    <fb>13846671</fb>
    <v>2</v>
  </rv>
  <rv s="0">
    <fb>45709</fb>
    <v>0</v>
  </rv>
  <rv s="0">
    <fb>264.24</fb>
    <v>1</v>
  </rv>
  <rv s="0">
    <fb>12835566</fb>
    <v>2</v>
  </rv>
  <rv s="0">
    <fb>45712</fb>
    <v>0</v>
  </rv>
  <rv s="0">
    <fb>261.33999999999997</fb>
    <v>1</v>
  </rv>
  <rv s="0">
    <fb>10372751</fb>
    <v>2</v>
  </rv>
  <rv s="0">
    <fb>45713</fb>
    <v>0</v>
  </rv>
  <rv s="0">
    <fb>257.39999999999998</fb>
    <v>1</v>
  </rv>
  <rv s="0">
    <fb>9608439</fb>
    <v>2</v>
  </rv>
  <rv s="0">
    <fb>45714</fb>
    <v>0</v>
  </rv>
  <rv s="0">
    <fb>258.79000000000002</fb>
    <v>1</v>
  </rv>
  <rv s="0">
    <fb>5943585</fb>
    <v>2</v>
  </rv>
  <rv s="0">
    <fb>45715</fb>
    <v>0</v>
  </rv>
  <rv s="0">
    <fb>259.05</fb>
    <v>1</v>
  </rv>
  <rv s="0">
    <fb>8204447</fb>
    <v>2</v>
  </rv>
  <rv s="0">
    <fb>45716</fb>
    <v>0</v>
  </rv>
  <rv s="0">
    <fb>264.64999999999998</fb>
    <v>1</v>
  </rv>
  <rv s="0">
    <fb>10467126</fb>
    <v>2</v>
  </rv>
  <rv s="0">
    <fb>45719</fb>
    <v>0</v>
  </rv>
  <rv s="0">
    <fb>260.62</fb>
    <v>1</v>
  </rv>
  <rv s="0">
    <fb>9058307</fb>
    <v>2</v>
  </rv>
  <rv s="0">
    <fb>45720</fb>
    <v>0</v>
  </rv>
  <rv s="0">
    <fb>250.25</fb>
    <v>1</v>
  </rv>
  <rv s="0">
    <fb>13465630</fb>
    <v>2</v>
  </rv>
  <rv s="0">
    <fb>45721</fb>
    <v>0</v>
  </rv>
  <rv s="0">
    <fb>251.53</fb>
    <v>1</v>
  </rv>
  <rv s="0">
    <fb>7861424</fb>
    <v>2</v>
  </rv>
  <rv s="0">
    <fb>45722</fb>
    <v>0</v>
  </rv>
  <rv s="0">
    <fb>246.54</fb>
    <v>1</v>
  </rv>
  <rv s="0">
    <fb>9983235</fb>
    <v>2</v>
  </rv>
  <rv s="0">
    <fb>45723</fb>
    <v>0</v>
  </rv>
  <rv s="0">
    <fb>242.28</fb>
    <v>1</v>
  </rv>
  <rv s="0">
    <fb>20498734</fb>
    <v>2</v>
  </rv>
  <rv s="0">
    <fb>45726</fb>
    <v>0</v>
  </rv>
  <rv s="0">
    <fb>232.22</fb>
    <v>1</v>
  </rv>
  <rv s="0">
    <fb>18887186</fb>
    <v>2</v>
  </rv>
  <rv s="0">
    <fb>45727</fb>
    <v>0</v>
  </rv>
  <rv s="0">
    <fb>229.14</fb>
    <v>1</v>
  </rv>
  <rv s="0">
    <fb>18142995</fb>
    <v>2</v>
  </rv>
  <rv s="0">
    <fb>45728</fb>
    <v>0</v>
  </rv>
  <rv s="0">
    <fb>227.9</fb>
    <v>1</v>
  </rv>
  <rv s="0">
    <fb>16054015</fb>
    <v>2</v>
  </rv>
  <rv s="0">
    <fb>45729</fb>
    <v>0</v>
  </rv>
  <rv s="0">
    <fb>225.19</fb>
    <v>1</v>
  </rv>
  <rv s="0">
    <fb>16467851</fb>
    <v>2</v>
  </rv>
  <rv s="0">
    <fb>45730</fb>
    <v>0</v>
  </rv>
  <rv s="0">
    <fb>232.44</fb>
    <v>1</v>
  </rv>
  <rv s="0">
    <fb>11962108</fb>
    <v>2</v>
  </rv>
  <rv s="0">
    <fb>45733</fb>
    <v>0</v>
  </rv>
  <rv s="0">
    <fb>233.93</fb>
    <v>1</v>
  </rv>
  <rv s="0">
    <fb>9586025</fb>
    <v>2</v>
  </rv>
  <rv s="0">
    <fb>45734</fb>
    <v>0</v>
  </rv>
  <rv s="0">
    <fb>234.97</fb>
    <v>1</v>
  </rv>
  <rv s="0">
    <fb>10344866</fb>
    <v>2</v>
  </rv>
  <rv s="0">
    <fb>45735</fb>
    <v>0</v>
  </rv>
  <rv s="0">
    <fb>239.11</fb>
    <v>1</v>
  </rv>
  <rv s="0">
    <fb>10120588</fb>
    <v>2</v>
  </rv>
  <rv s="0">
    <fb>45736</fb>
    <v>0</v>
  </rv>
  <rv s="0">
    <fb>239.01</fb>
    <v>1</v>
  </rv>
  <rv s="0">
    <fb>8328513</fb>
    <v>2</v>
  </rv>
  <rv s="0">
    <fb>45737</fb>
    <v>0</v>
  </rv>
  <rv s="0">
    <fb>241.63</fb>
    <v>1</v>
  </rv>
  <rv s="0">
    <fb>19326865</fb>
    <v>2</v>
  </rv>
  <rv s="0">
    <fb>45740</fb>
    <v>0</v>
  </rv>
  <rv s="0">
    <fb>248.06</fb>
    <v>1</v>
  </rv>
  <rv s="0">
    <fb>9422650</fb>
    <v>2</v>
  </rv>
  <rv s="0">
    <fb>45741</fb>
    <v>0</v>
  </rv>
  <rv s="0">
    <fb>251.13</fb>
    <v>1</v>
  </rv>
  <rv s="0">
    <fb>9287694</fb>
    <v>2</v>
  </rv>
  <rv s="0">
    <fb>45742</fb>
    <v>0</v>
  </rv>
  <rv s="0">
    <fb>251.03</fb>
    <v>1</v>
  </rv>
  <rv s="0">
    <fb>12785225</fb>
    <v>2</v>
  </rv>
  <rv s="0">
    <fb>45743</fb>
    <v>0</v>
  </rv>
  <rv s="0">
    <fb>248.12</fb>
    <v>1</v>
  </rv>
  <rv s="0">
    <fb>8022517</fb>
    <v>2</v>
  </rv>
  <rv s="0">
    <fb>45744</fb>
    <v>0</v>
  </rv>
  <rv s="0">
    <fb>242.85</fb>
    <v>1</v>
  </rv>
  <rv s="0">
    <fb>11978417</fb>
    <v>2</v>
  </rv>
  <rv s="0">
    <fb>45747</fb>
    <v>0</v>
  </rv>
  <rv s="0">
    <fb>245.3</fb>
    <v>1</v>
  </rv>
  <rv s="0">
    <fb>13602996</fb>
    <v>2</v>
  </rv>
  <rv s="0">
    <fb>45748</fb>
    <v>0</v>
  </rv>
  <rv s="0">
    <fb>243.66</fb>
    <v>1</v>
  </rv>
  <rv s="0">
    <fb>8054683</fb>
    <v>2</v>
  </rv>
  <rv s="0">
    <fb>45749</fb>
    <v>0</v>
  </rv>
  <rv s="0">
    <fb>245.82</fb>
    <v>1</v>
  </rv>
  <rv s="0">
    <fb>7758750</fb>
    <v>2</v>
  </rv>
  <rv s="0">
    <fb>45750</fb>
    <v>0</v>
  </rv>
  <rv s="0">
    <fb>228.69</fb>
    <v>1</v>
  </rv>
  <rv s="0">
    <fb>17188469</fb>
    <v>2</v>
  </rv>
  <rv s="0">
    <fb>45751</fb>
    <v>0</v>
  </rv>
  <rv s="0">
    <fb>27170689</fb>
    <v>2</v>
  </rv>
  <rv s="0">
    <fb>45754</fb>
    <v>0</v>
  </rv>
  <rv s="0">
    <fb>214.44</fb>
    <v>1</v>
  </rv>
  <rv s="0">
    <fb>22914370</fb>
    <v>2</v>
  </rv>
  <rv s="0">
    <fb>45755</fb>
    <v>0</v>
  </rv>
  <rv s="0">
    <fb>19485734</fb>
    <v>2</v>
  </rv>
  <rv s="0">
    <fb>45756</fb>
    <v>0</v>
  </rv>
  <rv s="0">
    <fb>234.34</fb>
    <v>1</v>
  </rv>
  <rv s="0">
    <fb>24022350</fb>
    <v>2</v>
  </rv>
  <rv s="0">
    <fb>45757</fb>
    <v>0</v>
  </rv>
  <rv s="0">
    <fb>227.11</fb>
    <v>1</v>
  </rv>
  <rv s="0">
    <fb>18896440</fb>
    <v>2</v>
  </rv>
  <rv s="0">
    <fb>45758</fb>
    <v>0</v>
  </rv>
  <rv s="0">
    <fb>236.2</fb>
    <v>1</v>
  </rv>
  <rv s="0">
    <fb>20284450</fb>
    <v>2</v>
  </rv>
  <rv s="0">
    <fb>45761</fb>
    <v>0</v>
  </rv>
  <rv s="0">
    <fb>234.72</fb>
    <v>1</v>
  </rv>
  <rv s="0">
    <fb>13017824</fb>
    <v>2</v>
  </rv>
  <rv s="0">
    <fb>45762</fb>
    <v>0</v>
  </rv>
  <rv s="0">
    <fb>233.13</fb>
    <v>1</v>
  </rv>
  <rv s="0">
    <fb>10912883</fb>
    <v>2</v>
  </rv>
  <rv s="0">
    <fb>45763</fb>
    <v>0</v>
  </rv>
  <rv s="0">
    <fb>229.61</fb>
    <v>1</v>
  </rv>
  <rv s="0">
    <fb>9322325</fb>
    <v>2</v>
  </rv>
  <rv s="0">
    <fb>45764</fb>
    <v>0</v>
  </rv>
  <rv s="0">
    <fb>231.96</fb>
    <v>1</v>
  </rv>
  <rv s="0">
    <fb>9557946</fb>
    <v>2</v>
  </rv>
  <rv s="0">
    <fb>45768</fb>
    <v>0</v>
  </rv>
  <rv s="0">
    <fb>228.99</fb>
    <v>1</v>
  </rv>
  <rv s="0">
    <fb>8716177</fb>
    <v>2</v>
  </rv>
  <rv s="0">
    <fb>45769</fb>
    <v>0</v>
  </rv>
  <rv s="0">
    <fb>235.59</fb>
    <v>1</v>
  </rv>
  <rv s="0">
    <fb>10701399</fb>
    <v>2</v>
  </rv>
  <rv s="0">
    <fb>45770</fb>
    <v>0</v>
  </rv>
  <rv s="0">
    <fb>240.88</fb>
    <v>1</v>
  </rv>
  <rv s="0">
    <fb>14126766</fb>
    <v>2</v>
  </rv>
  <rv s="0">
    <fb>45771</fb>
    <v>0</v>
  </rv>
  <rv s="0">
    <fb>244.64</fb>
    <v>1</v>
  </rv>
  <rv s="0">
    <fb>9055197</fb>
    <v>2</v>
  </rv>
  <rv s="0">
    <fb>45772</fb>
    <v>0</v>
  </rv>
  <rv s="0">
    <fb>243.55</fb>
    <v>1</v>
  </rv>
  <rv s="0">
    <fb>8588564</fb>
    <v>2</v>
  </rv>
  <rv s="0">
    <fb>45775</fb>
    <v>0</v>
  </rv>
  <rv s="0">
    <fb>243.22</fb>
    <v>1</v>
  </rv>
  <rv s="0">
    <fb>7394297</fb>
    <v>2</v>
  </rv>
  <rv s="0">
    <fb>45776</fb>
    <v>0</v>
  </rv>
  <rv s="0">
    <fb>244.62</fb>
    <v>1</v>
  </rv>
  <rv s="0">
    <fb>7216788</fb>
    <v>2</v>
  </rv>
  <rv s="0">
    <fb>45777</fb>
    <v>0</v>
  </rv>
  <rv s="0">
    <fb>12991699</fb>
    <v>2</v>
  </rv>
  <rv s="0">
    <fb>45778</fb>
    <v>0</v>
  </rv>
  <rv s="0">
    <fb>246.89</fb>
    <v>1</v>
  </rv>
  <rv s="0">
    <fb>8689579</fb>
    <v>2</v>
  </rv>
  <rv s="0">
    <fb>45779</fb>
    <v>0</v>
  </rv>
  <rv s="0">
    <fb>252.51</fb>
    <v>1</v>
  </rv>
  <rv s="0">
    <fb>7165044</fb>
    <v>2</v>
  </rv>
  <rv s="0">
    <fb>45782</fb>
    <v>0</v>
  </rv>
  <rv s="0">
    <fb>252.56</fb>
    <v>1</v>
  </rv>
  <rv s="0">
    <fb>5450744</fb>
    <v>2</v>
  </rv>
  <rv s="0">
    <fb>45783</fb>
    <v>0</v>
  </rv>
  <rv s="0">
    <fb>249.25</fb>
    <v>1</v>
  </rv>
  <rv s="0">
    <fb>6369934</fb>
    <v>2</v>
  </rv>
  <rv s="0">
    <fb>45784</fb>
    <v>0</v>
  </rv>
  <rv s="0">
    <fb>249.39</fb>
    <v>1</v>
  </rv>
  <rv s="0">
    <fb>8724267</fb>
    <v>2</v>
  </rv>
  <rv s="0">
    <fb>45785</fb>
    <v>0</v>
  </rv>
  <rv s="0">
    <fb>253.47</fb>
    <v>1</v>
  </rv>
  <rv s="0">
    <fb>8320118</fb>
    <v>2</v>
  </rv>
  <rv s="0">
    <fb>45786</fb>
    <v>0</v>
  </rv>
  <rv s="0">
    <fb>253.08</fb>
    <v>1</v>
  </rv>
  <rv s="0">
    <fb>5087639</fb>
    <v>2</v>
  </rv>
  <rv s="0">
    <fb>45789</fb>
    <v>0</v>
  </rv>
  <rv s="0">
    <fb>260.05</fb>
    <v>1</v>
  </rv>
  <rv s="0">
    <fb>9603892</fb>
    <v>2</v>
  </rv>
  <rv s="0">
    <fb>45790</fb>
    <v>0</v>
  </rv>
  <rv s="0">
    <fb>263.01</fb>
    <v>1</v>
  </rv>
  <rv s="0">
    <fb>8588961</fb>
    <v>2</v>
  </rv>
  <rv s="0">
    <fb>45791</fb>
    <v>0</v>
  </rv>
  <rv s="0">
    <fb>265.64</fb>
    <v>1</v>
  </rv>
  <rv s="0">
    <fb>8643060</fb>
    <v>2</v>
  </rv>
  <rv s="0">
    <fb>45792</fb>
    <v>0</v>
  </rv>
  <rv s="0">
    <fb>267.49</fb>
    <v>1</v>
  </rv>
  <rv s="0">
    <fb>9214641</fb>
    <v>2</v>
  </rv>
  <rv s="0">
    <fb>45793</fb>
    <v>0</v>
  </rv>
  <rv s="0">
    <fb>267.56</fb>
    <v>1</v>
  </rv>
  <rv s="0">
    <fb>8932912</fb>
    <v>2</v>
  </rv>
  <rv s="0">
    <fb>45796</fb>
    <v>0</v>
  </rv>
  <rv s="0">
    <fb>264.88</fb>
    <v>1</v>
  </rv>
  <rv s="0">
    <fb>12145045</fb>
    <v>2</v>
  </rv>
  <rv s="0">
    <fb>45797</fb>
    <v>0</v>
  </rv>
  <rv s="0">
    <fb>265.68</fb>
    <v>1</v>
  </rv>
  <rv s="0">
    <fb>8436337</fb>
    <v>2</v>
  </rv>
  <rv s="0">
    <fb>45798</fb>
    <v>0</v>
  </rv>
  <rv s="0">
    <fb>261.04000000000002</fb>
    <v>1</v>
  </rv>
  <rv s="0">
    <fb>7464045</fb>
    <v>2</v>
  </rv>
  <rv s="0">
    <fb>45799</fb>
    <v>0</v>
  </rv>
  <rv s="0">
    <fb>260.67</fb>
    <v>1</v>
  </rv>
  <rv s="0">
    <fb>6514113</fb>
    <v>2</v>
  </rv>
  <rv s="0">
    <fb>45800</fb>
    <v>0</v>
  </rv>
  <rv s="0">
    <fb>260.70999999999998</fb>
    <v>1</v>
  </rv>
  <rv s="0">
    <fb>6671841</fb>
    <v>2</v>
  </rv>
  <rv s="0">
    <fb>45804</fb>
    <v>0</v>
  </rv>
  <rv s="0">
    <fb>265.29000000000002</fb>
    <v>1</v>
  </rv>
  <rv s="0">
    <fb>7506555</fb>
    <v>2</v>
  </rv>
  <rv s="0">
    <fb>45805</fb>
    <v>0</v>
  </rv>
  <rv s="0">
    <fb>263.49</fb>
    <v>1</v>
  </rv>
  <rv s="0">
    <fb>5535408</fb>
    <v>2</v>
  </rv>
  <rv s="0">
    <fb>45806</fb>
    <v>0</v>
  </rv>
  <rv s="0">
    <fb>264.37</fb>
    <v>1</v>
  </rv>
  <rv s="0">
    <fb>5081992</fb>
    <v>2</v>
  </rv>
  <rv s="0">
    <fb>45807</fb>
    <v>0</v>
  </rv>
  <rv s="0">
    <fb>264</fb>
    <v>1</v>
  </rv>
  <rv s="0">
    <fb>10977662</fb>
    <v>2</v>
  </rv>
  <rv s="0">
    <fb>45810</fb>
    <v>0</v>
  </rv>
  <rv s="0">
    <fb>264.66000000000003</fb>
    <v>1</v>
  </rv>
  <rv s="0">
    <fb>6011165</fb>
    <v>2</v>
  </rv>
  <rv s="0">
    <fb>45811</fb>
    <v>0</v>
  </rv>
  <rv s="0">
    <fb>266.27</fb>
    <v>1</v>
  </rv>
  <rv s="0">
    <fb>6998383</fb>
    <v>2</v>
  </rv>
  <rv s="0">
    <fb>45812</fb>
    <v>0</v>
  </rv>
  <rv s="0">
    <fb>264.22000000000003</fb>
    <v>1</v>
  </rv>
  <rv s="0">
    <fb>5915710</fb>
    <v>2</v>
  </rv>
  <rv s="0">
    <fb>45813</fb>
    <v>0</v>
  </rv>
  <rv s="0">
    <fb>261.95</fb>
    <v>1</v>
  </rv>
  <rv s="0">
    <fb>8179258</fb>
    <v>2</v>
  </rv>
  <rv s="0">
    <fb>45814</fb>
    <v>0</v>
  </rv>
  <rv s="0">
    <fb>265.73</fb>
    <v>1</v>
  </rv>
  <rv s="0">
    <fb>7738134</fb>
    <v>2</v>
  </rv>
  <rv s="0">
    <fb>45817</fb>
    <v>0</v>
  </rv>
  <rv s="0">
    <fb>266.74</fb>
    <v>1</v>
  </rv>
  <rv s="0">
    <fb>8285364</fb>
    <v>2</v>
  </rv>
  <rv s="0">
    <fb>45818</fb>
    <v>0</v>
  </rv>
  <rv s="0">
    <fb>268.60000000000002</fb>
    <v>1</v>
  </rv>
  <rv s="0">
    <fb>7538135</fb>
    <v>2</v>
  </rv>
  <rv s="0">
    <fb>45819</fb>
    <v>0</v>
  </rv>
  <rv s="0">
    <fb>268.14999999999998</fb>
    <v>1</v>
  </rv>
  <rv s="0">
    <fb>7434064</fb>
    <v>2</v>
  </rv>
  <rv s="0">
    <fb>45820</fb>
    <v>0</v>
  </rv>
  <rv s="0">
    <fb>268.24</fb>
    <v>1</v>
  </rv>
  <rv s="0">
    <fb>6618026</fb>
    <v>2</v>
  </rv>
  <rv s="0">
    <fb>45821</fb>
    <v>0</v>
  </rv>
  <rv s="0">
    <fb>264.95</fb>
    <v>1</v>
  </rv>
  <rv s="0">
    <fb>7098265</fb>
    <v>2</v>
  </rv>
  <rv s="0">
    <fb>45824</fb>
    <v>0</v>
  </rv>
  <rv s="0">
    <fb>270.36</fb>
    <v>1</v>
  </rv>
  <rv s="0">
    <fb>8566019</fb>
    <v>2</v>
  </rv>
  <rv s="0">
    <fb>45825</fb>
    <v>0</v>
  </rv>
  <rv s="0">
    <fb>269.52</fb>
    <v>1</v>
  </rv>
  <rv s="0">
    <fb>6739262</fb>
    <v>2</v>
  </rv>
  <rv s="0">
    <fb>45826</fb>
    <v>0</v>
  </rv>
  <rv s="0">
    <fb>273.95999999999998</fb>
    <v>1</v>
  </rv>
  <rv s="0">
    <fb>9586440</fb>
    <v>2</v>
  </rv>
  <rv s="0">
    <fb>45828</fb>
    <v>0</v>
  </rv>
  <rv s="0">
    <fb>275</fb>
    <v>1</v>
  </rv>
  <rv s="0">
    <fb>13969674</fb>
    <v>2</v>
  </rv>
  <rv s="0">
    <fb>45831</fb>
    <v>0</v>
  </rv>
  <rv s="0">
    <fb>278.27</fb>
    <v>1</v>
  </rv>
  <rv s="0">
    <fb>8094559</fb>
    <v>2</v>
  </rv>
  <rv s="0">
    <fb>45832</fb>
    <v>0</v>
  </rv>
  <rv s="0">
    <fb>281.26</fb>
    <v>1</v>
  </rv>
  <rv s="0">
    <fb>9267941</fb>
    <v>2</v>
  </rv>
  <rv s="0">
    <fb>45833</fb>
    <v>0</v>
  </rv>
  <rv s="0">
    <fb>284.06</fb>
    <v>1</v>
  </rv>
  <rv s="0">
    <fb>6826901</fb>
    <v>2</v>
  </rv>
  <rv s="0">
    <fb>45834</fb>
    <v>0</v>
  </rv>
  <rv s="0">
    <fb>288.75</fb>
    <v>1</v>
  </rv>
  <rv s="0">
    <fb>8942062</fb>
    <v>2</v>
  </rv>
  <rv s="0">
    <fb>45835</fb>
    <v>0</v>
  </rv>
  <rv s="0">
    <fb>287.11</fb>
    <v>1</v>
  </rv>
  <rv s="0">
    <fb>17868633</fb>
    <v>2</v>
  </rv>
  <rv s="0">
    <fb>45838</fb>
    <v>0</v>
  </rv>
  <rv s="0">
    <fb>289.91000000000003</fb>
    <v>1</v>
  </rv>
  <rv s="0">
    <fb>12689156</fb>
    <v>2</v>
  </rv>
  <rv s="0">
    <fb>45839</fb>
    <v>0</v>
  </rv>
  <rv s="0">
    <fb>290.41000000000003</fb>
    <v>1</v>
  </rv>
  <rv s="0">
    <fb>9338260</fb>
    <v>2</v>
  </rv>
  <rv s="0">
    <fb>45840</fb>
    <v>0</v>
  </rv>
  <rv s="0">
    <fb>292</fb>
    <v>1</v>
  </rv>
  <rv s="0">
    <fb>8158692</fb>
    <v>2</v>
  </rv>
  <rv s="0">
    <fb>45841</fb>
    <v>0</v>
  </rv>
  <rv s="0">
    <fb>296</fb>
    <v>1</v>
  </rv>
  <rv s="0">
    <fb>6541646</fb>
    <v>2</v>
  </rv>
  <rv s="0">
    <fb>45845</fb>
    <v>0</v>
  </rv>
  <rv s="0">
    <fb>291.97000000000003</fb>
    <v>1</v>
  </rv>
  <rv s="0">
    <fb>8825732</fb>
    <v>2</v>
  </rv>
  <rv s="0">
    <fb>45846</fb>
    <v>0</v>
  </rv>
  <rv s="0">
    <fb>282.77999999999997</fb>
    <v>1</v>
  </rv>
  <rv s="0">
    <fb>15440856</fb>
    <v>2</v>
  </rv>
  <rv s="0">
    <fb>45847</fb>
    <v>0</v>
  </rv>
  <rv s="0">
    <fb>283.16000000000003</fb>
    <v>1</v>
  </rv>
  <rv s="0">
    <fb>11273801</fb>
    <v>2</v>
  </rv>
  <rv s="0">
    <fb>45848</fb>
    <v>0</v>
  </rv>
  <rv s="0">
    <fb>288.19</fb>
    <v>1</v>
  </rv>
  <rv s="0">
    <fb>8413847</fb>
    <v>2</v>
  </rv>
  <rv s="0">
    <fb>45849</fb>
    <v>0</v>
  </rv>
  <rv s="0">
    <fb>286.86</fb>
    <v>1</v>
  </rv>
  <rv s="0">
    <fb>7384674</fb>
    <v>2</v>
  </rv>
  <rv s="0">
    <fb>45852</fb>
    <v>0</v>
  </rv>
  <rv s="0">
    <fb>288.7</fb>
    <v>1</v>
  </rv>
  <rv s="0">
    <fb>9079941</fb>
    <v>2</v>
  </rv>
  <rv s="0">
    <fb>45853</fb>
    <v>0</v>
  </rv>
  <rv s="0">
    <fb>286.55</fb>
    <v>1</v>
  </rv>
  <rv s="0">
    <fb>12526110</fb>
    <v>2</v>
  </rv>
  <rv s="0">
    <fb>45854</fb>
    <v>0</v>
  </rv>
  <rv s="0">
    <fb>285.82</fb>
    <v>1</v>
  </rv>
  <rv s="0">
    <fb>9979768</fb>
    <v>2</v>
  </rv>
  <rv s="0">
    <fb>45855</fb>
    <v>0</v>
  </rv>
  <rv s="0">
    <fb>289.89999999999998</fb>
    <v>1</v>
  </rv>
  <rv s="0">
    <fb>8509504</fb>
    <v>2</v>
  </rv>
  <rv s="0">
    <fb>45856</fb>
    <v>0</v>
  </rv>
  <rv s="0">
    <fb>291.27</fb>
    <v>1</v>
  </rv>
  <rv s="0">
    <fb>12217018</fb>
    <v>2</v>
  </rv>
  <rv s="0">
    <fb>45859</fb>
    <v>0</v>
  </rv>
  <rv s="0">
    <fb>290.97000000000003</fb>
    <v>1</v>
  </rv>
  <rv s="0">
    <fb>7898141</fb>
    <v>2</v>
  </rv>
  <rv s="0">
    <fb>45860</fb>
    <v>0</v>
  </rv>
  <rv s="0">
    <fb>291.43</fb>
    <v>1</v>
  </rv>
  <rv s="0">
    <fb>6717461</fb>
    <v>2</v>
  </rv>
  <rv s="0">
    <fb>45861</fb>
    <v>0</v>
  </rv>
  <rv s="0">
    <fb>296.76</fb>
    <v>1</v>
  </rv>
  <rv s="0">
    <fb>7083510</fb>
    <v>2</v>
  </rv>
  <rv s="0">
    <fb>45862</fb>
    <v>0</v>
  </rv>
  <rv s="0">
    <fb>296.55</fb>
    <v>1</v>
  </rv>
  <rv s="0">
    <fb>7001242</fb>
    <v>2</v>
  </rv>
  <rv s="0">
    <fb>45863</fb>
    <v>0</v>
  </rv>
  <rv s="0">
    <fb>298.62</fb>
    <v>1</v>
  </rv>
  <rv s="0">
    <fb>5918875</fb>
    <v>2</v>
  </rv>
  <rv s="0">
    <fb>45866</fb>
    <v>0</v>
  </rv>
  <rv s="0">
    <fb>298.27999999999997</fb>
    <v>1</v>
  </rv>
  <rv s="0">
    <fb>5840417</fb>
    <v>2</v>
  </rv>
  <rv s="0">
    <fb>45867</fb>
    <v>0</v>
  </rv>
  <rv s="0">
    <fb>297.04000000000002</fb>
    <v>1</v>
  </rv>
  <rv s="0">
    <fb>7635719</fb>
    <v>2</v>
  </rv>
  <rv s="0">
    <fb>45868</fb>
    <v>0</v>
  </rv>
  <rv s="0">
    <fb>299.63</fb>
    <v>1</v>
  </rv>
  <rv s="0">
    <fb>8061742</fb>
    <v>2</v>
  </rv>
  <rv s="0">
    <fb>45869</fb>
    <v>0</v>
  </rv>
  <rv s="0">
    <fb>296.24</fb>
    <v>1</v>
  </rv>
  <rv s="0">
    <fb>14749652</fb>
    <v>2</v>
  </rv>
  <rv s="0">
    <fb>45870</fb>
    <v>0</v>
  </rv>
  <rv s="0">
    <fb>289.37</fb>
    <v>1</v>
  </rv>
  <rv s="0">
    <fb>12007111</fb>
    <v>2</v>
  </rv>
  <rv s="0">
    <fb>45873</fb>
    <v>0</v>
  </rv>
  <rv s="0">
    <fb>294.26</fb>
    <v>1</v>
  </rv>
  <rv s="0">
    <fb>6649542</fb>
    <v>2</v>
  </rv>
  <rv s="0">
    <fb>45874</fb>
    <v>0</v>
  </rv>
  <rv s="0">
    <fb>291.37</fb>
    <v>1</v>
  </rv>
  <rv s="0">
    <fb>7182333</fb>
    <v>2</v>
  </rv>
  <rv s="0">
    <fb>45875</fb>
    <v>0</v>
  </rv>
  <rv s="0">
    <fb>291.35000000000002</fb>
    <v>1</v>
  </rv>
  <rv s="0">
    <fb>6330155</fb>
    <v>2</v>
  </rv>
  <rv s="0">
    <fb>45876</fb>
    <v>0</v>
  </rv>
  <rv s="0">
    <fb>286.94</fb>
    <v>1</v>
  </rv>
  <rv s="0">
    <fb>8057109</fb>
    <v>2</v>
  </rv>
  <rv s="0">
    <fb>45877</fb>
    <v>0</v>
  </rv>
  <rv s="0">
    <fb>288.76</fb>
    <v>1</v>
  </rv>
  <rv s="0">
    <fb>6634506</fb>
    <v>2</v>
  </rv>
  <rv s="0">
    <fb>45880</fb>
    <v>0</v>
  </rv>
  <rv s="0">
    <fb>289.56</fb>
    <v>1</v>
  </rv>
  <rv s="0">
    <fb>5510113</fb>
    <v>2</v>
  </rv>
  <rv s="0">
    <fb>45881</fb>
    <v>0</v>
  </rv>
  <rv s="0">
    <fb>292.85000000000002</fb>
    <v>1</v>
  </rv>
  <rv s="0">
    <fb>8572034</fb>
    <v>2</v>
  </rv>
  <rv s="0">
    <fb>45882</fb>
    <v>0</v>
  </rv>
  <rv s="0">
    <fb>290.52999999999997</fb>
    <v>1</v>
  </rv>
  <rv s="0">
    <fb>8420407</fb>
    <v>2</v>
  </rv>
  <rv s="0">
    <fb>45883</fb>
    <v>0</v>
  </rv>
  <rv s="0">
    <fb>294.16000000000003</fb>
    <v>1</v>
  </rv>
  <rv s="0">
    <fb>6322381</fb>
    <v>2</v>
  </rv>
  <rv s="0">
    <fb>45884</fb>
    <v>0</v>
  </rv>
  <rv s="0">
    <fb>290.49</fb>
    <v>1</v>
  </rv>
  <rv s="0">
    <fb>7340518</fb>
    <v>2</v>
  </rv>
  <rv s="0">
    <fb>45887</fb>
    <v>0</v>
  </rv>
  <rv s="0">
    <fb>291.52999999999997</fb>
    <v>1</v>
  </rv>
  <rv s="0">
    <fb>5386856</fb>
    <v>2</v>
  </rv>
  <rv s="0">
    <fb>45888</fb>
    <v>0</v>
  </rv>
  <rv s="0">
    <fb>290.66000000000003</fb>
    <v>1</v>
  </rv>
  <rv s="0">
    <fb>6031520</fb>
    <v>2</v>
  </rv>
  <rv s="0">
    <fb>45889</fb>
    <v>0</v>
  </rv>
  <rv s="0">
    <fb>292.24</fb>
    <v>1</v>
  </rv>
  <rv s="0">
    <fb>7374244</fb>
    <v>2</v>
  </rv>
  <rv s="0">
    <fb>45890</fb>
    <v>0</v>
  </rv>
  <rv s="0">
    <fb>291.47000000000003</fb>
    <v>1</v>
  </rv>
  <rv s="0">
    <fb>6624161</fb>
    <v>2</v>
  </rv>
  <rv s="0">
    <fb>45891</fb>
    <v>0</v>
  </rv>
  <rv s="0">
    <fb>8552847</fb>
    <v>2</v>
  </rv>
  <rv s="0">
    <fb>45894</fb>
    <v>0</v>
  </rv>
  <rv s="0">
    <fb>294.89999999999998</fb>
    <v>1</v>
  </rv>
  <rv s="0">
    <fb>5856258</fb>
    <v>2</v>
  </rv>
  <rv s="0">
    <fb>45895</fb>
    <v>0</v>
  </rv>
  <rv s="0">
    <fb>298.57</fb>
    <v>1</v>
  </rv>
  <rv s="0">
    <fb>6714749</fb>
    <v>2</v>
  </rv>
  <rv s="0">
    <fb>45896</fb>
    <v>0</v>
  </rv>
  <rv s="0">
    <fb>299.27999999999997</fb>
    <v>1</v>
  </rv>
  <rv s="0">
    <fb>6056513</fb>
    <v>2</v>
  </rv>
  <rv s="0">
    <fb>45897</fb>
    <v>0</v>
  </rv>
  <rv s="0">
    <fb>301.07</fb>
    <v>1</v>
  </rv>
  <rv s="0">
    <fb>6410535</fb>
    <v>2</v>
  </rv>
  <rv s="0">
    <fb>45898</fb>
    <v>0</v>
  </rv>
  <rv s="0">
    <fb>301.42</fb>
    <v>1</v>
  </rv>
  <rv s="0">
    <fb>6796380</fb>
    <v>2</v>
  </rv>
  <rv s="0">
    <fb>45902</fb>
    <v>0</v>
  </rv>
  <rv s="0">
    <fb>299.7</fb>
    <v>1</v>
  </rv>
  <rv s="0">
    <fb>7221855</fb>
    <v>2</v>
  </rv>
  <rv s="0">
    <fb>45903</fb>
    <v>0</v>
  </rv>
  <rv s="0">
    <fb>299.51</fb>
    <v>1</v>
  </rv>
  <rv s="0">
    <fb>6316911</fb>
    <v>2</v>
  </rv>
  <rv s="0">
    <fb>45904</fb>
    <v>0</v>
  </rv>
  <rv s="0">
    <fb>303.82</fb>
    <v>1</v>
  </rv>
  <rv s="0">
    <fb>6605797</fb>
    <v>2</v>
  </rv>
  <rv s="0">
    <fb>45905</fb>
    <v>0</v>
  </rv>
  <rv s="0">
    <fb>294.38</fb>
    <v>1</v>
  </rv>
  <rv s="0">
    <fb>9837709</fb>
    <v>2</v>
  </rv>
  <rv s="0">
    <fb>45908</fb>
    <v>0</v>
  </rv>
  <rv s="0">
    <fb>292.91000000000003</fb>
    <v>1</v>
  </rv>
  <rv s="0">
    <fb>8188506</fb>
    <v>2</v>
  </rv>
  <rv s="0">
    <fb>45909</fb>
    <v>0</v>
  </rv>
  <rv s="0">
    <fb>297.85000000000002</fb>
    <v>1</v>
  </rv>
  <rv s="0">
    <fb>7848196</fb>
    <v>2</v>
  </rv>
  <rv s="0">
    <fb>45910</fb>
    <v>0</v>
  </rv>
  <rv s="0">
    <fb>300.54000000000002</fb>
    <v>1</v>
  </rv>
  <rv s="0">
    <fb>7787303</fb>
    <v>2</v>
  </rv>
  <rv s="0">
    <fb>45911</fb>
    <v>0</v>
  </rv>
  <rv s="0">
    <fb>305.56</fb>
    <v>1</v>
  </rv>
  <rv s="0">
    <fb>7942489</fb>
    <v>2</v>
  </rv>
  <rv s="0">
    <fb>45912</fb>
    <v>0</v>
  </rv>
  <rv s="0">
    <fb>306.91000000000003</fb>
    <v>1</v>
  </rv>
  <rv s="0">
    <fb>6846674</fb>
    <v>2</v>
  </rv>
  <rv s="0">
    <fb>45915</fb>
    <v>0</v>
  </rv>
  <rv s="0">
    <fb>308.89999999999998</fb>
    <v>1</v>
  </rv>
  <rv s="0">
    <fb>7122015</fb>
    <v>2</v>
  </rv>
  <rv s="0">
    <fb>45916</fb>
    <v>0</v>
  </rv>
  <rv s="0">
    <fb>309.19</fb>
    <v>1</v>
  </rv>
  <rv s="0">
    <fb>10525594</fb>
    <v>2</v>
  </rv>
  <rv s="0">
    <fb>45917</fb>
    <v>0</v>
  </rv>
  <rv s="0">
    <fb>311.75</fb>
    <v>1</v>
  </rv>
  <rv s="0">
    <fb>8657765</fb>
    <v>2</v>
  </rv>
  <rv s="0">
    <fb>45918</fb>
    <v>0</v>
  </rv>
  <rv s="0">
    <fb>313.23</fb>
    <v>1</v>
  </rv>
  <rv s="0">
    <fb>8050671</fb>
    <v>2</v>
  </rv>
  <rv s="0">
    <fb>45919</fb>
    <v>0</v>
  </rv>
  <rv s="0">
    <fb>314.77999999999997</fb>
    <v>1</v>
  </rv>
  <rv s="0">
    <fb>23568551</fb>
    <v>2</v>
  </rv>
  <rv s="0">
    <fb>45922</fb>
    <v>0</v>
  </rv>
  <rv s="0">
    <fb>312.44</fb>
    <v>1</v>
  </rv>
  <rv s="0">
    <fb>7520190</fb>
    <v>2</v>
  </rv>
  <rv s="0">
    <fb>45923</fb>
    <v>0</v>
  </rv>
  <rv s="0">
    <fb>312.74</fb>
    <v>1</v>
  </rv>
  <rv s="0">
    <fb>8584420</fb>
    <v>2</v>
  </rv>
  <rv s="0">
    <fb>45924</fb>
    <v>0</v>
  </rv>
  <rv s="0">
    <fb>313.42</fb>
    <v>1</v>
  </rv>
  <rv s="0">
    <fb>7310513</fb>
    <v>2</v>
  </rv>
  <rv s="0">
    <fb>45925</fb>
    <v>0</v>
  </rv>
  <rv s="0">
    <fb>313.45</fb>
    <v>1</v>
  </rv>
  <rv s="0">
    <fb>7083198</fb>
    <v>2</v>
  </rv>
  <rv s="0">
    <fb>45926</fb>
    <v>0</v>
  </rv>
  <rv s="0">
    <fb>316.06</fb>
    <v>1</v>
  </rv>
  <rv s="0">
    <fb>7258136</fb>
    <v>2</v>
  </rv>
  <rv s="0">
    <fb>45929</fb>
    <v>0</v>
  </rv>
  <rv s="0">
    <fb>315.69</fb>
    <v>1</v>
  </rv>
  <rv s="0">
    <fb>6462442</fb>
    <v>2</v>
  </rv>
  <rv s="0">
    <fb>45930</fb>
    <v>0</v>
  </rv>
  <rv s="0">
    <fb>315.43</fb>
    <v>1</v>
  </rv>
  <rv s="0">
    <fb>11823315</fb>
    <v>2</v>
  </rv>
  <rv s="0">
    <fb>45931</fb>
    <v>0</v>
  </rv>
  <rv s="0">
    <fb>310.70999999999998</fb>
    <v>1</v>
  </rv>
  <rv s="0">
    <fb>9235211</fb>
    <v>2</v>
  </rv>
  <rv s="0">
    <fb>45932</fb>
    <v>0</v>
  </rv>
  <rv s="0">
    <fb>307.55</fb>
    <v>1</v>
  </rv>
  <rv s="0">
    <fb>7599973</fb>
    <v>2</v>
  </rv>
  <rv s="0">
    <fb>45933</fb>
    <v>0</v>
  </rv>
  <rv s="0">
    <fb>310.02999999999997</fb>
    <v>1</v>
  </rv>
  <rv s="0">
    <fb>6029854</fb>
    <v>2</v>
  </rv>
  <rv s="0">
    <fb>45936</fb>
    <v>0</v>
  </rv>
  <rv s="0">
    <fb>309.18</fb>
    <v>1</v>
  </rv>
  <rv s="0">
    <fb>7214502</fb>
    <v>2</v>
  </rv>
  <rv s="0">
    <fb>45937</fb>
    <v>0</v>
  </rv>
  <rv s="0">
    <fb>307.69</fb>
    <v>1</v>
  </rv>
  <rv s="0">
    <fb>8454217</fb>
    <v>2</v>
  </rv>
  <rv s="0">
    <fb>45938</fb>
    <v>0</v>
  </rv>
  <rv s="0">
    <fb>304.02999999999997</fb>
    <v>1</v>
  </rv>
  <rv s="0">
    <fb>6489883</fb>
    <v>2</v>
  </rv>
  <rv s="0">
    <fb>45939</fb>
    <v>0</v>
  </rv>
  <rv s="0">
    <fb>305.52999999999997</fb>
    <v>1</v>
  </rv>
  <rv s="0">
    <fb>7060332</fb>
    <v>2</v>
  </rv>
  <rv s="0">
    <fb>45940</fb>
    <v>0</v>
  </rv>
  <rv s="0">
    <fb>300.89</fb>
    <v>1</v>
  </rv>
  <rv s="0">
    <fb>8597384</fb>
    <v>2</v>
  </rv>
  <rv s="0">
    <fb>45943</fb>
    <v>0</v>
  </rv>
  <rv s="0">
    <fb>307.97000000000003</fb>
    <v>1</v>
  </rv>
  <rv s="0">
    <fb>10788680</fb>
    <v>2</v>
  </rv>
  <rv s="0">
    <fb>45944</fb>
    <v>0</v>
  </rv>
  <rv s="0">
    <fb>302.08</fb>
    <v>1</v>
  </rv>
  <rv s="0">
    <fb>16178755</fb>
    <v>2</v>
  </rv>
  <rv s="0">
    <fb>45945</fb>
    <v>0</v>
  </rv>
  <rv s="0">
    <fb>305.69</fb>
    <v>1</v>
  </rv>
  <rv s="0">
    <fb>11354778</fb>
    <v>2</v>
  </rv>
  <rv s="0">
    <fb>45946</fb>
    <v>0</v>
  </rv>
  <rv s="0">
    <fb>298.54000000000002</fb>
    <v>1</v>
  </rv>
  <rv s="0">
    <fb>10549447</fb>
    <v>2</v>
  </rv>
  <rv s="0">
    <fb>45947</fb>
    <v>0</v>
  </rv>
  <rv s="0">
    <fb>297.56</fb>
    <v>1</v>
  </rv>
  <rv s="0">
    <fb>10153454</fb>
    <v>2</v>
  </rv>
  <rv s="0">
    <fb>45950</fb>
    <v>0</v>
  </rv>
  <rv s="0">
    <fb>302.36</fb>
    <v>1</v>
  </rv>
  <rv s="0">
    <fb>6894943</fb>
    <v>2</v>
  </rv>
  <rv s="0">
    <fb>45951</fb>
    <v>0</v>
  </rv>
  <rv s="0">
    <fb>297.08999999999997</fb>
    <v>1</v>
  </rv>
  <rv s="0">
    <fb>7372671</fb>
    <v>2</v>
  </rv>
  <rv s="0">
    <fb>45952</fb>
    <v>0</v>
  </rv>
  <rv s="0">
    <fb>294.11</fb>
    <v>1</v>
  </rv>
  <rv s="0">
    <fb>8054115</fb>
    <v>2</v>
  </rv>
  <rv s="0">
    <fb>45953</fb>
    <v>0</v>
  </rv>
  <rv s="0">
    <fb>294.54000000000002</fb>
    <v>1</v>
  </rv>
  <rv s="0">
    <fb>5438810</fb>
    <v>2</v>
  </rv>
  <rv s="0">
    <fb>45954</fb>
    <v>0</v>
  </rv>
  <rv s="0">
    <fb>300.44</fb>
    <v>1</v>
  </rv>
  <rv s="0">
    <fb>7228330</fb>
    <v>2</v>
  </rv>
  <rv s="0">
    <fb>45957</fb>
    <v>0</v>
  </rv>
  <rv s="0">
    <fb>304.14999999999998</fb>
    <v>1</v>
  </rv>
  <rv s="0">
    <fb>5642222</fb>
    <v>2</v>
  </rv>
  <rv s="0">
    <fb>45958</fb>
    <v>0</v>
  </rv>
  <rv s="0">
    <fb>305.36</fb>
    <v>1</v>
  </rv>
  <rv s="0">
    <fb>6335993</fb>
    <v>2</v>
  </rv>
  <rv s="0">
    <fb>45959</fb>
    <v>0</v>
  </rv>
  <rv s="0">
    <fb>305.51</fb>
    <v>1</v>
  </rv>
  <rv s="0">
    <fb>7520324</fb>
    <v>2</v>
  </rv>
  <rv s="0">
    <fb>45960</fb>
    <v>0</v>
  </rv>
  <rv s="0">
    <fb>309.44</fb>
    <v>1</v>
  </rv>
  <rv s="0">
    <fb>7514556</fb>
    <v>2</v>
  </rv>
  <rv s="0">
    <fb>45961</fb>
    <v>0</v>
  </rv>
  <rv s="0">
    <fb>311.12</fb>
    <v>1</v>
  </rv>
  <rv s="0">
    <fb>7721297</fb>
    <v>2</v>
  </rv>
  <rv s="0">
    <fb>45964</fb>
    <v>0</v>
  </rv>
  <rv s="0">
    <fb>309.35000000000002</fb>
    <v>1</v>
  </rv>
  <rv s="0">
    <fb>7770040</fb>
    <v>2</v>
  </rv>
  <rv s="0">
    <fb>45965</fb>
    <v>0</v>
  </rv>
  <rv s="0">
    <fb>309.25</fb>
    <v>1</v>
  </rv>
  <rv s="0">
    <fb>7085164</fb>
    <v>2</v>
  </rv>
  <rv s="0">
    <fb>45966</fb>
    <v>0</v>
  </rv>
  <rv s="0">
    <fb>311.68</fb>
    <v>1</v>
  </rv>
  <rv s="0">
    <fb>6865198</fb>
    <v>2</v>
  </rv>
  <rv s="0">
    <fb>45967</fb>
    <v>0</v>
  </rv>
  <rv s="0">
    <fb>7206111</fb>
    <v>2</v>
  </rv>
  <rv s="0">
    <fb>45968</fb>
    <v>0</v>
  </rv>
  <rv s="0">
    <fb>314.20999999999998</fb>
    <v>1</v>
  </rv>
  <rv s="0">
    <fb>7302347</fb>
    <v>2</v>
  </rv>
  <rv s="0">
    <fb>45971</fb>
    <v>0</v>
  </rv>
  <rv s="0">
    <fb>316.89</fb>
    <v>1</v>
  </rv>
  <rv s="0">
    <fb>5794505</fb>
    <v>2</v>
  </rv>
  <rv s="0">
    <fb>45972</fb>
    <v>0</v>
  </rv>
  <rv s="0">
    <fb>315.62</fb>
    <v>1</v>
  </rv>
  <rv s="0">
    <fb>5030216</fb>
    <v>2</v>
  </rv>
  <rv s="0">
    <fb>45973</fb>
    <v>0</v>
  </rv>
  <rv s="0">
    <fb>320.41000000000003</fb>
    <v>1</v>
  </rv>
  <rv s="0">
    <fb>10578266</fb>
    <v>2</v>
  </rv>
  <rv s="0">
    <fb>45974</fb>
    <v>0</v>
  </rv>
  <rv s="0">
    <fb>309.48</fb>
    <v>1</v>
  </rv>
  <rv s="0">
    <fb>8973258</fb>
    <v>2</v>
  </rv>
  <rv s="0">
    <fb>45975</fb>
    <v>0</v>
  </rv>
  <rv s="0">
    <fb>303.61</fb>
    <v>1</v>
  </rv>
  <rv s="0">
    <fb>10326983</fb>
    <v>2</v>
  </rv>
  <rv s="0">
    <fb>45978</fb>
    <v>0</v>
  </rv>
  <rv s="0">
    <fb>300.37</fb>
    <v>1</v>
  </rv>
  <rv s="0">
    <fb>8344046</fb>
    <v>2</v>
  </rv>
  <rv s="0">
    <fb>45979</fb>
    <v>0</v>
  </rv>
  <rv s="0">
    <fb>299.41000000000003</fb>
    <v>1</v>
  </rv>
  <rv s="0">
    <fb>8077315</fb>
    <v>2</v>
  </rv>
  <rv s="0">
    <fb>45980</fb>
    <v>0</v>
  </rv>
  <rv s="0">
    <fb>303.27</fb>
    <v>1</v>
  </rv>
  <rv s="0">
    <fb>5546555</fb>
    <v>2</v>
  </rv>
  <rv s="0">
    <fb>45981</fb>
    <v>0</v>
  </rv>
  <rv s="0">
    <fb>298.38</fb>
    <v>1</v>
  </rv>
  <rv s="0">
    <fb>7501582</fb>
    <v>2</v>
  </rv>
  <rv s="0">
    <fb>45982</fb>
    <v>0</v>
  </rv>
  <rv s="0">
    <fb>298.02</fb>
    <v>1</v>
  </rv>
  <rv s="0">
    <fb>11766810</fb>
    <v>2</v>
  </rv>
  <rv s="0">
    <fb>45985</fb>
    <v>0</v>
  </rv>
  <rv s="0">
    <fb>298</fb>
    <v>1</v>
  </rv>
  <rv s="0">
    <fb>10940186</fb>
    <v>2</v>
  </rv>
  <rv s="0">
    <fb>45986</fb>
    <v>0</v>
  </rv>
  <rv s="0">
    <fb>303</fb>
    <v>1</v>
  </rv>
  <rv s="0">
    <fb>8877188</fb>
    <v>2</v>
  </rv>
  <rv s="0">
    <fb>45987</fb>
    <v>0</v>
  </rv>
  <rv s="0">
    <fb>307.64</fb>
    <v>1</v>
  </rv>
  <rv s="0">
    <fb>7910851</fb>
    <v>2</v>
  </rv>
  <rv s="0">
    <fb>45989</fb>
    <v>0</v>
  </rv>
  <rv s="0">
    <fb>313.08</fb>
    <v>1</v>
  </rv>
  <rv s="0">
    <fb>4322448</fb>
    <v>2</v>
  </rv>
  <rv s="0">
    <fb>45992</fb>
    <v>0</v>
  </rv>
  <rv s="0">
    <fb>308.92</fb>
    <v>1</v>
  </rv>
  <rv s="0">
    <fb>7727324</fb>
    <v>2</v>
  </rv>
  <rv s="0">
    <fb>45993</fb>
    <v>0</v>
  </rv>
  <rv s="0">
    <fb>307.88</fb>
    <v>1</v>
  </rv>
  <rv s="0">
    <fb>7249043</fb>
    <v>2</v>
  </rv>
  <rv s="0">
    <fb>45994</fb>
    <v>0</v>
  </rv>
  <rv s="0">
    <fb>312.13</fb>
    <v>1</v>
  </rv>
  <rv s="0">
    <fb>8535260</fb>
    <v>2</v>
  </rv>
  <rv s="0">
    <fb>45995</fb>
    <v>0</v>
  </rv>
  <rv s="0">
    <fb>316.10000000000002</fb>
    <v>1</v>
  </rv>
  <rv s="0">
    <fb>9627834</fb>
    <v>2</v>
  </rv>
  <rv s="0">
    <fb>45996</fb>
    <v>0</v>
  </rv>
  <rv s="0">
    <fb>315.04000000000002</fb>
    <v>1</v>
  </rv>
  <rv s="0">
    <fb>6518908</fb>
    <v>2</v>
  </rv>
  <rv s="0">
    <fb>45999</fb>
    <v>0</v>
  </rv>
  <rv s="0">
    <fb>315.20999999999998</fb>
    <v>1</v>
  </rv>
  <rv s="0">
    <fb>7417191</fb>
    <v>2</v>
  </rv>
  <rv s="0">
    <fb>46000</fb>
    <v>0</v>
  </rv>
  <rv s="0">
    <fb>300.51</fb>
    <v>1</v>
  </rv>
  <rv s="0">
    <fb>18049223</fb>
    <v>2</v>
  </rv>
  <rv s="0">
    <fb>46001</fb>
    <v>0</v>
  </rv>
  <rv s="0">
    <fb>310.11</fb>
    <v>1</v>
  </rv>
  <rv s="0">
    <fb>18874092</fb>
    <v>2</v>
  </rv>
  <rv s="0">
    <fb>46002</fb>
    <v>0</v>
  </rv>
  <rv s="0">
    <fb>317.38</fb>
    <v>1</v>
  </rv>
  <rv s="0">
    <fb>9721859</fb>
    <v>2</v>
  </rv>
  <rv s="0">
    <fb>46003</fb>
    <v>0</v>
  </rv>
  <rv s="0">
    <fb>318.52</fb>
    <v>1</v>
  </rv>
  <rv s="0">
    <fb>8982911</fb>
    <v>2</v>
  </rv>
  <rv s="0">
    <fb>46006</fb>
    <v>0</v>
  </rv>
  <rv s="0">
    <fb>320.02</fb>
    <v>1</v>
  </rv>
  <rv s="0">
    <fb>10864122</fb>
    <v>2</v>
  </rv>
  <rv s="0">
    <fb>46007</fb>
    <v>0</v>
  </rv>
  <rv s="0">
    <fb>315.55</fb>
    <v>1</v>
  </rv>
  <rv s="0">
    <fb>8331336</fb>
    <v>2</v>
  </rv>
  <rv s="0">
    <fb>46008</fb>
    <v>0</v>
  </rv>
  <rv s="0">
    <fb>314.98</fb>
    <v>1</v>
  </rv>
  <rv s="0">
    <fb>8718653</fb>
    <v>2</v>
  </rv>
  <rv s="0">
    <fb>46009</fb>
    <v>0</v>
  </rv>
  <rv s="0">
    <fb>313</fb>
    <v>1</v>
  </rv>
  <rv s="0">
    <fb>11444909</fb>
    <v>2</v>
  </rv>
  <rv s="0">
    <fb>46010</fb>
    <v>0</v>
  </rv>
  <rv s="0">
    <fb>317.20999999999998</fb>
    <v>1</v>
  </rv>
  <rv s="0">
    <fb>24494412</fb>
    <v>2</v>
  </rv>
  <rv s="0">
    <fb>46013</fb>
    <v>0</v>
  </rv>
  <rv s="0">
    <fb>323.08999999999997</fb>
    <v>1</v>
  </rv>
  <rv s="0">
    <fb>8354588</fb>
    <v>2</v>
  </rv>
  <rv s="0">
    <fb>46014</fb>
    <v>0</v>
  </rv>
  <rv s="0">
    <fb>325.93</fb>
    <v>1</v>
  </rv>
  <rv s="0">
    <fb>6668305</fb>
    <v>2</v>
  </rv>
  <rv s="0">
    <fb>46015</fb>
    <v>0</v>
  </rv>
  <rv s="0">
    <fb>329.17</fb>
    <v>1</v>
  </rv>
  <rv s="0">
    <fb>4289306</fb>
    <v>2</v>
  </rv>
  <rv s="0">
    <fb>46017</fb>
    <v>0</v>
  </rv>
  <rv s="0">
    <fb>327.91</fb>
    <v>1</v>
  </rv>
  <rv s="0">
    <fb>4158293</fb>
    <v>2</v>
  </rv>
  <rv s="0">
    <fb>46020</fb>
    <v>0</v>
  </rv>
  <rv s="0">
    <fb>323.75</fb>
    <v>1</v>
  </rv>
  <rv s="0">
    <fb>8635338</fb>
    <v>2</v>
  </rv>
  <rv s="0">
    <fb>46021</fb>
    <v>0</v>
  </rv>
  <rv s="0">
    <fb>323.42</fb>
    <v>1</v>
  </rv>
  <rv s="0">
    <fb>7904263</fb>
    <v>2</v>
  </rv>
  <rv s="0">
    <fb>46022</fb>
    <v>0</v>
  </rv>
  <rv s="0">
    <fb>322.22000000000003</fb>
    <v>1</v>
  </rv>
  <rv s="0">
    <fb>5048531</fb>
    <v>2</v>
  </rv>
  <rv s="0">
    <fb>46024</fb>
    <v>0</v>
  </rv>
  <rv s="0">
    <fb>325.48</fb>
    <v>1</v>
  </rv>
  <rv s="0">
    <fb>8054040</fb>
    <v>2</v>
  </rv>
  <rv s="0">
    <fb>46027</fb>
    <v>0</v>
  </rv>
  <rv s="0">
    <fb>334.04</fb>
    <v>1</v>
  </rv>
  <rv s="0">
    <fb>10752627</fb>
    <v>2</v>
  </rv>
  <rv s="0">
    <fb>46028</fb>
    <v>0</v>
  </rv>
  <rv s="0">
    <fb>334.61</fb>
    <v>1</v>
  </rv>
  <rv s="0">
    <fb>7660787</fb>
    <v>2</v>
  </rv>
  <rv s="0">
    <fb>46029</fb>
    <v>0</v>
  </rv>
  <rv s="0">
    <fb>326.99</fb>
    <v>1</v>
  </rv>
  <rv s="0">
    <fb>9815240</fb>
    <v>2</v>
  </rv>
  <rv s="0">
    <fb>46030</fb>
    <v>0</v>
  </rv>
  <rv s="0">
    <fb>329.79</fb>
    <v>1</v>
  </rv>
  <rv s="0">
    <fb>11737068</fb>
    <v>2</v>
  </rv>
  <rv s="0">
    <fb>46031</fb>
    <v>0</v>
  </rv>
  <rv s="0">
    <fb>329.19</fb>
    <v>1</v>
  </rv>
  <rv s="0">
    <fb>6738143</fb>
    <v>2</v>
  </rv>
  <rv s="0">
    <fb>46034</fb>
    <v>0</v>
  </rv>
  <rv s="0">
    <fb>324.49</fb>
    <v>1</v>
  </rv>
  <rv s="0">
    <fb>12805062</fb>
    <v>2</v>
  </rv>
  <rv s="0">
    <fb>46035</fb>
    <v>0</v>
  </rv>
  <rv s="0">
    <fb>310.89999999999998</fb>
    <v>1</v>
  </rv>
  <rv s="0">
    <fb>19371171</fb>
    <v>2</v>
  </rv>
  <rv s="0">
    <fb>46036</fb>
    <v>0</v>
  </rv>
  <rv s="0">
    <fb>307.87</fb>
    <v>1</v>
  </rv>
  <rv s="0">
    <fb>25951464</fb>
    <v>2</v>
  </rv>
  <rv s="0">
    <fb>46037</fb>
    <v>0</v>
  </rv>
  <rv s="0">
    <fb>309.26</fb>
    <v>1</v>
  </rv>
  <rv s="0">
    <fb>14751447</fb>
    <v>2</v>
  </rv>
  <rv s="0">
    <fb>46038</fb>
    <v>0</v>
  </rv>
  <rv s="0">
    <fb>312.47000000000003</fb>
    <v>1</v>
  </rv>
  <rv s="0">
    <fb>14652508</fb>
    <v>2</v>
  </rv>
  <rv s="0">
    <fb>46042</fb>
    <v>0</v>
  </rv>
  <rv s="0">
    <fb>302.74</fb>
    <v>1</v>
  </rv>
  <rv s="0">
    <fb>12900620</fb>
    <v>2</v>
  </rv>
  <rv s="0">
    <fb>46043</fb>
    <v>0</v>
  </rv>
  <rv s="0">
    <fb>302.04000000000002</fb>
    <v>1</v>
  </rv>
  <rv s="0">
    <fb>10270144</fb>
    <v>2</v>
  </rv>
  <rv s="0">
    <fb>46044</fb>
    <v>0</v>
  </rv>
  <rv s="0">
    <fb>303.63</fb>
    <v>1</v>
  </rv>
  <rv s="0">
    <fb>10535822</fb>
    <v>2</v>
  </rv>
  <rv s="0">
    <fb>46045</fb>
    <v>0</v>
  </rv>
  <rv s="0">
    <fb>297.72000000000003</fb>
    <v>1</v>
  </rv>
  <rv s="0">
    <fb>11107925</fb>
    <v>2</v>
  </rv>
  <rv s="0">
    <fb>46048</fb>
    <v>0</v>
  </rv>
  <rv s="0">
    <fb>301.04000000000002</fb>
    <v>1</v>
  </rv>
  <rv s="0">
    <fb>11752666</fb>
    <v>2</v>
  </rv>
  <rv s="0">
    <fb>46049</fb>
    <v>0</v>
  </rv>
  <rv s="0">
    <fb>300.31</fb>
    <v>1</v>
  </rv>
  <rv s="0">
    <fb>11527448</fb>
    <v>2</v>
  </rv>
  <rv s="0">
    <fb>46050</fb>
    <v>0</v>
  </rv>
  <rv s="0">
    <fb>300.77</fb>
    <v>1</v>
  </rv>
  <rv s="0">
    <fb>9556743</fb>
    <v>2</v>
  </rv>
  <rv s="0">
    <fb>46051</fb>
    <v>0</v>
  </rv>
  <rv s="0">
    <fb>306.42</fb>
    <v>1</v>
  </rv>
  <rv s="0">
    <fb>11579987</fb>
    <v>2</v>
  </rv>
  <rv s="0">
    <fb>46052</fb>
    <v>0</v>
  </rv>
  <rv s="0">
    <fb>305.89</fb>
    <v>1</v>
  </rv>
  <rv s="0">
    <fb>11953180</fb>
    <v>2</v>
  </rv>
  <rv s="0">
    <fb>46055</fb>
    <v>0</v>
  </rv>
  <rv s="0">
    <fb>308.14</fb>
    <v>1</v>
  </rv>
  <rv s="0">
    <fb>9839360</fb>
    <v>2</v>
  </rv>
  <rv s="0">
    <fb>46056</fb>
    <v>0</v>
  </rv>
  <rv s="0">
    <fb>314.85000000000002</fb>
    <v>1</v>
  </rv>
  <rv s="0">
    <fb>12687963</fb>
    <v>2</v>
  </rv>
  <rv s="0">
    <fb>46057</fb>
    <v>0</v>
  </rv>
  <rv s="0">
    <fb>317.27</fb>
    <v>1</v>
  </rv>
  <rv s="0">
    <fb>9848802</fb>
    <v>2</v>
  </rv>
  <rv s="0">
    <fb>46058</fb>
    <v>0</v>
  </rv>
  <rv s="0">
    <fb>310.16000000000003</fb>
    <v>1</v>
  </rv>
  <rv s="0">
    <fb>9387999</fb>
    <v>2</v>
  </rv>
  <rv s="1">
    <v>3</v>
    <v>JPM</v>
    <v>Daily</v>
    <v>45292</v>
    <v>46059</v>
    <v>0</v>
    <v>1</v>
    <v>639058464000000000,639060222593289959,0</v>
    <v>0</v>
    <v>a1waa2</v>
    <v>XNYS:JPM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62035F-FF18-4F5A-9396-CA9448E6D693}" name="Forecast" displayName="Forecast" ref="A1:G120" tableType="queryTable" totalsRowShown="0">
  <autoFilter ref="A1:G120" xr:uid="{9562035F-FF18-4F5A-9396-CA9448E6D693}"/>
  <tableColumns count="7">
    <tableColumn id="1" xr3:uid="{F6C10680-5EB9-440E-9463-76AC999384A0}" uniqueName="1" name="Week" queryTableFieldId="1" dataDxfId="3"/>
    <tableColumn id="2" xr3:uid="{E794E03F-EA30-452A-86E8-1DF3CAFC00BD}" uniqueName="2" name="Average" queryTableFieldId="2"/>
    <tableColumn id="3" xr3:uid="{124E6434-BFFB-4BBF-AE73-13346B659CF8}" uniqueName="3" name="XL Forecast" queryTableFieldId="3"/>
    <tableColumn id="4" xr3:uid="{5AF4DA46-D0A3-4538-AFB2-C11F7EA3DAB8}" uniqueName="4" name="Calc Forecast" queryTableFieldId="4"/>
    <tableColumn id="5" xr3:uid="{3906EC4E-5899-44F1-995A-0C6EC5C1ECB7}" uniqueName="5" name="CI/PI" queryTableFieldId="5"/>
    <tableColumn id="6" xr3:uid="{4640A882-A321-401A-BFEC-8EE18218B295}" uniqueName="6" name="Lower " queryTableFieldId="6" dataDxfId="2">
      <calculatedColumnFormula>Forecast[[#This Row],[XL Forecast]]-Forecast[[#This Row],[CI/PI]]</calculatedColumnFormula>
    </tableColumn>
    <tableColumn id="7" xr3:uid="{5B5D66FF-3111-4D75-8F36-8C66D6E5BFD5}" uniqueName="7" name="Upper" queryTableFieldId="7" dataDxfId="1">
      <calculatedColumnFormula>Forecast[[#This Row],[XL Forecast]]+Forecast[[#This Row],[CI/PI]]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F9E28-BC79-4486-98A9-137415CD8685}" name="Table1" displayName="Table1" ref="A1:B526" totalsRowShown="0">
  <autoFilter ref="A1:B526" xr:uid="{ACDF9E28-BC79-4486-98A9-137415CD8685}"/>
  <tableColumns count="2">
    <tableColumn id="1" xr3:uid="{6A027275-B108-4B46-A384-478DE665EEFB}" name="Week" dataDxfId="0"/>
    <tableColumn id="2" xr3:uid="{15BF7825-534F-4E08-BE45-4BE7C3EA56BD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7"/>
  <sheetViews>
    <sheetView topLeftCell="H1" zoomScale="70" zoomScaleNormal="70" workbookViewId="0">
      <selection activeCell="AC1" sqref="AC1:AE5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7" ca="1">_xlfn.STOCKHISTORY("JPM","2024-01-01",TODAY(),0,1,0,1,5)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172.08</v>
      </c>
      <c r="D2" vm="3">
        <f ca="1"/>
        <v>9977424</v>
      </c>
      <c r="E2">
        <f ca="1">C2*D2</f>
        <v>1716915121.9200001</v>
      </c>
      <c r="F2">
        <f ca="1">SUM($E$2:E2)/SUM($D$2:D2)</f>
        <v>172.08</v>
      </c>
      <c r="G2">
        <f ca="1">_xlfn.STDEV.P($C$2:C2)</f>
        <v>0</v>
      </c>
      <c r="H2">
        <f ca="1">F2 + G2</f>
        <v>172.08</v>
      </c>
      <c r="I2">
        <f ca="1">F2 - G2</f>
        <v>172.08</v>
      </c>
      <c r="AC2" t="s">
        <v>39</v>
      </c>
      <c r="AD2">
        <f ca="1">MIN(C:C)</f>
        <v>167.09</v>
      </c>
      <c r="AE2" s="18">
        <f ca="1">MIN(D:D)</f>
        <v>3729092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171.33</v>
      </c>
      <c r="D3" vm="6">
        <f ca="1"/>
        <v>9852335</v>
      </c>
      <c r="E3">
        <f t="shared" ref="E3:E66" ca="1" si="1">C3*D3</f>
        <v>1688000555.5500002</v>
      </c>
      <c r="F3">
        <f ca="1">SUM($E$2:E3)/SUM($D$2:D3)</f>
        <v>171.70736555446791</v>
      </c>
      <c r="G3">
        <f ca="1">_xlfn.STDEV.P($C$2:C3)</f>
        <v>0.375</v>
      </c>
      <c r="H3">
        <f t="shared" ref="H3:H66" ca="1" si="2">F3 + G3</f>
        <v>172.08236555446791</v>
      </c>
      <c r="I3">
        <f t="shared" ref="I3:I66" ca="1" si="3">F3 - G3</f>
        <v>171.33236555446791</v>
      </c>
      <c r="N3">
        <f ca="1">C3-C2</f>
        <v>-0.75</v>
      </c>
      <c r="O3">
        <f ca="1">MAX(N3,0)</f>
        <v>0</v>
      </c>
      <c r="P3">
        <f ca="1">MAX(-N3,0)</f>
        <v>0.75</v>
      </c>
      <c r="AC3" t="s">
        <v>40</v>
      </c>
      <c r="AD3">
        <f ca="1">MAX(C:C)</f>
        <v>334.61</v>
      </c>
      <c r="AE3" s="18">
        <f ca="1">MAX(D:D)</f>
        <v>32348414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171.41</v>
      </c>
      <c r="D4" vm="9">
        <f ca="1"/>
        <v>11972545</v>
      </c>
      <c r="E4">
        <f t="shared" ca="1" si="1"/>
        <v>2052213938.45</v>
      </c>
      <c r="F4">
        <f ca="1">SUM($E$2:E4)/SUM($D$2:D4)</f>
        <v>171.59541698362483</v>
      </c>
      <c r="G4">
        <f ca="1">_xlfn.STDEV.P($C$2:C4)</f>
        <v>0.33628691453711218</v>
      </c>
      <c r="H4">
        <f t="shared" ca="1" si="2"/>
        <v>171.93170389816194</v>
      </c>
      <c r="I4">
        <f t="shared" ca="1" si="3"/>
        <v>171.25913006908772</v>
      </c>
      <c r="N4">
        <f t="shared" ref="N4:N67" ca="1" si="4">C4-C3</f>
        <v>7.9999999999984084E-2</v>
      </c>
      <c r="O4">
        <f t="shared" ref="O4:O67" ca="1" si="5">MAX(N4,0)</f>
        <v>7.9999999999984084E-2</v>
      </c>
      <c r="P4">
        <f t="shared" ref="P4:P67" ca="1" si="6">MAX(-N4,0)</f>
        <v>0</v>
      </c>
      <c r="AC4" t="s">
        <v>41</v>
      </c>
      <c r="AD4">
        <f ca="1">MEDIAN(C:C)</f>
        <v>242.97500000000002</v>
      </c>
      <c r="AE4" s="18">
        <f ca="1">MEDIAN(D:D)</f>
        <v>8353092.5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172.27</v>
      </c>
      <c r="D5" vm="12">
        <f ca="1"/>
        <v>10066029</v>
      </c>
      <c r="E5">
        <f t="shared" ca="1" si="1"/>
        <v>1734074815.8300002</v>
      </c>
      <c r="F5">
        <f ca="1">SUM($E$2:E5)/SUM($D$2:D5)</f>
        <v>171.75760094747503</v>
      </c>
      <c r="G5">
        <f ca="1">_xlfn.STDEV.P($C$2:C5)</f>
        <v>0.40904614654095239</v>
      </c>
      <c r="H5">
        <f t="shared" ca="1" si="2"/>
        <v>172.16664709401599</v>
      </c>
      <c r="I5">
        <f t="shared" ca="1" si="3"/>
        <v>171.34855480093407</v>
      </c>
      <c r="N5">
        <f t="shared" ca="1" si="4"/>
        <v>0.86000000000001364</v>
      </c>
      <c r="O5">
        <f t="shared" ca="1" si="5"/>
        <v>0.86000000000001364</v>
      </c>
      <c r="P5">
        <f t="shared" ca="1" si="6"/>
        <v>0</v>
      </c>
      <c r="AC5" t="s">
        <v>42</v>
      </c>
      <c r="AD5">
        <f ca="1">AVERAGE(C:C)</f>
        <v>245.61608365019021</v>
      </c>
      <c r="AE5" s="18">
        <f ca="1">AVERAGE(D:D)</f>
        <v>9311957.2300380226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172.02</v>
      </c>
      <c r="D6" vm="15">
        <f ca="1"/>
        <v>11229916</v>
      </c>
      <c r="E6">
        <f t="shared" ca="1" si="1"/>
        <v>1931770150.3200002</v>
      </c>
      <c r="F6">
        <f ca="1">SUM($E$2:E6)/SUM($D$2:D6)</f>
        <v>171.81309654994462</v>
      </c>
      <c r="G6">
        <f ca="1">_xlfn.STDEV.P($C$2:C6)</f>
        <v>0.37901978840161105</v>
      </c>
      <c r="H6">
        <f t="shared" ca="1" si="2"/>
        <v>172.19211633834624</v>
      </c>
      <c r="I6">
        <f t="shared" ca="1" si="3"/>
        <v>171.434076761543</v>
      </c>
      <c r="N6">
        <f t="shared" ca="1" si="4"/>
        <v>-0.25</v>
      </c>
      <c r="O6">
        <f t="shared" ca="1" si="5"/>
        <v>0</v>
      </c>
      <c r="P6">
        <f t="shared" ca="1" si="6"/>
        <v>0.25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170.66</v>
      </c>
      <c r="D7" vm="18">
        <f ca="1"/>
        <v>9923630</v>
      </c>
      <c r="E7">
        <f t="shared" ca="1" si="1"/>
        <v>1693566695.8</v>
      </c>
      <c r="F7">
        <f ca="1">SUM($E$2:E7)/SUM($D$2:D7)</f>
        <v>171.63152621758547</v>
      </c>
      <c r="G7">
        <f ca="1">_xlfn.STDEV.P($C$2:C7)</f>
        <v>0.5542988564143243</v>
      </c>
      <c r="H7">
        <f t="shared" ca="1" si="2"/>
        <v>172.18582507399981</v>
      </c>
      <c r="I7">
        <f t="shared" ca="1" si="3"/>
        <v>171.07722736117114</v>
      </c>
      <c r="N7">
        <f t="shared" ca="1" si="4"/>
        <v>-1.3600000000000136</v>
      </c>
      <c r="O7">
        <f t="shared" ca="1" si="5"/>
        <v>0</v>
      </c>
      <c r="P7">
        <f t="shared" ca="1" si="6"/>
        <v>1.3600000000000136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171.02</v>
      </c>
      <c r="D8" vm="21">
        <f ca="1"/>
        <v>9670218</v>
      </c>
      <c r="E8">
        <f t="shared" ca="1" si="1"/>
        <v>1653800682.3600001</v>
      </c>
      <c r="F8">
        <f ca="1">SUM($E$2:E8)/SUM($D$2:D8)</f>
        <v>171.55017498298335</v>
      </c>
      <c r="G8">
        <f ca="1">_xlfn.STDEV.P($C$2:C8)</f>
        <v>0.55558022620959635</v>
      </c>
      <c r="H8">
        <f t="shared" ca="1" si="2"/>
        <v>172.10575520919295</v>
      </c>
      <c r="I8">
        <f t="shared" ca="1" si="3"/>
        <v>170.99459475677375</v>
      </c>
      <c r="N8">
        <f t="shared" ca="1" si="4"/>
        <v>0.36000000000001364</v>
      </c>
      <c r="O8">
        <f t="shared" ca="1" si="5"/>
        <v>0.36000000000001364</v>
      </c>
      <c r="P8">
        <f t="shared" ca="1" si="6"/>
        <v>0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170.3</v>
      </c>
      <c r="D9" vm="24">
        <f ca="1"/>
        <v>11919498</v>
      </c>
      <c r="E9">
        <f t="shared" ca="1" si="1"/>
        <v>2029890509.4000001</v>
      </c>
      <c r="F9">
        <f ca="1">SUM($E$2:E9)/SUM($D$2:D9)</f>
        <v>171.374058952913</v>
      </c>
      <c r="G9">
        <f ca="1">_xlfn.STDEV.P($C$2:C9)</f>
        <v>0.66230539594661497</v>
      </c>
      <c r="H9">
        <f t="shared" ca="1" si="2"/>
        <v>172.03636434885962</v>
      </c>
      <c r="I9">
        <f t="shared" ca="1" si="3"/>
        <v>170.71175355696639</v>
      </c>
      <c r="N9">
        <f t="shared" ca="1" si="4"/>
        <v>-0.71999999999999886</v>
      </c>
      <c r="O9">
        <f t="shared" ca="1" si="5"/>
        <v>0</v>
      </c>
      <c r="P9">
        <f t="shared" ca="1" si="6"/>
        <v>0.71999999999999886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169.05</v>
      </c>
      <c r="D10" vm="27">
        <f ca="1"/>
        <v>19436504</v>
      </c>
      <c r="E10">
        <f t="shared" ca="1" si="1"/>
        <v>3285741001.2000003</v>
      </c>
      <c r="F10">
        <f ca="1">SUM($E$2:E10)/SUM($D$2:D10)</f>
        <v>170.93991761281481</v>
      </c>
      <c r="G10">
        <f ca="1">_xlfn.STDEV.P($C$2:C10)</f>
        <v>0.96383493284782851</v>
      </c>
      <c r="H10">
        <f t="shared" ca="1" si="2"/>
        <v>171.90375254566263</v>
      </c>
      <c r="I10">
        <f t="shared" ca="1" si="3"/>
        <v>169.97608267996699</v>
      </c>
      <c r="N10">
        <f t="shared" ca="1" si="4"/>
        <v>-1.25</v>
      </c>
      <c r="O10">
        <f t="shared" ca="1" si="5"/>
        <v>0</v>
      </c>
      <c r="P10">
        <f t="shared" ca="1" si="6"/>
        <v>1.25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167.99</v>
      </c>
      <c r="D11" vm="30">
        <f ca="1"/>
        <v>17206420</v>
      </c>
      <c r="E11">
        <f t="shared" ca="1" si="1"/>
        <v>2890506495.8000002</v>
      </c>
      <c r="F11">
        <f ca="1">SUM($E$2:E11)/SUM($D$2:D11)</f>
        <v>170.52131448090606</v>
      </c>
      <c r="G11">
        <f ca="1">_xlfn.STDEV.P($C$2:C11)</f>
        <v>1.3120826955645746</v>
      </c>
      <c r="H11">
        <f t="shared" ca="1" si="2"/>
        <v>171.83339717647064</v>
      </c>
      <c r="I11">
        <f t="shared" ca="1" si="3"/>
        <v>169.20923178534147</v>
      </c>
      <c r="N11">
        <f t="shared" ca="1" si="4"/>
        <v>-1.0600000000000023</v>
      </c>
      <c r="O11">
        <f t="shared" ca="1" si="5"/>
        <v>0</v>
      </c>
      <c r="P11">
        <f t="shared" ca="1" si="6"/>
        <v>1.0600000000000023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167.09</v>
      </c>
      <c r="D12" vm="33">
        <f ca="1"/>
        <v>11107466</v>
      </c>
      <c r="E12">
        <f t="shared" ca="1" si="1"/>
        <v>1855946493.9400001</v>
      </c>
      <c r="F12">
        <f ca="1">SUM($E$2:E12)/SUM($D$2:D12)</f>
        <v>170.23336768914425</v>
      </c>
      <c r="G12">
        <f ca="1">_xlfn.STDEV.P($C$2:C12)</f>
        <v>1.646380954680261</v>
      </c>
      <c r="H12">
        <f t="shared" ca="1" si="2"/>
        <v>171.87974864382451</v>
      </c>
      <c r="I12">
        <f t="shared" ca="1" si="3"/>
        <v>168.58698673446398</v>
      </c>
      <c r="N12">
        <f t="shared" ca="1" si="4"/>
        <v>-0.90000000000000568</v>
      </c>
      <c r="O12">
        <f t="shared" ca="1" si="5"/>
        <v>0</v>
      </c>
      <c r="P12">
        <f t="shared" ca="1" si="6"/>
        <v>0.90000000000000568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167.42</v>
      </c>
      <c r="D13" vm="36">
        <f ca="1"/>
        <v>9382255</v>
      </c>
      <c r="E13">
        <f t="shared" ca="1" si="1"/>
        <v>1570777132.0999999</v>
      </c>
      <c r="F13">
        <f ca="1">SUM($E$2:E13)/SUM($D$2:D13)</f>
        <v>170.04714683764217</v>
      </c>
      <c r="G13">
        <f ca="1">_xlfn.STDEV.P($C$2:C13)</f>
        <v>1.7881321725942627</v>
      </c>
      <c r="H13">
        <f t="shared" ca="1" si="2"/>
        <v>171.83527901023643</v>
      </c>
      <c r="I13">
        <f t="shared" ca="1" si="3"/>
        <v>168.25901466504791</v>
      </c>
      <c r="N13">
        <f t="shared" ca="1" si="4"/>
        <v>0.32999999999998408</v>
      </c>
      <c r="O13">
        <f t="shared" ca="1" si="5"/>
        <v>0.32999999999998408</v>
      </c>
      <c r="P13">
        <f t="shared" ca="1" si="6"/>
        <v>0</v>
      </c>
      <c r="W13" s="9">
        <f ca="1">AVERAGE(C2:C13)</f>
        <v>170.22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170.31</v>
      </c>
      <c r="D14" vm="39">
        <f ca="1"/>
        <v>13115664</v>
      </c>
      <c r="E14">
        <f t="shared" ca="1" si="1"/>
        <v>2233728735.8400002</v>
      </c>
      <c r="F14">
        <f ca="1">SUM($E$2:E14)/SUM($D$2:D14)</f>
        <v>170.06940885427642</v>
      </c>
      <c r="G14">
        <f ca="1">_xlfn.STDEV.P($C$2:C14)</f>
        <v>1.7181492037627419</v>
      </c>
      <c r="H14">
        <f t="shared" ca="1" si="2"/>
        <v>171.78755805803917</v>
      </c>
      <c r="I14">
        <f t="shared" ca="1" si="3"/>
        <v>168.35125965051367</v>
      </c>
      <c r="N14">
        <f t="shared" ca="1" si="4"/>
        <v>2.8900000000000148</v>
      </c>
      <c r="O14">
        <f t="shared" ca="1" si="5"/>
        <v>2.8900000000000148</v>
      </c>
      <c r="P14">
        <f t="shared" ca="1" si="6"/>
        <v>0</v>
      </c>
      <c r="W14">
        <f ca="1">C14*(2/(12+1)) + W13*(1-(2/(12+1)))</f>
        <v>170.23384615384614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170.11</v>
      </c>
      <c r="D15" vm="42">
        <f ca="1"/>
        <v>12837505</v>
      </c>
      <c r="E15">
        <f t="shared" ca="1" si="1"/>
        <v>2183787975.5500002</v>
      </c>
      <c r="F15">
        <f ca="1">SUM($E$2:E15)/SUM($D$2:D15)</f>
        <v>170.07251617143348</v>
      </c>
      <c r="G15">
        <f ca="1">_xlfn.STDEV.P($C$2:C15)</f>
        <v>1.655923812700753</v>
      </c>
      <c r="H15">
        <f t="shared" ca="1" si="2"/>
        <v>171.72843998413424</v>
      </c>
      <c r="I15">
        <f t="shared" ca="1" si="3"/>
        <v>168.41659235873271</v>
      </c>
      <c r="N15">
        <f t="shared" ca="1" si="4"/>
        <v>-0.19999999999998863</v>
      </c>
      <c r="O15">
        <f t="shared" ca="1" si="5"/>
        <v>0</v>
      </c>
      <c r="P15">
        <f t="shared" ca="1" si="6"/>
        <v>0.19999999999998863</v>
      </c>
      <c r="Q15" s="2">
        <f ca="1">AVERAGE(O3:O16)</f>
        <v>0.32285714285714356</v>
      </c>
      <c r="R15" s="2">
        <f ca="1">AVERAGE(P3:P16)</f>
        <v>0.54357142857142959</v>
      </c>
      <c r="S15">
        <f ca="1">IF(R15=0,NA(),Q15/R15)</f>
        <v>0.5939553219448096</v>
      </c>
      <c r="T15">
        <f ca="1">100-(100/(1+S15))</f>
        <v>37.262984336356155</v>
      </c>
      <c r="U15">
        <f>70</f>
        <v>70</v>
      </c>
      <c r="V15">
        <f>30</f>
        <v>30</v>
      </c>
      <c r="W15">
        <f t="shared" ref="W15:W78" ca="1" si="7">C15*(2/(12+1)) + W14*(1-(2/(12+1)))</f>
        <v>170.21479289940828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168.99</v>
      </c>
      <c r="D16" vm="45">
        <f ca="1"/>
        <v>8360829</v>
      </c>
      <c r="E16">
        <f t="shared" ca="1" si="1"/>
        <v>1412896492.71</v>
      </c>
      <c r="F16">
        <f ca="1">SUM($E$2:E16)/SUM($D$2:D16)</f>
        <v>170.02110856505331</v>
      </c>
      <c r="G16">
        <f ca="1">_xlfn.STDEV.P($C$2:C16)</f>
        <v>1.6288632709824249</v>
      </c>
      <c r="H16">
        <f t="shared" ca="1" si="2"/>
        <v>171.64997183603575</v>
      </c>
      <c r="I16">
        <f t="shared" ca="1" si="3"/>
        <v>168.39224529407088</v>
      </c>
      <c r="N16">
        <f t="shared" ca="1" si="4"/>
        <v>-1.1200000000000045</v>
      </c>
      <c r="O16">
        <f t="shared" ca="1" si="5"/>
        <v>0</v>
      </c>
      <c r="P16">
        <f t="shared" ca="1" si="6"/>
        <v>1.1200000000000045</v>
      </c>
      <c r="Q16">
        <f ca="1">(Q15*13+O16)/14</f>
        <v>0.29979591836734759</v>
      </c>
      <c r="R16">
        <f ca="1">(R15*13+P16)/14</f>
        <v>0.58474489795918494</v>
      </c>
      <c r="S16">
        <f t="shared" ref="S16:S79" ca="1" si="8">IF(R16=0,NA(),Q16/R16)</f>
        <v>0.51269522729255734</v>
      </c>
      <c r="T16">
        <f t="shared" ref="T16:T79" ca="1" si="9">100-(100/(1+S16))</f>
        <v>33.892830362807871</v>
      </c>
      <c r="U16">
        <f>70</f>
        <v>70</v>
      </c>
      <c r="V16">
        <f>30</f>
        <v>30</v>
      </c>
      <c r="W16">
        <f t="shared" ca="1" si="7"/>
        <v>170.02636322257626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170.5</v>
      </c>
      <c r="D17" vm="48">
        <f ca="1"/>
        <v>9967060</v>
      </c>
      <c r="E17">
        <f t="shared" ca="1" si="1"/>
        <v>1699383730</v>
      </c>
      <c r="F17">
        <f ca="1">SUM($E$2:E17)/SUM($D$2:D17)</f>
        <v>170.04676711642733</v>
      </c>
      <c r="G17">
        <f ca="1">_xlfn.STDEV.P($C$2:C17)</f>
        <v>1.5795904087373436</v>
      </c>
      <c r="H17">
        <f t="shared" ca="1" si="2"/>
        <v>171.62635752516468</v>
      </c>
      <c r="I17">
        <f t="shared" ca="1" si="3"/>
        <v>168.46717670768999</v>
      </c>
      <c r="N17">
        <f t="shared" ca="1" si="4"/>
        <v>1.5099999999999909</v>
      </c>
      <c r="O17">
        <f t="shared" ca="1" si="5"/>
        <v>1.5099999999999909</v>
      </c>
      <c r="P17">
        <f t="shared" ca="1" si="6"/>
        <v>0</v>
      </c>
      <c r="Q17">
        <f t="shared" ref="Q17:Q80" ca="1" si="10">(Q16*13+O17)/14</f>
        <v>0.38623906705539351</v>
      </c>
      <c r="R17">
        <f t="shared" ref="R17:R80" ca="1" si="11">(R16*13+P17)/14</f>
        <v>0.54297740524781457</v>
      </c>
      <c r="S17">
        <f t="shared" ca="1" si="8"/>
        <v>0.71133543186592496</v>
      </c>
      <c r="T17">
        <f t="shared" ca="1" si="9"/>
        <v>41.566102040576148</v>
      </c>
      <c r="U17">
        <f>70</f>
        <v>70</v>
      </c>
      <c r="V17">
        <f>30</f>
        <v>30</v>
      </c>
      <c r="W17">
        <f t="shared" ca="1" si="7"/>
        <v>170.09923041910298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172.94</v>
      </c>
      <c r="D18" vm="51">
        <f ca="1"/>
        <v>8873481</v>
      </c>
      <c r="E18">
        <f t="shared" ca="1" si="1"/>
        <v>1534579804.1399999</v>
      </c>
      <c r="F18">
        <f ca="1">SUM($E$2:E18)/SUM($D$2:D18)</f>
        <v>170.17849214391433</v>
      </c>
      <c r="G18">
        <f ca="1">_xlfn.STDEV.P($C$2:C18)</f>
        <v>1.6662524514112245</v>
      </c>
      <c r="H18">
        <f t="shared" ca="1" si="2"/>
        <v>171.84474459532555</v>
      </c>
      <c r="I18">
        <f t="shared" ca="1" si="3"/>
        <v>168.5122396925031</v>
      </c>
      <c r="N18">
        <f t="shared" ca="1" si="4"/>
        <v>2.4399999999999977</v>
      </c>
      <c r="O18">
        <f t="shared" ca="1" si="5"/>
        <v>2.4399999999999977</v>
      </c>
      <c r="P18">
        <f t="shared" ca="1" si="6"/>
        <v>0</v>
      </c>
      <c r="Q18">
        <f t="shared" ca="1" si="10"/>
        <v>0.53293627655143661</v>
      </c>
      <c r="R18">
        <f t="shared" ca="1" si="11"/>
        <v>0.50419330487297065</v>
      </c>
      <c r="S18">
        <f t="shared" ca="1" si="8"/>
        <v>1.0570078408433203</v>
      </c>
      <c r="T18">
        <f t="shared" ca="1" si="9"/>
        <v>51.38569819014274</v>
      </c>
      <c r="U18">
        <f>70</f>
        <v>70</v>
      </c>
      <c r="V18">
        <f>30</f>
        <v>30</v>
      </c>
      <c r="W18">
        <f t="shared" ca="1" si="7"/>
        <v>170.53627189308716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172.28</v>
      </c>
      <c r="D19" vm="54">
        <f ca="1"/>
        <v>7442955</v>
      </c>
      <c r="E19">
        <f t="shared" ca="1" si="1"/>
        <v>1282272287.4000001</v>
      </c>
      <c r="F19">
        <f ca="1">SUM($E$2:E19)/SUM($D$2:D19)</f>
        <v>170.25579418188633</v>
      </c>
      <c r="G19">
        <f ca="1">_xlfn.STDEV.P($C$2:C19)</f>
        <v>1.6802124534977392</v>
      </c>
      <c r="H19">
        <f t="shared" ca="1" si="2"/>
        <v>171.93600663538408</v>
      </c>
      <c r="I19">
        <f t="shared" ca="1" si="3"/>
        <v>168.57558172838858</v>
      </c>
      <c r="N19">
        <f t="shared" ca="1" si="4"/>
        <v>-0.65999999999999659</v>
      </c>
      <c r="O19">
        <f t="shared" ca="1" si="5"/>
        <v>0</v>
      </c>
      <c r="P19">
        <f t="shared" ca="1" si="6"/>
        <v>0.65999999999999659</v>
      </c>
      <c r="Q19">
        <f t="shared" ca="1" si="10"/>
        <v>0.49486939965490545</v>
      </c>
      <c r="R19">
        <f t="shared" ca="1" si="11"/>
        <v>0.51532235452490105</v>
      </c>
      <c r="S19">
        <f t="shared" ca="1" si="8"/>
        <v>0.960310367500257</v>
      </c>
      <c r="T19">
        <f t="shared" ca="1" si="9"/>
        <v>48.98766967828788</v>
      </c>
      <c r="U19">
        <f>70</f>
        <v>70</v>
      </c>
      <c r="V19">
        <f>30</f>
        <v>30</v>
      </c>
      <c r="W19">
        <f t="shared" ca="1" si="7"/>
        <v>170.80453775568915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172.73</v>
      </c>
      <c r="D20" vm="57">
        <f ca="1"/>
        <v>6971192</v>
      </c>
      <c r="E20">
        <f t="shared" ca="1" si="1"/>
        <v>1204133994.1599998</v>
      </c>
      <c r="F20">
        <f ca="1">SUM($E$2:E20)/SUM($D$2:D20)</f>
        <v>170.33819790216867</v>
      </c>
      <c r="G20">
        <f ca="1">_xlfn.STDEV.P($C$2:C20)</f>
        <v>1.7140344592288173</v>
      </c>
      <c r="H20">
        <f t="shared" ca="1" si="2"/>
        <v>172.0522323613975</v>
      </c>
      <c r="I20">
        <f t="shared" ca="1" si="3"/>
        <v>168.62416344293985</v>
      </c>
      <c r="N20">
        <f t="shared" ca="1" si="4"/>
        <v>0.44999999999998863</v>
      </c>
      <c r="O20">
        <f t="shared" ca="1" si="5"/>
        <v>0.44999999999998863</v>
      </c>
      <c r="P20">
        <f t="shared" ca="1" si="6"/>
        <v>0</v>
      </c>
      <c r="Q20">
        <f t="shared" ca="1" si="10"/>
        <v>0.49166444253669711</v>
      </c>
      <c r="R20">
        <f t="shared" ca="1" si="11"/>
        <v>0.47851361491597955</v>
      </c>
      <c r="S20">
        <f t="shared" ca="1" si="8"/>
        <v>1.0274826613303922</v>
      </c>
      <c r="T20">
        <f t="shared" ca="1" si="9"/>
        <v>50.677753301040774</v>
      </c>
      <c r="U20">
        <f>70</f>
        <v>70</v>
      </c>
      <c r="V20">
        <f>30</f>
        <v>30</v>
      </c>
      <c r="W20">
        <f t="shared" ca="1" si="7"/>
        <v>171.10076271635236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176.27</v>
      </c>
      <c r="D21" vm="60">
        <f ca="1"/>
        <v>10822075</v>
      </c>
      <c r="E21">
        <f t="shared" ca="1" si="1"/>
        <v>1907607160.25</v>
      </c>
      <c r="F21">
        <f ca="1">SUM($E$2:E21)/SUM($D$2:D21)</f>
        <v>170.62981171594782</v>
      </c>
      <c r="G21">
        <f ca="1">_xlfn.STDEV.P($C$2:C21)</f>
        <v>2.0841575636213312</v>
      </c>
      <c r="H21">
        <f t="shared" ca="1" si="2"/>
        <v>172.71396927956914</v>
      </c>
      <c r="I21">
        <f t="shared" ca="1" si="3"/>
        <v>168.54565415232651</v>
      </c>
      <c r="J21">
        <f ca="1">AVERAGE(C2:C21)</f>
        <v>170.83850000000001</v>
      </c>
      <c r="K21">
        <f ca="1">_xlfn.STDEV.S(C2:C21)</f>
        <v>2.1383005426100232</v>
      </c>
      <c r="L21">
        <f ca="1">J21 + 2*K21</f>
        <v>175.11510108522006</v>
      </c>
      <c r="M21">
        <f ca="1">J21-2*K21</f>
        <v>166.56189891477996</v>
      </c>
      <c r="N21">
        <f t="shared" ca="1" si="4"/>
        <v>3.5400000000000205</v>
      </c>
      <c r="O21">
        <f t="shared" ca="1" si="5"/>
        <v>3.5400000000000205</v>
      </c>
      <c r="P21">
        <f t="shared" ca="1" si="6"/>
        <v>0</v>
      </c>
      <c r="Q21">
        <f t="shared" ca="1" si="10"/>
        <v>0.70940269664122013</v>
      </c>
      <c r="R21">
        <f t="shared" ca="1" si="11"/>
        <v>0.44433407099340955</v>
      </c>
      <c r="S21">
        <f t="shared" ca="1" si="8"/>
        <v>1.5965525557272473</v>
      </c>
      <c r="T21">
        <f t="shared" ca="1" si="9"/>
        <v>61.487396132449241</v>
      </c>
      <c r="U21">
        <f>70</f>
        <v>70</v>
      </c>
      <c r="V21">
        <f>30</f>
        <v>30</v>
      </c>
      <c r="W21">
        <f t="shared" ca="1" si="7"/>
        <v>171.89602999075967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174.36</v>
      </c>
      <c r="D22" vm="63">
        <f ca="1"/>
        <v>11521820</v>
      </c>
      <c r="E22">
        <f t="shared" ca="1" si="1"/>
        <v>2008944535.2</v>
      </c>
      <c r="F22">
        <f ca="1">SUM($E$2:E22)/SUM($D$2:D22)</f>
        <v>170.81533855599264</v>
      </c>
      <c r="G22">
        <f ca="1">_xlfn.STDEV.P($C$2:C22)</f>
        <v>2.1677802475837042</v>
      </c>
      <c r="H22">
        <f t="shared" ca="1" si="2"/>
        <v>172.98311880357633</v>
      </c>
      <c r="I22">
        <f t="shared" ca="1" si="3"/>
        <v>168.64755830840895</v>
      </c>
      <c r="J22">
        <f t="shared" ref="J22:J85" ca="1" si="12">AVERAGE(C3:C22)</f>
        <v>170.95250000000004</v>
      </c>
      <c r="K22">
        <f t="shared" ref="K22:K85" ca="1" si="13">_xlfn.STDEV.S(C3:C22)</f>
        <v>2.2649965144622897</v>
      </c>
      <c r="L22">
        <f t="shared" ref="L22:L85" ca="1" si="14">J22 + 2*K22</f>
        <v>175.48249302892464</v>
      </c>
      <c r="M22">
        <f t="shared" ref="M22:M85" ca="1" si="15">J22-2*K22</f>
        <v>166.42250697107545</v>
      </c>
      <c r="N22">
        <f t="shared" ca="1" si="4"/>
        <v>-1.9099999999999966</v>
      </c>
      <c r="O22">
        <f t="shared" ca="1" si="5"/>
        <v>0</v>
      </c>
      <c r="P22">
        <f t="shared" ca="1" si="6"/>
        <v>1.9099999999999966</v>
      </c>
      <c r="Q22">
        <f t="shared" ca="1" si="10"/>
        <v>0.6587310754525616</v>
      </c>
      <c r="R22">
        <f t="shared" ca="1" si="11"/>
        <v>0.54902449449388002</v>
      </c>
      <c r="S22">
        <f t="shared" ca="1" si="8"/>
        <v>1.1998209224887406</v>
      </c>
      <c r="T22">
        <f t="shared" ca="1" si="9"/>
        <v>54.541754295678658</v>
      </c>
      <c r="U22">
        <f>70</f>
        <v>70</v>
      </c>
      <c r="V22">
        <f>30</f>
        <v>30</v>
      </c>
      <c r="W22">
        <f t="shared" ca="1" si="7"/>
        <v>172.27510229987357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173.73</v>
      </c>
      <c r="D23" vm="66">
        <f ca="1"/>
        <v>9354798</v>
      </c>
      <c r="E23">
        <f t="shared" ca="1" si="1"/>
        <v>1625209056.54</v>
      </c>
      <c r="F23">
        <f ca="1">SUM($E$2:E23)/SUM($D$2:D23)</f>
        <v>170.92847031769031</v>
      </c>
      <c r="G23">
        <f ca="1">_xlfn.STDEV.P($C$2:C23)</f>
        <v>2.1926177795668647</v>
      </c>
      <c r="H23">
        <f t="shared" ca="1" si="2"/>
        <v>173.12108809725717</v>
      </c>
      <c r="I23">
        <f t="shared" ca="1" si="3"/>
        <v>168.73585253812345</v>
      </c>
      <c r="J23">
        <f t="shared" ca="1" si="12"/>
        <v>171.07250000000005</v>
      </c>
      <c r="K23">
        <f t="shared" ca="1" si="13"/>
        <v>2.3481008563473051</v>
      </c>
      <c r="L23">
        <f t="shared" ca="1" si="14"/>
        <v>175.76870171269465</v>
      </c>
      <c r="M23">
        <f t="shared" ca="1" si="15"/>
        <v>166.37629828730545</v>
      </c>
      <c r="N23">
        <f t="shared" ca="1" si="4"/>
        <v>-0.63000000000002387</v>
      </c>
      <c r="O23">
        <f t="shared" ca="1" si="5"/>
        <v>0</v>
      </c>
      <c r="P23">
        <f t="shared" ca="1" si="6"/>
        <v>0.63000000000002387</v>
      </c>
      <c r="Q23">
        <f t="shared" ca="1" si="10"/>
        <v>0.61167885577737857</v>
      </c>
      <c r="R23">
        <f t="shared" ca="1" si="11"/>
        <v>0.55480845917289023</v>
      </c>
      <c r="S23">
        <f t="shared" ca="1" si="8"/>
        <v>1.1025045593019092</v>
      </c>
      <c r="T23">
        <f t="shared" ca="1" si="9"/>
        <v>52.437677455880134</v>
      </c>
      <c r="U23">
        <f>70</f>
        <v>70</v>
      </c>
      <c r="V23">
        <f>30</f>
        <v>30</v>
      </c>
      <c r="W23">
        <f t="shared" ca="1" si="7"/>
        <v>172.49893271527762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174.73</v>
      </c>
      <c r="D24" vm="69">
        <f ca="1"/>
        <v>8607839</v>
      </c>
      <c r="E24">
        <f t="shared" ca="1" si="1"/>
        <v>1504047708.47</v>
      </c>
      <c r="F24">
        <f ca="1">SUM($E$2:E24)/SUM($D$2:D24)</f>
        <v>171.05956168260724</v>
      </c>
      <c r="G24">
        <f ca="1">_xlfn.STDEV.P($C$2:C24)</f>
        <v>2.2666113544531852</v>
      </c>
      <c r="H24">
        <f t="shared" ca="1" si="2"/>
        <v>173.32617303706041</v>
      </c>
      <c r="I24">
        <f t="shared" ca="1" si="3"/>
        <v>168.79295032815406</v>
      </c>
      <c r="J24">
        <f t="shared" ca="1" si="12"/>
        <v>171.23849999999999</v>
      </c>
      <c r="K24">
        <f t="shared" ca="1" si="13"/>
        <v>2.4864925095402954</v>
      </c>
      <c r="L24">
        <f t="shared" ca="1" si="14"/>
        <v>176.21148501908058</v>
      </c>
      <c r="M24">
        <f t="shared" ca="1" si="15"/>
        <v>166.26551498091939</v>
      </c>
      <c r="N24">
        <f t="shared" ca="1" si="4"/>
        <v>1</v>
      </c>
      <c r="O24">
        <f t="shared" ca="1" si="5"/>
        <v>1</v>
      </c>
      <c r="P24">
        <f t="shared" ca="1" si="6"/>
        <v>0</v>
      </c>
      <c r="Q24">
        <f t="shared" ca="1" si="10"/>
        <v>0.63941608036470865</v>
      </c>
      <c r="R24">
        <f t="shared" ca="1" si="11"/>
        <v>0.51517928351768372</v>
      </c>
      <c r="S24">
        <f t="shared" ca="1" si="8"/>
        <v>1.2411525479027932</v>
      </c>
      <c r="T24">
        <f t="shared" ca="1" si="9"/>
        <v>55.380101147698682</v>
      </c>
      <c r="U24">
        <f>70</f>
        <v>70</v>
      </c>
      <c r="V24">
        <f>30</f>
        <v>30</v>
      </c>
      <c r="W24">
        <f t="shared" ca="1" si="7"/>
        <v>172.84217383600415</v>
      </c>
    </row>
    <row r="25" spans="1:25" x14ac:dyDescent="0.25">
      <c r="A25" s="20">
        <f t="shared" ca="1" si="0"/>
        <v>45327</v>
      </c>
      <c r="B25" vm="70">
        <f ca="1"/>
        <v>45327</v>
      </c>
      <c r="C25" vm="71">
        <f ca="1"/>
        <v>174.5</v>
      </c>
      <c r="D25" vm="72">
        <f ca="1"/>
        <v>7820160</v>
      </c>
      <c r="E25">
        <f t="shared" ca="1" si="1"/>
        <v>1364617920</v>
      </c>
      <c r="F25">
        <f ca="1">SUM($E$2:E25)/SUM($D$2:D25)</f>
        <v>171.16407076446947</v>
      </c>
      <c r="G25">
        <f ca="1">_xlfn.STDEV.P($C$2:C25)</f>
        <v>2.3099359283442369</v>
      </c>
      <c r="H25">
        <f t="shared" ca="1" si="2"/>
        <v>173.4740066928137</v>
      </c>
      <c r="I25">
        <f t="shared" ca="1" si="3"/>
        <v>168.85413483612524</v>
      </c>
      <c r="J25">
        <f t="shared" ca="1" si="12"/>
        <v>171.35</v>
      </c>
      <c r="K25">
        <f t="shared" ca="1" si="13"/>
        <v>2.5832965475592564</v>
      </c>
      <c r="L25">
        <f t="shared" ca="1" si="14"/>
        <v>176.51659309511851</v>
      </c>
      <c r="M25">
        <f t="shared" ca="1" si="15"/>
        <v>166.18340690488148</v>
      </c>
      <c r="N25">
        <f t="shared" ca="1" si="4"/>
        <v>-0.22999999999998977</v>
      </c>
      <c r="O25">
        <f t="shared" ca="1" si="5"/>
        <v>0</v>
      </c>
      <c r="P25">
        <f t="shared" ca="1" si="6"/>
        <v>0.22999999999998977</v>
      </c>
      <c r="Q25">
        <f t="shared" ca="1" si="10"/>
        <v>0.59374350319580083</v>
      </c>
      <c r="R25">
        <f t="shared" ca="1" si="11"/>
        <v>0.49480933469499128</v>
      </c>
      <c r="S25">
        <f t="shared" ca="1" si="8"/>
        <v>1.1999440219974715</v>
      </c>
      <c r="T25">
        <f t="shared" ca="1" si="9"/>
        <v>54.544297945725219</v>
      </c>
      <c r="U25">
        <f>70</f>
        <v>70</v>
      </c>
      <c r="V25">
        <f>30</f>
        <v>30</v>
      </c>
      <c r="W25">
        <f t="shared" ca="1" si="7"/>
        <v>173.09722401508043</v>
      </c>
    </row>
    <row r="26" spans="1:25" x14ac:dyDescent="0.25">
      <c r="A26" s="20">
        <f t="shared" ca="1" si="0"/>
        <v>45327</v>
      </c>
      <c r="B26" vm="73">
        <f ca="1"/>
        <v>45328</v>
      </c>
      <c r="C26" vm="74">
        <f ca="1"/>
        <v>175.1</v>
      </c>
      <c r="D26" vm="75">
        <f ca="1"/>
        <v>6765684</v>
      </c>
      <c r="E26">
        <f t="shared" ca="1" si="1"/>
        <v>1184671268.3999999</v>
      </c>
      <c r="F26">
        <f ca="1">SUM($E$2:E26)/SUM($D$2:D26)</f>
        <v>171.26486076850188</v>
      </c>
      <c r="G26">
        <f ca="1">_xlfn.STDEV.P($C$2:C26)</f>
        <v>2.375348867008801</v>
      </c>
      <c r="H26">
        <f t="shared" ca="1" si="2"/>
        <v>173.64020963551067</v>
      </c>
      <c r="I26">
        <f t="shared" ca="1" si="3"/>
        <v>168.88951190149308</v>
      </c>
      <c r="J26">
        <f t="shared" ca="1" si="12"/>
        <v>171.50399999999999</v>
      </c>
      <c r="K26">
        <f t="shared" ca="1" si="13"/>
        <v>2.7138463672918456</v>
      </c>
      <c r="L26">
        <f t="shared" ca="1" si="14"/>
        <v>176.93169273458369</v>
      </c>
      <c r="M26">
        <f t="shared" ca="1" si="15"/>
        <v>166.07630726541629</v>
      </c>
      <c r="N26">
        <f t="shared" ca="1" si="4"/>
        <v>0.59999999999999432</v>
      </c>
      <c r="O26">
        <f t="shared" ca="1" si="5"/>
        <v>0.59999999999999432</v>
      </c>
      <c r="P26">
        <f t="shared" ca="1" si="6"/>
        <v>0</v>
      </c>
      <c r="Q26">
        <f t="shared" ca="1" si="10"/>
        <v>0.59419039582467181</v>
      </c>
      <c r="R26">
        <f t="shared" ca="1" si="11"/>
        <v>0.4594658107882062</v>
      </c>
      <c r="S26">
        <f t="shared" ca="1" si="8"/>
        <v>1.2932200435226024</v>
      </c>
      <c r="T26">
        <f t="shared" ca="1" si="9"/>
        <v>56.393194677301629</v>
      </c>
      <c r="U26">
        <f>70</f>
        <v>70</v>
      </c>
      <c r="V26">
        <f>30</f>
        <v>30</v>
      </c>
      <c r="W26">
        <f t="shared" ca="1" si="7"/>
        <v>173.40534339737576</v>
      </c>
    </row>
    <row r="27" spans="1:25" x14ac:dyDescent="0.25">
      <c r="A27" s="20">
        <f t="shared" ca="1" si="0"/>
        <v>45327</v>
      </c>
      <c r="B27" vm="76">
        <f ca="1"/>
        <v>45329</v>
      </c>
      <c r="C27" vm="77">
        <f ca="1"/>
        <v>175.43</v>
      </c>
      <c r="D27" vm="78">
        <f ca="1"/>
        <v>7225478</v>
      </c>
      <c r="E27">
        <f t="shared" ca="1" si="1"/>
        <v>1267565605.54</v>
      </c>
      <c r="F27">
        <f ca="1">SUM($E$2:E27)/SUM($D$2:D27)</f>
        <v>171.37573663115873</v>
      </c>
      <c r="G27">
        <f ca="1">_xlfn.STDEV.P($C$2:C27)</f>
        <v>2.4447857809617783</v>
      </c>
      <c r="H27">
        <f t="shared" ca="1" si="2"/>
        <v>173.82052241212051</v>
      </c>
      <c r="I27">
        <f t="shared" ca="1" si="3"/>
        <v>168.93095085019695</v>
      </c>
      <c r="J27">
        <f t="shared" ca="1" si="12"/>
        <v>171.74250000000001</v>
      </c>
      <c r="K27">
        <f t="shared" ca="1" si="13"/>
        <v>2.8423283172705238</v>
      </c>
      <c r="L27">
        <f t="shared" ca="1" si="14"/>
        <v>177.42715663454106</v>
      </c>
      <c r="M27">
        <f t="shared" ca="1" si="15"/>
        <v>166.05784336545895</v>
      </c>
      <c r="N27">
        <f t="shared" ca="1" si="4"/>
        <v>0.33000000000001251</v>
      </c>
      <c r="O27">
        <f t="shared" ca="1" si="5"/>
        <v>0.33000000000001251</v>
      </c>
      <c r="P27">
        <f t="shared" ca="1" si="6"/>
        <v>0</v>
      </c>
      <c r="Q27">
        <f t="shared" ca="1" si="10"/>
        <v>0.57531965326576751</v>
      </c>
      <c r="R27">
        <f t="shared" ca="1" si="11"/>
        <v>0.42664682430333434</v>
      </c>
      <c r="S27">
        <f t="shared" ca="1" si="8"/>
        <v>1.3484681485797978</v>
      </c>
      <c r="T27">
        <f t="shared" ca="1" si="9"/>
        <v>57.419052048683923</v>
      </c>
      <c r="U27">
        <f>70</f>
        <v>70</v>
      </c>
      <c r="V27">
        <f>30</f>
        <v>30</v>
      </c>
      <c r="W27">
        <f t="shared" ca="1" si="7"/>
        <v>173.71682902854872</v>
      </c>
      <c r="X27" s="9">
        <f ca="1">AVERAGE(C2:C27)</f>
        <v>171.71615384615387</v>
      </c>
      <c r="Y27">
        <f ca="1">W28-X28</f>
        <v>1.9388838218773969</v>
      </c>
    </row>
    <row r="28" spans="1:25" x14ac:dyDescent="0.25">
      <c r="A28" s="20">
        <f t="shared" ca="1" si="0"/>
        <v>45327</v>
      </c>
      <c r="B28" vm="79">
        <f ca="1"/>
        <v>45330</v>
      </c>
      <c r="C28" vm="80">
        <f ca="1"/>
        <v>174.8</v>
      </c>
      <c r="D28" vm="81">
        <f ca="1"/>
        <v>6060285</v>
      </c>
      <c r="E28">
        <f t="shared" ca="1" si="1"/>
        <v>1059337818.0000001</v>
      </c>
      <c r="F28">
        <f ca="1">SUM($E$2:E28)/SUM($D$2:D28)</f>
        <v>171.45052106405655</v>
      </c>
      <c r="G28">
        <f ca="1">_xlfn.STDEV.P($C$2:C28)</f>
        <v>2.4687625952518553</v>
      </c>
      <c r="H28">
        <f t="shared" ca="1" si="2"/>
        <v>173.91928365930841</v>
      </c>
      <c r="I28">
        <f t="shared" ca="1" si="3"/>
        <v>168.98175846880468</v>
      </c>
      <c r="J28">
        <f t="shared" ca="1" si="12"/>
        <v>171.9315</v>
      </c>
      <c r="K28">
        <f t="shared" ca="1" si="13"/>
        <v>2.9164655519634497</v>
      </c>
      <c r="L28">
        <f t="shared" ca="1" si="14"/>
        <v>177.76443110392691</v>
      </c>
      <c r="M28">
        <f t="shared" ca="1" si="15"/>
        <v>166.09856889607309</v>
      </c>
      <c r="N28">
        <f t="shared" ca="1" si="4"/>
        <v>-0.62999999999999545</v>
      </c>
      <c r="O28">
        <f t="shared" ca="1" si="5"/>
        <v>0</v>
      </c>
      <c r="P28">
        <f t="shared" ca="1" si="6"/>
        <v>0.62999999999999545</v>
      </c>
      <c r="Q28">
        <f t="shared" ca="1" si="10"/>
        <v>0.53422539231821264</v>
      </c>
      <c r="R28">
        <f t="shared" ca="1" si="11"/>
        <v>0.44117205113881014</v>
      </c>
      <c r="S28">
        <f t="shared" ca="1" si="8"/>
        <v>1.2109230195775122</v>
      </c>
      <c r="T28">
        <f t="shared" ca="1" si="9"/>
        <v>54.77002178976403</v>
      </c>
      <c r="U28">
        <f>70</f>
        <v>70</v>
      </c>
      <c r="V28">
        <f>30</f>
        <v>30</v>
      </c>
      <c r="W28">
        <f t="shared" ca="1" si="7"/>
        <v>173.8834707164643</v>
      </c>
      <c r="X28">
        <f ca="1">C28*(2/(26+1)) + X27*(1-(2/(26+1)))</f>
        <v>171.94458689458691</v>
      </c>
      <c r="Y28">
        <f t="shared" ref="Y28:Y91" ca="1" si="16">W29-X29</f>
        <v>1.8851283819064122</v>
      </c>
    </row>
    <row r="29" spans="1:25" x14ac:dyDescent="0.25">
      <c r="A29" s="20">
        <f t="shared" ca="1" si="0"/>
        <v>45327</v>
      </c>
      <c r="B29" vm="82">
        <f ca="1"/>
        <v>45331</v>
      </c>
      <c r="C29" vm="83">
        <f ca="1"/>
        <v>175.01</v>
      </c>
      <c r="D29" vm="84">
        <f ca="1"/>
        <v>6296729</v>
      </c>
      <c r="E29">
        <f t="shared" ca="1" si="1"/>
        <v>1101990542.29</v>
      </c>
      <c r="F29">
        <f ca="1">SUM($E$2:E29)/SUM($D$2:D29)</f>
        <v>171.52949935246329</v>
      </c>
      <c r="G29">
        <f ca="1">_xlfn.STDEV.P($C$2:C29)</f>
        <v>2.4950541638634296</v>
      </c>
      <c r="H29">
        <f t="shared" ca="1" si="2"/>
        <v>174.02455351632673</v>
      </c>
      <c r="I29">
        <f t="shared" ca="1" si="3"/>
        <v>169.03444518859985</v>
      </c>
      <c r="J29">
        <f t="shared" ca="1" si="12"/>
        <v>172.167</v>
      </c>
      <c r="K29">
        <f t="shared" ca="1" si="13"/>
        <v>2.9675066620773873</v>
      </c>
      <c r="L29">
        <f t="shared" ca="1" si="14"/>
        <v>178.10201332415477</v>
      </c>
      <c r="M29">
        <f t="shared" ca="1" si="15"/>
        <v>166.23198667584523</v>
      </c>
      <c r="N29">
        <f t="shared" ca="1" si="4"/>
        <v>0.20999999999997954</v>
      </c>
      <c r="O29">
        <f t="shared" ca="1" si="5"/>
        <v>0.20999999999997954</v>
      </c>
      <c r="P29">
        <f t="shared" ca="1" si="6"/>
        <v>0</v>
      </c>
      <c r="Q29">
        <f t="shared" ca="1" si="10"/>
        <v>0.51106643572405308</v>
      </c>
      <c r="R29">
        <f t="shared" ca="1" si="11"/>
        <v>0.40965976177175228</v>
      </c>
      <c r="S29">
        <f t="shared" ca="1" si="8"/>
        <v>1.247538770988206</v>
      </c>
      <c r="T29">
        <f t="shared" ca="1" si="9"/>
        <v>55.506885446949767</v>
      </c>
      <c r="U29">
        <f>70</f>
        <v>70</v>
      </c>
      <c r="V29">
        <f>30</f>
        <v>30</v>
      </c>
      <c r="W29">
        <f t="shared" ca="1" si="7"/>
        <v>174.05678291393133</v>
      </c>
      <c r="X29">
        <f t="shared" ref="X29:X92" ca="1" si="17">C29*(2/(26+1)) + X28*(1-(2/(26+1)))</f>
        <v>172.17165453202492</v>
      </c>
      <c r="Y29">
        <f t="shared" ca="1" si="16"/>
        <v>1.8837515741581115</v>
      </c>
    </row>
    <row r="30" spans="1:25" x14ac:dyDescent="0.25">
      <c r="A30" s="20">
        <f t="shared" ca="1" si="0"/>
        <v>45334</v>
      </c>
      <c r="B30" vm="85">
        <f ca="1"/>
        <v>45334</v>
      </c>
      <c r="C30" vm="86">
        <f ca="1"/>
        <v>175.79</v>
      </c>
      <c r="D30" vm="87">
        <f ca="1"/>
        <v>8539316</v>
      </c>
      <c r="E30">
        <f t="shared" ca="1" si="1"/>
        <v>1501126359.6399999</v>
      </c>
      <c r="F30">
        <f ca="1">SUM($E$2:E30)/SUM($D$2:D30)</f>
        <v>171.6539550054047</v>
      </c>
      <c r="G30">
        <f ca="1">_xlfn.STDEV.P($C$2:C30)</f>
        <v>2.5501213978703703</v>
      </c>
      <c r="H30">
        <f t="shared" ca="1" si="2"/>
        <v>174.20407640327505</v>
      </c>
      <c r="I30">
        <f t="shared" ca="1" si="3"/>
        <v>169.10383360753434</v>
      </c>
      <c r="J30">
        <f t="shared" ca="1" si="12"/>
        <v>172.50399999999999</v>
      </c>
      <c r="K30">
        <f t="shared" ca="1" si="13"/>
        <v>2.9775906897673945</v>
      </c>
      <c r="L30">
        <f t="shared" ca="1" si="14"/>
        <v>178.45918137953478</v>
      </c>
      <c r="M30">
        <f t="shared" ca="1" si="15"/>
        <v>166.5488186204652</v>
      </c>
      <c r="N30">
        <f t="shared" ca="1" si="4"/>
        <v>0.78000000000000114</v>
      </c>
      <c r="O30">
        <f t="shared" ca="1" si="5"/>
        <v>0.78000000000000114</v>
      </c>
      <c r="P30">
        <f t="shared" ca="1" si="6"/>
        <v>0</v>
      </c>
      <c r="Q30">
        <f t="shared" ca="1" si="10"/>
        <v>0.53027597602947796</v>
      </c>
      <c r="R30">
        <f t="shared" ca="1" si="11"/>
        <v>0.38039835021662716</v>
      </c>
      <c r="S30">
        <f t="shared" ca="1" si="8"/>
        <v>1.3940017766309958</v>
      </c>
      <c r="T30">
        <f t="shared" ca="1" si="9"/>
        <v>58.228936596393474</v>
      </c>
      <c r="U30">
        <f>70</f>
        <v>70</v>
      </c>
      <c r="V30">
        <f>30</f>
        <v>30</v>
      </c>
      <c r="W30">
        <f t="shared" ca="1" si="7"/>
        <v>174.32343169640342</v>
      </c>
      <c r="X30">
        <f t="shared" ca="1" si="17"/>
        <v>172.43968012224531</v>
      </c>
      <c r="Y30">
        <f t="shared" ca="1" si="16"/>
        <v>1.7391543421712186</v>
      </c>
    </row>
    <row r="31" spans="1:25" x14ac:dyDescent="0.25">
      <c r="A31" s="20">
        <f t="shared" ca="1" si="0"/>
        <v>45334</v>
      </c>
      <c r="B31" vm="88">
        <f ca="1"/>
        <v>45335</v>
      </c>
      <c r="C31" vm="89">
        <f ca="1"/>
        <v>174.26</v>
      </c>
      <c r="D31" vm="90">
        <f ca="1"/>
        <v>8397631</v>
      </c>
      <c r="E31">
        <f t="shared" ca="1" si="1"/>
        <v>1463371178.0599999</v>
      </c>
      <c r="F31">
        <f ca="1">SUM($E$2:E31)/SUM($D$2:D31)</f>
        <v>171.72672788122873</v>
      </c>
      <c r="G31">
        <f ca="1">_xlfn.STDEV.P($C$2:C31)</f>
        <v>2.5377088529266341</v>
      </c>
      <c r="H31">
        <f t="shared" ca="1" si="2"/>
        <v>174.26443673415537</v>
      </c>
      <c r="I31">
        <f t="shared" ca="1" si="3"/>
        <v>169.18901902830208</v>
      </c>
      <c r="J31">
        <f t="shared" ca="1" si="12"/>
        <v>172.81750000000002</v>
      </c>
      <c r="K31">
        <f t="shared" ca="1" si="13"/>
        <v>2.8022225671401388</v>
      </c>
      <c r="L31">
        <f t="shared" ca="1" si="14"/>
        <v>178.42194513428029</v>
      </c>
      <c r="M31">
        <f t="shared" ca="1" si="15"/>
        <v>167.21305486571976</v>
      </c>
      <c r="N31">
        <f t="shared" ca="1" si="4"/>
        <v>-1.5300000000000011</v>
      </c>
      <c r="O31">
        <f t="shared" ca="1" si="5"/>
        <v>0</v>
      </c>
      <c r="P31">
        <f t="shared" ca="1" si="6"/>
        <v>1.5300000000000011</v>
      </c>
      <c r="Q31">
        <f t="shared" ca="1" si="10"/>
        <v>0.49239912059880098</v>
      </c>
      <c r="R31">
        <f t="shared" ca="1" si="11"/>
        <v>0.46251275377258244</v>
      </c>
      <c r="S31">
        <f t="shared" ca="1" si="8"/>
        <v>1.0646173896448132</v>
      </c>
      <c r="T31">
        <f t="shared" ca="1" si="9"/>
        <v>51.564875651268487</v>
      </c>
      <c r="U31">
        <f>70</f>
        <v>70</v>
      </c>
      <c r="V31">
        <f>30</f>
        <v>30</v>
      </c>
      <c r="W31">
        <f t="shared" ca="1" si="7"/>
        <v>174.31367297387982</v>
      </c>
      <c r="X31">
        <f t="shared" ca="1" si="17"/>
        <v>172.5745186317086</v>
      </c>
      <c r="Y31">
        <f t="shared" ca="1" si="16"/>
        <v>1.7472430710456024</v>
      </c>
    </row>
    <row r="32" spans="1:25" x14ac:dyDescent="0.25">
      <c r="A32" s="20">
        <f t="shared" ca="1" si="0"/>
        <v>45334</v>
      </c>
      <c r="B32" vm="91">
        <f ca="1"/>
        <v>45336</v>
      </c>
      <c r="C32" vm="92">
        <f ca="1"/>
        <v>176.03</v>
      </c>
      <c r="D32" vm="93">
        <f ca="1"/>
        <v>7056664</v>
      </c>
      <c r="E32">
        <f t="shared" ca="1" si="1"/>
        <v>1242184563.9200001</v>
      </c>
      <c r="F32">
        <f ca="1">SUM($E$2:E32)/SUM($D$2:D32)</f>
        <v>171.82539123434043</v>
      </c>
      <c r="G32">
        <f ca="1">_xlfn.STDEV.P($C$2:C32)</f>
        <v>2.588889210938552</v>
      </c>
      <c r="H32">
        <f t="shared" ca="1" si="2"/>
        <v>174.41428044527899</v>
      </c>
      <c r="I32">
        <f t="shared" ca="1" si="3"/>
        <v>169.23650202340187</v>
      </c>
      <c r="J32">
        <f t="shared" ca="1" si="12"/>
        <v>173.26450000000003</v>
      </c>
      <c r="K32">
        <f t="shared" ca="1" si="13"/>
        <v>2.5414075565365448</v>
      </c>
      <c r="L32">
        <f t="shared" ca="1" si="14"/>
        <v>178.34731511307311</v>
      </c>
      <c r="M32">
        <f t="shared" ca="1" si="15"/>
        <v>168.18168488692694</v>
      </c>
      <c r="N32">
        <f t="shared" ca="1" si="4"/>
        <v>1.7700000000000102</v>
      </c>
      <c r="O32">
        <f t="shared" ca="1" si="5"/>
        <v>1.7700000000000102</v>
      </c>
      <c r="P32">
        <f t="shared" ca="1" si="6"/>
        <v>0</v>
      </c>
      <c r="Q32">
        <f t="shared" ca="1" si="10"/>
        <v>0.58365632627031594</v>
      </c>
      <c r="R32">
        <f t="shared" ca="1" si="11"/>
        <v>0.42947612850311229</v>
      </c>
      <c r="S32">
        <f t="shared" ca="1" si="8"/>
        <v>1.3589959663289792</v>
      </c>
      <c r="T32">
        <f t="shared" ca="1" si="9"/>
        <v>57.609083937681362</v>
      </c>
      <c r="U32">
        <f>70</f>
        <v>70</v>
      </c>
      <c r="V32">
        <f>30</f>
        <v>30</v>
      </c>
      <c r="W32">
        <f t="shared" ca="1" si="7"/>
        <v>174.57772328559062</v>
      </c>
      <c r="X32">
        <f t="shared" ca="1" si="17"/>
        <v>172.83048021454502</v>
      </c>
      <c r="Y32">
        <f t="shared" ca="1" si="16"/>
        <v>2.0399935786133483</v>
      </c>
    </row>
    <row r="33" spans="1:27" x14ac:dyDescent="0.25">
      <c r="A33" s="20">
        <f t="shared" ca="1" si="0"/>
        <v>45334</v>
      </c>
      <c r="B33" vm="94">
        <f ca="1"/>
        <v>45337</v>
      </c>
      <c r="C33" vm="95">
        <f ca="1"/>
        <v>179.87</v>
      </c>
      <c r="D33" vm="96">
        <f ca="1"/>
        <v>8723390</v>
      </c>
      <c r="E33">
        <f t="shared" ca="1" si="1"/>
        <v>1569076159.3</v>
      </c>
      <c r="F33">
        <f ca="1">SUM($E$2:E33)/SUM($D$2:D33)</f>
        <v>172.04711381412085</v>
      </c>
      <c r="G33">
        <f ca="1">_xlfn.STDEV.P($C$2:C33)</f>
        <v>2.8704381606951563</v>
      </c>
      <c r="H33">
        <f t="shared" ca="1" si="2"/>
        <v>174.91755197481601</v>
      </c>
      <c r="I33">
        <f t="shared" ca="1" si="3"/>
        <v>169.17667565342569</v>
      </c>
      <c r="J33">
        <f t="shared" ca="1" si="12"/>
        <v>173.887</v>
      </c>
      <c r="K33">
        <f t="shared" ca="1" si="13"/>
        <v>2.5592003274049238</v>
      </c>
      <c r="L33">
        <f t="shared" ca="1" si="14"/>
        <v>179.00540065480985</v>
      </c>
      <c r="M33">
        <f t="shared" ca="1" si="15"/>
        <v>168.76859934519015</v>
      </c>
      <c r="N33">
        <f t="shared" ca="1" si="4"/>
        <v>3.8400000000000034</v>
      </c>
      <c r="O33">
        <f t="shared" ca="1" si="5"/>
        <v>3.8400000000000034</v>
      </c>
      <c r="P33">
        <f t="shared" ca="1" si="6"/>
        <v>0</v>
      </c>
      <c r="Q33">
        <f t="shared" ca="1" si="10"/>
        <v>0.81625230296529361</v>
      </c>
      <c r="R33">
        <f t="shared" ca="1" si="11"/>
        <v>0.39879926218146139</v>
      </c>
      <c r="S33">
        <f t="shared" ca="1" si="8"/>
        <v>2.0467748573563886</v>
      </c>
      <c r="T33">
        <f t="shared" ca="1" si="9"/>
        <v>67.17840842143238</v>
      </c>
      <c r="U33">
        <f>70</f>
        <v>70</v>
      </c>
      <c r="V33">
        <f>30</f>
        <v>30</v>
      </c>
      <c r="W33">
        <f t="shared" ca="1" si="7"/>
        <v>175.39191970319206</v>
      </c>
      <c r="X33">
        <f t="shared" ca="1" si="17"/>
        <v>173.35192612457871</v>
      </c>
      <c r="Y33">
        <f t="shared" ca="1" si="16"/>
        <v>2.1791001748146925</v>
      </c>
    </row>
    <row r="34" spans="1:27" x14ac:dyDescent="0.25">
      <c r="A34" s="20">
        <f t="shared" ca="1" si="0"/>
        <v>45334</v>
      </c>
      <c r="B34" vm="97">
        <f ca="1"/>
        <v>45338</v>
      </c>
      <c r="C34" vm="98">
        <f ca="1"/>
        <v>179.03</v>
      </c>
      <c r="D34" vm="99">
        <f ca="1"/>
        <v>8152647</v>
      </c>
      <c r="E34">
        <f t="shared" ca="1" si="1"/>
        <v>1459568392.4100001</v>
      </c>
      <c r="F34">
        <f ca="1">SUM($E$2:E34)/SUM($D$2:D34)</f>
        <v>172.22246481104841</v>
      </c>
      <c r="G34">
        <f ca="1">_xlfn.STDEV.P($C$2:C34)</f>
        <v>3.0394366896295586</v>
      </c>
      <c r="H34">
        <f t="shared" ca="1" si="2"/>
        <v>175.26190150067796</v>
      </c>
      <c r="I34">
        <f t="shared" ca="1" si="3"/>
        <v>169.18302812141886</v>
      </c>
      <c r="J34">
        <f t="shared" ca="1" si="12"/>
        <v>174.32300000000001</v>
      </c>
      <c r="K34">
        <f t="shared" ca="1" si="13"/>
        <v>2.6585930192688871</v>
      </c>
      <c r="L34">
        <f t="shared" ca="1" si="14"/>
        <v>179.64018603853779</v>
      </c>
      <c r="M34">
        <f t="shared" ca="1" si="15"/>
        <v>169.00581396146222</v>
      </c>
      <c r="N34">
        <f t="shared" ca="1" si="4"/>
        <v>-0.84000000000000341</v>
      </c>
      <c r="O34">
        <f t="shared" ca="1" si="5"/>
        <v>0</v>
      </c>
      <c r="P34">
        <f t="shared" ca="1" si="6"/>
        <v>0.84000000000000341</v>
      </c>
      <c r="Q34">
        <f t="shared" ca="1" si="10"/>
        <v>0.75794856703920122</v>
      </c>
      <c r="R34">
        <f t="shared" ca="1" si="11"/>
        <v>0.43031360059707152</v>
      </c>
      <c r="S34">
        <f t="shared" ca="1" si="8"/>
        <v>1.7613865004209197</v>
      </c>
      <c r="T34">
        <f t="shared" ca="1" si="9"/>
        <v>63.786308079380795</v>
      </c>
      <c r="U34">
        <f>70</f>
        <v>70</v>
      </c>
      <c r="V34">
        <f>30</f>
        <v>30</v>
      </c>
      <c r="W34">
        <f t="shared" ca="1" si="7"/>
        <v>175.95162436423942</v>
      </c>
      <c r="X34">
        <f t="shared" ca="1" si="17"/>
        <v>173.77252418942473</v>
      </c>
      <c r="Y34">
        <f t="shared" ca="1" si="16"/>
        <v>2.3190942296754429</v>
      </c>
    </row>
    <row r="35" spans="1:27" x14ac:dyDescent="0.25">
      <c r="A35" s="20">
        <f t="shared" ca="1" si="0"/>
        <v>45341</v>
      </c>
      <c r="B35" vm="100">
        <f ca="1"/>
        <v>45342</v>
      </c>
      <c r="C35" vm="101">
        <f ca="1"/>
        <v>179.73</v>
      </c>
      <c r="D35" vm="102">
        <f ca="1"/>
        <v>9667959</v>
      </c>
      <c r="E35">
        <f t="shared" ca="1" si="1"/>
        <v>1737622271.0699999</v>
      </c>
      <c r="F35">
        <f ca="1">SUM($E$2:E35)/SUM($D$2:D35)</f>
        <v>172.43956630013881</v>
      </c>
      <c r="G35">
        <f ca="1">_xlfn.STDEV.P($C$2:C35)</f>
        <v>3.2207919355403116</v>
      </c>
      <c r="H35">
        <f t="shared" ca="1" si="2"/>
        <v>175.66035823567913</v>
      </c>
      <c r="I35">
        <f t="shared" ca="1" si="3"/>
        <v>169.21877436459849</v>
      </c>
      <c r="J35">
        <f t="shared" ca="1" si="12"/>
        <v>174.80400000000003</v>
      </c>
      <c r="K35">
        <f t="shared" ca="1" si="13"/>
        <v>2.7256412089634972</v>
      </c>
      <c r="L35">
        <f t="shared" ca="1" si="14"/>
        <v>180.25528241792702</v>
      </c>
      <c r="M35">
        <f t="shared" ca="1" si="15"/>
        <v>169.35271758207304</v>
      </c>
      <c r="N35">
        <f t="shared" ca="1" si="4"/>
        <v>0.69999999999998863</v>
      </c>
      <c r="O35">
        <f t="shared" ca="1" si="5"/>
        <v>0.69999999999998863</v>
      </c>
      <c r="P35">
        <f t="shared" ca="1" si="6"/>
        <v>0</v>
      </c>
      <c r="Q35">
        <f t="shared" ca="1" si="10"/>
        <v>0.75380938367925743</v>
      </c>
      <c r="R35">
        <f t="shared" ca="1" si="11"/>
        <v>0.39957691484013785</v>
      </c>
      <c r="S35">
        <f t="shared" ca="1" si="8"/>
        <v>1.8865188545260188</v>
      </c>
      <c r="T35">
        <f t="shared" ca="1" si="9"/>
        <v>65.356193726848005</v>
      </c>
      <c r="U35">
        <f>70</f>
        <v>70</v>
      </c>
      <c r="V35">
        <f>30</f>
        <v>30</v>
      </c>
      <c r="W35">
        <f t="shared" ca="1" si="7"/>
        <v>176.53291292358722</v>
      </c>
      <c r="X35">
        <f t="shared" ca="1" si="17"/>
        <v>174.21381869391178</v>
      </c>
      <c r="Y35">
        <f t="shared" ca="1" si="16"/>
        <v>2.4956810905528926</v>
      </c>
    </row>
    <row r="36" spans="1:27" x14ac:dyDescent="0.25">
      <c r="A36" s="20">
        <f t="shared" ca="1" si="0"/>
        <v>45341</v>
      </c>
      <c r="B36" vm="103">
        <f ca="1"/>
        <v>45343</v>
      </c>
      <c r="C36" vm="104">
        <f ca="1"/>
        <v>180.9</v>
      </c>
      <c r="D36" vm="105">
        <f ca="1"/>
        <v>7027857</v>
      </c>
      <c r="E36">
        <f t="shared" ca="1" si="1"/>
        <v>1271339331.3</v>
      </c>
      <c r="F36">
        <f ca="1">SUM($E$2:E36)/SUM($D$2:D36)</f>
        <v>172.6137515958907</v>
      </c>
      <c r="G36">
        <f ca="1">_xlfn.STDEV.P($C$2:C36)</f>
        <v>3.4418592981950056</v>
      </c>
      <c r="H36">
        <f t="shared" ca="1" si="2"/>
        <v>176.0556108940857</v>
      </c>
      <c r="I36">
        <f t="shared" ca="1" si="3"/>
        <v>169.17189229769571</v>
      </c>
      <c r="J36">
        <f t="shared" ca="1" si="12"/>
        <v>175.39950000000005</v>
      </c>
      <c r="K36">
        <f t="shared" ca="1" si="13"/>
        <v>2.6893502932864672</v>
      </c>
      <c r="L36">
        <f t="shared" ca="1" si="14"/>
        <v>180.77820058657298</v>
      </c>
      <c r="M36">
        <f t="shared" ca="1" si="15"/>
        <v>170.02079941342711</v>
      </c>
      <c r="N36">
        <f t="shared" ca="1" si="4"/>
        <v>1.1700000000000159</v>
      </c>
      <c r="O36">
        <f t="shared" ca="1" si="5"/>
        <v>1.1700000000000159</v>
      </c>
      <c r="P36">
        <f t="shared" ca="1" si="6"/>
        <v>0</v>
      </c>
      <c r="Q36">
        <f t="shared" ca="1" si="10"/>
        <v>0.78353728484502583</v>
      </c>
      <c r="R36">
        <f t="shared" ca="1" si="11"/>
        <v>0.37103570663727087</v>
      </c>
      <c r="S36">
        <f t="shared" ca="1" si="8"/>
        <v>2.1117570919152038</v>
      </c>
      <c r="T36">
        <f t="shared" ca="1" si="9"/>
        <v>67.863815508024544</v>
      </c>
      <c r="U36">
        <f>70</f>
        <v>70</v>
      </c>
      <c r="V36">
        <f>30</f>
        <v>30</v>
      </c>
      <c r="W36">
        <f t="shared" ca="1" si="7"/>
        <v>177.20477247380455</v>
      </c>
      <c r="X36">
        <f t="shared" ca="1" si="17"/>
        <v>174.70909138325166</v>
      </c>
      <c r="Y36">
        <f t="shared" ca="1" si="16"/>
        <v>2.7786972226871001</v>
      </c>
      <c r="Z36" s="9">
        <f ca="1">AVERAGE(Y28:Y36)</f>
        <v>2.1186492961805357</v>
      </c>
    </row>
    <row r="37" spans="1:27" x14ac:dyDescent="0.25">
      <c r="A37" s="20">
        <f t="shared" ca="1" si="0"/>
        <v>45341</v>
      </c>
      <c r="B37" vm="106">
        <f ca="1"/>
        <v>45344</v>
      </c>
      <c r="C37" vm="107">
        <f ca="1"/>
        <v>183.07</v>
      </c>
      <c r="D37" vm="108">
        <f ca="1"/>
        <v>9296459</v>
      </c>
      <c r="E37">
        <f t="shared" ca="1" si="1"/>
        <v>1701902749.1299999</v>
      </c>
      <c r="F37">
        <f ca="1">SUM($E$2:E37)/SUM($D$2:D37)</f>
        <v>172.89096865858869</v>
      </c>
      <c r="G37">
        <f ca="1">_xlfn.STDEV.P($C$2:C37)</f>
        <v>3.7653850962205038</v>
      </c>
      <c r="H37">
        <f t="shared" ca="1" si="2"/>
        <v>176.6563537548092</v>
      </c>
      <c r="I37">
        <f t="shared" ca="1" si="3"/>
        <v>169.12558356236818</v>
      </c>
      <c r="J37">
        <f t="shared" ca="1" si="12"/>
        <v>176.02800000000005</v>
      </c>
      <c r="K37">
        <f t="shared" ca="1" si="13"/>
        <v>2.9410946762620283</v>
      </c>
      <c r="L37">
        <f t="shared" ca="1" si="14"/>
        <v>181.9101893525241</v>
      </c>
      <c r="M37">
        <f t="shared" ca="1" si="15"/>
        <v>170.145810647476</v>
      </c>
      <c r="N37">
        <f t="shared" ca="1" si="4"/>
        <v>2.1699999999999875</v>
      </c>
      <c r="O37">
        <f t="shared" ca="1" si="5"/>
        <v>2.1699999999999875</v>
      </c>
      <c r="P37">
        <f t="shared" ca="1" si="6"/>
        <v>0</v>
      </c>
      <c r="Q37">
        <f t="shared" ca="1" si="10"/>
        <v>0.8825703359275231</v>
      </c>
      <c r="R37">
        <f t="shared" ca="1" si="11"/>
        <v>0.34453315616318009</v>
      </c>
      <c r="S37">
        <f t="shared" ca="1" si="8"/>
        <v>2.5616412241889259</v>
      </c>
      <c r="T37">
        <f t="shared" ca="1" si="9"/>
        <v>71.92305633682335</v>
      </c>
      <c r="U37">
        <f>70</f>
        <v>70</v>
      </c>
      <c r="V37">
        <f>30</f>
        <v>30</v>
      </c>
      <c r="W37">
        <f t="shared" ca="1" si="7"/>
        <v>178.10711517014232</v>
      </c>
      <c r="X37">
        <f t="shared" ca="1" si="17"/>
        <v>175.32841794745522</v>
      </c>
      <c r="Y37">
        <f t="shared" ca="1" si="16"/>
        <v>3.0421577567217071</v>
      </c>
      <c r="Z37">
        <f ca="1">Y37*(2/(9+1)) + Z36*(1-(2/(9+1)))</f>
        <v>2.3033509882887699</v>
      </c>
      <c r="AA37">
        <f ca="1">Y37-Z37</f>
        <v>0.73880676843293713</v>
      </c>
    </row>
    <row r="38" spans="1:27" x14ac:dyDescent="0.25">
      <c r="A38" s="20">
        <f t="shared" ca="1" si="0"/>
        <v>45341</v>
      </c>
      <c r="B38" vm="109">
        <f ca="1"/>
        <v>45345</v>
      </c>
      <c r="C38" vm="110">
        <f ca="1"/>
        <v>183.99</v>
      </c>
      <c r="D38" vm="111">
        <f ca="1"/>
        <v>7105833</v>
      </c>
      <c r="E38">
        <f t="shared" ca="1" si="1"/>
        <v>1307402213.6700001</v>
      </c>
      <c r="F38">
        <f ca="1">SUM($E$2:E38)/SUM($D$2:D38)</f>
        <v>173.11142048155503</v>
      </c>
      <c r="G38">
        <f ca="1">_xlfn.STDEV.P($C$2:C38)</f>
        <v>4.0906072995204132</v>
      </c>
      <c r="H38">
        <f t="shared" ca="1" si="2"/>
        <v>177.20202778107543</v>
      </c>
      <c r="I38">
        <f t="shared" ca="1" si="3"/>
        <v>169.02081318203463</v>
      </c>
      <c r="J38">
        <f t="shared" ca="1" si="12"/>
        <v>176.58050000000003</v>
      </c>
      <c r="K38">
        <f t="shared" ca="1" si="13"/>
        <v>3.3411571821435584</v>
      </c>
      <c r="L38">
        <f t="shared" ca="1" si="14"/>
        <v>183.26281436428715</v>
      </c>
      <c r="M38">
        <f t="shared" ca="1" si="15"/>
        <v>169.89818563571291</v>
      </c>
      <c r="N38">
        <f t="shared" ca="1" si="4"/>
        <v>0.92000000000001592</v>
      </c>
      <c r="O38">
        <f t="shared" ca="1" si="5"/>
        <v>0.92000000000001592</v>
      </c>
      <c r="P38">
        <f t="shared" ca="1" si="6"/>
        <v>0</v>
      </c>
      <c r="Q38">
        <f t="shared" ca="1" si="10"/>
        <v>0.88524388336127269</v>
      </c>
      <c r="R38">
        <f t="shared" ca="1" si="11"/>
        <v>0.31992364500866721</v>
      </c>
      <c r="S38">
        <f t="shared" ca="1" si="8"/>
        <v>2.7670473788747003</v>
      </c>
      <c r="T38">
        <f t="shared" ca="1" si="9"/>
        <v>73.454010543962895</v>
      </c>
      <c r="U38">
        <f>70</f>
        <v>70</v>
      </c>
      <c r="V38">
        <f>30</f>
        <v>30</v>
      </c>
      <c r="W38">
        <f t="shared" ca="1" si="7"/>
        <v>179.01217437473582</v>
      </c>
      <c r="X38">
        <f t="shared" ca="1" si="17"/>
        <v>175.97001661801411</v>
      </c>
      <c r="Y38">
        <f t="shared" ca="1" si="16"/>
        <v>3.1636478303189506</v>
      </c>
      <c r="Z38">
        <f t="shared" ref="Z38:Z101" ca="1" si="18">Y38*(2/(9+1)) + Z37*(1-(2/(9+1)))</f>
        <v>2.4754103566948062</v>
      </c>
      <c r="AA38">
        <f t="shared" ref="AA38:AA101" ca="1" si="19">Y38-Z38</f>
        <v>0.68823747362414434</v>
      </c>
    </row>
    <row r="39" spans="1:27" x14ac:dyDescent="0.25">
      <c r="A39" s="20">
        <f t="shared" ca="1" si="0"/>
        <v>45348</v>
      </c>
      <c r="B39" vm="112">
        <f ca="1"/>
        <v>45348</v>
      </c>
      <c r="C39" vm="113">
        <f ca="1"/>
        <v>183.36</v>
      </c>
      <c r="D39" vm="114">
        <f ca="1"/>
        <v>7145391</v>
      </c>
      <c r="E39">
        <f t="shared" ca="1" si="1"/>
        <v>1310178893.76</v>
      </c>
      <c r="F39">
        <f ca="1">SUM($E$2:E39)/SUM($D$2:D39)</f>
        <v>173.3121053788129</v>
      </c>
      <c r="G39">
        <f ca="1">_xlfn.STDEV.P($C$2:C39)</f>
        <v>4.3221637779001023</v>
      </c>
      <c r="H39">
        <f t="shared" ca="1" si="2"/>
        <v>177.634269156713</v>
      </c>
      <c r="I39">
        <f t="shared" ca="1" si="3"/>
        <v>168.9899416009128</v>
      </c>
      <c r="J39">
        <f t="shared" ca="1" si="12"/>
        <v>177.13450000000006</v>
      </c>
      <c r="K39">
        <f t="shared" ca="1" si="13"/>
        <v>3.505126283482225</v>
      </c>
      <c r="L39">
        <f t="shared" ca="1" si="14"/>
        <v>184.14475256696451</v>
      </c>
      <c r="M39">
        <f t="shared" ca="1" si="15"/>
        <v>170.12424743303561</v>
      </c>
      <c r="N39">
        <f t="shared" ca="1" si="4"/>
        <v>-0.62999999999999545</v>
      </c>
      <c r="O39">
        <f t="shared" ca="1" si="5"/>
        <v>0</v>
      </c>
      <c r="P39">
        <f t="shared" ca="1" si="6"/>
        <v>0.62999999999999545</v>
      </c>
      <c r="Q39">
        <f t="shared" ca="1" si="10"/>
        <v>0.82201217740689614</v>
      </c>
      <c r="R39">
        <f t="shared" ca="1" si="11"/>
        <v>0.34207195607947638</v>
      </c>
      <c r="S39">
        <f t="shared" ca="1" si="8"/>
        <v>2.403038784085274</v>
      </c>
      <c r="T39">
        <f t="shared" ca="1" si="9"/>
        <v>70.614498880335361</v>
      </c>
      <c r="U39">
        <f>70</f>
        <v>70</v>
      </c>
      <c r="V39">
        <f>30</f>
        <v>30</v>
      </c>
      <c r="W39">
        <f t="shared" ca="1" si="7"/>
        <v>179.68107062477645</v>
      </c>
      <c r="X39">
        <f t="shared" ca="1" si="17"/>
        <v>176.5174227944575</v>
      </c>
      <c r="Y39">
        <f t="shared" ca="1" si="16"/>
        <v>3.2299588813673097</v>
      </c>
      <c r="Z39">
        <f t="shared" ca="1" si="18"/>
        <v>2.6263200616293068</v>
      </c>
      <c r="AA39">
        <f t="shared" ca="1" si="19"/>
        <v>0.60363881973800293</v>
      </c>
    </row>
    <row r="40" spans="1:27" x14ac:dyDescent="0.25">
      <c r="A40" s="20">
        <f t="shared" ca="1" si="0"/>
        <v>45348</v>
      </c>
      <c r="B40" vm="115">
        <f ca="1"/>
        <v>45349</v>
      </c>
      <c r="C40" vm="116">
        <f ca="1"/>
        <v>183.45</v>
      </c>
      <c r="D40" vm="117">
        <f ca="1"/>
        <v>5717065</v>
      </c>
      <c r="E40">
        <f t="shared" ca="1" si="1"/>
        <v>1048795574.2499999</v>
      </c>
      <c r="F40">
        <f ca="1">SUM($E$2:E40)/SUM($D$2:D40)</f>
        <v>173.46849012422237</v>
      </c>
      <c r="G40">
        <f ca="1">_xlfn.STDEV.P($C$2:C40)</f>
        <v>4.5224295426003422</v>
      </c>
      <c r="H40">
        <f t="shared" ca="1" si="2"/>
        <v>177.99091966682272</v>
      </c>
      <c r="I40">
        <f t="shared" ca="1" si="3"/>
        <v>168.94606058162202</v>
      </c>
      <c r="J40">
        <f t="shared" ca="1" si="12"/>
        <v>177.6705</v>
      </c>
      <c r="K40">
        <f t="shared" ca="1" si="13"/>
        <v>3.6140973612842964</v>
      </c>
      <c r="L40">
        <f t="shared" ca="1" si="14"/>
        <v>184.89869472256859</v>
      </c>
      <c r="M40">
        <f t="shared" ca="1" si="15"/>
        <v>170.44230527743142</v>
      </c>
      <c r="N40">
        <f t="shared" ca="1" si="4"/>
        <v>8.9999999999974989E-2</v>
      </c>
      <c r="O40">
        <f t="shared" ca="1" si="5"/>
        <v>8.9999999999974989E-2</v>
      </c>
      <c r="P40">
        <f t="shared" ca="1" si="6"/>
        <v>0</v>
      </c>
      <c r="Q40">
        <f t="shared" ca="1" si="10"/>
        <v>0.76972559330640178</v>
      </c>
      <c r="R40">
        <f t="shared" ca="1" si="11"/>
        <v>0.31763824493094234</v>
      </c>
      <c r="S40">
        <f t="shared" ca="1" si="8"/>
        <v>2.4232774408942714</v>
      </c>
      <c r="T40">
        <f t="shared" ca="1" si="9"/>
        <v>70.788228028086223</v>
      </c>
      <c r="U40">
        <f>70</f>
        <v>70</v>
      </c>
      <c r="V40">
        <f>30</f>
        <v>30</v>
      </c>
      <c r="W40">
        <f t="shared" ca="1" si="7"/>
        <v>180.26090591327238</v>
      </c>
      <c r="X40">
        <f t="shared" ca="1" si="17"/>
        <v>177.03094703190507</v>
      </c>
      <c r="Y40">
        <f t="shared" ca="1" si="16"/>
        <v>3.3192913700078464</v>
      </c>
      <c r="Z40">
        <f t="shared" ca="1" si="18"/>
        <v>2.7649143233050149</v>
      </c>
      <c r="AA40">
        <f t="shared" ca="1" si="19"/>
        <v>0.5543770467028315</v>
      </c>
    </row>
    <row r="41" spans="1:27" x14ac:dyDescent="0.25">
      <c r="A41" s="20">
        <f t="shared" ca="1" si="0"/>
        <v>45348</v>
      </c>
      <c r="B41" vm="118">
        <f ca="1"/>
        <v>45350</v>
      </c>
      <c r="C41" vm="119">
        <f ca="1"/>
        <v>184.38</v>
      </c>
      <c r="D41" vm="120">
        <f ca="1"/>
        <v>6131608</v>
      </c>
      <c r="E41">
        <f t="shared" ca="1" si="1"/>
        <v>1130545883.04</v>
      </c>
      <c r="F41">
        <f ca="1">SUM($E$2:E41)/SUM($D$2:D41)</f>
        <v>173.64607518007966</v>
      </c>
      <c r="G41">
        <f ca="1">_xlfn.STDEV.P($C$2:C41)</f>
        <v>4.7397995672285536</v>
      </c>
      <c r="H41">
        <f t="shared" ca="1" si="2"/>
        <v>178.38587474730821</v>
      </c>
      <c r="I41">
        <f t="shared" ca="1" si="3"/>
        <v>168.90627561285112</v>
      </c>
      <c r="J41">
        <f t="shared" ca="1" si="12"/>
        <v>178.07600000000005</v>
      </c>
      <c r="K41">
        <f t="shared" ca="1" si="13"/>
        <v>3.8929063692824677</v>
      </c>
      <c r="L41">
        <f t="shared" ca="1" si="14"/>
        <v>185.86181273856499</v>
      </c>
      <c r="M41">
        <f t="shared" ca="1" si="15"/>
        <v>170.29018726143511</v>
      </c>
      <c r="N41">
        <f t="shared" ca="1" si="4"/>
        <v>0.93000000000000682</v>
      </c>
      <c r="O41">
        <f t="shared" ca="1" si="5"/>
        <v>0.93000000000000682</v>
      </c>
      <c r="P41">
        <f t="shared" ca="1" si="6"/>
        <v>0</v>
      </c>
      <c r="Q41">
        <f t="shared" ca="1" si="10"/>
        <v>0.78117376521308779</v>
      </c>
      <c r="R41">
        <f t="shared" ca="1" si="11"/>
        <v>0.29494979886444644</v>
      </c>
      <c r="S41">
        <f t="shared" ca="1" si="8"/>
        <v>2.6484973653842059</v>
      </c>
      <c r="T41">
        <f t="shared" ca="1" si="9"/>
        <v>72.591456157055632</v>
      </c>
      <c r="U41">
        <f>70</f>
        <v>70</v>
      </c>
      <c r="V41">
        <f>30</f>
        <v>30</v>
      </c>
      <c r="W41">
        <f t="shared" ca="1" si="7"/>
        <v>180.89461269584586</v>
      </c>
      <c r="X41">
        <f t="shared" ca="1" si="17"/>
        <v>177.57532132583802</v>
      </c>
      <c r="Y41">
        <f t="shared" ca="1" si="16"/>
        <v>3.4854716232731278</v>
      </c>
      <c r="Z41">
        <f t="shared" ca="1" si="18"/>
        <v>2.9090257832986377</v>
      </c>
      <c r="AA41">
        <f t="shared" ca="1" si="19"/>
        <v>0.57644583997449006</v>
      </c>
    </row>
    <row r="42" spans="1:27" x14ac:dyDescent="0.25">
      <c r="A42" s="20">
        <f t="shared" ca="1" si="0"/>
        <v>45348</v>
      </c>
      <c r="B42" vm="121">
        <f ca="1"/>
        <v>45351</v>
      </c>
      <c r="C42" vm="122">
        <f ca="1"/>
        <v>186.06</v>
      </c>
      <c r="D42" vm="123">
        <f ca="1"/>
        <v>9643012</v>
      </c>
      <c r="E42">
        <f t="shared" ca="1" si="1"/>
        <v>1794178812.72</v>
      </c>
      <c r="F42">
        <f ca="1">SUM($E$2:E42)/SUM($D$2:D42)</f>
        <v>173.95588343714923</v>
      </c>
      <c r="G42">
        <f ca="1">_xlfn.STDEV.P($C$2:C42)</f>
        <v>5.0121031503044779</v>
      </c>
      <c r="H42">
        <f t="shared" ca="1" si="2"/>
        <v>178.96798658745371</v>
      </c>
      <c r="I42">
        <f t="shared" ca="1" si="3"/>
        <v>168.94378028684474</v>
      </c>
      <c r="J42">
        <f t="shared" ca="1" si="12"/>
        <v>178.661</v>
      </c>
      <c r="K42">
        <f t="shared" ca="1" si="13"/>
        <v>4.1740475118976503</v>
      </c>
      <c r="L42">
        <f t="shared" ca="1" si="14"/>
        <v>187.00909502379531</v>
      </c>
      <c r="M42">
        <f t="shared" ca="1" si="15"/>
        <v>170.31290497620469</v>
      </c>
      <c r="N42">
        <f t="shared" ca="1" si="4"/>
        <v>1.6800000000000068</v>
      </c>
      <c r="O42">
        <f t="shared" ca="1" si="5"/>
        <v>1.6800000000000068</v>
      </c>
      <c r="P42">
        <f t="shared" ca="1" si="6"/>
        <v>0</v>
      </c>
      <c r="Q42">
        <f t="shared" ca="1" si="10"/>
        <v>0.8453756391264392</v>
      </c>
      <c r="R42">
        <f t="shared" ca="1" si="11"/>
        <v>0.27388195608841454</v>
      </c>
      <c r="S42">
        <f t="shared" ca="1" si="8"/>
        <v>3.0866423301487416</v>
      </c>
      <c r="T42">
        <f t="shared" ca="1" si="9"/>
        <v>75.530033724199129</v>
      </c>
      <c r="U42">
        <f>70</f>
        <v>70</v>
      </c>
      <c r="V42">
        <f>30</f>
        <v>30</v>
      </c>
      <c r="W42">
        <f t="shared" ca="1" si="7"/>
        <v>181.68928766571574</v>
      </c>
      <c r="X42">
        <f t="shared" ca="1" si="17"/>
        <v>178.20381604244261</v>
      </c>
      <c r="Y42">
        <f t="shared" ca="1" si="16"/>
        <v>3.5145248516345475</v>
      </c>
      <c r="Z42">
        <f t="shared" ca="1" si="18"/>
        <v>3.0301255969658198</v>
      </c>
      <c r="AA42">
        <f t="shared" ca="1" si="19"/>
        <v>0.48439925466872769</v>
      </c>
    </row>
    <row r="43" spans="1:27" x14ac:dyDescent="0.25">
      <c r="A43" s="20">
        <f t="shared" ca="1" si="0"/>
        <v>45348</v>
      </c>
      <c r="B43" vm="124">
        <f ca="1"/>
        <v>45352</v>
      </c>
      <c r="C43" vm="125">
        <f ca="1"/>
        <v>185.29</v>
      </c>
      <c r="D43" vm="126">
        <f ca="1"/>
        <v>6311996</v>
      </c>
      <c r="E43">
        <f t="shared" ca="1" si="1"/>
        <v>1169549738.8399999</v>
      </c>
      <c r="F43">
        <f ca="1">SUM($E$2:E43)/SUM($D$2:D43)</f>
        <v>174.13805826881759</v>
      </c>
      <c r="G43">
        <f ca="1">_xlfn.STDEV.P($C$2:C43)</f>
        <v>5.206716619827092</v>
      </c>
      <c r="H43">
        <f t="shared" ca="1" si="2"/>
        <v>179.34477488864468</v>
      </c>
      <c r="I43">
        <f t="shared" ca="1" si="3"/>
        <v>168.9313416489905</v>
      </c>
      <c r="J43">
        <f t="shared" ca="1" si="12"/>
        <v>179.23899999999998</v>
      </c>
      <c r="K43">
        <f t="shared" ca="1" si="13"/>
        <v>4.2548917977460157</v>
      </c>
      <c r="L43">
        <f t="shared" ca="1" si="14"/>
        <v>187.748783595492</v>
      </c>
      <c r="M43">
        <f t="shared" ca="1" si="15"/>
        <v>170.72921640450795</v>
      </c>
      <c r="N43">
        <f t="shared" ca="1" si="4"/>
        <v>-0.77000000000001023</v>
      </c>
      <c r="O43">
        <f t="shared" ca="1" si="5"/>
        <v>0</v>
      </c>
      <c r="P43">
        <f t="shared" ca="1" si="6"/>
        <v>0.77000000000001023</v>
      </c>
      <c r="Q43">
        <f t="shared" ca="1" si="10"/>
        <v>0.78499166490312222</v>
      </c>
      <c r="R43">
        <f t="shared" ca="1" si="11"/>
        <v>0.30931895922495706</v>
      </c>
      <c r="S43">
        <f t="shared" ca="1" si="8"/>
        <v>2.5378064987352578</v>
      </c>
      <c r="T43">
        <f t="shared" ca="1" si="9"/>
        <v>71.733897816132867</v>
      </c>
      <c r="U43">
        <f>70</f>
        <v>70</v>
      </c>
      <c r="V43">
        <f>30</f>
        <v>30</v>
      </c>
      <c r="W43">
        <f t="shared" ca="1" si="7"/>
        <v>182.24324340945176</v>
      </c>
      <c r="X43">
        <f t="shared" ca="1" si="17"/>
        <v>178.72871855781722</v>
      </c>
      <c r="Y43">
        <f t="shared" ca="1" si="16"/>
        <v>3.6081189781098999</v>
      </c>
      <c r="Z43">
        <f t="shared" ca="1" si="18"/>
        <v>3.1457242731946362</v>
      </c>
      <c r="AA43">
        <f t="shared" ca="1" si="19"/>
        <v>0.46239470491526369</v>
      </c>
    </row>
    <row r="44" spans="1:27" x14ac:dyDescent="0.25">
      <c r="A44" s="20">
        <f t="shared" ca="1" si="0"/>
        <v>45355</v>
      </c>
      <c r="B44" vm="127">
        <f ca="1"/>
        <v>45355</v>
      </c>
      <c r="C44" vm="128">
        <f ca="1"/>
        <v>186.68</v>
      </c>
      <c r="D44" vm="129">
        <f ca="1"/>
        <v>7063605</v>
      </c>
      <c r="E44">
        <f t="shared" ca="1" si="1"/>
        <v>1318633781.4000001</v>
      </c>
      <c r="F44">
        <f ca="1">SUM($E$2:E44)/SUM($D$2:D44)</f>
        <v>174.35966498075391</v>
      </c>
      <c r="G44">
        <f ca="1">_xlfn.STDEV.P($C$2:C44)</f>
        <v>5.4390088533346059</v>
      </c>
      <c r="H44">
        <f t="shared" ca="1" si="2"/>
        <v>179.7986738340885</v>
      </c>
      <c r="I44">
        <f t="shared" ca="1" si="3"/>
        <v>168.92065612741931</v>
      </c>
      <c r="J44">
        <f t="shared" ca="1" si="12"/>
        <v>179.8365</v>
      </c>
      <c r="K44">
        <f t="shared" ca="1" si="13"/>
        <v>4.4240684716791252</v>
      </c>
      <c r="L44">
        <f t="shared" ca="1" si="14"/>
        <v>188.68463694335824</v>
      </c>
      <c r="M44">
        <f t="shared" ca="1" si="15"/>
        <v>170.98836305664176</v>
      </c>
      <c r="N44">
        <f t="shared" ca="1" si="4"/>
        <v>1.3900000000000148</v>
      </c>
      <c r="O44">
        <f t="shared" ca="1" si="5"/>
        <v>1.3900000000000148</v>
      </c>
      <c r="P44">
        <f t="shared" ca="1" si="6"/>
        <v>0</v>
      </c>
      <c r="Q44">
        <f t="shared" ca="1" si="10"/>
        <v>0.8282065459814717</v>
      </c>
      <c r="R44">
        <f t="shared" ca="1" si="11"/>
        <v>0.28722474785174584</v>
      </c>
      <c r="S44">
        <f t="shared" ca="1" si="8"/>
        <v>2.8834790601294547</v>
      </c>
      <c r="T44">
        <f t="shared" ca="1" si="9"/>
        <v>74.249893342629093</v>
      </c>
      <c r="U44">
        <f>70</f>
        <v>70</v>
      </c>
      <c r="V44">
        <f>30</f>
        <v>30</v>
      </c>
      <c r="W44">
        <f t="shared" ca="1" si="7"/>
        <v>182.92582134645917</v>
      </c>
      <c r="X44">
        <f t="shared" ca="1" si="17"/>
        <v>179.31770236834927</v>
      </c>
      <c r="Y44">
        <f t="shared" ca="1" si="16"/>
        <v>3.7895033338600115</v>
      </c>
      <c r="Z44">
        <f t="shared" ca="1" si="18"/>
        <v>3.2744800853277116</v>
      </c>
      <c r="AA44">
        <f t="shared" ca="1" si="19"/>
        <v>0.51502324853229986</v>
      </c>
    </row>
    <row r="45" spans="1:27" x14ac:dyDescent="0.25">
      <c r="A45" s="20">
        <f t="shared" ca="1" si="0"/>
        <v>45355</v>
      </c>
      <c r="B45" vm="130">
        <f ca="1"/>
        <v>45356</v>
      </c>
      <c r="C45" vm="131">
        <f ca="1"/>
        <v>188.55</v>
      </c>
      <c r="D45" vm="132">
        <f ca="1"/>
        <v>6617832</v>
      </c>
      <c r="E45">
        <f t="shared" ca="1" si="1"/>
        <v>1247792223.6000001</v>
      </c>
      <c r="F45">
        <f ca="1">SUM($E$2:E45)/SUM($D$2:D45)</f>
        <v>174.59074882603193</v>
      </c>
      <c r="G45">
        <f ca="1">_xlfn.STDEV.P($C$2:C45)</f>
        <v>5.7298788217538652</v>
      </c>
      <c r="H45">
        <f t="shared" ca="1" si="2"/>
        <v>180.32062764778578</v>
      </c>
      <c r="I45">
        <f t="shared" ca="1" si="3"/>
        <v>168.86087000427807</v>
      </c>
      <c r="J45">
        <f t="shared" ca="1" si="12"/>
        <v>180.53900000000002</v>
      </c>
      <c r="K45">
        <f t="shared" ca="1" si="13"/>
        <v>4.6422089796266528</v>
      </c>
      <c r="L45">
        <f t="shared" ca="1" si="14"/>
        <v>189.82341795925333</v>
      </c>
      <c r="M45">
        <f t="shared" ca="1" si="15"/>
        <v>171.2545820407467</v>
      </c>
      <c r="N45">
        <f t="shared" ca="1" si="4"/>
        <v>1.8700000000000045</v>
      </c>
      <c r="O45">
        <f t="shared" ca="1" si="5"/>
        <v>1.8700000000000045</v>
      </c>
      <c r="P45">
        <f t="shared" ca="1" si="6"/>
        <v>0</v>
      </c>
      <c r="Q45">
        <f t="shared" ca="1" si="10"/>
        <v>0.90262036412565261</v>
      </c>
      <c r="R45">
        <f t="shared" ca="1" si="11"/>
        <v>0.26670869443376399</v>
      </c>
      <c r="S45">
        <f t="shared" ca="1" si="8"/>
        <v>3.3842929869307827</v>
      </c>
      <c r="T45">
        <f t="shared" ca="1" si="9"/>
        <v>77.191305348868838</v>
      </c>
      <c r="U45">
        <f>70</f>
        <v>70</v>
      </c>
      <c r="V45">
        <f>30</f>
        <v>30</v>
      </c>
      <c r="W45">
        <f t="shared" ca="1" si="7"/>
        <v>183.79107960085008</v>
      </c>
      <c r="X45">
        <f t="shared" ca="1" si="17"/>
        <v>180.00157626699007</v>
      </c>
      <c r="Y45">
        <f t="shared" ca="1" si="16"/>
        <v>3.9666049990903218</v>
      </c>
      <c r="Z45">
        <f t="shared" ca="1" si="18"/>
        <v>3.4129050680802338</v>
      </c>
      <c r="AA45">
        <f t="shared" ca="1" si="19"/>
        <v>0.55369993101008808</v>
      </c>
    </row>
    <row r="46" spans="1:27" x14ac:dyDescent="0.25">
      <c r="A46" s="20">
        <f t="shared" ca="1" si="0"/>
        <v>45355</v>
      </c>
      <c r="B46" vm="133">
        <f ca="1"/>
        <v>45357</v>
      </c>
      <c r="C46" vm="134">
        <f ca="1"/>
        <v>189.53</v>
      </c>
      <c r="D46" vm="135">
        <f ca="1"/>
        <v>7572891</v>
      </c>
      <c r="E46">
        <f t="shared" ca="1" si="1"/>
        <v>1435290031.23</v>
      </c>
      <c r="F46">
        <f ca="1">SUM($E$2:E46)/SUM($D$2:D46)</f>
        <v>174.86404481531318</v>
      </c>
      <c r="G46">
        <f ca="1">_xlfn.STDEV.P($C$2:C46)</f>
        <v>6.0282072350853859</v>
      </c>
      <c r="H46">
        <f t="shared" ca="1" si="2"/>
        <v>180.89225205039855</v>
      </c>
      <c r="I46">
        <f t="shared" ca="1" si="3"/>
        <v>168.8358375802278</v>
      </c>
      <c r="J46">
        <f t="shared" ca="1" si="12"/>
        <v>181.26050000000001</v>
      </c>
      <c r="K46">
        <f t="shared" ca="1" si="13"/>
        <v>4.8682434690229117</v>
      </c>
      <c r="L46">
        <f t="shared" ca="1" si="14"/>
        <v>190.99698693804584</v>
      </c>
      <c r="M46">
        <f t="shared" ca="1" si="15"/>
        <v>171.52401306195418</v>
      </c>
      <c r="N46">
        <f t="shared" ca="1" si="4"/>
        <v>0.97999999999998977</v>
      </c>
      <c r="O46">
        <f t="shared" ca="1" si="5"/>
        <v>0.97999999999998977</v>
      </c>
      <c r="P46">
        <f t="shared" ca="1" si="6"/>
        <v>0</v>
      </c>
      <c r="Q46">
        <f t="shared" ca="1" si="10"/>
        <v>0.90814748097381959</v>
      </c>
      <c r="R46">
        <f t="shared" ca="1" si="11"/>
        <v>0.24765807340278087</v>
      </c>
      <c r="S46">
        <f t="shared" ca="1" si="8"/>
        <v>3.6669407481695377</v>
      </c>
      <c r="T46">
        <f t="shared" ca="1" si="9"/>
        <v>78.572687035029986</v>
      </c>
      <c r="U46">
        <f>70</f>
        <v>70</v>
      </c>
      <c r="V46">
        <f>30</f>
        <v>30</v>
      </c>
      <c r="W46">
        <f t="shared" ca="1" si="7"/>
        <v>184.67399043148853</v>
      </c>
      <c r="X46">
        <f t="shared" ca="1" si="17"/>
        <v>180.70738543239821</v>
      </c>
      <c r="Y46">
        <f t="shared" ca="1" si="16"/>
        <v>3.927734736816717</v>
      </c>
      <c r="Z46">
        <f t="shared" ca="1" si="18"/>
        <v>3.5158710018275308</v>
      </c>
      <c r="AA46">
        <f t="shared" ca="1" si="19"/>
        <v>0.41186373498918627</v>
      </c>
    </row>
    <row r="47" spans="1:27" x14ac:dyDescent="0.25">
      <c r="A47" s="20">
        <f t="shared" ca="1" si="0"/>
        <v>45355</v>
      </c>
      <c r="B47" vm="136">
        <f ca="1"/>
        <v>45358</v>
      </c>
      <c r="C47" vm="137">
        <f ca="1"/>
        <v>187.87</v>
      </c>
      <c r="D47" vm="138">
        <f ca="1"/>
        <v>7618277</v>
      </c>
      <c r="E47">
        <f t="shared" ca="1" si="1"/>
        <v>1431245699.99</v>
      </c>
      <c r="F47">
        <f ca="1">SUM($E$2:E47)/SUM($D$2:D47)</f>
        <v>175.09907404104158</v>
      </c>
      <c r="G47">
        <f ca="1">_xlfn.STDEV.P($C$2:C47)</f>
        <v>6.2136016156338165</v>
      </c>
      <c r="H47">
        <f t="shared" ca="1" si="2"/>
        <v>181.3126756566754</v>
      </c>
      <c r="I47">
        <f t="shared" ca="1" si="3"/>
        <v>168.88547242540776</v>
      </c>
      <c r="J47">
        <f t="shared" ca="1" si="12"/>
        <v>181.88249999999999</v>
      </c>
      <c r="K47">
        <f t="shared" ca="1" si="13"/>
        <v>4.8787896201716636</v>
      </c>
      <c r="L47">
        <f t="shared" ca="1" si="14"/>
        <v>191.64007924034331</v>
      </c>
      <c r="M47">
        <f t="shared" ca="1" si="15"/>
        <v>172.12492075965667</v>
      </c>
      <c r="N47">
        <f t="shared" ca="1" si="4"/>
        <v>-1.6599999999999966</v>
      </c>
      <c r="O47">
        <f t="shared" ca="1" si="5"/>
        <v>0</v>
      </c>
      <c r="P47">
        <f t="shared" ca="1" si="6"/>
        <v>1.6599999999999966</v>
      </c>
      <c r="Q47">
        <f t="shared" ca="1" si="10"/>
        <v>0.84327980376140388</v>
      </c>
      <c r="R47">
        <f t="shared" ca="1" si="11"/>
        <v>0.34853963958829631</v>
      </c>
      <c r="S47">
        <f t="shared" ca="1" si="8"/>
        <v>2.4194659888829486</v>
      </c>
      <c r="T47">
        <f t="shared" ca="1" si="9"/>
        <v>70.755667602745362</v>
      </c>
      <c r="U47">
        <f>70</f>
        <v>70</v>
      </c>
      <c r="V47">
        <f>30</f>
        <v>30</v>
      </c>
      <c r="W47">
        <f t="shared" ca="1" si="7"/>
        <v>185.16568421125953</v>
      </c>
      <c r="X47">
        <f t="shared" ca="1" si="17"/>
        <v>181.23794947444281</v>
      </c>
      <c r="Y47">
        <f t="shared" ca="1" si="16"/>
        <v>3.8804405457269695</v>
      </c>
      <c r="Z47">
        <f t="shared" ca="1" si="18"/>
        <v>3.5887849106074183</v>
      </c>
      <c r="AA47">
        <f t="shared" ca="1" si="19"/>
        <v>0.29165563511955117</v>
      </c>
    </row>
    <row r="48" spans="1:27" x14ac:dyDescent="0.25">
      <c r="A48" s="20">
        <f t="shared" ca="1" si="0"/>
        <v>45355</v>
      </c>
      <c r="B48" vm="139">
        <f ca="1"/>
        <v>45359</v>
      </c>
      <c r="C48" vm="140">
        <f ca="1"/>
        <v>188.22</v>
      </c>
      <c r="D48" vm="141">
        <f ca="1"/>
        <v>6172199</v>
      </c>
      <c r="E48">
        <f t="shared" ca="1" si="1"/>
        <v>1161731295.78</v>
      </c>
      <c r="F48">
        <f ca="1">SUM($E$2:E48)/SUM($D$2:D48)</f>
        <v>175.28840209424382</v>
      </c>
      <c r="G48">
        <f ca="1">_xlfn.STDEV.P($C$2:C48)</f>
        <v>6.3896789372928593</v>
      </c>
      <c r="H48">
        <f t="shared" ca="1" si="2"/>
        <v>181.67808103153669</v>
      </c>
      <c r="I48">
        <f t="shared" ca="1" si="3"/>
        <v>168.89872315695095</v>
      </c>
      <c r="J48">
        <f t="shared" ca="1" si="12"/>
        <v>182.55349999999999</v>
      </c>
      <c r="K48">
        <f t="shared" ca="1" si="13"/>
        <v>4.7751905721133294</v>
      </c>
      <c r="L48">
        <f t="shared" ca="1" si="14"/>
        <v>192.10388114422665</v>
      </c>
      <c r="M48">
        <f t="shared" ca="1" si="15"/>
        <v>173.00311885577332</v>
      </c>
      <c r="N48">
        <f t="shared" ca="1" si="4"/>
        <v>0.34999999999999432</v>
      </c>
      <c r="O48">
        <f t="shared" ca="1" si="5"/>
        <v>0.34999999999999432</v>
      </c>
      <c r="P48">
        <f t="shared" ca="1" si="6"/>
        <v>0</v>
      </c>
      <c r="Q48">
        <f t="shared" ca="1" si="10"/>
        <v>0.80804553206416041</v>
      </c>
      <c r="R48">
        <f t="shared" ca="1" si="11"/>
        <v>0.32364395104627514</v>
      </c>
      <c r="S48">
        <f t="shared" ca="1" si="8"/>
        <v>2.4967113689346374</v>
      </c>
      <c r="T48">
        <f t="shared" ca="1" si="9"/>
        <v>71.401700212257566</v>
      </c>
      <c r="U48">
        <f>70</f>
        <v>70</v>
      </c>
      <c r="V48">
        <f>30</f>
        <v>30</v>
      </c>
      <c r="W48">
        <f t="shared" ca="1" si="7"/>
        <v>185.63557894798885</v>
      </c>
      <c r="X48">
        <f t="shared" ca="1" si="17"/>
        <v>181.75513840226188</v>
      </c>
      <c r="Y48">
        <f t="shared" ca="1" si="16"/>
        <v>3.8047491932124728</v>
      </c>
      <c r="Z48">
        <f t="shared" ca="1" si="18"/>
        <v>3.6319777671284297</v>
      </c>
      <c r="AA48">
        <f t="shared" ca="1" si="19"/>
        <v>0.17277142608404317</v>
      </c>
    </row>
    <row r="49" spans="1:27" x14ac:dyDescent="0.25">
      <c r="A49" s="20">
        <f t="shared" ca="1" si="0"/>
        <v>45362</v>
      </c>
      <c r="B49" vm="142">
        <f ca="1"/>
        <v>45362</v>
      </c>
      <c r="C49" vm="143">
        <f ca="1"/>
        <v>188.29</v>
      </c>
      <c r="D49" vm="144">
        <f ca="1"/>
        <v>5762569</v>
      </c>
      <c r="E49">
        <f t="shared" ca="1" si="1"/>
        <v>1085034117.01</v>
      </c>
      <c r="F49">
        <f ca="1">SUM($E$2:E49)/SUM($D$2:D49)</f>
        <v>175.46122915763837</v>
      </c>
      <c r="G49">
        <f ca="1">_xlfn.STDEV.P($C$2:C49)</f>
        <v>6.5470991111203833</v>
      </c>
      <c r="H49">
        <f t="shared" ca="1" si="2"/>
        <v>182.00832826875876</v>
      </c>
      <c r="I49">
        <f t="shared" ca="1" si="3"/>
        <v>168.91413004651798</v>
      </c>
      <c r="J49">
        <f t="shared" ca="1" si="12"/>
        <v>183.21749999999997</v>
      </c>
      <c r="K49">
        <f t="shared" ca="1" si="13"/>
        <v>4.5907892624941518</v>
      </c>
      <c r="L49">
        <f t="shared" ca="1" si="14"/>
        <v>192.39907852498828</v>
      </c>
      <c r="M49">
        <f t="shared" ca="1" si="15"/>
        <v>174.03592147501166</v>
      </c>
      <c r="N49">
        <f t="shared" ca="1" si="4"/>
        <v>6.9999999999993179E-2</v>
      </c>
      <c r="O49">
        <f t="shared" ca="1" si="5"/>
        <v>6.9999999999993179E-2</v>
      </c>
      <c r="P49">
        <f t="shared" ca="1" si="6"/>
        <v>0</v>
      </c>
      <c r="Q49">
        <f t="shared" ca="1" si="10"/>
        <v>0.75532799405957707</v>
      </c>
      <c r="R49">
        <f t="shared" ca="1" si="11"/>
        <v>0.30052652597154117</v>
      </c>
      <c r="S49">
        <f t="shared" ca="1" si="8"/>
        <v>2.5133488354073079</v>
      </c>
      <c r="T49">
        <f t="shared" ca="1" si="9"/>
        <v>71.537127485831661</v>
      </c>
      <c r="U49">
        <f>70</f>
        <v>70</v>
      </c>
      <c r="V49">
        <f>30</f>
        <v>30</v>
      </c>
      <c r="W49">
        <f t="shared" ca="1" si="7"/>
        <v>186.04395141752903</v>
      </c>
      <c r="X49">
        <f t="shared" ca="1" si="17"/>
        <v>182.23920222431656</v>
      </c>
      <c r="Y49">
        <f t="shared" ca="1" si="16"/>
        <v>3.8257346099807137</v>
      </c>
      <c r="Z49">
        <f t="shared" ca="1" si="18"/>
        <v>3.6707291356988865</v>
      </c>
      <c r="AA49">
        <f t="shared" ca="1" si="19"/>
        <v>0.1550054742818272</v>
      </c>
    </row>
    <row r="50" spans="1:27" x14ac:dyDescent="0.25">
      <c r="A50" s="20">
        <f t="shared" ca="1" si="0"/>
        <v>45362</v>
      </c>
      <c r="B50" vm="145">
        <f ca="1"/>
        <v>45363</v>
      </c>
      <c r="C50" vm="146">
        <f ca="1"/>
        <v>189.84</v>
      </c>
      <c r="D50" vm="147">
        <f ca="1"/>
        <v>5708384</v>
      </c>
      <c r="E50">
        <f t="shared" ca="1" si="1"/>
        <v>1083679618.5599999</v>
      </c>
      <c r="F50">
        <f ca="1">SUM($E$2:E50)/SUM($D$2:D50)</f>
        <v>175.64810469743705</v>
      </c>
      <c r="G50">
        <f ca="1">_xlfn.STDEV.P($C$2:C50)</f>
        <v>6.7433233519710294</v>
      </c>
      <c r="H50">
        <f t="shared" ca="1" si="2"/>
        <v>182.39142804940809</v>
      </c>
      <c r="I50">
        <f t="shared" ca="1" si="3"/>
        <v>168.90478134546601</v>
      </c>
      <c r="J50">
        <f t="shared" ca="1" si="12"/>
        <v>183.92</v>
      </c>
      <c r="K50">
        <f t="shared" ca="1" si="13"/>
        <v>4.467727551416294</v>
      </c>
      <c r="L50">
        <f t="shared" ca="1" si="14"/>
        <v>192.85545510283256</v>
      </c>
      <c r="M50">
        <f t="shared" ca="1" si="15"/>
        <v>174.98454489716741</v>
      </c>
      <c r="N50">
        <f t="shared" ca="1" si="4"/>
        <v>1.5500000000000114</v>
      </c>
      <c r="O50">
        <f t="shared" ca="1" si="5"/>
        <v>1.5500000000000114</v>
      </c>
      <c r="P50">
        <f t="shared" ca="1" si="6"/>
        <v>0</v>
      </c>
      <c r="Q50">
        <f t="shared" ca="1" si="10"/>
        <v>0.81209028019817953</v>
      </c>
      <c r="R50">
        <f t="shared" ca="1" si="11"/>
        <v>0.27906034554500253</v>
      </c>
      <c r="S50">
        <f t="shared" ca="1" si="8"/>
        <v>2.9100884205248652</v>
      </c>
      <c r="T50">
        <f t="shared" ca="1" si="9"/>
        <v>74.425130778352923</v>
      </c>
      <c r="U50">
        <f>70</f>
        <v>70</v>
      </c>
      <c r="V50">
        <f>30</f>
        <v>30</v>
      </c>
      <c r="W50">
        <f t="shared" ca="1" si="7"/>
        <v>186.62795889175533</v>
      </c>
      <c r="X50">
        <f t="shared" ca="1" si="17"/>
        <v>182.80222428177461</v>
      </c>
      <c r="Y50">
        <f t="shared" ca="1" si="16"/>
        <v>3.9214270634603281</v>
      </c>
      <c r="Z50">
        <f t="shared" ca="1" si="18"/>
        <v>3.7208687212511751</v>
      </c>
      <c r="AA50">
        <f t="shared" ca="1" si="19"/>
        <v>0.20055834220915303</v>
      </c>
    </row>
    <row r="51" spans="1:27" x14ac:dyDescent="0.25">
      <c r="A51" s="20">
        <f t="shared" ca="1" si="0"/>
        <v>45362</v>
      </c>
      <c r="B51" vm="148">
        <f ca="1"/>
        <v>45364</v>
      </c>
      <c r="C51" vm="149">
        <f ca="1"/>
        <v>191.38</v>
      </c>
      <c r="D51" vm="150">
        <f ca="1"/>
        <v>7795535</v>
      </c>
      <c r="E51">
        <f t="shared" ca="1" si="1"/>
        <v>1491909488.3</v>
      </c>
      <c r="F51">
        <f ca="1">SUM($E$2:E51)/SUM($D$2:D51)</f>
        <v>175.92245408099717</v>
      </c>
      <c r="G51">
        <f ca="1">_xlfn.STDEV.P($C$2:C51)</f>
        <v>6.9761364665551078</v>
      </c>
      <c r="H51">
        <f t="shared" ca="1" si="2"/>
        <v>182.89859054755229</v>
      </c>
      <c r="I51">
        <f t="shared" ca="1" si="3"/>
        <v>168.94631761444205</v>
      </c>
      <c r="J51">
        <f t="shared" ca="1" si="12"/>
        <v>184.77600000000001</v>
      </c>
      <c r="K51">
        <f t="shared" ca="1" si="13"/>
        <v>4.1481288108711079</v>
      </c>
      <c r="L51">
        <f t="shared" ca="1" si="14"/>
        <v>193.07225762174224</v>
      </c>
      <c r="M51">
        <f t="shared" ca="1" si="15"/>
        <v>176.47974237825778</v>
      </c>
      <c r="N51">
        <f t="shared" ca="1" si="4"/>
        <v>1.539999999999992</v>
      </c>
      <c r="O51">
        <f t="shared" ca="1" si="5"/>
        <v>1.539999999999992</v>
      </c>
      <c r="P51">
        <f t="shared" ca="1" si="6"/>
        <v>0</v>
      </c>
      <c r="Q51">
        <f t="shared" ca="1" si="10"/>
        <v>0.86408383161259472</v>
      </c>
      <c r="R51">
        <f t="shared" ca="1" si="11"/>
        <v>0.2591274637203595</v>
      </c>
      <c r="S51">
        <f t="shared" ca="1" si="8"/>
        <v>3.3345899319459287</v>
      </c>
      <c r="T51">
        <f t="shared" ca="1" si="9"/>
        <v>76.929766928354638</v>
      </c>
      <c r="U51">
        <f>70</f>
        <v>70</v>
      </c>
      <c r="V51">
        <f>30</f>
        <v>30</v>
      </c>
      <c r="W51">
        <f t="shared" ca="1" si="7"/>
        <v>187.35904213917757</v>
      </c>
      <c r="X51">
        <f t="shared" ca="1" si="17"/>
        <v>183.43761507571725</v>
      </c>
      <c r="Y51">
        <f t="shared" ca="1" si="16"/>
        <v>3.6796883638963891</v>
      </c>
      <c r="Z51">
        <f t="shared" ca="1" si="18"/>
        <v>3.7126326497802182</v>
      </c>
      <c r="AA51">
        <f t="shared" ca="1" si="19"/>
        <v>-3.2944285883829139E-2</v>
      </c>
    </row>
    <row r="52" spans="1:27" x14ac:dyDescent="0.25">
      <c r="A52" s="20">
        <f t="shared" ca="1" si="0"/>
        <v>45362</v>
      </c>
      <c r="B52" vm="151">
        <f ca="1"/>
        <v>45365</v>
      </c>
      <c r="C52" vm="152">
        <f ca="1"/>
        <v>187.97</v>
      </c>
      <c r="D52" vm="153">
        <f ca="1"/>
        <v>10310948</v>
      </c>
      <c r="E52">
        <f t="shared" ca="1" si="1"/>
        <v>1938148895.5599999</v>
      </c>
      <c r="F52">
        <f ca="1">SUM($E$2:E52)/SUM($D$2:D52)</f>
        <v>176.19407954151615</v>
      </c>
      <c r="G52">
        <f ca="1">_xlfn.STDEV.P($C$2:C52)</f>
        <v>7.0669661369376042</v>
      </c>
      <c r="H52">
        <f t="shared" ca="1" si="2"/>
        <v>183.26104567845374</v>
      </c>
      <c r="I52">
        <f t="shared" ca="1" si="3"/>
        <v>169.12711340457855</v>
      </c>
      <c r="J52">
        <f t="shared" ca="1" si="12"/>
        <v>185.37299999999999</v>
      </c>
      <c r="K52">
        <f t="shared" ca="1" si="13"/>
        <v>3.6527813483628297</v>
      </c>
      <c r="L52">
        <f t="shared" ca="1" si="14"/>
        <v>192.67856269672566</v>
      </c>
      <c r="M52">
        <f t="shared" ca="1" si="15"/>
        <v>178.06743730327432</v>
      </c>
      <c r="N52">
        <f t="shared" ca="1" si="4"/>
        <v>-3.4099999999999966</v>
      </c>
      <c r="O52">
        <f t="shared" ca="1" si="5"/>
        <v>0</v>
      </c>
      <c r="P52">
        <f t="shared" ca="1" si="6"/>
        <v>3.4099999999999966</v>
      </c>
      <c r="Q52">
        <f t="shared" ca="1" si="10"/>
        <v>0.8023635579259808</v>
      </c>
      <c r="R52">
        <f t="shared" ca="1" si="11"/>
        <v>0.48418978774033355</v>
      </c>
      <c r="S52">
        <f t="shared" ca="1" si="8"/>
        <v>1.6571261481381776</v>
      </c>
      <c r="T52">
        <f t="shared" ca="1" si="9"/>
        <v>62.365354738588898</v>
      </c>
      <c r="U52">
        <f>70</f>
        <v>70</v>
      </c>
      <c r="V52">
        <f>30</f>
        <v>30</v>
      </c>
      <c r="W52">
        <f t="shared" ca="1" si="7"/>
        <v>187.45303565622717</v>
      </c>
      <c r="X52">
        <f t="shared" ca="1" si="17"/>
        <v>183.77334729233078</v>
      </c>
      <c r="Y52">
        <f t="shared" ca="1" si="16"/>
        <v>3.6342271221993485</v>
      </c>
      <c r="Z52">
        <f t="shared" ca="1" si="18"/>
        <v>3.6969515442640448</v>
      </c>
      <c r="AA52">
        <f t="shared" ca="1" si="19"/>
        <v>-6.2724422064696306E-2</v>
      </c>
    </row>
    <row r="53" spans="1:27" x14ac:dyDescent="0.25">
      <c r="A53" s="20">
        <f t="shared" ca="1" si="0"/>
        <v>45362</v>
      </c>
      <c r="B53" vm="154">
        <f ca="1"/>
        <v>45366</v>
      </c>
      <c r="C53" vm="155">
        <f ca="1"/>
        <v>190.3</v>
      </c>
      <c r="D53" vm="156">
        <f ca="1"/>
        <v>17214229</v>
      </c>
      <c r="E53">
        <f t="shared" ca="1" si="1"/>
        <v>3275867778.7000003</v>
      </c>
      <c r="F53">
        <f ca="1">SUM($E$2:E53)/SUM($D$2:D53)</f>
        <v>176.70577926496145</v>
      </c>
      <c r="G53">
        <f ca="1">_xlfn.STDEV.P($C$2:C53)</f>
        <v>7.2190581794663977</v>
      </c>
      <c r="H53">
        <f t="shared" ca="1" si="2"/>
        <v>183.92483744442785</v>
      </c>
      <c r="I53">
        <f t="shared" ca="1" si="3"/>
        <v>169.48672108549505</v>
      </c>
      <c r="J53">
        <f t="shared" ca="1" si="12"/>
        <v>185.89449999999999</v>
      </c>
      <c r="K53">
        <f t="shared" ca="1" si="13"/>
        <v>3.5693615454455259</v>
      </c>
      <c r="L53">
        <f t="shared" ca="1" si="14"/>
        <v>193.03322309089106</v>
      </c>
      <c r="M53">
        <f t="shared" ca="1" si="15"/>
        <v>178.75577690910893</v>
      </c>
      <c r="N53">
        <f t="shared" ca="1" si="4"/>
        <v>2.3300000000000125</v>
      </c>
      <c r="O53">
        <f t="shared" ca="1" si="5"/>
        <v>2.3300000000000125</v>
      </c>
      <c r="P53">
        <f t="shared" ca="1" si="6"/>
        <v>0</v>
      </c>
      <c r="Q53">
        <f t="shared" ca="1" si="10"/>
        <v>0.9114804466455545</v>
      </c>
      <c r="R53">
        <f t="shared" ca="1" si="11"/>
        <v>0.44960480290173832</v>
      </c>
      <c r="S53">
        <f t="shared" ca="1" si="8"/>
        <v>2.0272925039120628</v>
      </c>
      <c r="T53">
        <f t="shared" ca="1" si="9"/>
        <v>66.967182764541732</v>
      </c>
      <c r="U53">
        <f>70</f>
        <v>70</v>
      </c>
      <c r="V53">
        <f>30</f>
        <v>30</v>
      </c>
      <c r="W53">
        <f t="shared" ca="1" si="7"/>
        <v>187.89103017065378</v>
      </c>
      <c r="X53">
        <f t="shared" ca="1" si="17"/>
        <v>184.25680304845443</v>
      </c>
      <c r="Y53">
        <f t="shared" ca="1" si="16"/>
        <v>3.745455754804766</v>
      </c>
      <c r="Z53">
        <f t="shared" ca="1" si="18"/>
        <v>3.7066523863721894</v>
      </c>
      <c r="AA53">
        <f t="shared" ca="1" si="19"/>
        <v>3.880336843257659E-2</v>
      </c>
    </row>
    <row r="54" spans="1:27" x14ac:dyDescent="0.25">
      <c r="A54" s="20">
        <f t="shared" ca="1" si="0"/>
        <v>45369</v>
      </c>
      <c r="B54" vm="157">
        <f ca="1"/>
        <v>45369</v>
      </c>
      <c r="C54" vm="158">
        <f ca="1"/>
        <v>192.66</v>
      </c>
      <c r="D54" vm="159">
        <f ca="1"/>
        <v>9013843</v>
      </c>
      <c r="E54">
        <f t="shared" ca="1" si="1"/>
        <v>1736606992.3799999</v>
      </c>
      <c r="F54">
        <f ca="1">SUM($E$2:E54)/SUM($D$2:D54)</f>
        <v>177.00317844503678</v>
      </c>
      <c r="G54">
        <f ca="1">_xlfn.STDEV.P($C$2:C54)</f>
        <v>7.436210071045541</v>
      </c>
      <c r="H54">
        <f t="shared" ca="1" si="2"/>
        <v>184.43938851608232</v>
      </c>
      <c r="I54">
        <f t="shared" ca="1" si="3"/>
        <v>169.56696837399124</v>
      </c>
      <c r="J54">
        <f t="shared" ca="1" si="12"/>
        <v>186.57599999999999</v>
      </c>
      <c r="K54">
        <f t="shared" ca="1" si="13"/>
        <v>3.4900481070428944</v>
      </c>
      <c r="L54">
        <f t="shared" ca="1" si="14"/>
        <v>193.55609621408578</v>
      </c>
      <c r="M54">
        <f t="shared" ca="1" si="15"/>
        <v>179.5959037859142</v>
      </c>
      <c r="N54">
        <f t="shared" ca="1" si="4"/>
        <v>2.3599999999999852</v>
      </c>
      <c r="O54">
        <f t="shared" ca="1" si="5"/>
        <v>2.3599999999999852</v>
      </c>
      <c r="P54">
        <f t="shared" ca="1" si="6"/>
        <v>0</v>
      </c>
      <c r="Q54">
        <f t="shared" ca="1" si="10"/>
        <v>1.0149461290280137</v>
      </c>
      <c r="R54">
        <f t="shared" ca="1" si="11"/>
        <v>0.41749017412304273</v>
      </c>
      <c r="S54">
        <f t="shared" ca="1" si="8"/>
        <v>2.4310659075029841</v>
      </c>
      <c r="T54">
        <f t="shared" ca="1" si="9"/>
        <v>70.854538299214227</v>
      </c>
      <c r="U54">
        <f>70</f>
        <v>70</v>
      </c>
      <c r="V54">
        <f>30</f>
        <v>30</v>
      </c>
      <c r="W54">
        <f t="shared" ca="1" si="7"/>
        <v>188.62471783670702</v>
      </c>
      <c r="X54">
        <f t="shared" ca="1" si="17"/>
        <v>184.87926208190225</v>
      </c>
      <c r="Y54">
        <f t="shared" ca="1" si="16"/>
        <v>3.880059888557696</v>
      </c>
      <c r="Z54">
        <f t="shared" ca="1" si="18"/>
        <v>3.7413338868092909</v>
      </c>
      <c r="AA54">
        <f t="shared" ca="1" si="19"/>
        <v>0.1387260017484051</v>
      </c>
    </row>
    <row r="55" spans="1:27" x14ac:dyDescent="0.25">
      <c r="A55" s="20">
        <f t="shared" ca="1" si="0"/>
        <v>45369</v>
      </c>
      <c r="B55" vm="160">
        <f ca="1"/>
        <v>45370</v>
      </c>
      <c r="C55" vm="161">
        <f ca="1"/>
        <v>193.79</v>
      </c>
      <c r="D55" vm="162">
        <f ca="1"/>
        <v>8478717</v>
      </c>
      <c r="E55">
        <f t="shared" ca="1" si="1"/>
        <v>1643090567.4299998</v>
      </c>
      <c r="F55">
        <f ca="1">SUM($E$2:E55)/SUM($D$2:D55)</f>
        <v>177.29244871954901</v>
      </c>
      <c r="G55">
        <f ca="1">_xlfn.STDEV.P($C$2:C55)</f>
        <v>7.6706008424340917</v>
      </c>
      <c r="H55">
        <f t="shared" ca="1" si="2"/>
        <v>184.9630495619831</v>
      </c>
      <c r="I55">
        <f t="shared" ca="1" si="3"/>
        <v>169.62184787711493</v>
      </c>
      <c r="J55">
        <f t="shared" ca="1" si="12"/>
        <v>187.279</v>
      </c>
      <c r="K55">
        <f t="shared" ca="1" si="13"/>
        <v>3.4543502702351532</v>
      </c>
      <c r="L55">
        <f t="shared" ca="1" si="14"/>
        <v>194.1877005404703</v>
      </c>
      <c r="M55">
        <f t="shared" ca="1" si="15"/>
        <v>180.37029945952969</v>
      </c>
      <c r="N55">
        <f t="shared" ca="1" si="4"/>
        <v>1.1299999999999955</v>
      </c>
      <c r="O55">
        <f t="shared" ca="1" si="5"/>
        <v>1.1299999999999955</v>
      </c>
      <c r="P55">
        <f t="shared" ca="1" si="6"/>
        <v>0</v>
      </c>
      <c r="Q55">
        <f t="shared" ca="1" si="10"/>
        <v>1.0231642626688695</v>
      </c>
      <c r="R55">
        <f t="shared" ca="1" si="11"/>
        <v>0.38766944739996828</v>
      </c>
      <c r="S55">
        <f t="shared" ca="1" si="8"/>
        <v>2.639269794230767</v>
      </c>
      <c r="T55">
        <f t="shared" ca="1" si="9"/>
        <v>72.521960268368332</v>
      </c>
      <c r="U55">
        <f>70</f>
        <v>70</v>
      </c>
      <c r="V55">
        <f>30</f>
        <v>30</v>
      </c>
      <c r="W55">
        <f t="shared" ca="1" si="7"/>
        <v>189.41937663105978</v>
      </c>
      <c r="X55">
        <f t="shared" ca="1" si="17"/>
        <v>185.53931674250208</v>
      </c>
      <c r="Y55">
        <f t="shared" ca="1" si="16"/>
        <v>4.143922843622704</v>
      </c>
      <c r="Z55">
        <f t="shared" ca="1" si="18"/>
        <v>3.8218516781719738</v>
      </c>
      <c r="AA55">
        <f t="shared" ca="1" si="19"/>
        <v>0.32207116545073022</v>
      </c>
    </row>
    <row r="56" spans="1:27" x14ac:dyDescent="0.25">
      <c r="A56" s="20">
        <f t="shared" ca="1" si="0"/>
        <v>45369</v>
      </c>
      <c r="B56" vm="163">
        <f ca="1"/>
        <v>45371</v>
      </c>
      <c r="C56" vm="164">
        <f ca="1"/>
        <v>196.33</v>
      </c>
      <c r="D56" vm="165">
        <f ca="1"/>
        <v>9367043</v>
      </c>
      <c r="E56">
        <f t="shared" ca="1" si="1"/>
        <v>1839031552.1900001</v>
      </c>
      <c r="F56">
        <f ca="1">SUM($E$2:E56)/SUM($D$2:D56)</f>
        <v>177.64810351538918</v>
      </c>
      <c r="G56">
        <f ca="1">_xlfn.STDEV.P($C$2:C56)</f>
        <v>7.9757750989952108</v>
      </c>
      <c r="H56">
        <f t="shared" ca="1" si="2"/>
        <v>185.62387861438438</v>
      </c>
      <c r="I56">
        <f t="shared" ca="1" si="3"/>
        <v>169.67232841639398</v>
      </c>
      <c r="J56">
        <f t="shared" ca="1" si="12"/>
        <v>188.0505</v>
      </c>
      <c r="K56">
        <f t="shared" ca="1" si="13"/>
        <v>3.6709592536699822</v>
      </c>
      <c r="L56">
        <f t="shared" ca="1" si="14"/>
        <v>195.39241850733995</v>
      </c>
      <c r="M56">
        <f t="shared" ca="1" si="15"/>
        <v>180.70858149266004</v>
      </c>
      <c r="N56">
        <f t="shared" ca="1" si="4"/>
        <v>2.5400000000000205</v>
      </c>
      <c r="O56">
        <f t="shared" ca="1" si="5"/>
        <v>2.5400000000000205</v>
      </c>
      <c r="P56">
        <f t="shared" ca="1" si="6"/>
        <v>0</v>
      </c>
      <c r="Q56">
        <f t="shared" ca="1" si="10"/>
        <v>1.1315096724782374</v>
      </c>
      <c r="R56">
        <f t="shared" ca="1" si="11"/>
        <v>0.35997877258568484</v>
      </c>
      <c r="S56">
        <f t="shared" ca="1" si="8"/>
        <v>3.1432677664594988</v>
      </c>
      <c r="T56">
        <f t="shared" ca="1" si="9"/>
        <v>75.864461184594902</v>
      </c>
      <c r="U56">
        <f>70</f>
        <v>70</v>
      </c>
      <c r="V56">
        <f>30</f>
        <v>30</v>
      </c>
      <c r="W56">
        <f t="shared" ca="1" si="7"/>
        <v>190.48254945705057</v>
      </c>
      <c r="X56">
        <f t="shared" ca="1" si="17"/>
        <v>186.33862661342786</v>
      </c>
      <c r="Y56">
        <f t="shared" ca="1" si="16"/>
        <v>4.521206664900177</v>
      </c>
      <c r="Z56">
        <f t="shared" ca="1" si="18"/>
        <v>3.9617226755176147</v>
      </c>
      <c r="AA56">
        <f t="shared" ca="1" si="19"/>
        <v>0.55948398938256227</v>
      </c>
    </row>
    <row r="57" spans="1:27" x14ac:dyDescent="0.25">
      <c r="A57" s="20">
        <f t="shared" ca="1" si="0"/>
        <v>45369</v>
      </c>
      <c r="B57" vm="166">
        <f ca="1"/>
        <v>45372</v>
      </c>
      <c r="C57" vm="167">
        <f ca="1"/>
        <v>199.06</v>
      </c>
      <c r="D57" vm="168">
        <f ca="1"/>
        <v>11203796</v>
      </c>
      <c r="E57">
        <f t="shared" ca="1" si="1"/>
        <v>2230227631.7600002</v>
      </c>
      <c r="F57">
        <f ca="1">SUM($E$2:E57)/SUM($D$2:D57)</f>
        <v>178.11609496857895</v>
      </c>
      <c r="G57">
        <f ca="1">_xlfn.STDEV.P($C$2:C57)</f>
        <v>8.3572860469265411</v>
      </c>
      <c r="H57">
        <f t="shared" ca="1" si="2"/>
        <v>186.47338101550548</v>
      </c>
      <c r="I57">
        <f t="shared" ca="1" si="3"/>
        <v>169.75880892165242</v>
      </c>
      <c r="J57">
        <f t="shared" ca="1" si="12"/>
        <v>188.85</v>
      </c>
      <c r="K57">
        <f t="shared" ca="1" si="13"/>
        <v>4.2281176600667614</v>
      </c>
      <c r="L57">
        <f t="shared" ca="1" si="14"/>
        <v>197.30623532013351</v>
      </c>
      <c r="M57">
        <f t="shared" ca="1" si="15"/>
        <v>180.39376467986648</v>
      </c>
      <c r="N57">
        <f t="shared" ca="1" si="4"/>
        <v>2.7299999999999898</v>
      </c>
      <c r="O57">
        <f t="shared" ca="1" si="5"/>
        <v>2.7299999999999898</v>
      </c>
      <c r="P57">
        <f t="shared" ca="1" si="6"/>
        <v>0</v>
      </c>
      <c r="Q57">
        <f t="shared" ca="1" si="10"/>
        <v>1.2456875530155054</v>
      </c>
      <c r="R57">
        <f t="shared" ca="1" si="11"/>
        <v>0.33426600311527876</v>
      </c>
      <c r="S57">
        <f t="shared" ca="1" si="8"/>
        <v>3.726635498094323</v>
      </c>
      <c r="T57">
        <f t="shared" ca="1" si="9"/>
        <v>78.843301955414617</v>
      </c>
      <c r="U57">
        <f>70</f>
        <v>70</v>
      </c>
      <c r="V57">
        <f>30</f>
        <v>30</v>
      </c>
      <c r="W57">
        <f t="shared" ca="1" si="7"/>
        <v>191.80215723288896</v>
      </c>
      <c r="X57">
        <f t="shared" ca="1" si="17"/>
        <v>187.28095056798878</v>
      </c>
      <c r="Y57">
        <f t="shared" ca="1" si="16"/>
        <v>4.5706318050474692</v>
      </c>
      <c r="Z57">
        <f t="shared" ca="1" si="18"/>
        <v>4.0835045014235858</v>
      </c>
      <c r="AA57">
        <f t="shared" ca="1" si="19"/>
        <v>0.48712730362388346</v>
      </c>
    </row>
    <row r="58" spans="1:27" x14ac:dyDescent="0.25">
      <c r="A58" s="20">
        <f t="shared" ca="1" si="0"/>
        <v>45369</v>
      </c>
      <c r="B58" vm="169">
        <f ca="1"/>
        <v>45373</v>
      </c>
      <c r="C58" vm="170">
        <f ca="1"/>
        <v>196.62</v>
      </c>
      <c r="D58" vm="171">
        <f ca="1"/>
        <v>8108840</v>
      </c>
      <c r="E58">
        <f t="shared" ca="1" si="1"/>
        <v>1594360120.8</v>
      </c>
      <c r="F58">
        <f ca="1">SUM($E$2:E58)/SUM($D$2:D58)</f>
        <v>178.40424815504525</v>
      </c>
      <c r="G58">
        <f ca="1">_xlfn.STDEV.P($C$2:C58)</f>
        <v>8.6030433784146023</v>
      </c>
      <c r="H58">
        <f t="shared" ca="1" si="2"/>
        <v>187.00729153345986</v>
      </c>
      <c r="I58">
        <f t="shared" ca="1" si="3"/>
        <v>169.80120477663064</v>
      </c>
      <c r="J58">
        <f t="shared" ca="1" si="12"/>
        <v>189.48150000000001</v>
      </c>
      <c r="K58">
        <f t="shared" ca="1" si="13"/>
        <v>4.4035873832711978</v>
      </c>
      <c r="L58">
        <f t="shared" ca="1" si="14"/>
        <v>198.28867476654241</v>
      </c>
      <c r="M58">
        <f t="shared" ca="1" si="15"/>
        <v>180.67432523345761</v>
      </c>
      <c r="N58">
        <f t="shared" ca="1" si="4"/>
        <v>-2.4399999999999977</v>
      </c>
      <c r="O58">
        <f t="shared" ca="1" si="5"/>
        <v>0</v>
      </c>
      <c r="P58">
        <f t="shared" ca="1" si="6"/>
        <v>2.4399999999999977</v>
      </c>
      <c r="Q58">
        <f t="shared" ca="1" si="10"/>
        <v>1.1567098706572552</v>
      </c>
      <c r="R58">
        <f t="shared" ca="1" si="11"/>
        <v>0.48467557432133013</v>
      </c>
      <c r="S58">
        <f t="shared" ca="1" si="8"/>
        <v>2.3865652241232604</v>
      </c>
      <c r="T58">
        <f t="shared" ca="1" si="9"/>
        <v>70.471556464444376</v>
      </c>
      <c r="U58">
        <f>70</f>
        <v>70</v>
      </c>
      <c r="V58">
        <f>30</f>
        <v>30</v>
      </c>
      <c r="W58">
        <f t="shared" ca="1" si="7"/>
        <v>192.54336381244448</v>
      </c>
      <c r="X58">
        <f t="shared" ca="1" si="17"/>
        <v>187.97273200739701</v>
      </c>
      <c r="Y58">
        <f t="shared" ca="1" si="16"/>
        <v>4.4136784897207519</v>
      </c>
      <c r="Z58">
        <f t="shared" ca="1" si="18"/>
        <v>4.1495392990830196</v>
      </c>
      <c r="AA58">
        <f t="shared" ca="1" si="19"/>
        <v>0.26413919063773239</v>
      </c>
    </row>
    <row r="59" spans="1:27" x14ac:dyDescent="0.25">
      <c r="A59" s="20">
        <f t="shared" ca="1" si="0"/>
        <v>45376</v>
      </c>
      <c r="B59" vm="172">
        <f ca="1"/>
        <v>45376</v>
      </c>
      <c r="C59" vm="173">
        <f ca="1"/>
        <v>194.82</v>
      </c>
      <c r="D59" vm="174">
        <f ca="1"/>
        <v>8620015</v>
      </c>
      <c r="E59">
        <f t="shared" ca="1" si="1"/>
        <v>1679351322.3</v>
      </c>
      <c r="F59">
        <f ca="1">SUM($E$2:E59)/SUM($D$2:D59)</f>
        <v>178.6715731374527</v>
      </c>
      <c r="G59">
        <f ca="1">_xlfn.STDEV.P($C$2:C59)</f>
        <v>8.766343047252743</v>
      </c>
      <c r="H59">
        <f t="shared" ca="1" si="2"/>
        <v>187.43791618470544</v>
      </c>
      <c r="I59">
        <f t="shared" ca="1" si="3"/>
        <v>169.90523009019995</v>
      </c>
      <c r="J59">
        <f t="shared" ca="1" si="12"/>
        <v>190.05449999999999</v>
      </c>
      <c r="K59">
        <f t="shared" ca="1" si="13"/>
        <v>4.3097215382019893</v>
      </c>
      <c r="L59">
        <f t="shared" ca="1" si="14"/>
        <v>198.67394307640396</v>
      </c>
      <c r="M59">
        <f t="shared" ca="1" si="15"/>
        <v>181.43505692359602</v>
      </c>
      <c r="N59">
        <f t="shared" ca="1" si="4"/>
        <v>-1.8000000000000114</v>
      </c>
      <c r="O59">
        <f t="shared" ca="1" si="5"/>
        <v>0</v>
      </c>
      <c r="P59">
        <f t="shared" ca="1" si="6"/>
        <v>1.8000000000000114</v>
      </c>
      <c r="Q59">
        <f t="shared" ca="1" si="10"/>
        <v>1.0740877370388797</v>
      </c>
      <c r="R59">
        <f t="shared" ca="1" si="11"/>
        <v>0.57862731901266451</v>
      </c>
      <c r="S59">
        <f t="shared" ca="1" si="8"/>
        <v>1.856268623596341</v>
      </c>
      <c r="T59">
        <f t="shared" ca="1" si="9"/>
        <v>64.989287361183301</v>
      </c>
      <c r="U59">
        <f>70</f>
        <v>70</v>
      </c>
      <c r="V59">
        <f>30</f>
        <v>30</v>
      </c>
      <c r="W59">
        <f t="shared" ca="1" si="7"/>
        <v>192.89361553360686</v>
      </c>
      <c r="X59">
        <f t="shared" ca="1" si="17"/>
        <v>188.47993704388611</v>
      </c>
      <c r="Y59">
        <f t="shared" ca="1" si="16"/>
        <v>4.3130036302514441</v>
      </c>
      <c r="Z59">
        <f t="shared" ca="1" si="18"/>
        <v>4.1822321653167052</v>
      </c>
      <c r="AA59">
        <f t="shared" ca="1" si="19"/>
        <v>0.1307714649347389</v>
      </c>
    </row>
    <row r="60" spans="1:27" x14ac:dyDescent="0.25">
      <c r="A60" s="20">
        <f t="shared" ca="1" si="0"/>
        <v>45376</v>
      </c>
      <c r="B60" vm="175">
        <f ca="1"/>
        <v>45377</v>
      </c>
      <c r="C60" vm="176">
        <f ca="1"/>
        <v>195.73</v>
      </c>
      <c r="D60" vm="177">
        <f ca="1"/>
        <v>5961484</v>
      </c>
      <c r="E60">
        <f t="shared" ca="1" si="1"/>
        <v>1166841263.3199999</v>
      </c>
      <c r="F60">
        <f ca="1">SUM($E$2:E60)/SUM($D$2:D60)</f>
        <v>178.86154982561953</v>
      </c>
      <c r="G60">
        <f ca="1">_xlfn.STDEV.P($C$2:C60)</f>
        <v>8.9403621568450582</v>
      </c>
      <c r="H60">
        <f t="shared" ca="1" si="2"/>
        <v>187.80191198246459</v>
      </c>
      <c r="I60">
        <f t="shared" ca="1" si="3"/>
        <v>169.92118766877448</v>
      </c>
      <c r="J60">
        <f t="shared" ca="1" si="12"/>
        <v>190.66849999999999</v>
      </c>
      <c r="K60">
        <f t="shared" ca="1" si="13"/>
        <v>4.1924258459374348</v>
      </c>
      <c r="L60">
        <f t="shared" ca="1" si="14"/>
        <v>199.05335169187487</v>
      </c>
      <c r="M60">
        <f t="shared" ca="1" si="15"/>
        <v>182.28364830812512</v>
      </c>
      <c r="N60">
        <f t="shared" ca="1" si="4"/>
        <v>0.90999999999999659</v>
      </c>
      <c r="O60">
        <f t="shared" ca="1" si="5"/>
        <v>0.90999999999999659</v>
      </c>
      <c r="P60">
        <f t="shared" ca="1" si="6"/>
        <v>0</v>
      </c>
      <c r="Q60">
        <f t="shared" ca="1" si="10"/>
        <v>1.0623671843932452</v>
      </c>
      <c r="R60">
        <f t="shared" ca="1" si="11"/>
        <v>0.53729679622604565</v>
      </c>
      <c r="S60">
        <f t="shared" ca="1" si="8"/>
        <v>1.9772445915465642</v>
      </c>
      <c r="T60">
        <f t="shared" ca="1" si="9"/>
        <v>66.411896327250076</v>
      </c>
      <c r="U60">
        <f>70</f>
        <v>70</v>
      </c>
      <c r="V60">
        <f>30</f>
        <v>30</v>
      </c>
      <c r="W60">
        <f t="shared" ca="1" si="7"/>
        <v>193.32998237459043</v>
      </c>
      <c r="X60">
        <f t="shared" ca="1" si="17"/>
        <v>189.01697874433899</v>
      </c>
      <c r="Y60">
        <f t="shared" ca="1" si="16"/>
        <v>4.4873124596672085</v>
      </c>
      <c r="Z60">
        <f t="shared" ca="1" si="18"/>
        <v>4.2432482241868064</v>
      </c>
      <c r="AA60">
        <f t="shared" ca="1" si="19"/>
        <v>0.24406423548040213</v>
      </c>
    </row>
    <row r="61" spans="1:27" x14ac:dyDescent="0.25">
      <c r="A61" s="20">
        <f t="shared" ca="1" si="0"/>
        <v>45376</v>
      </c>
      <c r="B61" vm="178">
        <f ca="1"/>
        <v>45378</v>
      </c>
      <c r="C61" vm="179">
        <f ca="1"/>
        <v>199.52</v>
      </c>
      <c r="D61" vm="180">
        <f ca="1"/>
        <v>8725757</v>
      </c>
      <c r="E61">
        <f t="shared" ca="1" si="1"/>
        <v>1740963036.6400001</v>
      </c>
      <c r="F61">
        <f ca="1">SUM($E$2:E61)/SUM($D$2:D61)</f>
        <v>179.19289871361593</v>
      </c>
      <c r="G61">
        <f ca="1">_xlfn.STDEV.P($C$2:C61)</f>
        <v>9.2185289257861278</v>
      </c>
      <c r="H61">
        <f t="shared" ca="1" si="2"/>
        <v>188.41142763940206</v>
      </c>
      <c r="I61">
        <f t="shared" ca="1" si="3"/>
        <v>169.9743697878298</v>
      </c>
      <c r="J61">
        <f t="shared" ca="1" si="12"/>
        <v>191.4255</v>
      </c>
      <c r="K61">
        <f t="shared" ca="1" si="13"/>
        <v>4.3606801437149088</v>
      </c>
      <c r="L61">
        <f t="shared" ca="1" si="14"/>
        <v>200.14686028742983</v>
      </c>
      <c r="M61">
        <f t="shared" ca="1" si="15"/>
        <v>182.70413971257017</v>
      </c>
      <c r="N61">
        <f t="shared" ca="1" si="4"/>
        <v>3.7900000000000205</v>
      </c>
      <c r="O61">
        <f t="shared" ca="1" si="5"/>
        <v>3.7900000000000205</v>
      </c>
      <c r="P61">
        <f t="shared" ca="1" si="6"/>
        <v>0</v>
      </c>
      <c r="Q61">
        <f t="shared" ca="1" si="10"/>
        <v>1.2571980997937291</v>
      </c>
      <c r="R61">
        <f t="shared" ca="1" si="11"/>
        <v>0.49891845363847098</v>
      </c>
      <c r="S61">
        <f t="shared" ca="1" si="8"/>
        <v>2.5198468619978662</v>
      </c>
      <c r="T61">
        <f t="shared" ca="1" si="9"/>
        <v>71.589673096391479</v>
      </c>
      <c r="U61">
        <f>70</f>
        <v>70</v>
      </c>
      <c r="V61">
        <f>30</f>
        <v>30</v>
      </c>
      <c r="W61">
        <f t="shared" ca="1" si="7"/>
        <v>194.2822927784996</v>
      </c>
      <c r="X61">
        <f t="shared" ca="1" si="17"/>
        <v>189.79498031883239</v>
      </c>
      <c r="Y61">
        <f t="shared" ca="1" si="16"/>
        <v>4.6349639646548724</v>
      </c>
      <c r="Z61">
        <f t="shared" ca="1" si="18"/>
        <v>4.3215913722804196</v>
      </c>
      <c r="AA61">
        <f t="shared" ca="1" si="19"/>
        <v>0.31337259237445281</v>
      </c>
    </row>
    <row r="62" spans="1:27" x14ac:dyDescent="0.25">
      <c r="A62" s="20">
        <f t="shared" ca="1" si="0"/>
        <v>45376</v>
      </c>
      <c r="B62" vm="181">
        <f ca="1"/>
        <v>45379</v>
      </c>
      <c r="C62" vm="182">
        <f ca="1"/>
        <v>200.3</v>
      </c>
      <c r="D62" vm="183">
        <f ca="1"/>
        <v>8628313</v>
      </c>
      <c r="E62">
        <f t="shared" ca="1" si="1"/>
        <v>1728251093.9000001</v>
      </c>
      <c r="F62">
        <f ca="1">SUM($E$2:E62)/SUM($D$2:D62)</f>
        <v>179.52243646670141</v>
      </c>
      <c r="G62">
        <f ca="1">_xlfn.STDEV.P($C$2:C62)</f>
        <v>9.4952081890894888</v>
      </c>
      <c r="H62">
        <f t="shared" ca="1" si="2"/>
        <v>189.01764465579089</v>
      </c>
      <c r="I62">
        <f t="shared" ca="1" si="3"/>
        <v>170.02722827761193</v>
      </c>
      <c r="J62">
        <f t="shared" ca="1" si="12"/>
        <v>192.13749999999999</v>
      </c>
      <c r="K62">
        <f t="shared" ca="1" si="13"/>
        <v>4.5947588849172849</v>
      </c>
      <c r="L62">
        <f t="shared" ca="1" si="14"/>
        <v>201.32701776983455</v>
      </c>
      <c r="M62">
        <f t="shared" ca="1" si="15"/>
        <v>182.94798223016542</v>
      </c>
      <c r="N62">
        <f t="shared" ca="1" si="4"/>
        <v>0.78000000000000114</v>
      </c>
      <c r="O62">
        <f t="shared" ca="1" si="5"/>
        <v>0.78000000000000114</v>
      </c>
      <c r="P62">
        <f t="shared" ca="1" si="6"/>
        <v>0</v>
      </c>
      <c r="Q62">
        <f t="shared" ca="1" si="10"/>
        <v>1.2231125212370342</v>
      </c>
      <c r="R62">
        <f t="shared" ca="1" si="11"/>
        <v>0.46328142123572302</v>
      </c>
      <c r="S62">
        <f t="shared" ca="1" si="8"/>
        <v>2.6401069958182073</v>
      </c>
      <c r="T62">
        <f t="shared" ca="1" si="9"/>
        <v>72.528280043723697</v>
      </c>
      <c r="U62">
        <f>70</f>
        <v>70</v>
      </c>
      <c r="V62">
        <f>30</f>
        <v>30</v>
      </c>
      <c r="W62">
        <f t="shared" ca="1" si="7"/>
        <v>195.20809388949968</v>
      </c>
      <c r="X62">
        <f t="shared" ca="1" si="17"/>
        <v>190.57312992484481</v>
      </c>
      <c r="Y62">
        <f t="shared" ca="1" si="16"/>
        <v>4.5893352125551132</v>
      </c>
      <c r="Z62">
        <f t="shared" ca="1" si="18"/>
        <v>4.3751401403353585</v>
      </c>
      <c r="AA62">
        <f t="shared" ca="1" si="19"/>
        <v>0.21419507221975476</v>
      </c>
    </row>
    <row r="63" spans="1:27" x14ac:dyDescent="0.25">
      <c r="A63" s="20">
        <f t="shared" ca="1" si="0"/>
        <v>45383</v>
      </c>
      <c r="B63" vm="184">
        <f ca="1"/>
        <v>45383</v>
      </c>
      <c r="C63" vm="185">
        <f ca="1"/>
        <v>198.94</v>
      </c>
      <c r="D63" vm="186">
        <f ca="1"/>
        <v>7309009</v>
      </c>
      <c r="E63">
        <f t="shared" ca="1" si="1"/>
        <v>1454054250.46</v>
      </c>
      <c r="F63">
        <f ca="1">SUM($E$2:E63)/SUM($D$2:D63)</f>
        <v>179.77588970773135</v>
      </c>
      <c r="G63">
        <f ca="1">_xlfn.STDEV.P($C$2:C63)</f>
        <v>9.7022381746860376</v>
      </c>
      <c r="H63">
        <f t="shared" ca="1" si="2"/>
        <v>189.4781278824174</v>
      </c>
      <c r="I63">
        <f t="shared" ca="1" si="3"/>
        <v>170.07365153304531</v>
      </c>
      <c r="J63">
        <f t="shared" ca="1" si="12"/>
        <v>192.82</v>
      </c>
      <c r="K63">
        <f t="shared" ca="1" si="13"/>
        <v>4.537527729362858</v>
      </c>
      <c r="L63">
        <f t="shared" ca="1" si="14"/>
        <v>201.89505545872572</v>
      </c>
      <c r="M63">
        <f t="shared" ca="1" si="15"/>
        <v>183.74494454127426</v>
      </c>
      <c r="N63">
        <f t="shared" ca="1" si="4"/>
        <v>-1.3600000000000136</v>
      </c>
      <c r="O63">
        <f t="shared" ca="1" si="5"/>
        <v>0</v>
      </c>
      <c r="P63">
        <f t="shared" ca="1" si="6"/>
        <v>1.3600000000000136</v>
      </c>
      <c r="Q63">
        <f t="shared" ca="1" si="10"/>
        <v>1.1357473411486745</v>
      </c>
      <c r="R63">
        <f t="shared" ca="1" si="11"/>
        <v>0.52733274829031518</v>
      </c>
      <c r="S63">
        <f t="shared" ca="1" si="8"/>
        <v>2.1537584093362732</v>
      </c>
      <c r="T63">
        <f t="shared" ca="1" si="9"/>
        <v>68.29180075938487</v>
      </c>
      <c r="U63">
        <f>70</f>
        <v>70</v>
      </c>
      <c r="V63">
        <f>30</f>
        <v>30</v>
      </c>
      <c r="W63">
        <f t="shared" ca="1" si="7"/>
        <v>195.78223329111512</v>
      </c>
      <c r="X63">
        <f t="shared" ca="1" si="17"/>
        <v>191.19289807856001</v>
      </c>
      <c r="Y63">
        <f t="shared" ca="1" si="16"/>
        <v>4.4949043074905717</v>
      </c>
      <c r="Z63">
        <f t="shared" ca="1" si="18"/>
        <v>4.3990929737664013</v>
      </c>
      <c r="AA63">
        <f t="shared" ca="1" si="19"/>
        <v>9.5811333724170389E-2</v>
      </c>
    </row>
    <row r="64" spans="1:27" x14ac:dyDescent="0.25">
      <c r="A64" s="20">
        <f t="shared" ca="1" si="0"/>
        <v>45383</v>
      </c>
      <c r="B64" vm="187">
        <f ca="1"/>
        <v>45384</v>
      </c>
      <c r="C64" vm="188">
        <f ca="1"/>
        <v>198.86</v>
      </c>
      <c r="D64" vm="189">
        <f ca="1"/>
        <v>7014683</v>
      </c>
      <c r="E64">
        <f t="shared" ca="1" si="1"/>
        <v>1394939861.3800001</v>
      </c>
      <c r="F64">
        <f ca="1">SUM($E$2:E64)/SUM($D$2:D64)</f>
        <v>180.01200162242057</v>
      </c>
      <c r="G64">
        <f ca="1">_xlfn.STDEV.P($C$2:C64)</f>
        <v>9.8877052872656268</v>
      </c>
      <c r="H64">
        <f t="shared" ca="1" si="2"/>
        <v>189.89970690968619</v>
      </c>
      <c r="I64">
        <f t="shared" ca="1" si="3"/>
        <v>170.12429633515495</v>
      </c>
      <c r="J64">
        <f t="shared" ca="1" si="12"/>
        <v>193.42900000000003</v>
      </c>
      <c r="K64">
        <f t="shared" ca="1" si="13"/>
        <v>4.4871652052211521</v>
      </c>
      <c r="L64">
        <f t="shared" ca="1" si="14"/>
        <v>202.40333041044232</v>
      </c>
      <c r="M64">
        <f t="shared" ca="1" si="15"/>
        <v>184.45466958955774</v>
      </c>
      <c r="N64">
        <f t="shared" ca="1" si="4"/>
        <v>-7.9999999999984084E-2</v>
      </c>
      <c r="O64">
        <f t="shared" ca="1" si="5"/>
        <v>0</v>
      </c>
      <c r="P64">
        <f t="shared" ca="1" si="6"/>
        <v>7.9999999999984084E-2</v>
      </c>
      <c r="Q64">
        <f t="shared" ca="1" si="10"/>
        <v>1.0546225310666262</v>
      </c>
      <c r="R64">
        <f t="shared" ca="1" si="11"/>
        <v>0.4953804091267201</v>
      </c>
      <c r="S64">
        <f t="shared" ca="1" si="8"/>
        <v>2.1289144900295196</v>
      </c>
      <c r="T64">
        <f t="shared" ca="1" si="9"/>
        <v>68.040034229552703</v>
      </c>
      <c r="U64">
        <f>70</f>
        <v>70</v>
      </c>
      <c r="V64">
        <f>30</f>
        <v>30</v>
      </c>
      <c r="W64">
        <f t="shared" ca="1" si="7"/>
        <v>196.25573586171279</v>
      </c>
      <c r="X64">
        <f t="shared" ca="1" si="17"/>
        <v>191.76083155422222</v>
      </c>
      <c r="Y64">
        <f t="shared" ca="1" si="16"/>
        <v>4.3250236347762723</v>
      </c>
      <c r="Z64">
        <f t="shared" ca="1" si="18"/>
        <v>4.3842791059683757</v>
      </c>
      <c r="AA64">
        <f t="shared" ca="1" si="19"/>
        <v>-5.9255471192103393E-2</v>
      </c>
    </row>
    <row r="65" spans="1:27" x14ac:dyDescent="0.25">
      <c r="A65" s="20">
        <f t="shared" ca="1" si="0"/>
        <v>45383</v>
      </c>
      <c r="B65" vm="190">
        <f ca="1"/>
        <v>45385</v>
      </c>
      <c r="C65" vm="191">
        <f ca="1"/>
        <v>198.3</v>
      </c>
      <c r="D65" vm="192">
        <f ca="1"/>
        <v>9353426</v>
      </c>
      <c r="E65">
        <f t="shared" ca="1" si="1"/>
        <v>1854784375.8000002</v>
      </c>
      <c r="F65">
        <f ca="1">SUM($E$2:E65)/SUM($D$2:D65)</f>
        <v>180.30880488041544</v>
      </c>
      <c r="G65">
        <f ca="1">_xlfn.STDEV.P($C$2:C65)</f>
        <v>10.041235606238907</v>
      </c>
      <c r="H65">
        <f t="shared" ca="1" si="2"/>
        <v>190.35004048665434</v>
      </c>
      <c r="I65">
        <f t="shared" ca="1" si="3"/>
        <v>170.26756927417654</v>
      </c>
      <c r="J65">
        <f t="shared" ca="1" si="12"/>
        <v>193.91650000000004</v>
      </c>
      <c r="K65">
        <f t="shared" ca="1" si="13"/>
        <v>4.4587421816141468</v>
      </c>
      <c r="L65">
        <f t="shared" ca="1" si="14"/>
        <v>202.83398436322832</v>
      </c>
      <c r="M65">
        <f t="shared" ca="1" si="15"/>
        <v>184.99901563677176</v>
      </c>
      <c r="N65">
        <f t="shared" ca="1" si="4"/>
        <v>-0.56000000000000227</v>
      </c>
      <c r="O65">
        <f t="shared" ca="1" si="5"/>
        <v>0</v>
      </c>
      <c r="P65">
        <f t="shared" ca="1" si="6"/>
        <v>0.56000000000000227</v>
      </c>
      <c r="Q65">
        <f t="shared" ca="1" si="10"/>
        <v>0.97929235027615291</v>
      </c>
      <c r="R65">
        <f t="shared" ca="1" si="11"/>
        <v>0.49999609418909741</v>
      </c>
      <c r="S65">
        <f t="shared" ca="1" si="8"/>
        <v>1.9586000003947766</v>
      </c>
      <c r="T65">
        <f t="shared" ca="1" si="9"/>
        <v>66.200229842947124</v>
      </c>
      <c r="U65">
        <f>70</f>
        <v>70</v>
      </c>
      <c r="V65">
        <f>30</f>
        <v>30</v>
      </c>
      <c r="W65">
        <f t="shared" ca="1" si="7"/>
        <v>196.5702380368339</v>
      </c>
      <c r="X65">
        <f t="shared" ca="1" si="17"/>
        <v>192.24521440205763</v>
      </c>
      <c r="Y65">
        <f t="shared" ca="1" si="16"/>
        <v>3.9312422115981178</v>
      </c>
      <c r="Z65">
        <f t="shared" ca="1" si="18"/>
        <v>4.2936717270943241</v>
      </c>
      <c r="AA65">
        <f t="shared" ca="1" si="19"/>
        <v>-0.36242951549620628</v>
      </c>
    </row>
    <row r="66" spans="1:27" x14ac:dyDescent="0.25">
      <c r="A66" s="20">
        <f t="shared" ca="1" si="0"/>
        <v>45383</v>
      </c>
      <c r="B66" vm="193">
        <f ca="1"/>
        <v>45386</v>
      </c>
      <c r="C66" vm="194">
        <f ca="1"/>
        <v>195.65</v>
      </c>
      <c r="D66" vm="195">
        <f ca="1"/>
        <v>9243793</v>
      </c>
      <c r="E66">
        <f t="shared" ca="1" si="1"/>
        <v>1808548100.45</v>
      </c>
      <c r="F66">
        <f ca="1">SUM($E$2:E66)/SUM($D$2:D66)</f>
        <v>180.55098067164698</v>
      </c>
      <c r="G66">
        <f ca="1">_xlfn.STDEV.P($C$2:C66)</f>
        <v>10.119018545855175</v>
      </c>
      <c r="H66">
        <f t="shared" ca="1" si="2"/>
        <v>190.66999921750215</v>
      </c>
      <c r="I66">
        <f t="shared" ca="1" si="3"/>
        <v>170.43196212579181</v>
      </c>
      <c r="J66">
        <f t="shared" ca="1" si="12"/>
        <v>194.22250000000003</v>
      </c>
      <c r="K66">
        <f t="shared" ca="1" si="13"/>
        <v>4.3505485135119546</v>
      </c>
      <c r="L66">
        <f t="shared" ca="1" si="14"/>
        <v>202.92359702702393</v>
      </c>
      <c r="M66">
        <f t="shared" ca="1" si="15"/>
        <v>185.52140297297612</v>
      </c>
      <c r="N66">
        <f t="shared" ca="1" si="4"/>
        <v>-2.6500000000000057</v>
      </c>
      <c r="O66">
        <f t="shared" ca="1" si="5"/>
        <v>0</v>
      </c>
      <c r="P66">
        <f t="shared" ca="1" si="6"/>
        <v>2.6500000000000057</v>
      </c>
      <c r="Q66">
        <f t="shared" ca="1" si="10"/>
        <v>0.90934289668499912</v>
      </c>
      <c r="R66">
        <f t="shared" ca="1" si="11"/>
        <v>0.65356780174701945</v>
      </c>
      <c r="S66">
        <f t="shared" ca="1" si="8"/>
        <v>1.3913520437424856</v>
      </c>
      <c r="T66">
        <f t="shared" ca="1" si="9"/>
        <v>58.182652252447454</v>
      </c>
      <c r="U66">
        <f>70</f>
        <v>70</v>
      </c>
      <c r="V66">
        <f>30</f>
        <v>30</v>
      </c>
      <c r="W66">
        <f t="shared" ca="1" si="7"/>
        <v>196.42866295424406</v>
      </c>
      <c r="X66">
        <f t="shared" ca="1" si="17"/>
        <v>192.49742074264594</v>
      </c>
      <c r="Y66">
        <f t="shared" ca="1" si="16"/>
        <v>3.7215132651013221</v>
      </c>
      <c r="Z66">
        <f t="shared" ca="1" si="18"/>
        <v>4.1792400346957237</v>
      </c>
      <c r="AA66">
        <f t="shared" ca="1" si="19"/>
        <v>-0.45772676959440162</v>
      </c>
    </row>
    <row r="67" spans="1:27" x14ac:dyDescent="0.25">
      <c r="A67" s="20">
        <f t="shared" ref="A67:A130" ca="1" si="20">B67 - WEEKDAY(B67, 2) + 1</f>
        <v>45383</v>
      </c>
      <c r="B67" vm="196">
        <f ca="1"/>
        <v>45387</v>
      </c>
      <c r="C67" vm="197">
        <f ca="1"/>
        <v>197.45</v>
      </c>
      <c r="D67" vm="198">
        <f ca="1"/>
        <v>6532278</v>
      </c>
      <c r="E67">
        <f t="shared" ref="E67:E130" ca="1" si="21">C67*D67</f>
        <v>1289798291.0999999</v>
      </c>
      <c r="F67">
        <f ca="1">SUM($E$2:E67)/SUM($D$2:D67)</f>
        <v>180.73741658264512</v>
      </c>
      <c r="G67">
        <f ca="1">_xlfn.STDEV.P($C$2:C67)</f>
        <v>10.228851577345729</v>
      </c>
      <c r="H67">
        <f t="shared" ref="H67:H130" ca="1" si="22">F67 + G67</f>
        <v>190.96626815999085</v>
      </c>
      <c r="I67">
        <f t="shared" ref="I67:I130" ca="1" si="23">F67 - G67</f>
        <v>170.5085650052994</v>
      </c>
      <c r="J67">
        <f t="shared" ca="1" si="12"/>
        <v>194.70150000000004</v>
      </c>
      <c r="K67">
        <f t="shared" ca="1" si="13"/>
        <v>4.1364353774208746</v>
      </c>
      <c r="L67">
        <f t="shared" ca="1" si="14"/>
        <v>202.9743707548418</v>
      </c>
      <c r="M67">
        <f t="shared" ca="1" si="15"/>
        <v>186.42862924515828</v>
      </c>
      <c r="N67">
        <f t="shared" ca="1" si="4"/>
        <v>1.7999999999999829</v>
      </c>
      <c r="O67">
        <f t="shared" ca="1" si="5"/>
        <v>1.7999999999999829</v>
      </c>
      <c r="P67">
        <f t="shared" ca="1" si="6"/>
        <v>0</v>
      </c>
      <c r="Q67">
        <f t="shared" ca="1" si="10"/>
        <v>0.97296126120749793</v>
      </c>
      <c r="R67">
        <f t="shared" ca="1" si="11"/>
        <v>0.60688438733651806</v>
      </c>
      <c r="S67">
        <f t="shared" ca="1" si="8"/>
        <v>1.6032069394264872</v>
      </c>
      <c r="T67">
        <f t="shared" ca="1" si="9"/>
        <v>61.585843028664094</v>
      </c>
      <c r="U67">
        <f>70</f>
        <v>70</v>
      </c>
      <c r="V67">
        <f>30</f>
        <v>30</v>
      </c>
      <c r="W67">
        <f t="shared" ca="1" si="7"/>
        <v>196.58579173051422</v>
      </c>
      <c r="X67">
        <f t="shared" ca="1" si="17"/>
        <v>192.86427846541289</v>
      </c>
      <c r="Y67">
        <f t="shared" ca="1" si="16"/>
        <v>3.5969505490128881</v>
      </c>
      <c r="Z67">
        <f t="shared" ca="1" si="18"/>
        <v>4.0627821375591564</v>
      </c>
      <c r="AA67">
        <f t="shared" ca="1" si="19"/>
        <v>-0.46583158854626827</v>
      </c>
    </row>
    <row r="68" spans="1:27" x14ac:dyDescent="0.25">
      <c r="A68" s="20">
        <f t="shared" ca="1" si="20"/>
        <v>45390</v>
      </c>
      <c r="B68" vm="199">
        <f ca="1"/>
        <v>45390</v>
      </c>
      <c r="C68" vm="200">
        <f ca="1"/>
        <v>198.48</v>
      </c>
      <c r="D68" vm="201">
        <f ca="1"/>
        <v>8000963</v>
      </c>
      <c r="E68">
        <f t="shared" ca="1" si="21"/>
        <v>1588031136.24</v>
      </c>
      <c r="F68">
        <f ca="1">SUM($E$2:E68)/SUM($D$2:D68)</f>
        <v>180.9739722095664</v>
      </c>
      <c r="G68">
        <f ca="1">_xlfn.STDEV.P($C$2:C68)</f>
        <v>10.352630871485692</v>
      </c>
      <c r="H68">
        <f t="shared" ca="1" si="22"/>
        <v>191.3266030810521</v>
      </c>
      <c r="I68">
        <f t="shared" ca="1" si="23"/>
        <v>170.6213413380807</v>
      </c>
      <c r="J68">
        <f t="shared" ca="1" si="12"/>
        <v>195.21450000000002</v>
      </c>
      <c r="K68">
        <f t="shared" ca="1" si="13"/>
        <v>3.9209001047691796</v>
      </c>
      <c r="L68">
        <f t="shared" ca="1" si="14"/>
        <v>203.05630020953836</v>
      </c>
      <c r="M68">
        <f t="shared" ca="1" si="15"/>
        <v>187.37269979046167</v>
      </c>
      <c r="N68">
        <f t="shared" ref="N68:N131" ca="1" si="24">C68-C67</f>
        <v>1.0300000000000011</v>
      </c>
      <c r="O68">
        <f t="shared" ref="O68:O131" ca="1" si="25">MAX(N68,0)</f>
        <v>1.0300000000000011</v>
      </c>
      <c r="P68">
        <f t="shared" ref="P68:P131" ca="1" si="26">MAX(-N68,0)</f>
        <v>0</v>
      </c>
      <c r="Q68">
        <f t="shared" ca="1" si="10"/>
        <v>0.97703545683553383</v>
      </c>
      <c r="R68">
        <f t="shared" ca="1" si="11"/>
        <v>0.56353550252676676</v>
      </c>
      <c r="S68">
        <f t="shared" ca="1" si="8"/>
        <v>1.7337602554847495</v>
      </c>
      <c r="T68">
        <f t="shared" ca="1" si="9"/>
        <v>63.420347559969912</v>
      </c>
      <c r="U68">
        <f>70</f>
        <v>70</v>
      </c>
      <c r="V68">
        <f>30</f>
        <v>30</v>
      </c>
      <c r="W68">
        <f t="shared" ca="1" si="7"/>
        <v>196.87720838735817</v>
      </c>
      <c r="X68">
        <f t="shared" ca="1" si="17"/>
        <v>193.28025783834528</v>
      </c>
      <c r="Y68">
        <f t="shared" ca="1" si="16"/>
        <v>3.3522709218893567</v>
      </c>
      <c r="Z68">
        <f t="shared" ca="1" si="18"/>
        <v>3.9206798944251968</v>
      </c>
      <c r="AA68">
        <f t="shared" ca="1" si="19"/>
        <v>-0.56840897253584011</v>
      </c>
    </row>
    <row r="69" spans="1:27" x14ac:dyDescent="0.25">
      <c r="A69" s="20">
        <f t="shared" ca="1" si="20"/>
        <v>45390</v>
      </c>
      <c r="B69" vm="202">
        <f ca="1"/>
        <v>45391</v>
      </c>
      <c r="C69" vm="203">
        <f ca="1"/>
        <v>197.15</v>
      </c>
      <c r="D69" vm="204">
        <f ca="1"/>
        <v>7358631</v>
      </c>
      <c r="E69">
        <f t="shared" ca="1" si="21"/>
        <v>1450754101.6500001</v>
      </c>
      <c r="F69">
        <f ca="1">SUM($E$2:E69)/SUM($D$2:D69)</f>
        <v>181.16992435450439</v>
      </c>
      <c r="G69">
        <f ca="1">_xlfn.STDEV.P($C$2:C69)</f>
        <v>10.436542462759858</v>
      </c>
      <c r="H69">
        <f t="shared" ca="1" si="22"/>
        <v>191.60646681726425</v>
      </c>
      <c r="I69">
        <f t="shared" ca="1" si="23"/>
        <v>170.73338189174453</v>
      </c>
      <c r="J69">
        <f t="shared" ca="1" si="12"/>
        <v>195.6575</v>
      </c>
      <c r="K69">
        <f t="shared" ca="1" si="13"/>
        <v>3.5833546102999501</v>
      </c>
      <c r="L69">
        <f t="shared" ca="1" si="14"/>
        <v>202.8242092205999</v>
      </c>
      <c r="M69">
        <f t="shared" ca="1" si="15"/>
        <v>188.4907907794001</v>
      </c>
      <c r="N69">
        <f t="shared" ca="1" si="24"/>
        <v>-1.3299999999999841</v>
      </c>
      <c r="O69">
        <f t="shared" ca="1" si="25"/>
        <v>0</v>
      </c>
      <c r="P69">
        <f t="shared" ca="1" si="26"/>
        <v>1.3299999999999841</v>
      </c>
      <c r="Q69">
        <f t="shared" ca="1" si="10"/>
        <v>0.90724720991871</v>
      </c>
      <c r="R69">
        <f t="shared" ca="1" si="11"/>
        <v>0.61828296663199656</v>
      </c>
      <c r="S69">
        <f t="shared" ca="1" si="8"/>
        <v>1.4673656867191454</v>
      </c>
      <c r="T69">
        <f t="shared" ca="1" si="9"/>
        <v>59.470944846862189</v>
      </c>
      <c r="U69">
        <f>70</f>
        <v>70</v>
      </c>
      <c r="V69">
        <f>30</f>
        <v>30</v>
      </c>
      <c r="W69">
        <f t="shared" ca="1" si="7"/>
        <v>196.9191763277646</v>
      </c>
      <c r="X69">
        <f t="shared" ca="1" si="17"/>
        <v>193.56690540587525</v>
      </c>
      <c r="Y69">
        <f t="shared" ca="1" si="16"/>
        <v>2.9883507476827162</v>
      </c>
      <c r="Z69">
        <f t="shared" ca="1" si="18"/>
        <v>3.7342140650767011</v>
      </c>
      <c r="AA69">
        <f t="shared" ca="1" si="19"/>
        <v>-0.74586331739398481</v>
      </c>
    </row>
    <row r="70" spans="1:27" x14ac:dyDescent="0.25">
      <c r="A70" s="20">
        <f t="shared" ca="1" si="20"/>
        <v>45390</v>
      </c>
      <c r="B70" vm="205">
        <f ca="1"/>
        <v>45392</v>
      </c>
      <c r="C70" vm="206">
        <f ca="1"/>
        <v>195.47</v>
      </c>
      <c r="D70" vm="207">
        <f ca="1"/>
        <v>7681377</v>
      </c>
      <c r="E70">
        <f t="shared" ca="1" si="21"/>
        <v>1501478762.1900001</v>
      </c>
      <c r="F70">
        <f ca="1">SUM($E$2:E70)/SUM($D$2:D70)</f>
        <v>181.34849138952896</v>
      </c>
      <c r="G70">
        <f ca="1">_xlfn.STDEV.P($C$2:C70)</f>
        <v>10.480694635872641</v>
      </c>
      <c r="H70">
        <f t="shared" ca="1" si="22"/>
        <v>191.82918602540161</v>
      </c>
      <c r="I70">
        <f t="shared" ca="1" si="23"/>
        <v>170.86779675365631</v>
      </c>
      <c r="J70">
        <f t="shared" ca="1" si="12"/>
        <v>195.93900000000002</v>
      </c>
      <c r="K70">
        <f t="shared" ca="1" si="13"/>
        <v>3.3132523376029765</v>
      </c>
      <c r="L70">
        <f t="shared" ca="1" si="14"/>
        <v>202.56550467520597</v>
      </c>
      <c r="M70">
        <f t="shared" ca="1" si="15"/>
        <v>189.31249532479407</v>
      </c>
      <c r="N70">
        <f t="shared" ca="1" si="24"/>
        <v>-1.6800000000000068</v>
      </c>
      <c r="O70">
        <f t="shared" ca="1" si="25"/>
        <v>0</v>
      </c>
      <c r="P70">
        <f t="shared" ca="1" si="26"/>
        <v>1.6800000000000068</v>
      </c>
      <c r="Q70">
        <f t="shared" ca="1" si="10"/>
        <v>0.84244383778165932</v>
      </c>
      <c r="R70">
        <f t="shared" ca="1" si="11"/>
        <v>0.69411989758685444</v>
      </c>
      <c r="S70">
        <f t="shared" ca="1" si="8"/>
        <v>1.2136863396517823</v>
      </c>
      <c r="T70">
        <f t="shared" ca="1" si="9"/>
        <v>54.826481869274119</v>
      </c>
      <c r="U70">
        <f>70</f>
        <v>70</v>
      </c>
      <c r="V70">
        <f>30</f>
        <v>30</v>
      </c>
      <c r="W70">
        <f t="shared" ca="1" si="7"/>
        <v>196.69622612349315</v>
      </c>
      <c r="X70">
        <f t="shared" ca="1" si="17"/>
        <v>193.70787537581043</v>
      </c>
      <c r="Y70">
        <f t="shared" ca="1" si="16"/>
        <v>2.6659819417067752</v>
      </c>
      <c r="Z70">
        <f t="shared" ca="1" si="18"/>
        <v>3.5205676404027164</v>
      </c>
      <c r="AA70">
        <f t="shared" ca="1" si="19"/>
        <v>-0.85458569869594125</v>
      </c>
    </row>
    <row r="71" spans="1:27" x14ac:dyDescent="0.25">
      <c r="A71" s="20">
        <f t="shared" ca="1" si="20"/>
        <v>45390</v>
      </c>
      <c r="B71" vm="208">
        <f ca="1"/>
        <v>45393</v>
      </c>
      <c r="C71" vm="209">
        <f ca="1"/>
        <v>195.43</v>
      </c>
      <c r="D71" vm="210">
        <f ca="1"/>
        <v>10137699</v>
      </c>
      <c r="E71">
        <f t="shared" ca="1" si="21"/>
        <v>1981210515.5700002</v>
      </c>
      <c r="F71">
        <f ca="1">SUM($E$2:E71)/SUM($D$2:D71)</f>
        <v>181.57679538566578</v>
      </c>
      <c r="G71">
        <f ca="1">_xlfn.STDEV.P($C$2:C71)</f>
        <v>10.519361916126329</v>
      </c>
      <c r="H71">
        <f t="shared" ca="1" si="22"/>
        <v>192.09615730179212</v>
      </c>
      <c r="I71">
        <f t="shared" ca="1" si="23"/>
        <v>171.05743346953943</v>
      </c>
      <c r="J71">
        <f t="shared" ca="1" si="12"/>
        <v>196.14150000000001</v>
      </c>
      <c r="K71">
        <f t="shared" ca="1" si="13"/>
        <v>3.13913879406774</v>
      </c>
      <c r="L71">
        <f t="shared" ca="1" si="14"/>
        <v>202.41977758813547</v>
      </c>
      <c r="M71">
        <f t="shared" ca="1" si="15"/>
        <v>189.86322241186454</v>
      </c>
      <c r="N71">
        <f t="shared" ca="1" si="24"/>
        <v>-3.9999999999992042E-2</v>
      </c>
      <c r="O71">
        <f t="shared" ca="1" si="25"/>
        <v>0</v>
      </c>
      <c r="P71">
        <f t="shared" ca="1" si="26"/>
        <v>3.9999999999992042E-2</v>
      </c>
      <c r="Q71">
        <f t="shared" ca="1" si="10"/>
        <v>0.78226927794011225</v>
      </c>
      <c r="R71">
        <f t="shared" ca="1" si="11"/>
        <v>0.64739704775922136</v>
      </c>
      <c r="S71">
        <f t="shared" ca="1" si="8"/>
        <v>1.2083300049756365</v>
      </c>
      <c r="T71">
        <f t="shared" ca="1" si="9"/>
        <v>54.716912882274016</v>
      </c>
      <c r="U71">
        <f>70</f>
        <v>70</v>
      </c>
      <c r="V71">
        <f>30</f>
        <v>30</v>
      </c>
      <c r="W71">
        <f t="shared" ca="1" si="7"/>
        <v>196.5014221044942</v>
      </c>
      <c r="X71">
        <f t="shared" ca="1" si="17"/>
        <v>193.83544016278742</v>
      </c>
      <c r="Y71">
        <f t="shared" ca="1" si="16"/>
        <v>1.3747131399682644</v>
      </c>
      <c r="Z71">
        <f t="shared" ca="1" si="18"/>
        <v>3.091396740315826</v>
      </c>
      <c r="AA71">
        <f t="shared" ca="1" si="19"/>
        <v>-1.7166836003475616</v>
      </c>
    </row>
    <row r="72" spans="1:27" x14ac:dyDescent="0.25">
      <c r="A72" s="20">
        <f t="shared" ca="1" si="20"/>
        <v>45390</v>
      </c>
      <c r="B72" vm="211">
        <f ca="1"/>
        <v>45394</v>
      </c>
      <c r="C72" vm="212">
        <f ca="1"/>
        <v>182.79</v>
      </c>
      <c r="D72" vm="213">
        <f ca="1"/>
        <v>31532308</v>
      </c>
      <c r="E72">
        <f t="shared" ca="1" si="21"/>
        <v>5763790579.3199997</v>
      </c>
      <c r="F72">
        <f ca="1">SUM($E$2:E72)/SUM($D$2:D72)</f>
        <v>181.63503896142041</v>
      </c>
      <c r="G72">
        <f ca="1">_xlfn.STDEV.P($C$2:C72)</f>
        <v>10.445040299195362</v>
      </c>
      <c r="H72">
        <f t="shared" ca="1" si="22"/>
        <v>192.08007926061578</v>
      </c>
      <c r="I72">
        <f t="shared" ca="1" si="23"/>
        <v>171.18999866222504</v>
      </c>
      <c r="J72">
        <f t="shared" ca="1" si="12"/>
        <v>195.88249999999999</v>
      </c>
      <c r="K72">
        <f t="shared" ca="1" si="13"/>
        <v>3.9561888558507814</v>
      </c>
      <c r="L72">
        <f t="shared" ca="1" si="14"/>
        <v>203.79487771170156</v>
      </c>
      <c r="M72">
        <f t="shared" ca="1" si="15"/>
        <v>187.97012228829843</v>
      </c>
      <c r="N72">
        <f t="shared" ca="1" si="24"/>
        <v>-12.640000000000015</v>
      </c>
      <c r="O72">
        <f t="shared" ca="1" si="25"/>
        <v>0</v>
      </c>
      <c r="P72">
        <f t="shared" ca="1" si="26"/>
        <v>12.640000000000015</v>
      </c>
      <c r="Q72">
        <f t="shared" ca="1" si="10"/>
        <v>0.72639290094438991</v>
      </c>
      <c r="R72">
        <f t="shared" ca="1" si="11"/>
        <v>1.5040115443478494</v>
      </c>
      <c r="S72">
        <f t="shared" ca="1" si="8"/>
        <v>0.4829702961218687</v>
      </c>
      <c r="T72">
        <f t="shared" ca="1" si="9"/>
        <v>32.56776601560324</v>
      </c>
      <c r="U72">
        <f>70</f>
        <v>70</v>
      </c>
      <c r="V72">
        <f>30</f>
        <v>30</v>
      </c>
      <c r="W72">
        <f t="shared" ca="1" si="7"/>
        <v>194.39197254995662</v>
      </c>
      <c r="X72">
        <f t="shared" ca="1" si="17"/>
        <v>193.01725940998836</v>
      </c>
      <c r="Y72">
        <f t="shared" ca="1" si="16"/>
        <v>0.35534626521624091</v>
      </c>
      <c r="Z72">
        <f t="shared" ca="1" si="18"/>
        <v>2.544186645295909</v>
      </c>
      <c r="AA72">
        <f t="shared" ca="1" si="19"/>
        <v>-2.1888403800796681</v>
      </c>
    </row>
    <row r="73" spans="1:27" x14ac:dyDescent="0.25">
      <c r="A73" s="20">
        <f t="shared" ca="1" si="20"/>
        <v>45397</v>
      </c>
      <c r="B73" vm="214">
        <f ca="1"/>
        <v>45397</v>
      </c>
      <c r="C73" vm="215">
        <f ca="1"/>
        <v>182.89</v>
      </c>
      <c r="D73" vm="216">
        <f ca="1"/>
        <v>14766592</v>
      </c>
      <c r="E73">
        <f t="shared" ca="1" si="21"/>
        <v>2700662010.8799996</v>
      </c>
      <c r="F73">
        <f ca="1">SUM($E$2:E73)/SUM($D$2:D73)</f>
        <v>181.6626328550291</v>
      </c>
      <c r="G73">
        <f ca="1">_xlfn.STDEV.P($C$2:C73)</f>
        <v>10.372301834746242</v>
      </c>
      <c r="H73">
        <f t="shared" ca="1" si="22"/>
        <v>192.03493468977535</v>
      </c>
      <c r="I73">
        <f t="shared" ca="1" si="23"/>
        <v>171.29033102028285</v>
      </c>
      <c r="J73">
        <f t="shared" ca="1" si="12"/>
        <v>195.512</v>
      </c>
      <c r="K73">
        <f t="shared" ca="1" si="13"/>
        <v>4.7698202548060387</v>
      </c>
      <c r="L73">
        <f t="shared" ca="1" si="14"/>
        <v>205.05164050961207</v>
      </c>
      <c r="M73">
        <f t="shared" ca="1" si="15"/>
        <v>185.97235949038793</v>
      </c>
      <c r="N73">
        <f t="shared" ca="1" si="24"/>
        <v>9.9999999999994316E-2</v>
      </c>
      <c r="O73">
        <f t="shared" ca="1" si="25"/>
        <v>9.9999999999994316E-2</v>
      </c>
      <c r="P73">
        <f t="shared" ca="1" si="26"/>
        <v>0</v>
      </c>
      <c r="Q73">
        <f t="shared" ca="1" si="10"/>
        <v>0.68165055087693305</v>
      </c>
      <c r="R73">
        <f t="shared" ca="1" si="11"/>
        <v>1.396582148323003</v>
      </c>
      <c r="S73">
        <f t="shared" ca="1" si="8"/>
        <v>0.48808482314874913</v>
      </c>
      <c r="T73">
        <f t="shared" ca="1" si="9"/>
        <v>32.799529674388737</v>
      </c>
      <c r="U73">
        <f>70</f>
        <v>70</v>
      </c>
      <c r="V73">
        <f>30</f>
        <v>30</v>
      </c>
      <c r="W73">
        <f t="shared" ca="1" si="7"/>
        <v>192.62243831150175</v>
      </c>
      <c r="X73">
        <f t="shared" ca="1" si="17"/>
        <v>192.26709204628551</v>
      </c>
      <c r="Y73">
        <f t="shared" ca="1" si="16"/>
        <v>-0.61407617244094581</v>
      </c>
      <c r="Z73">
        <f t="shared" ca="1" si="18"/>
        <v>1.9125340817485379</v>
      </c>
      <c r="AA73">
        <f t="shared" ca="1" si="19"/>
        <v>-2.5266102541894835</v>
      </c>
    </row>
    <row r="74" spans="1:27" x14ac:dyDescent="0.25">
      <c r="A74" s="20">
        <f t="shared" ca="1" si="20"/>
        <v>45397</v>
      </c>
      <c r="B74" vm="217">
        <f ca="1"/>
        <v>45398</v>
      </c>
      <c r="C74" vm="218">
        <f ca="1"/>
        <v>180.8</v>
      </c>
      <c r="D74" vm="219">
        <f ca="1"/>
        <v>16451801</v>
      </c>
      <c r="E74">
        <f t="shared" ca="1" si="21"/>
        <v>2974485620.8000002</v>
      </c>
      <c r="F74">
        <f ca="1">SUM($E$2:E74)/SUM($D$2:D74)</f>
        <v>181.64200608879426</v>
      </c>
      <c r="G74">
        <f ca="1">_xlfn.STDEV.P($C$2:C74)</f>
        <v>10.303181455032588</v>
      </c>
      <c r="H74">
        <f t="shared" ca="1" si="22"/>
        <v>191.94518754382685</v>
      </c>
      <c r="I74">
        <f t="shared" ca="1" si="23"/>
        <v>171.33882463376167</v>
      </c>
      <c r="J74">
        <f t="shared" ca="1" si="12"/>
        <v>194.91900000000001</v>
      </c>
      <c r="K74">
        <f t="shared" ca="1" si="13"/>
        <v>5.7744837089789414</v>
      </c>
      <c r="L74">
        <f t="shared" ca="1" si="14"/>
        <v>206.46796741795788</v>
      </c>
      <c r="M74">
        <f t="shared" ca="1" si="15"/>
        <v>183.37003258204214</v>
      </c>
      <c r="N74">
        <f t="shared" ca="1" si="24"/>
        <v>-2.089999999999975</v>
      </c>
      <c r="O74">
        <f t="shared" ca="1" si="25"/>
        <v>0</v>
      </c>
      <c r="P74">
        <f t="shared" ca="1" si="26"/>
        <v>2.089999999999975</v>
      </c>
      <c r="Q74">
        <f t="shared" ca="1" si="10"/>
        <v>0.63296122581429504</v>
      </c>
      <c r="R74">
        <f t="shared" ca="1" si="11"/>
        <v>1.4461119948713581</v>
      </c>
      <c r="S74">
        <f t="shared" ca="1" si="8"/>
        <v>0.43769862089457423</v>
      </c>
      <c r="T74">
        <f t="shared" ca="1" si="9"/>
        <v>30.444393180416796</v>
      </c>
      <c r="U74">
        <f>70</f>
        <v>70</v>
      </c>
      <c r="V74">
        <f>30</f>
        <v>30</v>
      </c>
      <c r="W74">
        <f t="shared" ca="1" si="7"/>
        <v>190.80360164819379</v>
      </c>
      <c r="X74">
        <f t="shared" ca="1" si="17"/>
        <v>191.41767782063474</v>
      </c>
      <c r="Y74">
        <f t="shared" ca="1" si="16"/>
        <v>-1.4240330546801658</v>
      </c>
      <c r="Z74">
        <f t="shared" ca="1" si="18"/>
        <v>1.2452206544627973</v>
      </c>
      <c r="AA74">
        <f t="shared" ca="1" si="19"/>
        <v>-2.6692537091429633</v>
      </c>
    </row>
    <row r="75" spans="1:27" x14ac:dyDescent="0.25">
      <c r="A75" s="20">
        <f t="shared" ca="1" si="20"/>
        <v>45397</v>
      </c>
      <c r="B75" vm="220">
        <f ca="1"/>
        <v>45399</v>
      </c>
      <c r="C75" vm="221">
        <f ca="1"/>
        <v>180.08</v>
      </c>
      <c r="D75" vm="222">
        <f ca="1"/>
        <v>9017093</v>
      </c>
      <c r="E75">
        <f t="shared" ca="1" si="21"/>
        <v>1623798107.4400001</v>
      </c>
      <c r="F75">
        <f ca="1">SUM($E$2:E75)/SUM($D$2:D75)</f>
        <v>181.62179981459886</v>
      </c>
      <c r="G75">
        <f ca="1">_xlfn.STDEV.P($C$2:C75)</f>
        <v>10.237442054230765</v>
      </c>
      <c r="H75">
        <f t="shared" ca="1" si="22"/>
        <v>191.85924186882963</v>
      </c>
      <c r="I75">
        <f t="shared" ca="1" si="23"/>
        <v>171.38435776036809</v>
      </c>
      <c r="J75">
        <f t="shared" ca="1" si="12"/>
        <v>194.23349999999996</v>
      </c>
      <c r="K75">
        <f t="shared" ca="1" si="13"/>
        <v>6.6612455568325251</v>
      </c>
      <c r="L75">
        <f t="shared" ca="1" si="14"/>
        <v>207.55599111366502</v>
      </c>
      <c r="M75">
        <f t="shared" ca="1" si="15"/>
        <v>180.91100888633491</v>
      </c>
      <c r="N75">
        <f t="shared" ca="1" si="24"/>
        <v>-0.71999999999999886</v>
      </c>
      <c r="O75">
        <f t="shared" ca="1" si="25"/>
        <v>0</v>
      </c>
      <c r="P75">
        <f t="shared" ca="1" si="26"/>
        <v>0.71999999999999886</v>
      </c>
      <c r="Q75">
        <f t="shared" ca="1" si="10"/>
        <v>0.58774970968470253</v>
      </c>
      <c r="R75">
        <f t="shared" ca="1" si="11"/>
        <v>1.3942468523805469</v>
      </c>
      <c r="S75">
        <f t="shared" ca="1" si="8"/>
        <v>0.42155354963231551</v>
      </c>
      <c r="T75">
        <f t="shared" ca="1" si="9"/>
        <v>29.654426295889465</v>
      </c>
      <c r="U75">
        <f>70</f>
        <v>70</v>
      </c>
      <c r="V75">
        <f>30</f>
        <v>30</v>
      </c>
      <c r="W75">
        <f t="shared" ca="1" si="7"/>
        <v>189.15381677924088</v>
      </c>
      <c r="X75">
        <f t="shared" ca="1" si="17"/>
        <v>190.57784983392105</v>
      </c>
      <c r="Y75">
        <f t="shared" ca="1" si="16"/>
        <v>-1.9490530273213551</v>
      </c>
      <c r="Z75">
        <f t="shared" ca="1" si="18"/>
        <v>0.60636591810596685</v>
      </c>
      <c r="AA75">
        <f t="shared" ca="1" si="19"/>
        <v>-2.5554189454273217</v>
      </c>
    </row>
    <row r="76" spans="1:27" x14ac:dyDescent="0.25">
      <c r="A76" s="20">
        <f t="shared" ca="1" si="20"/>
        <v>45397</v>
      </c>
      <c r="B76" vm="223">
        <f ca="1"/>
        <v>45400</v>
      </c>
      <c r="C76" vm="224">
        <f ca="1"/>
        <v>181.25</v>
      </c>
      <c r="D76" vm="225">
        <f ca="1"/>
        <v>9557720</v>
      </c>
      <c r="E76">
        <f t="shared" ca="1" si="21"/>
        <v>1732336750</v>
      </c>
      <c r="F76">
        <f ca="1">SUM($E$2:E76)/SUM($D$2:D76)</f>
        <v>181.61677076424255</v>
      </c>
      <c r="G76">
        <f ca="1">_xlfn.STDEV.P($C$2:C76)</f>
        <v>10.170072263700435</v>
      </c>
      <c r="H76">
        <f t="shared" ca="1" si="22"/>
        <v>191.78684302794298</v>
      </c>
      <c r="I76">
        <f t="shared" ca="1" si="23"/>
        <v>171.44669850054211</v>
      </c>
      <c r="J76">
        <f t="shared" ca="1" si="12"/>
        <v>193.47949999999997</v>
      </c>
      <c r="K76">
        <f t="shared" ca="1" si="13"/>
        <v>7.2397924330524992</v>
      </c>
      <c r="L76">
        <f t="shared" ca="1" si="14"/>
        <v>207.95908486610497</v>
      </c>
      <c r="M76">
        <f t="shared" ca="1" si="15"/>
        <v>178.99991513389497</v>
      </c>
      <c r="N76">
        <f t="shared" ca="1" si="24"/>
        <v>1.1699999999999875</v>
      </c>
      <c r="O76">
        <f t="shared" ca="1" si="25"/>
        <v>1.1699999999999875</v>
      </c>
      <c r="P76">
        <f t="shared" ca="1" si="26"/>
        <v>0</v>
      </c>
      <c r="Q76">
        <f t="shared" ca="1" si="10"/>
        <v>0.62933901613579424</v>
      </c>
      <c r="R76">
        <f t="shared" ca="1" si="11"/>
        <v>1.2946577914962221</v>
      </c>
      <c r="S76">
        <f t="shared" ca="1" si="8"/>
        <v>0.48610452914238744</v>
      </c>
      <c r="T76">
        <f t="shared" ca="1" si="9"/>
        <v>32.709982347130875</v>
      </c>
      <c r="U76">
        <f>70</f>
        <v>70</v>
      </c>
      <c r="V76">
        <f>30</f>
        <v>30</v>
      </c>
      <c r="W76">
        <f t="shared" ca="1" si="7"/>
        <v>187.93784496704998</v>
      </c>
      <c r="X76">
        <f t="shared" ca="1" si="17"/>
        <v>189.88689799437134</v>
      </c>
      <c r="Y76">
        <f t="shared" ca="1" si="16"/>
        <v>-1.9752190682530966</v>
      </c>
      <c r="Z76">
        <f t="shared" ca="1" si="18"/>
        <v>9.0048920834154167E-2</v>
      </c>
      <c r="AA76">
        <f t="shared" ca="1" si="19"/>
        <v>-2.0652679890872507</v>
      </c>
    </row>
    <row r="77" spans="1:27" x14ac:dyDescent="0.25">
      <c r="A77" s="20">
        <f t="shared" ca="1" si="20"/>
        <v>45397</v>
      </c>
      <c r="B77" vm="226">
        <f ca="1"/>
        <v>45401</v>
      </c>
      <c r="C77" vm="227">
        <f ca="1"/>
        <v>185.8</v>
      </c>
      <c r="D77" vm="228">
        <f ca="1"/>
        <v>13402313</v>
      </c>
      <c r="E77">
        <f t="shared" ca="1" si="21"/>
        <v>2490149755.4000001</v>
      </c>
      <c r="F77">
        <f ca="1">SUM($E$2:E77)/SUM($D$2:D77)</f>
        <v>181.69463781851991</v>
      </c>
      <c r="G77">
        <f ca="1">_xlfn.STDEV.P($C$2:C77)</f>
        <v>10.109761759086352</v>
      </c>
      <c r="H77">
        <f t="shared" ca="1" si="22"/>
        <v>191.80439957760626</v>
      </c>
      <c r="I77">
        <f t="shared" ca="1" si="23"/>
        <v>171.58487605943355</v>
      </c>
      <c r="J77">
        <f t="shared" ca="1" si="12"/>
        <v>192.81649999999999</v>
      </c>
      <c r="K77">
        <f t="shared" ca="1" si="13"/>
        <v>7.3086778090013977</v>
      </c>
      <c r="L77">
        <f t="shared" ca="1" si="14"/>
        <v>207.43385561800278</v>
      </c>
      <c r="M77">
        <f t="shared" ca="1" si="15"/>
        <v>178.1991443819972</v>
      </c>
      <c r="N77">
        <f t="shared" ca="1" si="24"/>
        <v>4.5500000000000114</v>
      </c>
      <c r="O77">
        <f t="shared" ca="1" si="25"/>
        <v>4.5500000000000114</v>
      </c>
      <c r="P77">
        <f t="shared" ca="1" si="26"/>
        <v>0</v>
      </c>
      <c r="Q77">
        <f t="shared" ca="1" si="10"/>
        <v>0.90938622926895263</v>
      </c>
      <c r="R77">
        <f t="shared" ca="1" si="11"/>
        <v>1.2021822349607778</v>
      </c>
      <c r="S77">
        <f t="shared" ca="1" si="8"/>
        <v>0.75644623820166679</v>
      </c>
      <c r="T77">
        <f t="shared" ca="1" si="9"/>
        <v>43.066859762024507</v>
      </c>
      <c r="U77">
        <f>70</f>
        <v>70</v>
      </c>
      <c r="V77">
        <f>30</f>
        <v>30</v>
      </c>
      <c r="W77">
        <f t="shared" ca="1" si="7"/>
        <v>187.60894574135</v>
      </c>
      <c r="X77">
        <f t="shared" ca="1" si="17"/>
        <v>189.5841648096031</v>
      </c>
      <c r="Y77">
        <f t="shared" ca="1" si="16"/>
        <v>-1.6852327006839118</v>
      </c>
      <c r="Z77">
        <f t="shared" ca="1" si="18"/>
        <v>-0.26500740346945906</v>
      </c>
      <c r="AA77">
        <f t="shared" ca="1" si="19"/>
        <v>-1.4202252972144529</v>
      </c>
    </row>
    <row r="78" spans="1:27" x14ac:dyDescent="0.25">
      <c r="A78" s="20">
        <f t="shared" ca="1" si="20"/>
        <v>45404</v>
      </c>
      <c r="B78" vm="229">
        <f ca="1"/>
        <v>45404</v>
      </c>
      <c r="C78" vm="230">
        <f ca="1"/>
        <v>189.41</v>
      </c>
      <c r="D78" vm="231">
        <f ca="1"/>
        <v>11529668</v>
      </c>
      <c r="E78">
        <f t="shared" ca="1" si="21"/>
        <v>2183834415.8800001</v>
      </c>
      <c r="F78">
        <f ca="1">SUM($E$2:E78)/SUM($D$2:D78)</f>
        <v>181.81623851962806</v>
      </c>
      <c r="G78">
        <f ca="1">_xlfn.STDEV.P($C$2:C78)</f>
        <v>10.073581703578638</v>
      </c>
      <c r="H78">
        <f t="shared" ca="1" si="22"/>
        <v>191.8898202232067</v>
      </c>
      <c r="I78">
        <f t="shared" ca="1" si="23"/>
        <v>171.74265681604942</v>
      </c>
      <c r="J78">
        <f t="shared" ca="1" si="12"/>
        <v>192.45599999999999</v>
      </c>
      <c r="K78">
        <f t="shared" ca="1" si="13"/>
        <v>7.2889862120873854</v>
      </c>
      <c r="L78">
        <f t="shared" ca="1" si="14"/>
        <v>207.03397242417475</v>
      </c>
      <c r="M78">
        <f t="shared" ca="1" si="15"/>
        <v>177.87802757582523</v>
      </c>
      <c r="N78">
        <f t="shared" ca="1" si="24"/>
        <v>3.6099999999999852</v>
      </c>
      <c r="O78">
        <f t="shared" ca="1" si="25"/>
        <v>3.6099999999999852</v>
      </c>
      <c r="P78">
        <f t="shared" ca="1" si="26"/>
        <v>0</v>
      </c>
      <c r="Q78">
        <f t="shared" ca="1" si="10"/>
        <v>1.1022872128925978</v>
      </c>
      <c r="R78">
        <f t="shared" ca="1" si="11"/>
        <v>1.1163120753207223</v>
      </c>
      <c r="S78">
        <f t="shared" ca="1" si="8"/>
        <v>0.98743643221444588</v>
      </c>
      <c r="T78">
        <f t="shared" ca="1" si="9"/>
        <v>49.683925292353734</v>
      </c>
      <c r="U78">
        <f>70</f>
        <v>70</v>
      </c>
      <c r="V78">
        <f>30</f>
        <v>30</v>
      </c>
      <c r="W78">
        <f t="shared" ca="1" si="7"/>
        <v>187.88603101191154</v>
      </c>
      <c r="X78">
        <f t="shared" ca="1" si="17"/>
        <v>189.57126371259545</v>
      </c>
      <c r="Y78">
        <f t="shared" ca="1" si="16"/>
        <v>-1.2210526953156773</v>
      </c>
      <c r="Z78">
        <f t="shared" ca="1" si="18"/>
        <v>-0.45621646183870274</v>
      </c>
      <c r="AA78">
        <f t="shared" ca="1" si="19"/>
        <v>-0.76483623347697449</v>
      </c>
    </row>
    <row r="79" spans="1:27" x14ac:dyDescent="0.25">
      <c r="A79" s="20">
        <f t="shared" ca="1" si="20"/>
        <v>45404</v>
      </c>
      <c r="B79" vm="232">
        <f ca="1"/>
        <v>45405</v>
      </c>
      <c r="C79" vm="233">
        <f ca="1"/>
        <v>192.14</v>
      </c>
      <c r="D79" vm="234">
        <f ca="1"/>
        <v>9144372</v>
      </c>
      <c r="E79">
        <f t="shared" ca="1" si="21"/>
        <v>1756999636.0799999</v>
      </c>
      <c r="F79">
        <f ca="1">SUM($E$2:E79)/SUM($D$2:D79)</f>
        <v>181.94369434514547</v>
      </c>
      <c r="G79">
        <f ca="1">_xlfn.STDEV.P($C$2:C79)</f>
        <v>10.06530009288818</v>
      </c>
      <c r="H79">
        <f t="shared" ca="1" si="22"/>
        <v>192.00899443803365</v>
      </c>
      <c r="I79">
        <f t="shared" ca="1" si="23"/>
        <v>171.87839425225729</v>
      </c>
      <c r="J79">
        <f t="shared" ca="1" si="12"/>
        <v>192.322</v>
      </c>
      <c r="K79">
        <f t="shared" ca="1" si="13"/>
        <v>7.267843088420026</v>
      </c>
      <c r="L79">
        <f t="shared" ca="1" si="14"/>
        <v>206.85768617684005</v>
      </c>
      <c r="M79">
        <f t="shared" ca="1" si="15"/>
        <v>177.78631382315996</v>
      </c>
      <c r="N79">
        <f t="shared" ca="1" si="24"/>
        <v>2.7299999999999898</v>
      </c>
      <c r="O79">
        <f t="shared" ca="1" si="25"/>
        <v>2.7299999999999898</v>
      </c>
      <c r="P79">
        <f t="shared" ca="1" si="26"/>
        <v>0</v>
      </c>
      <c r="Q79">
        <f t="shared" ca="1" si="10"/>
        <v>1.2185524119716971</v>
      </c>
      <c r="R79">
        <f t="shared" ca="1" si="11"/>
        <v>1.0365754985120994</v>
      </c>
      <c r="S79">
        <f t="shared" ca="1" si="8"/>
        <v>1.1755558699977062</v>
      </c>
      <c r="T79">
        <f t="shared" ca="1" si="9"/>
        <v>54.034735959180196</v>
      </c>
      <c r="U79">
        <f>70</f>
        <v>70</v>
      </c>
      <c r="V79">
        <f>30</f>
        <v>30</v>
      </c>
      <c r="W79">
        <f t="shared" ref="W79:W142" ca="1" si="27">C79*(2/(12+1)) + W78*(1-(2/(12+1)))</f>
        <v>188.54048777930976</v>
      </c>
      <c r="X79">
        <f t="shared" ca="1" si="17"/>
        <v>189.76154047462543</v>
      </c>
      <c r="Y79">
        <f t="shared" ca="1" si="16"/>
        <v>-0.76847801651928194</v>
      </c>
      <c r="Z79">
        <f t="shared" ca="1" si="18"/>
        <v>-0.5186687727748186</v>
      </c>
      <c r="AA79">
        <f t="shared" ca="1" si="19"/>
        <v>-0.24980924374446334</v>
      </c>
    </row>
    <row r="80" spans="1:27" x14ac:dyDescent="0.25">
      <c r="A80" s="20">
        <f t="shared" ca="1" si="20"/>
        <v>45404</v>
      </c>
      <c r="B80" vm="235">
        <f ca="1"/>
        <v>45406</v>
      </c>
      <c r="C80" vm="236">
        <f ca="1"/>
        <v>193.08</v>
      </c>
      <c r="D80" vm="237">
        <f ca="1"/>
        <v>6964905</v>
      </c>
      <c r="E80">
        <f t="shared" ca="1" si="21"/>
        <v>1344783857.4000001</v>
      </c>
      <c r="F80">
        <f ca="1">SUM($E$2:E80)/SUM($D$2:D80)</f>
        <v>182.04743749659684</v>
      </c>
      <c r="G80">
        <f ca="1">_xlfn.STDEV.P($C$2:C80)</f>
        <v>10.067272564837429</v>
      </c>
      <c r="H80">
        <f t="shared" ca="1" si="22"/>
        <v>192.11471006143427</v>
      </c>
      <c r="I80">
        <f t="shared" ca="1" si="23"/>
        <v>171.98016493175942</v>
      </c>
      <c r="J80">
        <f t="shared" ca="1" si="12"/>
        <v>192.18950000000001</v>
      </c>
      <c r="K80">
        <f t="shared" ca="1" si="13"/>
        <v>7.2264801616219634</v>
      </c>
      <c r="L80">
        <f t="shared" ca="1" si="14"/>
        <v>206.64246032324394</v>
      </c>
      <c r="M80">
        <f t="shared" ca="1" si="15"/>
        <v>177.73653967675608</v>
      </c>
      <c r="N80">
        <f t="shared" ca="1" si="24"/>
        <v>0.94000000000002615</v>
      </c>
      <c r="O80">
        <f t="shared" ca="1" si="25"/>
        <v>0.94000000000002615</v>
      </c>
      <c r="P80">
        <f t="shared" ca="1" si="26"/>
        <v>0</v>
      </c>
      <c r="Q80">
        <f t="shared" ca="1" si="10"/>
        <v>1.1986558111165775</v>
      </c>
      <c r="R80">
        <f t="shared" ca="1" si="11"/>
        <v>0.96253439147552089</v>
      </c>
      <c r="S80">
        <f t="shared" ref="S80:S143" ca="1" si="28">IF(R80=0,NA(),Q80/R80)</f>
        <v>1.2453121901224675</v>
      </c>
      <c r="T80">
        <f t="shared" ref="T80:T143" ca="1" si="29">100-(100/(1+S80))</f>
        <v>55.462763512389053</v>
      </c>
      <c r="U80">
        <f>70</f>
        <v>70</v>
      </c>
      <c r="V80">
        <f>30</f>
        <v>30</v>
      </c>
      <c r="W80">
        <f t="shared" ca="1" si="27"/>
        <v>189.23887427480057</v>
      </c>
      <c r="X80">
        <f t="shared" ca="1" si="17"/>
        <v>190.00735229131985</v>
      </c>
      <c r="Y80">
        <f t="shared" ca="1" si="16"/>
        <v>-0.3820052281002404</v>
      </c>
      <c r="Z80">
        <f t="shared" ca="1" si="18"/>
        <v>-0.49133606383990297</v>
      </c>
      <c r="AA80">
        <f t="shared" ca="1" si="19"/>
        <v>0.10933083573966257</v>
      </c>
    </row>
    <row r="81" spans="1:27" x14ac:dyDescent="0.25">
      <c r="A81" s="20">
        <f t="shared" ca="1" si="20"/>
        <v>45404</v>
      </c>
      <c r="B81" vm="238">
        <f ca="1"/>
        <v>45407</v>
      </c>
      <c r="C81" vm="239">
        <f ca="1"/>
        <v>193.37</v>
      </c>
      <c r="D81" vm="240">
        <f ca="1"/>
        <v>9802265</v>
      </c>
      <c r="E81">
        <f t="shared" ca="1" si="21"/>
        <v>1895463983.05</v>
      </c>
      <c r="F81">
        <f ca="1">SUM($E$2:E81)/SUM($D$2:D81)</f>
        <v>182.19396438045109</v>
      </c>
      <c r="G81">
        <f ca="1">_xlfn.STDEV.P($C$2:C81)</f>
        <v>10.071236133166572</v>
      </c>
      <c r="H81">
        <f t="shared" ca="1" si="22"/>
        <v>192.26520051361766</v>
      </c>
      <c r="I81">
        <f t="shared" ca="1" si="23"/>
        <v>172.12272824728453</v>
      </c>
      <c r="J81">
        <f t="shared" ca="1" si="12"/>
        <v>191.88200000000001</v>
      </c>
      <c r="K81">
        <f t="shared" ca="1" si="13"/>
        <v>7.0262085306222932</v>
      </c>
      <c r="L81">
        <f t="shared" ca="1" si="14"/>
        <v>205.9344170612446</v>
      </c>
      <c r="M81">
        <f t="shared" ca="1" si="15"/>
        <v>177.82958293875541</v>
      </c>
      <c r="N81">
        <f t="shared" ca="1" si="24"/>
        <v>0.28999999999999204</v>
      </c>
      <c r="O81">
        <f t="shared" ca="1" si="25"/>
        <v>0.28999999999999204</v>
      </c>
      <c r="P81">
        <f t="shared" ca="1" si="26"/>
        <v>0</v>
      </c>
      <c r="Q81">
        <f t="shared" ref="Q81:Q144" ca="1" si="30">(Q80*13+O81)/14</f>
        <v>1.1337518246082499</v>
      </c>
      <c r="R81">
        <f t="shared" ref="R81:R144" ca="1" si="31">(R80*13+P81)/14</f>
        <v>0.89378193494155511</v>
      </c>
      <c r="S81">
        <f t="shared" ca="1" si="28"/>
        <v>1.2684881851884671</v>
      </c>
      <c r="T81">
        <f t="shared" ca="1" si="29"/>
        <v>55.917777904718527</v>
      </c>
      <c r="U81">
        <f>70</f>
        <v>70</v>
      </c>
      <c r="V81">
        <f>30</f>
        <v>30</v>
      </c>
      <c r="W81">
        <f t="shared" ca="1" si="27"/>
        <v>189.87443207867739</v>
      </c>
      <c r="X81">
        <f t="shared" ca="1" si="17"/>
        <v>190.25643730677763</v>
      </c>
      <c r="Y81">
        <f t="shared" ca="1" si="16"/>
        <v>-6.528717189615918E-2</v>
      </c>
      <c r="Z81">
        <f t="shared" ca="1" si="18"/>
        <v>-0.40612628545115426</v>
      </c>
      <c r="AA81">
        <f t="shared" ca="1" si="19"/>
        <v>0.34083911355499508</v>
      </c>
    </row>
    <row r="82" spans="1:27" x14ac:dyDescent="0.25">
      <c r="A82" s="20">
        <f t="shared" ca="1" si="20"/>
        <v>45404</v>
      </c>
      <c r="B82" vm="241">
        <f ca="1"/>
        <v>45408</v>
      </c>
      <c r="C82" vm="242">
        <f ca="1"/>
        <v>193.49</v>
      </c>
      <c r="D82" vm="243">
        <f ca="1"/>
        <v>6413655</v>
      </c>
      <c r="E82">
        <f t="shared" ca="1" si="21"/>
        <v>1240978105.95</v>
      </c>
      <c r="F82">
        <f ca="1">SUM($E$2:E82)/SUM($D$2:D82)</f>
        <v>182.28880970304314</v>
      </c>
      <c r="G82">
        <f ca="1">_xlfn.STDEV.P($C$2:C82)</f>
        <v>10.074977185070097</v>
      </c>
      <c r="H82">
        <f t="shared" ca="1" si="22"/>
        <v>192.36378688811322</v>
      </c>
      <c r="I82">
        <f t="shared" ca="1" si="23"/>
        <v>172.21383251797306</v>
      </c>
      <c r="J82">
        <f t="shared" ca="1" si="12"/>
        <v>191.54149999999998</v>
      </c>
      <c r="K82">
        <f t="shared" ca="1" si="13"/>
        <v>6.7566289282218399</v>
      </c>
      <c r="L82">
        <f t="shared" ca="1" si="14"/>
        <v>205.05475785644367</v>
      </c>
      <c r="M82">
        <f t="shared" ca="1" si="15"/>
        <v>178.0282421435563</v>
      </c>
      <c r="N82">
        <f t="shared" ca="1" si="24"/>
        <v>0.12000000000000455</v>
      </c>
      <c r="O82">
        <f t="shared" ca="1" si="25"/>
        <v>0.12000000000000455</v>
      </c>
      <c r="P82">
        <f t="shared" ca="1" si="26"/>
        <v>0</v>
      </c>
      <c r="Q82">
        <f t="shared" ca="1" si="30"/>
        <v>1.0613409799933753</v>
      </c>
      <c r="R82">
        <f t="shared" ca="1" si="31"/>
        <v>0.82994036816001537</v>
      </c>
      <c r="S82">
        <f t="shared" ca="1" si="28"/>
        <v>1.2788159495680118</v>
      </c>
      <c r="T82">
        <f t="shared" ca="1" si="29"/>
        <v>56.117561833391285</v>
      </c>
      <c r="U82">
        <f>70</f>
        <v>70</v>
      </c>
      <c r="V82">
        <f>30</f>
        <v>30</v>
      </c>
      <c r="W82">
        <f t="shared" ca="1" si="27"/>
        <v>190.43067329734239</v>
      </c>
      <c r="X82">
        <f t="shared" ca="1" si="17"/>
        <v>190.49596046923855</v>
      </c>
      <c r="Y82">
        <f t="shared" ca="1" si="16"/>
        <v>0.16684563193209101</v>
      </c>
      <c r="Z82">
        <f t="shared" ca="1" si="18"/>
        <v>-0.29153190197450524</v>
      </c>
      <c r="AA82">
        <f t="shared" ca="1" si="19"/>
        <v>0.45837753390659625</v>
      </c>
    </row>
    <row r="83" spans="1:27" x14ac:dyDescent="0.25">
      <c r="A83" s="20">
        <f t="shared" ca="1" si="20"/>
        <v>45411</v>
      </c>
      <c r="B83" vm="244">
        <f ca="1"/>
        <v>45411</v>
      </c>
      <c r="C83" vm="245">
        <f ca="1"/>
        <v>193.28</v>
      </c>
      <c r="D83" vm="246">
        <f ca="1"/>
        <v>5411129</v>
      </c>
      <c r="E83">
        <f t="shared" ca="1" si="21"/>
        <v>1045863013.12</v>
      </c>
      <c r="F83">
        <f ca="1">SUM($E$2:E83)/SUM($D$2:D83)</f>
        <v>182.36612247300064</v>
      </c>
      <c r="G83">
        <f ca="1">_xlfn.STDEV.P($C$2:C83)</f>
        <v>10.074477631071741</v>
      </c>
      <c r="H83">
        <f t="shared" ca="1" si="22"/>
        <v>192.44060010407239</v>
      </c>
      <c r="I83">
        <f t="shared" ca="1" si="23"/>
        <v>172.2916448419289</v>
      </c>
      <c r="J83">
        <f t="shared" ca="1" si="12"/>
        <v>191.25850000000003</v>
      </c>
      <c r="K83">
        <f t="shared" ca="1" si="13"/>
        <v>6.5456753702449664</v>
      </c>
      <c r="L83">
        <f t="shared" ca="1" si="14"/>
        <v>204.34985074048996</v>
      </c>
      <c r="M83">
        <f t="shared" ca="1" si="15"/>
        <v>178.1671492595101</v>
      </c>
      <c r="N83">
        <f t="shared" ca="1" si="24"/>
        <v>-0.21000000000000796</v>
      </c>
      <c r="O83">
        <f t="shared" ca="1" si="25"/>
        <v>0</v>
      </c>
      <c r="P83">
        <f t="shared" ca="1" si="26"/>
        <v>0.21000000000000796</v>
      </c>
      <c r="Q83">
        <f t="shared" ca="1" si="30"/>
        <v>0.9855309099938484</v>
      </c>
      <c r="R83">
        <f t="shared" ca="1" si="31"/>
        <v>0.78565891329144333</v>
      </c>
      <c r="S83">
        <f t="shared" ca="1" si="28"/>
        <v>1.2544004698744655</v>
      </c>
      <c r="T83">
        <f t="shared" ca="1" si="29"/>
        <v>55.642308748468096</v>
      </c>
      <c r="U83">
        <f>70</f>
        <v>70</v>
      </c>
      <c r="V83">
        <f>30</f>
        <v>30</v>
      </c>
      <c r="W83">
        <f t="shared" ca="1" si="27"/>
        <v>190.86903125159742</v>
      </c>
      <c r="X83">
        <f t="shared" ca="1" si="17"/>
        <v>190.70218561966533</v>
      </c>
      <c r="Y83">
        <f t="shared" ca="1" si="16"/>
        <v>0.22396568470995248</v>
      </c>
      <c r="Z83">
        <f t="shared" ca="1" si="18"/>
        <v>-0.18843238463761369</v>
      </c>
      <c r="AA83">
        <f t="shared" ca="1" si="19"/>
        <v>0.41239806934756618</v>
      </c>
    </row>
    <row r="84" spans="1:27" x14ac:dyDescent="0.25">
      <c r="A84" s="20">
        <f t="shared" ca="1" si="20"/>
        <v>45411</v>
      </c>
      <c r="B84" vm="247">
        <f ca="1"/>
        <v>45412</v>
      </c>
      <c r="C84" vm="248">
        <f ca="1"/>
        <v>191.74</v>
      </c>
      <c r="D84" vm="249">
        <f ca="1"/>
        <v>8153681</v>
      </c>
      <c r="E84">
        <f t="shared" ca="1" si="21"/>
        <v>1563386794.9400001</v>
      </c>
      <c r="F84">
        <f ca="1">SUM($E$2:E84)/SUM($D$2:D84)</f>
        <v>182.4644358621849</v>
      </c>
      <c r="G84">
        <f ca="1">_xlfn.STDEV.P($C$2:C84)</f>
        <v>10.055777888880641</v>
      </c>
      <c r="H84">
        <f t="shared" ca="1" si="22"/>
        <v>192.52021375106554</v>
      </c>
      <c r="I84">
        <f t="shared" ca="1" si="23"/>
        <v>172.40865797330426</v>
      </c>
      <c r="J84">
        <f t="shared" ca="1" si="12"/>
        <v>190.9025</v>
      </c>
      <c r="K84">
        <f t="shared" ca="1" si="13"/>
        <v>6.2994810772082852</v>
      </c>
      <c r="L84">
        <f t="shared" ca="1" si="14"/>
        <v>203.50146215441657</v>
      </c>
      <c r="M84">
        <f t="shared" ca="1" si="15"/>
        <v>178.30353784558343</v>
      </c>
      <c r="N84">
        <f t="shared" ca="1" si="24"/>
        <v>-1.539999999999992</v>
      </c>
      <c r="O84">
        <f t="shared" ca="1" si="25"/>
        <v>0</v>
      </c>
      <c r="P84">
        <f t="shared" ca="1" si="26"/>
        <v>1.539999999999992</v>
      </c>
      <c r="Q84">
        <f t="shared" ca="1" si="30"/>
        <v>0.91513584499428779</v>
      </c>
      <c r="R84">
        <f t="shared" ca="1" si="31"/>
        <v>0.83954041948491109</v>
      </c>
      <c r="S84">
        <f t="shared" ca="1" si="28"/>
        <v>1.0900438189214967</v>
      </c>
      <c r="T84">
        <f t="shared" ca="1" si="29"/>
        <v>52.154113184286274</v>
      </c>
      <c r="U84">
        <f>70</f>
        <v>70</v>
      </c>
      <c r="V84">
        <f>30</f>
        <v>30</v>
      </c>
      <c r="W84">
        <f t="shared" ca="1" si="27"/>
        <v>191.00302644365934</v>
      </c>
      <c r="X84">
        <f t="shared" ca="1" si="17"/>
        <v>190.77906075894938</v>
      </c>
      <c r="Y84">
        <f t="shared" ca="1" si="16"/>
        <v>0.27573819688964818</v>
      </c>
      <c r="Z84">
        <f t="shared" ca="1" si="18"/>
        <v>-9.559826833216134E-2</v>
      </c>
      <c r="AA84">
        <f t="shared" ca="1" si="19"/>
        <v>0.37133646522180952</v>
      </c>
    </row>
    <row r="85" spans="1:27" x14ac:dyDescent="0.25">
      <c r="A85" s="20">
        <f t="shared" ca="1" si="20"/>
        <v>45411</v>
      </c>
      <c r="B85" vm="250">
        <f ca="1"/>
        <v>45413</v>
      </c>
      <c r="C85" vm="251">
        <f ca="1"/>
        <v>191.86</v>
      </c>
      <c r="D85" vm="252">
        <f ca="1"/>
        <v>7446703</v>
      </c>
      <c r="E85">
        <f t="shared" ca="1" si="21"/>
        <v>1428724437.5800002</v>
      </c>
      <c r="F85">
        <f ca="1">SUM($E$2:E85)/SUM($D$2:D85)</f>
        <v>182.55357869250824</v>
      </c>
      <c r="G85">
        <f ca="1">_xlfn.STDEV.P($C$2:C85)</f>
        <v>10.037677881532231</v>
      </c>
      <c r="H85">
        <f t="shared" ca="1" si="22"/>
        <v>192.59125657404047</v>
      </c>
      <c r="I85">
        <f t="shared" ca="1" si="23"/>
        <v>172.51590081097601</v>
      </c>
      <c r="J85">
        <f t="shared" ca="1" si="12"/>
        <v>190.5805</v>
      </c>
      <c r="K85">
        <f t="shared" ca="1" si="13"/>
        <v>6.0615522373659196</v>
      </c>
      <c r="L85">
        <f t="shared" ca="1" si="14"/>
        <v>202.70360447473183</v>
      </c>
      <c r="M85">
        <f t="shared" ca="1" si="15"/>
        <v>178.45739552526817</v>
      </c>
      <c r="N85">
        <f t="shared" ca="1" si="24"/>
        <v>0.12000000000000455</v>
      </c>
      <c r="O85">
        <f t="shared" ca="1" si="25"/>
        <v>0.12000000000000455</v>
      </c>
      <c r="P85">
        <f t="shared" ca="1" si="26"/>
        <v>0</v>
      </c>
      <c r="Q85">
        <f t="shared" ca="1" si="30"/>
        <v>0.85834042749469608</v>
      </c>
      <c r="R85">
        <f t="shared" ca="1" si="31"/>
        <v>0.77957324666456029</v>
      </c>
      <c r="S85">
        <f t="shared" ca="1" si="28"/>
        <v>1.1010388455057234</v>
      </c>
      <c r="T85">
        <f t="shared" ca="1" si="29"/>
        <v>52.404497320976539</v>
      </c>
      <c r="U85">
        <f>70</f>
        <v>70</v>
      </c>
      <c r="V85">
        <f>30</f>
        <v>30</v>
      </c>
      <c r="W85">
        <f t="shared" ca="1" si="27"/>
        <v>191.13486852925021</v>
      </c>
      <c r="X85">
        <f t="shared" ca="1" si="17"/>
        <v>190.85913033236056</v>
      </c>
      <c r="Y85">
        <f t="shared" ca="1" si="16"/>
        <v>0.29720397484368277</v>
      </c>
      <c r="Z85">
        <f t="shared" ca="1" si="18"/>
        <v>-1.7037819696992529E-2</v>
      </c>
      <c r="AA85">
        <f t="shared" ca="1" si="19"/>
        <v>0.3142417945406753</v>
      </c>
    </row>
    <row r="86" spans="1:27" x14ac:dyDescent="0.25">
      <c r="A86" s="20">
        <f t="shared" ca="1" si="20"/>
        <v>45411</v>
      </c>
      <c r="B86" vm="253">
        <f ca="1"/>
        <v>45414</v>
      </c>
      <c r="C86" vm="254">
        <f ca="1"/>
        <v>191.66</v>
      </c>
      <c r="D86" vm="255">
        <f ca="1"/>
        <v>6501657</v>
      </c>
      <c r="E86">
        <f t="shared" ca="1" si="21"/>
        <v>1246107580.6199999</v>
      </c>
      <c r="F86">
        <f ca="1">SUM($E$2:E86)/SUM($D$2:D86)</f>
        <v>182.6283936748346</v>
      </c>
      <c r="G86">
        <f ca="1">_xlfn.STDEV.P($C$2:C86)</f>
        <v>10.017082410255037</v>
      </c>
      <c r="H86">
        <f t="shared" ca="1" si="22"/>
        <v>192.64547608508963</v>
      </c>
      <c r="I86">
        <f t="shared" ca="1" si="23"/>
        <v>172.61131126457957</v>
      </c>
      <c r="J86">
        <f t="shared" ref="J86:J149" ca="1" si="32">AVERAGE(C67:C86)</f>
        <v>190.38099999999997</v>
      </c>
      <c r="K86">
        <f t="shared" ref="K86:K149" ca="1" si="33">_xlfn.STDEV.S(C67:C86)</f>
        <v>5.9505655635675314</v>
      </c>
      <c r="L86">
        <f t="shared" ref="L86:L149" ca="1" si="34">J86 + 2*K86</f>
        <v>202.28213112713505</v>
      </c>
      <c r="M86">
        <f t="shared" ref="M86:M149" ca="1" si="35">J86-2*K86</f>
        <v>178.4798688728649</v>
      </c>
      <c r="N86">
        <f t="shared" ca="1" si="24"/>
        <v>-0.20000000000001705</v>
      </c>
      <c r="O86">
        <f t="shared" ca="1" si="25"/>
        <v>0</v>
      </c>
      <c r="P86">
        <f t="shared" ca="1" si="26"/>
        <v>0.20000000000001705</v>
      </c>
      <c r="Q86">
        <f t="shared" ca="1" si="30"/>
        <v>0.79703039695936062</v>
      </c>
      <c r="R86">
        <f t="shared" ca="1" si="31"/>
        <v>0.73817515761709285</v>
      </c>
      <c r="S86">
        <f t="shared" ca="1" si="28"/>
        <v>1.0797307234400284</v>
      </c>
      <c r="T86">
        <f t="shared" ca="1" si="29"/>
        <v>51.916852084296465</v>
      </c>
      <c r="U86">
        <f>70</f>
        <v>70</v>
      </c>
      <c r="V86">
        <f>30</f>
        <v>30</v>
      </c>
      <c r="W86">
        <f t="shared" ca="1" si="27"/>
        <v>191.21565798628865</v>
      </c>
      <c r="X86">
        <f t="shared" ca="1" si="17"/>
        <v>190.91845401144496</v>
      </c>
      <c r="Y86">
        <f t="shared" ca="1" si="16"/>
        <v>0.21889706042199464</v>
      </c>
      <c r="Z86">
        <f t="shared" ca="1" si="18"/>
        <v>3.0149156326804906E-2</v>
      </c>
      <c r="AA86">
        <f t="shared" ca="1" si="19"/>
        <v>0.18874790409518974</v>
      </c>
    </row>
    <row r="87" spans="1:27" x14ac:dyDescent="0.25">
      <c r="A87" s="20">
        <f t="shared" ca="1" si="20"/>
        <v>45411</v>
      </c>
      <c r="B87" vm="256">
        <f ca="1"/>
        <v>45415</v>
      </c>
      <c r="C87" vm="257">
        <f ca="1"/>
        <v>190.51</v>
      </c>
      <c r="D87" vm="258">
        <f ca="1"/>
        <v>8922775</v>
      </c>
      <c r="E87">
        <f t="shared" ca="1" si="21"/>
        <v>1699877865.25</v>
      </c>
      <c r="F87">
        <f ca="1">SUM($E$2:E87)/SUM($D$2:D87)</f>
        <v>182.71626803825083</v>
      </c>
      <c r="G87">
        <f ca="1">_xlfn.STDEV.P($C$2:C87)</f>
        <v>9.9861428949757727</v>
      </c>
      <c r="H87">
        <f t="shared" ca="1" si="22"/>
        <v>192.70241093322662</v>
      </c>
      <c r="I87">
        <f t="shared" ca="1" si="23"/>
        <v>172.73012514327505</v>
      </c>
      <c r="J87">
        <f t="shared" ca="1" si="32"/>
        <v>190.03399999999996</v>
      </c>
      <c r="K87">
        <f t="shared" ca="1" si="33"/>
        <v>5.7143083570979956</v>
      </c>
      <c r="L87">
        <f t="shared" ca="1" si="34"/>
        <v>201.46261671419595</v>
      </c>
      <c r="M87">
        <f t="shared" ca="1" si="35"/>
        <v>178.60538328580398</v>
      </c>
      <c r="N87">
        <f t="shared" ca="1" si="24"/>
        <v>-1.1500000000000057</v>
      </c>
      <c r="O87">
        <f t="shared" ca="1" si="25"/>
        <v>0</v>
      </c>
      <c r="P87">
        <f t="shared" ca="1" si="26"/>
        <v>1.1500000000000057</v>
      </c>
      <c r="Q87">
        <f t="shared" ca="1" si="30"/>
        <v>0.74009965431940627</v>
      </c>
      <c r="R87">
        <f t="shared" ca="1" si="31"/>
        <v>0.76759121778730088</v>
      </c>
      <c r="S87">
        <f t="shared" ca="1" si="28"/>
        <v>0.96418463000769705</v>
      </c>
      <c r="T87">
        <f t="shared" ca="1" si="29"/>
        <v>49.088289118926603</v>
      </c>
      <c r="U87">
        <f>70</f>
        <v>70</v>
      </c>
      <c r="V87">
        <f>30</f>
        <v>30</v>
      </c>
      <c r="W87">
        <f t="shared" ca="1" si="27"/>
        <v>191.10709521916732</v>
      </c>
      <c r="X87">
        <f t="shared" ca="1" si="17"/>
        <v>190.88819815874533</v>
      </c>
      <c r="Y87">
        <f t="shared" ca="1" si="16"/>
        <v>0.27391133475916263</v>
      </c>
      <c r="Z87">
        <f t="shared" ca="1" si="18"/>
        <v>7.8901592013276456E-2</v>
      </c>
      <c r="AA87">
        <f t="shared" ca="1" si="19"/>
        <v>0.19500974274588617</v>
      </c>
    </row>
    <row r="88" spans="1:27" x14ac:dyDescent="0.25">
      <c r="A88" s="20">
        <f t="shared" ca="1" si="20"/>
        <v>45418</v>
      </c>
      <c r="B88" vm="259">
        <f ca="1"/>
        <v>45418</v>
      </c>
      <c r="C88" vm="260">
        <f ca="1"/>
        <v>192</v>
      </c>
      <c r="D88" vm="261">
        <f ca="1"/>
        <v>7911134</v>
      </c>
      <c r="E88">
        <f t="shared" ca="1" si="21"/>
        <v>1518937728</v>
      </c>
      <c r="F88">
        <f ca="1">SUM($E$2:E88)/SUM($D$2:D88)</f>
        <v>182.80714144924235</v>
      </c>
      <c r="G88">
        <f ca="1">_xlfn.STDEV.P($C$2:C88)</f>
        <v>9.9680601615790483</v>
      </c>
      <c r="H88">
        <f t="shared" ca="1" si="22"/>
        <v>192.7752016108214</v>
      </c>
      <c r="I88">
        <f t="shared" ca="1" si="23"/>
        <v>172.8390812876633</v>
      </c>
      <c r="J88">
        <f t="shared" ca="1" si="32"/>
        <v>189.70999999999998</v>
      </c>
      <c r="K88">
        <f t="shared" ca="1" si="33"/>
        <v>5.3844014474562005</v>
      </c>
      <c r="L88">
        <f t="shared" ca="1" si="34"/>
        <v>200.47880289491238</v>
      </c>
      <c r="M88">
        <f t="shared" ca="1" si="35"/>
        <v>178.94119710508758</v>
      </c>
      <c r="N88">
        <f t="shared" ca="1" si="24"/>
        <v>1.4900000000000091</v>
      </c>
      <c r="O88">
        <f t="shared" ca="1" si="25"/>
        <v>1.4900000000000091</v>
      </c>
      <c r="P88">
        <f t="shared" ca="1" si="26"/>
        <v>0</v>
      </c>
      <c r="Q88">
        <f t="shared" ca="1" si="30"/>
        <v>0.79366396472516354</v>
      </c>
      <c r="R88">
        <f t="shared" ca="1" si="31"/>
        <v>0.71276327365963643</v>
      </c>
      <c r="S88">
        <f t="shared" ca="1" si="28"/>
        <v>1.1135028894658781</v>
      </c>
      <c r="T88">
        <f t="shared" ca="1" si="29"/>
        <v>52.685184156397405</v>
      </c>
      <c r="U88">
        <f>70</f>
        <v>70</v>
      </c>
      <c r="V88">
        <f>30</f>
        <v>30</v>
      </c>
      <c r="W88">
        <f t="shared" ca="1" si="27"/>
        <v>191.24446518544929</v>
      </c>
      <c r="X88">
        <f t="shared" ca="1" si="17"/>
        <v>190.97055385069012</v>
      </c>
      <c r="Y88">
        <f t="shared" ca="1" si="16"/>
        <v>0.29394916981240726</v>
      </c>
      <c r="Z88">
        <f t="shared" ca="1" si="18"/>
        <v>0.12191110757310263</v>
      </c>
      <c r="AA88">
        <f t="shared" ca="1" si="19"/>
        <v>0.17203806223930462</v>
      </c>
    </row>
    <row r="89" spans="1:27" x14ac:dyDescent="0.25">
      <c r="A89" s="20">
        <f t="shared" ca="1" si="20"/>
        <v>45418</v>
      </c>
      <c r="B89" vm="262">
        <f ca="1"/>
        <v>45419</v>
      </c>
      <c r="C89" vm="263">
        <f ca="1"/>
        <v>191.75</v>
      </c>
      <c r="D89" vm="264">
        <f ca="1"/>
        <v>7688771</v>
      </c>
      <c r="E89">
        <f t="shared" ca="1" si="21"/>
        <v>1474321839.25</v>
      </c>
      <c r="F89">
        <f ca="1">SUM($E$2:E89)/SUM($D$2:D89)</f>
        <v>182.89141605455475</v>
      </c>
      <c r="G89">
        <f ca="1">_xlfn.STDEV.P($C$2:C89)</f>
        <v>9.9471848299308157</v>
      </c>
      <c r="H89">
        <f t="shared" ca="1" si="22"/>
        <v>192.83860088448557</v>
      </c>
      <c r="I89">
        <f t="shared" ca="1" si="23"/>
        <v>172.94423122462393</v>
      </c>
      <c r="J89">
        <f t="shared" ca="1" si="32"/>
        <v>189.44</v>
      </c>
      <c r="K89">
        <f t="shared" ca="1" si="33"/>
        <v>5.1206177670071682</v>
      </c>
      <c r="L89">
        <f t="shared" ca="1" si="34"/>
        <v>199.68123553401432</v>
      </c>
      <c r="M89">
        <f t="shared" ca="1" si="35"/>
        <v>179.19876446598568</v>
      </c>
      <c r="N89">
        <f t="shared" ca="1" si="24"/>
        <v>-0.25</v>
      </c>
      <c r="O89">
        <f t="shared" ca="1" si="25"/>
        <v>0</v>
      </c>
      <c r="P89">
        <f t="shared" ca="1" si="26"/>
        <v>0.25</v>
      </c>
      <c r="Q89">
        <f t="shared" ca="1" si="30"/>
        <v>0.73697368153050902</v>
      </c>
      <c r="R89">
        <f t="shared" ca="1" si="31"/>
        <v>0.67970875411251952</v>
      </c>
      <c r="S89">
        <f t="shared" ca="1" si="28"/>
        <v>1.0842492127275292</v>
      </c>
      <c r="T89">
        <f t="shared" ca="1" si="29"/>
        <v>52.02109258847404</v>
      </c>
      <c r="U89">
        <f>70</f>
        <v>70</v>
      </c>
      <c r="V89">
        <f>30</f>
        <v>30</v>
      </c>
      <c r="W89">
        <f t="shared" ca="1" si="27"/>
        <v>191.32223977230325</v>
      </c>
      <c r="X89">
        <f t="shared" ca="1" si="17"/>
        <v>191.02829060249084</v>
      </c>
      <c r="Y89">
        <f t="shared" ca="1" si="16"/>
        <v>0.61740959135195794</v>
      </c>
      <c r="Z89">
        <f t="shared" ca="1" si="18"/>
        <v>0.22101080432887371</v>
      </c>
      <c r="AA89">
        <f t="shared" ca="1" si="19"/>
        <v>0.39639878702308423</v>
      </c>
    </row>
    <row r="90" spans="1:27" x14ac:dyDescent="0.25">
      <c r="A90" s="20">
        <f t="shared" ca="1" si="20"/>
        <v>45418</v>
      </c>
      <c r="B90" vm="265">
        <f ca="1"/>
        <v>45420</v>
      </c>
      <c r="C90" vm="194">
        <f ca="1"/>
        <v>195.65</v>
      </c>
      <c r="D90" vm="266">
        <f ca="1"/>
        <v>9227561</v>
      </c>
      <c r="E90">
        <f t="shared" ca="1" si="21"/>
        <v>1805372309.6500001</v>
      </c>
      <c r="F90">
        <f ca="1">SUM($E$2:E90)/SUM($D$2:D90)</f>
        <v>183.03409788591281</v>
      </c>
      <c r="G90">
        <f ca="1">_xlfn.STDEV.P($C$2:C90)</f>
        <v>9.9687460908537098</v>
      </c>
      <c r="H90">
        <f t="shared" ca="1" si="22"/>
        <v>193.00284397676651</v>
      </c>
      <c r="I90">
        <f t="shared" ca="1" si="23"/>
        <v>173.06535179505912</v>
      </c>
      <c r="J90">
        <f t="shared" ca="1" si="32"/>
        <v>189.44900000000001</v>
      </c>
      <c r="K90">
        <f t="shared" ca="1" si="33"/>
        <v>5.1319196162224161</v>
      </c>
      <c r="L90">
        <f t="shared" ca="1" si="34"/>
        <v>199.71283923244485</v>
      </c>
      <c r="M90">
        <f t="shared" ca="1" si="35"/>
        <v>179.18516076755517</v>
      </c>
      <c r="N90">
        <f t="shared" ca="1" si="24"/>
        <v>3.9000000000000057</v>
      </c>
      <c r="O90">
        <f t="shared" ca="1" si="25"/>
        <v>3.9000000000000057</v>
      </c>
      <c r="P90">
        <f t="shared" ca="1" si="26"/>
        <v>0</v>
      </c>
      <c r="Q90">
        <f t="shared" ca="1" si="30"/>
        <v>0.96290413284975873</v>
      </c>
      <c r="R90">
        <f t="shared" ca="1" si="31"/>
        <v>0.63115812881876809</v>
      </c>
      <c r="S90">
        <f t="shared" ca="1" si="28"/>
        <v>1.5256147213882256</v>
      </c>
      <c r="T90">
        <f t="shared" ca="1" si="29"/>
        <v>60.405679000384453</v>
      </c>
      <c r="U90">
        <f>70</f>
        <v>70</v>
      </c>
      <c r="V90">
        <f>30</f>
        <v>30</v>
      </c>
      <c r="W90">
        <f t="shared" ca="1" si="27"/>
        <v>191.98804903810273</v>
      </c>
      <c r="X90">
        <f t="shared" ca="1" si="17"/>
        <v>191.37063944675077</v>
      </c>
      <c r="Y90">
        <f t="shared" ca="1" si="16"/>
        <v>1.011375339380379</v>
      </c>
      <c r="Z90">
        <f t="shared" ca="1" si="18"/>
        <v>0.37908371133917484</v>
      </c>
      <c r="AA90">
        <f t="shared" ca="1" si="19"/>
        <v>0.6322916280412042</v>
      </c>
    </row>
    <row r="91" spans="1:27" x14ac:dyDescent="0.25">
      <c r="A91" s="20">
        <f t="shared" ca="1" si="20"/>
        <v>45418</v>
      </c>
      <c r="B91" vm="267">
        <f ca="1"/>
        <v>45421</v>
      </c>
      <c r="C91" vm="268">
        <f ca="1"/>
        <v>197.5</v>
      </c>
      <c r="D91" vm="269">
        <f ca="1"/>
        <v>7977291</v>
      </c>
      <c r="E91">
        <f t="shared" ca="1" si="21"/>
        <v>1575514972.5</v>
      </c>
      <c r="F91">
        <f ca="1">SUM($E$2:E91)/SUM($D$2:D91)</f>
        <v>183.17261443329113</v>
      </c>
      <c r="G91">
        <f ca="1">_xlfn.STDEV.P($C$2:C91)</f>
        <v>10.013638474908749</v>
      </c>
      <c r="H91">
        <f t="shared" ca="1" si="22"/>
        <v>193.18625290819989</v>
      </c>
      <c r="I91">
        <f t="shared" ca="1" si="23"/>
        <v>173.15897595838237</v>
      </c>
      <c r="J91">
        <f t="shared" ca="1" si="32"/>
        <v>189.55250000000004</v>
      </c>
      <c r="K91">
        <f t="shared" ca="1" si="33"/>
        <v>5.2776957442070351</v>
      </c>
      <c r="L91">
        <f t="shared" ca="1" si="34"/>
        <v>200.10789148841411</v>
      </c>
      <c r="M91">
        <f t="shared" ca="1" si="35"/>
        <v>178.99710851158596</v>
      </c>
      <c r="N91">
        <f t="shared" ca="1" si="24"/>
        <v>1.8499999999999943</v>
      </c>
      <c r="O91">
        <f t="shared" ca="1" si="25"/>
        <v>1.8499999999999943</v>
      </c>
      <c r="P91">
        <f t="shared" ca="1" si="26"/>
        <v>0</v>
      </c>
      <c r="Q91">
        <f t="shared" ca="1" si="30"/>
        <v>1.0262681233604898</v>
      </c>
      <c r="R91">
        <f t="shared" ca="1" si="31"/>
        <v>0.58607540533171321</v>
      </c>
      <c r="S91">
        <f t="shared" ca="1" si="28"/>
        <v>1.7510854644713023</v>
      </c>
      <c r="T91">
        <f t="shared" ca="1" si="29"/>
        <v>63.650711222372806</v>
      </c>
      <c r="U91">
        <f>70</f>
        <v>70</v>
      </c>
      <c r="V91">
        <f>30</f>
        <v>30</v>
      </c>
      <c r="W91">
        <f t="shared" ca="1" si="27"/>
        <v>192.83604149377922</v>
      </c>
      <c r="X91">
        <f t="shared" ca="1" si="17"/>
        <v>191.82466615439884</v>
      </c>
      <c r="Y91">
        <f t="shared" ca="1" si="16"/>
        <v>1.409822858896888</v>
      </c>
      <c r="Z91">
        <f t="shared" ca="1" si="18"/>
        <v>0.58523154085071749</v>
      </c>
      <c r="AA91">
        <f t="shared" ca="1" si="19"/>
        <v>0.82459131804617047</v>
      </c>
    </row>
    <row r="92" spans="1:27" x14ac:dyDescent="0.25">
      <c r="A92" s="20">
        <f t="shared" ca="1" si="20"/>
        <v>45418</v>
      </c>
      <c r="B92" vm="270">
        <f ca="1"/>
        <v>45422</v>
      </c>
      <c r="C92" vm="271">
        <f ca="1"/>
        <v>198.77</v>
      </c>
      <c r="D92" vm="272">
        <f ca="1"/>
        <v>7529790</v>
      </c>
      <c r="E92">
        <f t="shared" ca="1" si="21"/>
        <v>1496696358.3000002</v>
      </c>
      <c r="F92">
        <f ca="1">SUM($E$2:E92)/SUM($D$2:D92)</f>
        <v>183.31232451635881</v>
      </c>
      <c r="G92">
        <f ca="1">_xlfn.STDEV.P($C$2:C92)</f>
        <v>10.074360597891353</v>
      </c>
      <c r="H92">
        <f t="shared" ca="1" si="22"/>
        <v>193.38668511425016</v>
      </c>
      <c r="I92">
        <f t="shared" ca="1" si="23"/>
        <v>173.23796391846747</v>
      </c>
      <c r="J92">
        <f t="shared" ca="1" si="32"/>
        <v>190.35149999999999</v>
      </c>
      <c r="K92">
        <f t="shared" ca="1" si="33"/>
        <v>5.4080361986876344</v>
      </c>
      <c r="L92">
        <f t="shared" ca="1" si="34"/>
        <v>201.16757239737527</v>
      </c>
      <c r="M92">
        <f t="shared" ca="1" si="35"/>
        <v>179.53542760262471</v>
      </c>
      <c r="N92">
        <f t="shared" ca="1" si="24"/>
        <v>1.2700000000000102</v>
      </c>
      <c r="O92">
        <f t="shared" ca="1" si="25"/>
        <v>1.2700000000000102</v>
      </c>
      <c r="P92">
        <f t="shared" ca="1" si="26"/>
        <v>0</v>
      </c>
      <c r="Q92">
        <f t="shared" ca="1" si="30"/>
        <v>1.0436775431204555</v>
      </c>
      <c r="R92">
        <f t="shared" ca="1" si="31"/>
        <v>0.54421287637944793</v>
      </c>
      <c r="S92">
        <f t="shared" ca="1" si="28"/>
        <v>1.9177744379439488</v>
      </c>
      <c r="T92">
        <f t="shared" ca="1" si="29"/>
        <v>65.727302734728724</v>
      </c>
      <c r="U92">
        <f>70</f>
        <v>70</v>
      </c>
      <c r="V92">
        <f>30</f>
        <v>30</v>
      </c>
      <c r="W92">
        <f t="shared" ca="1" si="27"/>
        <v>193.74895818704397</v>
      </c>
      <c r="X92">
        <f t="shared" ca="1" si="17"/>
        <v>192.33913532814708</v>
      </c>
      <c r="Y92">
        <f t="shared" ref="Y92:Y155" ca="1" si="36">W93-X93</f>
        <v>1.7027396008668063</v>
      </c>
      <c r="Z92">
        <f t="shared" ca="1" si="18"/>
        <v>0.80873315285393521</v>
      </c>
      <c r="AA92">
        <f t="shared" ca="1" si="19"/>
        <v>0.8940064480128711</v>
      </c>
    </row>
    <row r="93" spans="1:27" x14ac:dyDescent="0.25">
      <c r="A93" s="20">
        <f t="shared" ca="1" si="20"/>
        <v>45425</v>
      </c>
      <c r="B93" vm="273">
        <f ca="1"/>
        <v>45425</v>
      </c>
      <c r="C93" vm="274">
        <f ca="1"/>
        <v>198.73</v>
      </c>
      <c r="D93" vm="275">
        <f ca="1"/>
        <v>7049241</v>
      </c>
      <c r="E93">
        <f t="shared" ca="1" si="21"/>
        <v>1400895663.9299998</v>
      </c>
      <c r="F93">
        <f ca="1">SUM($E$2:E93)/SUM($D$2:D93)</f>
        <v>183.44053622602061</v>
      </c>
      <c r="G93">
        <f ca="1">_xlfn.STDEV.P($C$2:C93)</f>
        <v>10.130334229301297</v>
      </c>
      <c r="H93">
        <f t="shared" ca="1" si="22"/>
        <v>193.57087045532191</v>
      </c>
      <c r="I93">
        <f t="shared" ca="1" si="23"/>
        <v>173.31020199671931</v>
      </c>
      <c r="J93">
        <f t="shared" ca="1" si="32"/>
        <v>191.14349999999996</v>
      </c>
      <c r="K93">
        <f t="shared" ca="1" si="33"/>
        <v>5.4176624158977971</v>
      </c>
      <c r="L93">
        <f t="shared" ca="1" si="34"/>
        <v>201.97882483179555</v>
      </c>
      <c r="M93">
        <f t="shared" ca="1" si="35"/>
        <v>180.30817516820437</v>
      </c>
      <c r="N93">
        <f t="shared" ca="1" si="24"/>
        <v>-4.0000000000020464E-2</v>
      </c>
      <c r="O93">
        <f t="shared" ca="1" si="25"/>
        <v>0</v>
      </c>
      <c r="P93">
        <f t="shared" ca="1" si="26"/>
        <v>4.0000000000020464E-2</v>
      </c>
      <c r="Q93">
        <f t="shared" ca="1" si="30"/>
        <v>0.96912914718328014</v>
      </c>
      <c r="R93">
        <f t="shared" ca="1" si="31"/>
        <v>0.50819767092377455</v>
      </c>
      <c r="S93">
        <f t="shared" ca="1" si="28"/>
        <v>1.9069925004214383</v>
      </c>
      <c r="T93">
        <f t="shared" ca="1" si="29"/>
        <v>65.600186451976526</v>
      </c>
      <c r="U93">
        <f>70</f>
        <v>70</v>
      </c>
      <c r="V93">
        <f>30</f>
        <v>30</v>
      </c>
      <c r="W93">
        <f t="shared" ca="1" si="27"/>
        <v>194.51527231211412</v>
      </c>
      <c r="X93">
        <f t="shared" ref="X93:X156" ca="1" si="37">C93*(2/(26+1)) + X92*(1-(2/(26+1)))</f>
        <v>192.81253271124731</v>
      </c>
      <c r="Y93">
        <f t="shared" ca="1" si="36"/>
        <v>2.1345947166453527</v>
      </c>
      <c r="Z93">
        <f t="shared" ca="1" si="18"/>
        <v>1.0739054656122189</v>
      </c>
      <c r="AA93">
        <f t="shared" ca="1" si="19"/>
        <v>1.0606892510331338</v>
      </c>
    </row>
    <row r="94" spans="1:27" x14ac:dyDescent="0.25">
      <c r="A94" s="20">
        <f t="shared" ca="1" si="20"/>
        <v>45425</v>
      </c>
      <c r="B94" vm="276">
        <f ca="1"/>
        <v>45426</v>
      </c>
      <c r="C94" vm="277">
        <f ca="1"/>
        <v>201.51</v>
      </c>
      <c r="D94" vm="278">
        <f ca="1"/>
        <v>8596175</v>
      </c>
      <c r="E94">
        <f t="shared" ca="1" si="21"/>
        <v>1732215224.25</v>
      </c>
      <c r="F94">
        <f ca="1">SUM($E$2:E94)/SUM($D$2:D94)</f>
        <v>183.62193528849491</v>
      </c>
      <c r="G94">
        <f ca="1">_xlfn.STDEV.P($C$2:C94)</f>
        <v>10.227816760209652</v>
      </c>
      <c r="H94">
        <f t="shared" ca="1" si="22"/>
        <v>193.84975204870457</v>
      </c>
      <c r="I94">
        <f t="shared" ca="1" si="23"/>
        <v>173.39411852828525</v>
      </c>
      <c r="J94">
        <f t="shared" ca="1" si="32"/>
        <v>192.179</v>
      </c>
      <c r="K94">
        <f t="shared" ca="1" si="33"/>
        <v>5.3148321753966563</v>
      </c>
      <c r="L94">
        <f t="shared" ca="1" si="34"/>
        <v>202.80866435079332</v>
      </c>
      <c r="M94">
        <f t="shared" ca="1" si="35"/>
        <v>181.54933564920668</v>
      </c>
      <c r="N94">
        <f t="shared" ca="1" si="24"/>
        <v>2.7800000000000011</v>
      </c>
      <c r="O94">
        <f t="shared" ca="1" si="25"/>
        <v>2.7800000000000011</v>
      </c>
      <c r="P94">
        <f t="shared" ca="1" si="26"/>
        <v>0</v>
      </c>
      <c r="Q94">
        <f t="shared" ca="1" si="30"/>
        <v>1.0984770652416174</v>
      </c>
      <c r="R94">
        <f t="shared" ca="1" si="31"/>
        <v>0.47189783728636209</v>
      </c>
      <c r="S94">
        <f t="shared" ca="1" si="28"/>
        <v>2.3277857587955584</v>
      </c>
      <c r="T94">
        <f t="shared" ca="1" si="29"/>
        <v>69.949988596563543</v>
      </c>
      <c r="U94">
        <f>70</f>
        <v>70</v>
      </c>
      <c r="V94">
        <f>30</f>
        <v>30</v>
      </c>
      <c r="W94">
        <f t="shared" ca="1" si="27"/>
        <v>195.59138426409658</v>
      </c>
      <c r="X94">
        <f t="shared" ca="1" si="37"/>
        <v>193.45678954745122</v>
      </c>
      <c r="Y94">
        <f t="shared" ca="1" si="36"/>
        <v>2.4964801239744645</v>
      </c>
      <c r="Z94">
        <f t="shared" ca="1" si="18"/>
        <v>1.358420397284668</v>
      </c>
      <c r="AA94">
        <f t="shared" ca="1" si="19"/>
        <v>1.1380597266897965</v>
      </c>
    </row>
    <row r="95" spans="1:27" x14ac:dyDescent="0.25">
      <c r="A95" s="20">
        <f t="shared" ca="1" si="20"/>
        <v>45425</v>
      </c>
      <c r="B95" vm="279">
        <f ca="1"/>
        <v>45427</v>
      </c>
      <c r="C95" vm="280">
        <f ca="1"/>
        <v>202.11</v>
      </c>
      <c r="D95" vm="281">
        <f ca="1"/>
        <v>8369975</v>
      </c>
      <c r="E95">
        <f t="shared" ca="1" si="21"/>
        <v>1691655647.25</v>
      </c>
      <c r="F95">
        <f ca="1">SUM($E$2:E95)/SUM($D$2:D95)</f>
        <v>183.80090337824845</v>
      </c>
      <c r="G95">
        <f ca="1">_xlfn.STDEV.P($C$2:C95)</f>
        <v>10.329677850725727</v>
      </c>
      <c r="H95">
        <f t="shared" ca="1" si="22"/>
        <v>194.13058122897417</v>
      </c>
      <c r="I95">
        <f t="shared" ca="1" si="23"/>
        <v>173.47122552752273</v>
      </c>
      <c r="J95">
        <f t="shared" ca="1" si="32"/>
        <v>193.28050000000002</v>
      </c>
      <c r="K95">
        <f t="shared" ca="1" si="33"/>
        <v>4.9453555829793743</v>
      </c>
      <c r="L95">
        <f t="shared" ca="1" si="34"/>
        <v>203.17121116595877</v>
      </c>
      <c r="M95">
        <f t="shared" ca="1" si="35"/>
        <v>183.38978883404127</v>
      </c>
      <c r="N95">
        <f t="shared" ca="1" si="24"/>
        <v>0.60000000000002274</v>
      </c>
      <c r="O95">
        <f t="shared" ca="1" si="25"/>
        <v>0.60000000000002274</v>
      </c>
      <c r="P95">
        <f t="shared" ca="1" si="26"/>
        <v>0</v>
      </c>
      <c r="Q95">
        <f t="shared" ca="1" si="30"/>
        <v>1.0628715605815036</v>
      </c>
      <c r="R95">
        <f t="shared" ca="1" si="31"/>
        <v>0.43819084890876481</v>
      </c>
      <c r="S95">
        <f t="shared" ca="1" si="28"/>
        <v>2.4255905006423419</v>
      </c>
      <c r="T95">
        <f t="shared" ca="1" si="29"/>
        <v>70.807952678159069</v>
      </c>
      <c r="U95">
        <f>70</f>
        <v>70</v>
      </c>
      <c r="V95">
        <f>30</f>
        <v>30</v>
      </c>
      <c r="W95">
        <f t="shared" ca="1" si="27"/>
        <v>196.59424822346634</v>
      </c>
      <c r="X95">
        <f t="shared" ca="1" si="37"/>
        <v>194.09776809949187</v>
      </c>
      <c r="Y95">
        <f t="shared" ca="1" si="36"/>
        <v>2.7802766097852896</v>
      </c>
      <c r="Z95">
        <f t="shared" ca="1" si="18"/>
        <v>1.6427916397847926</v>
      </c>
      <c r="AA95">
        <f t="shared" ca="1" si="19"/>
        <v>1.137484970000497</v>
      </c>
    </row>
    <row r="96" spans="1:27" x14ac:dyDescent="0.25">
      <c r="A96" s="20">
        <f t="shared" ca="1" si="20"/>
        <v>45425</v>
      </c>
      <c r="B96" vm="282">
        <f ca="1"/>
        <v>45428</v>
      </c>
      <c r="C96" vm="283">
        <f ca="1"/>
        <v>202.47</v>
      </c>
      <c r="D96" vm="284">
        <f ca="1"/>
        <v>8497927</v>
      </c>
      <c r="E96">
        <f t="shared" ca="1" si="21"/>
        <v>1720575279.6900001</v>
      </c>
      <c r="F96">
        <f ca="1">SUM($E$2:E96)/SUM($D$2:D96)</f>
        <v>183.98260081637312</v>
      </c>
      <c r="G96">
        <f ca="1">_xlfn.STDEV.P($C$2:C96)</f>
        <v>10.431501521832798</v>
      </c>
      <c r="H96">
        <f t="shared" ca="1" si="22"/>
        <v>194.41410233820591</v>
      </c>
      <c r="I96">
        <f t="shared" ca="1" si="23"/>
        <v>173.55109929454034</v>
      </c>
      <c r="J96">
        <f t="shared" ca="1" si="32"/>
        <v>194.3415</v>
      </c>
      <c r="K96">
        <f t="shared" ca="1" si="33"/>
        <v>4.4831488874861627</v>
      </c>
      <c r="L96">
        <f t="shared" ca="1" si="34"/>
        <v>203.30779777497233</v>
      </c>
      <c r="M96">
        <f t="shared" ca="1" si="35"/>
        <v>185.37520222502766</v>
      </c>
      <c r="N96">
        <f t="shared" ca="1" si="24"/>
        <v>0.35999999999998522</v>
      </c>
      <c r="O96">
        <f t="shared" ca="1" si="25"/>
        <v>0.35999999999998522</v>
      </c>
      <c r="P96">
        <f t="shared" ca="1" si="26"/>
        <v>0</v>
      </c>
      <c r="Q96">
        <f t="shared" ca="1" si="30"/>
        <v>1.012666449111395</v>
      </c>
      <c r="R96">
        <f t="shared" ca="1" si="31"/>
        <v>0.40689150255813872</v>
      </c>
      <c r="S96">
        <f t="shared" ca="1" si="28"/>
        <v>2.4887874107587198</v>
      </c>
      <c r="T96">
        <f t="shared" ca="1" si="29"/>
        <v>71.336745915896145</v>
      </c>
      <c r="U96">
        <f>70</f>
        <v>70</v>
      </c>
      <c r="V96">
        <f>30</f>
        <v>30</v>
      </c>
      <c r="W96">
        <f t="shared" ca="1" si="27"/>
        <v>197.49821003524073</v>
      </c>
      <c r="X96">
        <f t="shared" ca="1" si="37"/>
        <v>194.71793342545544</v>
      </c>
      <c r="Y96">
        <f t="shared" ca="1" si="36"/>
        <v>3.1560114449956416</v>
      </c>
      <c r="Z96">
        <f t="shared" ca="1" si="18"/>
        <v>1.9454356008269627</v>
      </c>
      <c r="AA96">
        <f t="shared" ca="1" si="19"/>
        <v>1.2105758441686789</v>
      </c>
    </row>
    <row r="97" spans="1:28" x14ac:dyDescent="0.25">
      <c r="A97" s="20">
        <f t="shared" ca="1" si="20"/>
        <v>45425</v>
      </c>
      <c r="B97" vm="285">
        <f ca="1"/>
        <v>45429</v>
      </c>
      <c r="C97" vm="286">
        <f ca="1"/>
        <v>204.79</v>
      </c>
      <c r="D97" vm="287">
        <f ca="1"/>
        <v>9260490</v>
      </c>
      <c r="E97">
        <f t="shared" ca="1" si="21"/>
        <v>1896455747.0999999</v>
      </c>
      <c r="F97">
        <f ca="1">SUM($E$2:E97)/SUM($D$2:D97)</f>
        <v>184.20096552596004</v>
      </c>
      <c r="G97">
        <f ca="1">_xlfn.STDEV.P($C$2:C97)</f>
        <v>10.569259702128699</v>
      </c>
      <c r="H97">
        <f t="shared" ca="1" si="22"/>
        <v>194.77022522808875</v>
      </c>
      <c r="I97">
        <f t="shared" ca="1" si="23"/>
        <v>173.63170582383134</v>
      </c>
      <c r="J97">
        <f t="shared" ca="1" si="32"/>
        <v>195.291</v>
      </c>
      <c r="K97">
        <f t="shared" ca="1" si="33"/>
        <v>4.5886403214895797</v>
      </c>
      <c r="L97">
        <f t="shared" ca="1" si="34"/>
        <v>204.46828064297915</v>
      </c>
      <c r="M97">
        <f t="shared" ca="1" si="35"/>
        <v>186.11371935702084</v>
      </c>
      <c r="N97">
        <f t="shared" ca="1" si="24"/>
        <v>2.3199999999999932</v>
      </c>
      <c r="O97">
        <f t="shared" ca="1" si="25"/>
        <v>2.3199999999999932</v>
      </c>
      <c r="P97">
        <f t="shared" ca="1" si="26"/>
        <v>0</v>
      </c>
      <c r="Q97">
        <f t="shared" ca="1" si="30"/>
        <v>1.1060474170320092</v>
      </c>
      <c r="R97">
        <f t="shared" ca="1" si="31"/>
        <v>0.37782782380398594</v>
      </c>
      <c r="S97">
        <f t="shared" ca="1" si="28"/>
        <v>2.9273847698570177</v>
      </c>
      <c r="T97">
        <f t="shared" ca="1" si="29"/>
        <v>74.537763458394053</v>
      </c>
      <c r="U97">
        <f>70</f>
        <v>70</v>
      </c>
      <c r="V97">
        <f>30</f>
        <v>30</v>
      </c>
      <c r="W97">
        <f t="shared" ca="1" si="27"/>
        <v>198.62002387597292</v>
      </c>
      <c r="X97">
        <f t="shared" ca="1" si="37"/>
        <v>195.46401243097728</v>
      </c>
      <c r="Y97">
        <f t="shared" ca="1" si="36"/>
        <v>2.679723792297267</v>
      </c>
      <c r="Z97">
        <f t="shared" ca="1" si="18"/>
        <v>2.0922932391210236</v>
      </c>
      <c r="AA97">
        <f t="shared" ca="1" si="19"/>
        <v>0.58743055317624338</v>
      </c>
    </row>
    <row r="98" spans="1:28" x14ac:dyDescent="0.25">
      <c r="A98" s="20">
        <f t="shared" ca="1" si="20"/>
        <v>45432</v>
      </c>
      <c r="B98" vm="288">
        <f ca="1"/>
        <v>45432</v>
      </c>
      <c r="C98" vm="289">
        <f ca="1"/>
        <v>195.58</v>
      </c>
      <c r="D98" vm="290">
        <f ca="1"/>
        <v>17373253</v>
      </c>
      <c r="E98">
        <f t="shared" ca="1" si="21"/>
        <v>3397860821.7400002</v>
      </c>
      <c r="F98">
        <f ca="1">SUM($E$2:E98)/SUM($D$2:D98)</f>
        <v>184.42067548222059</v>
      </c>
      <c r="G98">
        <f ca="1">_xlfn.STDEV.P($C$2:C98)</f>
        <v>10.566465042004271</v>
      </c>
      <c r="H98">
        <f t="shared" ca="1" si="22"/>
        <v>194.98714052422486</v>
      </c>
      <c r="I98">
        <f t="shared" ca="1" si="23"/>
        <v>173.85421044021632</v>
      </c>
      <c r="J98">
        <f t="shared" ca="1" si="32"/>
        <v>195.59949999999998</v>
      </c>
      <c r="K98">
        <f t="shared" ca="1" si="33"/>
        <v>4.3748725996488043</v>
      </c>
      <c r="L98">
        <f t="shared" ca="1" si="34"/>
        <v>204.3492451992976</v>
      </c>
      <c r="M98">
        <f t="shared" ca="1" si="35"/>
        <v>186.84975480070236</v>
      </c>
      <c r="N98">
        <f t="shared" ca="1" si="24"/>
        <v>-9.2099999999999795</v>
      </c>
      <c r="O98">
        <f t="shared" ca="1" si="25"/>
        <v>0</v>
      </c>
      <c r="P98">
        <f t="shared" ca="1" si="26"/>
        <v>9.2099999999999795</v>
      </c>
      <c r="Q98">
        <f t="shared" ca="1" si="30"/>
        <v>1.0270440301011514</v>
      </c>
      <c r="R98">
        <f t="shared" ca="1" si="31"/>
        <v>1.0086972649608426</v>
      </c>
      <c r="S98">
        <f t="shared" ca="1" si="28"/>
        <v>1.0181885742904448</v>
      </c>
      <c r="T98">
        <f t="shared" ca="1" si="29"/>
        <v>50.450616323027191</v>
      </c>
      <c r="U98">
        <f>70</f>
        <v>70</v>
      </c>
      <c r="V98">
        <f>30</f>
        <v>30</v>
      </c>
      <c r="W98">
        <f t="shared" ca="1" si="27"/>
        <v>198.15232789505401</v>
      </c>
      <c r="X98">
        <f t="shared" ca="1" si="37"/>
        <v>195.47260410275675</v>
      </c>
      <c r="Y98">
        <f t="shared" ca="1" si="36"/>
        <v>2.5903277818663923</v>
      </c>
      <c r="Z98">
        <f t="shared" ca="1" si="18"/>
        <v>2.1919001476700974</v>
      </c>
      <c r="AA98">
        <f t="shared" ca="1" si="19"/>
        <v>0.3984276341962949</v>
      </c>
    </row>
    <row r="99" spans="1:28" x14ac:dyDescent="0.25">
      <c r="A99" s="20">
        <f t="shared" ca="1" si="20"/>
        <v>45432</v>
      </c>
      <c r="B99" vm="291">
        <f ca="1"/>
        <v>45433</v>
      </c>
      <c r="C99" vm="179">
        <f ca="1"/>
        <v>199.52</v>
      </c>
      <c r="D99" vm="292">
        <f ca="1"/>
        <v>14420799</v>
      </c>
      <c r="E99">
        <f t="shared" ca="1" si="21"/>
        <v>2877237816.48</v>
      </c>
      <c r="F99">
        <f ca="1">SUM($E$2:E99)/SUM($D$2:D99)</f>
        <v>184.6588551964044</v>
      </c>
      <c r="G99">
        <f ca="1">_xlfn.STDEV.P($C$2:C99)</f>
        <v>10.608587662592921</v>
      </c>
      <c r="H99">
        <f t="shared" ca="1" si="22"/>
        <v>195.26744285899733</v>
      </c>
      <c r="I99">
        <f t="shared" ca="1" si="23"/>
        <v>174.05026753381148</v>
      </c>
      <c r="J99">
        <f t="shared" ca="1" si="32"/>
        <v>195.96850000000001</v>
      </c>
      <c r="K99">
        <f t="shared" ca="1" si="33"/>
        <v>4.3789547839638612</v>
      </c>
      <c r="L99">
        <f t="shared" ca="1" si="34"/>
        <v>204.72640956792773</v>
      </c>
      <c r="M99">
        <f t="shared" ca="1" si="35"/>
        <v>187.21059043207228</v>
      </c>
      <c r="N99">
        <f t="shared" ca="1" si="24"/>
        <v>3.9399999999999977</v>
      </c>
      <c r="O99">
        <f t="shared" ca="1" si="25"/>
        <v>3.9399999999999977</v>
      </c>
      <c r="P99">
        <f t="shared" ca="1" si="26"/>
        <v>0</v>
      </c>
      <c r="Q99">
        <f t="shared" ca="1" si="30"/>
        <v>1.2351123136653546</v>
      </c>
      <c r="R99">
        <f t="shared" ca="1" si="31"/>
        <v>0.93664746032078239</v>
      </c>
      <c r="S99">
        <f t="shared" ca="1" si="28"/>
        <v>1.3186522848653794</v>
      </c>
      <c r="T99">
        <f t="shared" ca="1" si="29"/>
        <v>56.871497872823142</v>
      </c>
      <c r="U99">
        <f>70</f>
        <v>70</v>
      </c>
      <c r="V99">
        <f>30</f>
        <v>30</v>
      </c>
      <c r="W99">
        <f t="shared" ca="1" si="27"/>
        <v>198.36273898812263</v>
      </c>
      <c r="X99">
        <f t="shared" ca="1" si="37"/>
        <v>195.77241120625624</v>
      </c>
      <c r="Y99">
        <f t="shared" ca="1" si="36"/>
        <v>2.3942445511086703</v>
      </c>
      <c r="Z99">
        <f t="shared" ca="1" si="18"/>
        <v>2.2323690283578119</v>
      </c>
      <c r="AA99">
        <f t="shared" ca="1" si="19"/>
        <v>0.16187552275085837</v>
      </c>
    </row>
    <row r="100" spans="1:28" x14ac:dyDescent="0.25">
      <c r="A100" s="20">
        <f t="shared" ca="1" si="20"/>
        <v>45432</v>
      </c>
      <c r="B100" vm="293">
        <f ca="1"/>
        <v>45434</v>
      </c>
      <c r="C100" vm="294">
        <f ca="1"/>
        <v>198.31</v>
      </c>
      <c r="D100" vm="295">
        <f ca="1"/>
        <v>9425338</v>
      </c>
      <c r="E100">
        <f t="shared" ca="1" si="21"/>
        <v>1869138778.78</v>
      </c>
      <c r="F100">
        <f ca="1">SUM($E$2:E100)/SUM($D$2:D100)</f>
        <v>184.79816103562089</v>
      </c>
      <c r="G100">
        <f ca="1">_xlfn.STDEV.P($C$2:C100)</f>
        <v>10.632517403900668</v>
      </c>
      <c r="H100">
        <f t="shared" ca="1" si="22"/>
        <v>195.43067843952156</v>
      </c>
      <c r="I100">
        <f t="shared" ca="1" si="23"/>
        <v>174.16564363172023</v>
      </c>
      <c r="J100">
        <f t="shared" ca="1" si="32"/>
        <v>196.23000000000002</v>
      </c>
      <c r="K100">
        <f t="shared" ca="1" si="33"/>
        <v>4.3534692759731399</v>
      </c>
      <c r="L100">
        <f t="shared" ca="1" si="34"/>
        <v>204.9369385519463</v>
      </c>
      <c r="M100">
        <f t="shared" ca="1" si="35"/>
        <v>187.52306144805374</v>
      </c>
      <c r="N100">
        <f t="shared" ca="1" si="24"/>
        <v>-1.210000000000008</v>
      </c>
      <c r="O100">
        <f t="shared" ca="1" si="25"/>
        <v>0</v>
      </c>
      <c r="P100">
        <f t="shared" ca="1" si="26"/>
        <v>1.210000000000008</v>
      </c>
      <c r="Q100">
        <f t="shared" ca="1" si="30"/>
        <v>1.1468900055464009</v>
      </c>
      <c r="R100">
        <f t="shared" ca="1" si="31"/>
        <v>0.95617264172644134</v>
      </c>
      <c r="S100">
        <f t="shared" ca="1" si="28"/>
        <v>1.1994591305975928</v>
      </c>
      <c r="T100">
        <f t="shared" ca="1" si="29"/>
        <v>54.534276809758218</v>
      </c>
      <c r="U100">
        <f>70</f>
        <v>70</v>
      </c>
      <c r="V100">
        <f>30</f>
        <v>30</v>
      </c>
      <c r="W100">
        <f t="shared" ca="1" si="27"/>
        <v>198.35462529764223</v>
      </c>
      <c r="X100">
        <f t="shared" ca="1" si="37"/>
        <v>195.96038074653356</v>
      </c>
      <c r="Y100">
        <f t="shared" ca="1" si="36"/>
        <v>2.102450059191824</v>
      </c>
      <c r="Z100">
        <f t="shared" ca="1" si="18"/>
        <v>2.2063852345246144</v>
      </c>
      <c r="AA100">
        <f t="shared" ca="1" si="19"/>
        <v>-0.1039351753327904</v>
      </c>
    </row>
    <row r="101" spans="1:28" x14ac:dyDescent="0.25">
      <c r="A101" s="20">
        <f t="shared" ca="1" si="20"/>
        <v>45432</v>
      </c>
      <c r="B101" vm="296">
        <f ca="1"/>
        <v>45435</v>
      </c>
      <c r="C101" vm="297">
        <f ca="1"/>
        <v>196.92</v>
      </c>
      <c r="D101" vm="298">
        <f ca="1"/>
        <v>8069445</v>
      </c>
      <c r="E101">
        <f t="shared" ca="1" si="21"/>
        <v>1589035109.3999999</v>
      </c>
      <c r="F101">
        <f ca="1">SUM($E$2:E101)/SUM($D$2:D101)</f>
        <v>184.9031485545157</v>
      </c>
      <c r="G101">
        <f ca="1">_xlfn.STDEV.P($C$2:C101)</f>
        <v>10.638874855453464</v>
      </c>
      <c r="H101">
        <f t="shared" ca="1" si="22"/>
        <v>195.54202340996915</v>
      </c>
      <c r="I101">
        <f t="shared" ca="1" si="23"/>
        <v>174.26427369906224</v>
      </c>
      <c r="J101">
        <f t="shared" ca="1" si="32"/>
        <v>196.40749999999997</v>
      </c>
      <c r="K101">
        <f t="shared" ca="1" si="33"/>
        <v>4.3027994253435553</v>
      </c>
      <c r="L101">
        <f t="shared" ca="1" si="34"/>
        <v>205.01309885068707</v>
      </c>
      <c r="M101">
        <f t="shared" ca="1" si="35"/>
        <v>187.80190114931287</v>
      </c>
      <c r="N101">
        <f t="shared" ca="1" si="24"/>
        <v>-1.3900000000000148</v>
      </c>
      <c r="O101">
        <f t="shared" ca="1" si="25"/>
        <v>0</v>
      </c>
      <c r="P101">
        <f t="shared" ca="1" si="26"/>
        <v>1.3900000000000148</v>
      </c>
      <c r="Q101">
        <f t="shared" ca="1" si="30"/>
        <v>1.064969290864515</v>
      </c>
      <c r="R101">
        <f t="shared" ca="1" si="31"/>
        <v>0.98716031017455375</v>
      </c>
      <c r="S101">
        <f t="shared" ca="1" si="28"/>
        <v>1.0788210181142743</v>
      </c>
      <c r="T101">
        <f t="shared" ca="1" si="29"/>
        <v>51.895810592336943</v>
      </c>
      <c r="U101">
        <f>70</f>
        <v>70</v>
      </c>
      <c r="V101">
        <f>30</f>
        <v>30</v>
      </c>
      <c r="W101">
        <f t="shared" ca="1" si="27"/>
        <v>198.13391371338957</v>
      </c>
      <c r="X101">
        <f t="shared" ca="1" si="37"/>
        <v>196.03146365419775</v>
      </c>
      <c r="Y101">
        <f t="shared" ca="1" si="36"/>
        <v>2.1522127785254668</v>
      </c>
      <c r="Z101">
        <f t="shared" ca="1" si="18"/>
        <v>2.1955507433247852</v>
      </c>
      <c r="AA101">
        <f t="shared" ca="1" si="19"/>
        <v>-4.3337964799318396E-2</v>
      </c>
      <c r="AB101">
        <f ca="1">AVERAGE(C2:C101)</f>
        <v>185.7259</v>
      </c>
    </row>
    <row r="102" spans="1:28" x14ac:dyDescent="0.25">
      <c r="A102" s="20">
        <f t="shared" ca="1" si="20"/>
        <v>45432</v>
      </c>
      <c r="B102" vm="299">
        <f ca="1"/>
        <v>45436</v>
      </c>
      <c r="C102" vm="300">
        <f ca="1"/>
        <v>200.71</v>
      </c>
      <c r="D102" vm="301">
        <f ca="1"/>
        <v>7356233</v>
      </c>
      <c r="E102">
        <f t="shared" ca="1" si="21"/>
        <v>1476469525.4300001</v>
      </c>
      <c r="F102">
        <f ca="1">SUM($E$2:E102)/SUM($D$2:D102)</f>
        <v>185.02697426484903</v>
      </c>
      <c r="G102">
        <f ca="1">_xlfn.STDEV.P($C$2:C102)</f>
        <v>10.689527617542659</v>
      </c>
      <c r="H102">
        <f t="shared" ca="1" si="22"/>
        <v>195.7165018823917</v>
      </c>
      <c r="I102">
        <f t="shared" ca="1" si="23"/>
        <v>174.33744664730636</v>
      </c>
      <c r="J102">
        <f t="shared" ca="1" si="32"/>
        <v>196.76849999999999</v>
      </c>
      <c r="K102">
        <f t="shared" ca="1" si="33"/>
        <v>4.3477813761431054</v>
      </c>
      <c r="L102">
        <f t="shared" ca="1" si="34"/>
        <v>205.4640627522862</v>
      </c>
      <c r="M102">
        <f t="shared" ca="1" si="35"/>
        <v>188.07293724771378</v>
      </c>
      <c r="N102">
        <f t="shared" ca="1" si="24"/>
        <v>3.7900000000000205</v>
      </c>
      <c r="O102">
        <f t="shared" ca="1" si="25"/>
        <v>3.7900000000000205</v>
      </c>
      <c r="P102">
        <f t="shared" ca="1" si="26"/>
        <v>0</v>
      </c>
      <c r="Q102">
        <f t="shared" ca="1" si="30"/>
        <v>1.2596143415170513</v>
      </c>
      <c r="R102">
        <f t="shared" ca="1" si="31"/>
        <v>0.91664885944779984</v>
      </c>
      <c r="S102">
        <f t="shared" ca="1" si="28"/>
        <v>1.3741514305443614</v>
      </c>
      <c r="T102">
        <f t="shared" ca="1" si="29"/>
        <v>57.879687574490006</v>
      </c>
      <c r="U102">
        <f>70</f>
        <v>70</v>
      </c>
      <c r="V102">
        <f>30</f>
        <v>30</v>
      </c>
      <c r="W102">
        <f t="shared" ca="1" si="27"/>
        <v>198.53023468056043</v>
      </c>
      <c r="X102">
        <f t="shared" ca="1" si="37"/>
        <v>196.37802190203496</v>
      </c>
      <c r="Y102">
        <f t="shared" ca="1" si="36"/>
        <v>2.0701498061683594</v>
      </c>
      <c r="Z102">
        <f t="shared" ref="Z102:Z165" ca="1" si="38">Y102*(2/(9+1)) + Z101*(1-(2/(9+1)))</f>
        <v>2.1704705558935</v>
      </c>
      <c r="AA102">
        <f t="shared" ref="AA102:AA165" ca="1" si="39">Y102-Z102</f>
        <v>-0.1003207497251406</v>
      </c>
      <c r="AB102">
        <f t="shared" ref="AB102:AB165" ca="1" si="40">AVERAGE(C3:C102)</f>
        <v>186.01219999999998</v>
      </c>
    </row>
    <row r="103" spans="1:28" x14ac:dyDescent="0.25">
      <c r="A103" s="20">
        <f t="shared" ca="1" si="20"/>
        <v>45439</v>
      </c>
      <c r="B103" vm="302">
        <f ca="1"/>
        <v>45440</v>
      </c>
      <c r="C103" vm="303">
        <f ca="1"/>
        <v>199.5</v>
      </c>
      <c r="D103" vm="304">
        <f ca="1"/>
        <v>6910206</v>
      </c>
      <c r="E103">
        <f t="shared" ca="1" si="21"/>
        <v>1378586097</v>
      </c>
      <c r="F103">
        <f ca="1">SUM($E$2:E103)/SUM($D$2:D103)</f>
        <v>185.13269889333429</v>
      </c>
      <c r="G103">
        <f ca="1">_xlfn.STDEV.P($C$2:C103)</f>
        <v>10.721385411963544</v>
      </c>
      <c r="H103">
        <f t="shared" ca="1" si="22"/>
        <v>195.85408430529785</v>
      </c>
      <c r="I103">
        <f t="shared" ca="1" si="23"/>
        <v>174.41131348137074</v>
      </c>
      <c r="J103">
        <f t="shared" ca="1" si="32"/>
        <v>197.0795</v>
      </c>
      <c r="K103">
        <f t="shared" ca="1" si="33"/>
        <v>4.3073859150362441</v>
      </c>
      <c r="L103">
        <f t="shared" ca="1" si="34"/>
        <v>205.69427183007249</v>
      </c>
      <c r="M103">
        <f t="shared" ca="1" si="35"/>
        <v>188.4647281699275</v>
      </c>
      <c r="N103">
        <f t="shared" ca="1" si="24"/>
        <v>-1.210000000000008</v>
      </c>
      <c r="O103">
        <f t="shared" ca="1" si="25"/>
        <v>0</v>
      </c>
      <c r="P103">
        <f t="shared" ca="1" si="26"/>
        <v>1.210000000000008</v>
      </c>
      <c r="Q103">
        <f t="shared" ca="1" si="30"/>
        <v>1.1696418885515476</v>
      </c>
      <c r="R103">
        <f t="shared" ca="1" si="31"/>
        <v>0.93760251234438619</v>
      </c>
      <c r="S103">
        <f t="shared" ca="1" si="28"/>
        <v>1.2474816067066299</v>
      </c>
      <c r="T103">
        <f t="shared" ca="1" si="29"/>
        <v>55.505753772759</v>
      </c>
      <c r="U103">
        <f>70</f>
        <v>70</v>
      </c>
      <c r="V103">
        <f>30</f>
        <v>30</v>
      </c>
      <c r="W103">
        <f t="shared" ca="1" si="27"/>
        <v>198.6794293450896</v>
      </c>
      <c r="X103">
        <f t="shared" ca="1" si="37"/>
        <v>196.60927953892124</v>
      </c>
      <c r="Y103">
        <f t="shared" ca="1" si="36"/>
        <v>1.871380812940771</v>
      </c>
      <c r="Z103">
        <f t="shared" ca="1" si="38"/>
        <v>2.1106526073029541</v>
      </c>
      <c r="AA103">
        <f t="shared" ca="1" si="39"/>
        <v>-0.23927179436218315</v>
      </c>
      <c r="AB103">
        <f t="shared" ca="1" si="40"/>
        <v>186.29389999999995</v>
      </c>
    </row>
    <row r="104" spans="1:28" x14ac:dyDescent="0.25">
      <c r="A104" s="20">
        <f t="shared" ca="1" si="20"/>
        <v>45439</v>
      </c>
      <c r="B104" vm="305">
        <f ca="1"/>
        <v>45441</v>
      </c>
      <c r="C104" vm="306">
        <f ca="1"/>
        <v>198.11</v>
      </c>
      <c r="D104" vm="307">
        <f ca="1"/>
        <v>6120045</v>
      </c>
      <c r="E104">
        <f t="shared" ca="1" si="21"/>
        <v>1212442114.95</v>
      </c>
      <c r="F104">
        <f ca="1">SUM($E$2:E104)/SUM($D$2:D104)</f>
        <v>185.21611773496412</v>
      </c>
      <c r="G104">
        <f ca="1">_xlfn.STDEV.P($C$2:C104)</f>
        <v>10.735001712982438</v>
      </c>
      <c r="H104">
        <f t="shared" ca="1" si="22"/>
        <v>195.95111944794655</v>
      </c>
      <c r="I104">
        <f t="shared" ca="1" si="23"/>
        <v>174.48111602198168</v>
      </c>
      <c r="J104">
        <f t="shared" ca="1" si="32"/>
        <v>197.398</v>
      </c>
      <c r="K104">
        <f t="shared" ca="1" si="33"/>
        <v>4.1233655134968004</v>
      </c>
      <c r="L104">
        <f t="shared" ca="1" si="34"/>
        <v>205.64473102699361</v>
      </c>
      <c r="M104">
        <f t="shared" ca="1" si="35"/>
        <v>189.15126897300638</v>
      </c>
      <c r="N104">
        <f t="shared" ca="1" si="24"/>
        <v>-1.3899999999999864</v>
      </c>
      <c r="O104">
        <f t="shared" ca="1" si="25"/>
        <v>0</v>
      </c>
      <c r="P104">
        <f t="shared" ca="1" si="26"/>
        <v>1.3899999999999864</v>
      </c>
      <c r="Q104">
        <f t="shared" ca="1" si="30"/>
        <v>1.0860960393692942</v>
      </c>
      <c r="R104">
        <f t="shared" ca="1" si="31"/>
        <v>0.96991661860550049</v>
      </c>
      <c r="S104">
        <f t="shared" ca="1" si="28"/>
        <v>1.1197828952872577</v>
      </c>
      <c r="T104">
        <f t="shared" ca="1" si="29"/>
        <v>52.825357623970859</v>
      </c>
      <c r="U104">
        <f>70</f>
        <v>70</v>
      </c>
      <c r="V104">
        <f>30</f>
        <v>30</v>
      </c>
      <c r="W104">
        <f t="shared" ca="1" si="27"/>
        <v>198.59182483046044</v>
      </c>
      <c r="X104">
        <f t="shared" ca="1" si="37"/>
        <v>196.72044401751967</v>
      </c>
      <c r="Y104">
        <f t="shared" ca="1" si="36"/>
        <v>1.7916457804925017</v>
      </c>
      <c r="Z104">
        <f t="shared" ca="1" si="38"/>
        <v>2.0468512419408635</v>
      </c>
      <c r="AA104">
        <f t="shared" ca="1" si="39"/>
        <v>-0.25520546144836187</v>
      </c>
      <c r="AB104">
        <f t="shared" ca="1" si="40"/>
        <v>186.5609</v>
      </c>
    </row>
    <row r="105" spans="1:28" x14ac:dyDescent="0.25">
      <c r="A105" s="20">
        <f t="shared" ca="1" si="20"/>
        <v>45439</v>
      </c>
      <c r="B105" vm="308">
        <f ca="1"/>
        <v>45442</v>
      </c>
      <c r="C105" vm="309">
        <f ca="1"/>
        <v>199.33</v>
      </c>
      <c r="D105" vm="310">
        <f ca="1"/>
        <v>6829719</v>
      </c>
      <c r="E105">
        <f t="shared" ca="1" si="21"/>
        <v>1361367888.27</v>
      </c>
      <c r="F105">
        <f ca="1">SUM($E$2:E105)/SUM($D$2:D105)</f>
        <v>185.31664184005015</v>
      </c>
      <c r="G105">
        <f ca="1">_xlfn.STDEV.P($C$2:C105)</f>
        <v>10.760698364415797</v>
      </c>
      <c r="H105">
        <f t="shared" ca="1" si="22"/>
        <v>196.07734020446594</v>
      </c>
      <c r="I105">
        <f t="shared" ca="1" si="23"/>
        <v>174.55594347563436</v>
      </c>
      <c r="J105">
        <f t="shared" ca="1" si="32"/>
        <v>197.7715</v>
      </c>
      <c r="K105">
        <f t="shared" ca="1" si="33"/>
        <v>3.9290674867949877</v>
      </c>
      <c r="L105">
        <f t="shared" ca="1" si="34"/>
        <v>205.62963497358999</v>
      </c>
      <c r="M105">
        <f t="shared" ca="1" si="35"/>
        <v>189.91336502641002</v>
      </c>
      <c r="N105">
        <f t="shared" ca="1" si="24"/>
        <v>1.2199999999999989</v>
      </c>
      <c r="O105">
        <f t="shared" ca="1" si="25"/>
        <v>1.2199999999999989</v>
      </c>
      <c r="P105">
        <f t="shared" ca="1" si="26"/>
        <v>0</v>
      </c>
      <c r="Q105">
        <f t="shared" ca="1" si="30"/>
        <v>1.0956606079857731</v>
      </c>
      <c r="R105">
        <f t="shared" ca="1" si="31"/>
        <v>0.90063686013367905</v>
      </c>
      <c r="S105">
        <f t="shared" ca="1" si="28"/>
        <v>1.2165398247448447</v>
      </c>
      <c r="T105">
        <f t="shared" ca="1" si="29"/>
        <v>54.884636457406572</v>
      </c>
      <c r="U105">
        <f>70</f>
        <v>70</v>
      </c>
      <c r="V105">
        <f>30</f>
        <v>30</v>
      </c>
      <c r="W105">
        <f t="shared" ca="1" si="27"/>
        <v>198.70539024115885</v>
      </c>
      <c r="X105">
        <f t="shared" ca="1" si="37"/>
        <v>196.91374446066635</v>
      </c>
      <c r="Y105">
        <f t="shared" ca="1" si="36"/>
        <v>1.9720055609903397</v>
      </c>
      <c r="Z105">
        <f t="shared" ca="1" si="38"/>
        <v>2.0318821057507588</v>
      </c>
      <c r="AA105">
        <f t="shared" ca="1" si="39"/>
        <v>-5.9876544760419037E-2</v>
      </c>
      <c r="AB105">
        <f t="shared" ca="1" si="40"/>
        <v>186.83150000000001</v>
      </c>
    </row>
    <row r="106" spans="1:28" x14ac:dyDescent="0.25">
      <c r="A106" s="20">
        <f t="shared" ca="1" si="20"/>
        <v>45439</v>
      </c>
      <c r="B106" vm="311">
        <f ca="1"/>
        <v>45443</v>
      </c>
      <c r="C106" vm="312">
        <f ca="1"/>
        <v>202.63</v>
      </c>
      <c r="D106" vm="313">
        <f ca="1"/>
        <v>14417885</v>
      </c>
      <c r="E106">
        <f t="shared" ca="1" si="21"/>
        <v>2921496037.5499997</v>
      </c>
      <c r="F106">
        <f ca="1">SUM($E$2:E106)/SUM($D$2:D106)</f>
        <v>185.5731035070236</v>
      </c>
      <c r="G106">
        <f ca="1">_xlfn.STDEV.P($C$2:C106)</f>
        <v>10.826821936824336</v>
      </c>
      <c r="H106">
        <f t="shared" ca="1" si="22"/>
        <v>196.39992544384793</v>
      </c>
      <c r="I106">
        <f t="shared" ca="1" si="23"/>
        <v>174.74628157019927</v>
      </c>
      <c r="J106">
        <f t="shared" ca="1" si="32"/>
        <v>198.32000000000002</v>
      </c>
      <c r="K106">
        <f t="shared" ca="1" si="33"/>
        <v>3.7943961450095274</v>
      </c>
      <c r="L106">
        <f t="shared" ca="1" si="34"/>
        <v>205.90879229001908</v>
      </c>
      <c r="M106">
        <f t="shared" ca="1" si="35"/>
        <v>190.73120770998096</v>
      </c>
      <c r="N106">
        <f t="shared" ca="1" si="24"/>
        <v>3.2999999999999829</v>
      </c>
      <c r="O106">
        <f t="shared" ca="1" si="25"/>
        <v>3.2999999999999829</v>
      </c>
      <c r="P106">
        <f t="shared" ca="1" si="26"/>
        <v>0</v>
      </c>
      <c r="Q106">
        <f t="shared" ca="1" si="30"/>
        <v>1.2531134217010738</v>
      </c>
      <c r="R106">
        <f t="shared" ca="1" si="31"/>
        <v>0.83630565583841621</v>
      </c>
      <c r="S106">
        <f t="shared" ca="1" si="28"/>
        <v>1.4983916621307527</v>
      </c>
      <c r="T106">
        <f t="shared" ca="1" si="29"/>
        <v>59.974250028230152</v>
      </c>
      <c r="U106">
        <f>70</f>
        <v>70</v>
      </c>
      <c r="V106">
        <f>30</f>
        <v>30</v>
      </c>
      <c r="W106">
        <f t="shared" ca="1" si="27"/>
        <v>199.30917635790365</v>
      </c>
      <c r="X106">
        <f t="shared" ca="1" si="37"/>
        <v>197.33717079691331</v>
      </c>
      <c r="Y106">
        <f t="shared" ca="1" si="36"/>
        <v>2.0262246988619665</v>
      </c>
      <c r="Z106">
        <f t="shared" ca="1" si="38"/>
        <v>2.0307506243730002</v>
      </c>
      <c r="AA106">
        <f t="shared" ca="1" si="39"/>
        <v>-4.5259255110337016E-3</v>
      </c>
      <c r="AB106">
        <f t="shared" ca="1" si="40"/>
        <v>187.13760000000002</v>
      </c>
    </row>
    <row r="107" spans="1:28" x14ac:dyDescent="0.25">
      <c r="A107" s="20">
        <f t="shared" ca="1" si="20"/>
        <v>45446</v>
      </c>
      <c r="B107" vm="314">
        <f ca="1"/>
        <v>45446</v>
      </c>
      <c r="C107" vm="315">
        <f ca="1"/>
        <v>201.82</v>
      </c>
      <c r="D107" vm="316">
        <f ca="1"/>
        <v>6444309</v>
      </c>
      <c r="E107">
        <f t="shared" ca="1" si="21"/>
        <v>1300590442.3799999</v>
      </c>
      <c r="F107">
        <f ca="1">SUM($E$2:E107)/SUM($D$2:D107)</f>
        <v>185.67996479988702</v>
      </c>
      <c r="G107">
        <f ca="1">_xlfn.STDEV.P($C$2:C107)</f>
        <v>10.878136227493608</v>
      </c>
      <c r="H107">
        <f t="shared" ca="1" si="22"/>
        <v>196.55810102738062</v>
      </c>
      <c r="I107">
        <f t="shared" ca="1" si="23"/>
        <v>174.80182857239342</v>
      </c>
      <c r="J107">
        <f t="shared" ca="1" si="32"/>
        <v>198.88550000000004</v>
      </c>
      <c r="K107">
        <f t="shared" ca="1" si="33"/>
        <v>3.3904625907016523</v>
      </c>
      <c r="L107">
        <f t="shared" ca="1" si="34"/>
        <v>205.66642518140333</v>
      </c>
      <c r="M107">
        <f t="shared" ca="1" si="35"/>
        <v>192.10457481859675</v>
      </c>
      <c r="N107">
        <f t="shared" ca="1" si="24"/>
        <v>-0.81000000000000227</v>
      </c>
      <c r="O107">
        <f t="shared" ca="1" si="25"/>
        <v>0</v>
      </c>
      <c r="P107">
        <f t="shared" ca="1" si="26"/>
        <v>0.81000000000000227</v>
      </c>
      <c r="Q107">
        <f t="shared" ca="1" si="30"/>
        <v>1.163605320150997</v>
      </c>
      <c r="R107">
        <f t="shared" ca="1" si="31"/>
        <v>0.83442668042138657</v>
      </c>
      <c r="S107">
        <f t="shared" ca="1" si="28"/>
        <v>1.3944967813869216</v>
      </c>
      <c r="T107">
        <f t="shared" ca="1" si="29"/>
        <v>58.237571761496049</v>
      </c>
      <c r="U107">
        <f>70</f>
        <v>70</v>
      </c>
      <c r="V107">
        <f>30</f>
        <v>30</v>
      </c>
      <c r="W107">
        <f t="shared" ca="1" si="27"/>
        <v>199.69545691822617</v>
      </c>
      <c r="X107">
        <f t="shared" ca="1" si="37"/>
        <v>197.6692322193642</v>
      </c>
      <c r="Y107">
        <f t="shared" ca="1" si="36"/>
        <v>1.8334194684325098</v>
      </c>
      <c r="Z107">
        <f t="shared" ca="1" si="38"/>
        <v>1.9912843931849022</v>
      </c>
      <c r="AA107">
        <f t="shared" ca="1" si="39"/>
        <v>-0.15786492475239244</v>
      </c>
      <c r="AB107">
        <f t="shared" ca="1" si="40"/>
        <v>187.44920000000002</v>
      </c>
    </row>
    <row r="108" spans="1:28" x14ac:dyDescent="0.25">
      <c r="A108" s="20">
        <f t="shared" ca="1" si="20"/>
        <v>45446</v>
      </c>
      <c r="B108" vm="317">
        <f ca="1"/>
        <v>45447</v>
      </c>
      <c r="C108" vm="318">
        <f ca="1"/>
        <v>199.16</v>
      </c>
      <c r="D108" vm="319">
        <f ca="1"/>
        <v>6848338</v>
      </c>
      <c r="E108">
        <f t="shared" ca="1" si="21"/>
        <v>1363914996.0799999</v>
      </c>
      <c r="F108">
        <f ca="1">SUM($E$2:E108)/SUM($D$2:D108)</f>
        <v>185.77353225915027</v>
      </c>
      <c r="G108">
        <f ca="1">_xlfn.STDEV.P($C$2:C108)</f>
        <v>10.894919488513581</v>
      </c>
      <c r="H108">
        <f t="shared" ca="1" si="22"/>
        <v>196.66845174766385</v>
      </c>
      <c r="I108">
        <f t="shared" ca="1" si="23"/>
        <v>174.87861277063669</v>
      </c>
      <c r="J108">
        <f t="shared" ca="1" si="32"/>
        <v>199.24350000000001</v>
      </c>
      <c r="K108">
        <f t="shared" ca="1" si="33"/>
        <v>2.9780906546591912</v>
      </c>
      <c r="L108">
        <f t="shared" ca="1" si="34"/>
        <v>205.19968130931841</v>
      </c>
      <c r="M108">
        <f t="shared" ca="1" si="35"/>
        <v>193.28731869068162</v>
      </c>
      <c r="N108">
        <f t="shared" ca="1" si="24"/>
        <v>-2.6599999999999966</v>
      </c>
      <c r="O108">
        <f t="shared" ca="1" si="25"/>
        <v>0</v>
      </c>
      <c r="P108">
        <f t="shared" ca="1" si="26"/>
        <v>2.6599999999999966</v>
      </c>
      <c r="Q108">
        <f t="shared" ca="1" si="30"/>
        <v>1.0804906544259258</v>
      </c>
      <c r="R108">
        <f t="shared" ca="1" si="31"/>
        <v>0.96482477467700156</v>
      </c>
      <c r="S108">
        <f t="shared" ca="1" si="28"/>
        <v>1.119882783677115</v>
      </c>
      <c r="T108">
        <f t="shared" ca="1" si="29"/>
        <v>52.827580482284212</v>
      </c>
      <c r="U108">
        <f>70</f>
        <v>70</v>
      </c>
      <c r="V108">
        <f>30</f>
        <v>30</v>
      </c>
      <c r="W108">
        <f t="shared" ca="1" si="27"/>
        <v>199.61307893080675</v>
      </c>
      <c r="X108">
        <f t="shared" ca="1" si="37"/>
        <v>197.77965946237424</v>
      </c>
      <c r="Y108">
        <f t="shared" ca="1" si="36"/>
        <v>1.5099006187406872</v>
      </c>
      <c r="Z108">
        <f t="shared" ca="1" si="38"/>
        <v>1.8950076382960592</v>
      </c>
      <c r="AA108">
        <f t="shared" ca="1" si="39"/>
        <v>-0.38510701955537208</v>
      </c>
      <c r="AB108">
        <f t="shared" ca="1" si="40"/>
        <v>187.73060000000001</v>
      </c>
    </row>
    <row r="109" spans="1:28" x14ac:dyDescent="0.25">
      <c r="A109" s="20">
        <f t="shared" ca="1" si="20"/>
        <v>45446</v>
      </c>
      <c r="B109" vm="320">
        <f ca="1"/>
        <v>45448</v>
      </c>
      <c r="C109" vm="321">
        <f ca="1"/>
        <v>197.26</v>
      </c>
      <c r="D109" vm="322">
        <f ca="1"/>
        <v>8351597</v>
      </c>
      <c r="E109">
        <f t="shared" ca="1" si="21"/>
        <v>1647436024.22</v>
      </c>
      <c r="F109">
        <f ca="1">SUM($E$2:E109)/SUM($D$2:D109)</f>
        <v>185.86994710125938</v>
      </c>
      <c r="G109">
        <f ca="1">_xlfn.STDEV.P($C$2:C109)</f>
        <v>10.891680598839962</v>
      </c>
      <c r="H109">
        <f t="shared" ca="1" si="22"/>
        <v>196.76162770009935</v>
      </c>
      <c r="I109">
        <f t="shared" ca="1" si="23"/>
        <v>174.97826650241942</v>
      </c>
      <c r="J109">
        <f t="shared" ca="1" si="32"/>
        <v>199.51900000000001</v>
      </c>
      <c r="K109">
        <f t="shared" ca="1" si="33"/>
        <v>2.4578036836509973</v>
      </c>
      <c r="L109">
        <f t="shared" ca="1" si="34"/>
        <v>204.43460736730199</v>
      </c>
      <c r="M109">
        <f t="shared" ca="1" si="35"/>
        <v>194.60339263269802</v>
      </c>
      <c r="N109">
        <f t="shared" ca="1" si="24"/>
        <v>-1.9000000000000057</v>
      </c>
      <c r="O109">
        <f t="shared" ca="1" si="25"/>
        <v>0</v>
      </c>
      <c r="P109">
        <f t="shared" ca="1" si="26"/>
        <v>1.9000000000000057</v>
      </c>
      <c r="Q109">
        <f t="shared" ca="1" si="30"/>
        <v>1.0033127505383597</v>
      </c>
      <c r="R109">
        <f t="shared" ca="1" si="31"/>
        <v>1.0316230050572162</v>
      </c>
      <c r="S109">
        <f t="shared" ca="1" si="28"/>
        <v>0.97255755796441712</v>
      </c>
      <c r="T109">
        <f t="shared" ca="1" si="29"/>
        <v>49.304394390805449</v>
      </c>
      <c r="U109">
        <f>70</f>
        <v>70</v>
      </c>
      <c r="V109">
        <f>30</f>
        <v>30</v>
      </c>
      <c r="W109">
        <f t="shared" ca="1" si="27"/>
        <v>199.25106678760571</v>
      </c>
      <c r="X109">
        <f t="shared" ca="1" si="37"/>
        <v>197.74116616886502</v>
      </c>
      <c r="Y109">
        <f t="shared" ca="1" si="36"/>
        <v>1.2113043619309281</v>
      </c>
      <c r="Z109">
        <f t="shared" ca="1" si="38"/>
        <v>1.7582669830230331</v>
      </c>
      <c r="AA109">
        <f t="shared" ca="1" si="39"/>
        <v>-0.54696262109210503</v>
      </c>
      <c r="AB109">
        <f t="shared" ca="1" si="40"/>
        <v>188.00020000000001</v>
      </c>
    </row>
    <row r="110" spans="1:28" x14ac:dyDescent="0.25">
      <c r="A110" s="20">
        <f t="shared" ca="1" si="20"/>
        <v>45446</v>
      </c>
      <c r="B110" vm="323">
        <f ca="1"/>
        <v>45449</v>
      </c>
      <c r="C110" vm="324">
        <f ca="1"/>
        <v>196.91</v>
      </c>
      <c r="D110" vm="325">
        <f ca="1"/>
        <v>7640289</v>
      </c>
      <c r="E110">
        <f t="shared" ca="1" si="21"/>
        <v>1504449306.99</v>
      </c>
      <c r="F110">
        <f ca="1">SUM($E$2:E110)/SUM($D$2:D110)</f>
        <v>185.95407628084581</v>
      </c>
      <c r="G110">
        <f ca="1">_xlfn.STDEV.P($C$2:C110)</f>
        <v>10.88462676545444</v>
      </c>
      <c r="H110">
        <f t="shared" ca="1" si="22"/>
        <v>196.83870304630025</v>
      </c>
      <c r="I110">
        <f t="shared" ca="1" si="23"/>
        <v>175.06944951539137</v>
      </c>
      <c r="J110">
        <f t="shared" ca="1" si="32"/>
        <v>199.58199999999997</v>
      </c>
      <c r="K110">
        <f t="shared" ca="1" si="33"/>
        <v>2.3679162502970934</v>
      </c>
      <c r="L110">
        <f t="shared" ca="1" si="34"/>
        <v>204.31783250059416</v>
      </c>
      <c r="M110">
        <f t="shared" ca="1" si="35"/>
        <v>194.84616749940577</v>
      </c>
      <c r="N110">
        <f t="shared" ca="1" si="24"/>
        <v>-0.34999999999999432</v>
      </c>
      <c r="O110">
        <f t="shared" ca="1" si="25"/>
        <v>0</v>
      </c>
      <c r="P110">
        <f t="shared" ca="1" si="26"/>
        <v>0.34999999999999432</v>
      </c>
      <c r="Q110">
        <f t="shared" ca="1" si="30"/>
        <v>0.93164755407133393</v>
      </c>
      <c r="R110">
        <f t="shared" ca="1" si="31"/>
        <v>0.9829356475531289</v>
      </c>
      <c r="S110">
        <f t="shared" ca="1" si="28"/>
        <v>0.94782151445064688</v>
      </c>
      <c r="T110">
        <f t="shared" ca="1" si="29"/>
        <v>48.660593766876289</v>
      </c>
      <c r="U110">
        <f>70</f>
        <v>70</v>
      </c>
      <c r="V110">
        <f>30</f>
        <v>30</v>
      </c>
      <c r="W110">
        <f t="shared" ca="1" si="27"/>
        <v>198.89090266643558</v>
      </c>
      <c r="X110">
        <f t="shared" ca="1" si="37"/>
        <v>197.67959830450465</v>
      </c>
      <c r="Y110">
        <f t="shared" ca="1" si="36"/>
        <v>1.2060645098785301</v>
      </c>
      <c r="Z110">
        <f t="shared" ca="1" si="38"/>
        <v>1.6478264883941327</v>
      </c>
      <c r="AA110">
        <f t="shared" ca="1" si="39"/>
        <v>-0.44176197851560262</v>
      </c>
      <c r="AB110">
        <f t="shared" ca="1" si="40"/>
        <v>188.27880000000002</v>
      </c>
    </row>
    <row r="111" spans="1:28" x14ac:dyDescent="0.25">
      <c r="A111" s="20">
        <f t="shared" ca="1" si="20"/>
        <v>45446</v>
      </c>
      <c r="B111" vm="326">
        <f ca="1"/>
        <v>45450</v>
      </c>
      <c r="C111" vm="327">
        <f ca="1"/>
        <v>199.95</v>
      </c>
      <c r="D111" vm="328">
        <f ca="1"/>
        <v>6964498</v>
      </c>
      <c r="E111">
        <f t="shared" ca="1" si="21"/>
        <v>1392551375.0999999</v>
      </c>
      <c r="F111">
        <f ca="1">SUM($E$2:E111)/SUM($D$2:D111)</f>
        <v>186.05062594637889</v>
      </c>
      <c r="G111">
        <f ca="1">_xlfn.STDEV.P($C$2:C111)</f>
        <v>10.906007367615304</v>
      </c>
      <c r="H111">
        <f t="shared" ca="1" si="22"/>
        <v>196.95663331399419</v>
      </c>
      <c r="I111">
        <f t="shared" ca="1" si="23"/>
        <v>175.14461857876358</v>
      </c>
      <c r="J111">
        <f t="shared" ca="1" si="32"/>
        <v>199.7045</v>
      </c>
      <c r="K111">
        <f t="shared" ca="1" si="33"/>
        <v>2.3173725480198004</v>
      </c>
      <c r="L111">
        <f t="shared" ca="1" si="34"/>
        <v>204.3392450960396</v>
      </c>
      <c r="M111">
        <f t="shared" ca="1" si="35"/>
        <v>195.06975490396039</v>
      </c>
      <c r="N111">
        <f t="shared" ca="1" si="24"/>
        <v>3.039999999999992</v>
      </c>
      <c r="O111">
        <f t="shared" ca="1" si="25"/>
        <v>3.039999999999992</v>
      </c>
      <c r="P111">
        <f t="shared" ca="1" si="26"/>
        <v>0</v>
      </c>
      <c r="Q111">
        <f t="shared" ca="1" si="30"/>
        <v>1.0822441573519523</v>
      </c>
      <c r="R111">
        <f t="shared" ca="1" si="31"/>
        <v>0.91272595844219118</v>
      </c>
      <c r="S111">
        <f t="shared" ca="1" si="28"/>
        <v>1.1857273777981387</v>
      </c>
      <c r="T111">
        <f t="shared" ca="1" si="29"/>
        <v>54.24864005650231</v>
      </c>
      <c r="U111">
        <f>70</f>
        <v>70</v>
      </c>
      <c r="V111">
        <f>30</f>
        <v>30</v>
      </c>
      <c r="W111">
        <f t="shared" ca="1" si="27"/>
        <v>199.05384071775319</v>
      </c>
      <c r="X111">
        <f t="shared" ca="1" si="37"/>
        <v>197.84777620787466</v>
      </c>
      <c r="Y111">
        <f t="shared" ca="1" si="36"/>
        <v>1.1610923806650248</v>
      </c>
      <c r="Z111">
        <f t="shared" ca="1" si="38"/>
        <v>1.5504796668483114</v>
      </c>
      <c r="AA111">
        <f t="shared" ca="1" si="39"/>
        <v>-0.38938728618328655</v>
      </c>
      <c r="AB111">
        <f t="shared" ca="1" si="40"/>
        <v>188.5984</v>
      </c>
    </row>
    <row r="112" spans="1:28" x14ac:dyDescent="0.25">
      <c r="A112" s="20">
        <f t="shared" ca="1" si="20"/>
        <v>45453</v>
      </c>
      <c r="B112" vm="329">
        <f ca="1"/>
        <v>45453</v>
      </c>
      <c r="C112" vm="330">
        <f ca="1"/>
        <v>199.61</v>
      </c>
      <c r="D112" vm="331">
        <f ca="1"/>
        <v>6071201</v>
      </c>
      <c r="E112">
        <f t="shared" ca="1" si="21"/>
        <v>1211872431.6100001</v>
      </c>
      <c r="F112">
        <f ca="1">SUM($E$2:E112)/SUM($D$2:D112)</f>
        <v>186.13167907684769</v>
      </c>
      <c r="G112">
        <f ca="1">_xlfn.STDEV.P($C$2:C112)</f>
        <v>10.922144941622109</v>
      </c>
      <c r="H112">
        <f t="shared" ca="1" si="22"/>
        <v>197.05382401846981</v>
      </c>
      <c r="I112">
        <f t="shared" ca="1" si="23"/>
        <v>175.20953413522557</v>
      </c>
      <c r="J112">
        <f t="shared" ca="1" si="32"/>
        <v>199.7465</v>
      </c>
      <c r="K112">
        <f t="shared" ca="1" si="33"/>
        <v>2.3071337309812736</v>
      </c>
      <c r="L112">
        <f t="shared" ca="1" si="34"/>
        <v>204.36076746196255</v>
      </c>
      <c r="M112">
        <f t="shared" ca="1" si="35"/>
        <v>195.13223253803744</v>
      </c>
      <c r="N112">
        <f t="shared" ca="1" si="24"/>
        <v>-0.33999999999997499</v>
      </c>
      <c r="O112">
        <f t="shared" ca="1" si="25"/>
        <v>0</v>
      </c>
      <c r="P112">
        <f t="shared" ca="1" si="26"/>
        <v>0.33999999999997499</v>
      </c>
      <c r="Q112">
        <f t="shared" ca="1" si="30"/>
        <v>1.0049410032553843</v>
      </c>
      <c r="R112">
        <f t="shared" ca="1" si="31"/>
        <v>0.87181696141060427</v>
      </c>
      <c r="S112">
        <f t="shared" ca="1" si="28"/>
        <v>1.1526972377658089</v>
      </c>
      <c r="T112">
        <f t="shared" ca="1" si="29"/>
        <v>53.546649177760976</v>
      </c>
      <c r="U112">
        <f>70</f>
        <v>70</v>
      </c>
      <c r="V112">
        <f>30</f>
        <v>30</v>
      </c>
      <c r="W112">
        <f t="shared" ca="1" si="27"/>
        <v>199.1394036842527</v>
      </c>
      <c r="X112">
        <f t="shared" ca="1" si="37"/>
        <v>197.97831130358767</v>
      </c>
      <c r="Y112">
        <f t="shared" ca="1" si="36"/>
        <v>0.6938225656896293</v>
      </c>
      <c r="Z112">
        <f t="shared" ca="1" si="38"/>
        <v>1.379148246616575</v>
      </c>
      <c r="AA112">
        <f t="shared" ca="1" si="39"/>
        <v>-0.68532568092694568</v>
      </c>
      <c r="AB112">
        <f t="shared" ca="1" si="40"/>
        <v>188.92359999999999</v>
      </c>
    </row>
    <row r="113" spans="1:28" x14ac:dyDescent="0.25">
      <c r="A113" s="20">
        <f t="shared" ca="1" si="20"/>
        <v>45453</v>
      </c>
      <c r="B113" vm="332">
        <f ca="1"/>
        <v>45454</v>
      </c>
      <c r="C113" vm="333">
        <f ca="1"/>
        <v>194.36</v>
      </c>
      <c r="D113" vm="334">
        <f ca="1"/>
        <v>9235302</v>
      </c>
      <c r="E113">
        <f t="shared" ca="1" si="21"/>
        <v>1794973296.72</v>
      </c>
      <c r="F113">
        <f ca="1">SUM($E$2:E113)/SUM($D$2:D113)</f>
        <v>186.2058248972902</v>
      </c>
      <c r="G113">
        <f ca="1">_xlfn.STDEV.P($C$2:C113)</f>
        <v>10.894729720484028</v>
      </c>
      <c r="H113">
        <f t="shared" ca="1" si="22"/>
        <v>197.10055461777424</v>
      </c>
      <c r="I113">
        <f t="shared" ca="1" si="23"/>
        <v>175.31109517680616</v>
      </c>
      <c r="J113">
        <f t="shared" ca="1" si="32"/>
        <v>199.52800000000002</v>
      </c>
      <c r="K113">
        <f t="shared" ca="1" si="33"/>
        <v>2.5971717410736561</v>
      </c>
      <c r="L113">
        <f t="shared" ca="1" si="34"/>
        <v>204.72234348214732</v>
      </c>
      <c r="M113">
        <f t="shared" ca="1" si="35"/>
        <v>194.33365651785272</v>
      </c>
      <c r="N113">
        <f t="shared" ca="1" si="24"/>
        <v>-5.25</v>
      </c>
      <c r="O113">
        <f t="shared" ca="1" si="25"/>
        <v>0</v>
      </c>
      <c r="P113">
        <f t="shared" ca="1" si="26"/>
        <v>5.25</v>
      </c>
      <c r="Q113">
        <f t="shared" ca="1" si="30"/>
        <v>0.93315950302285688</v>
      </c>
      <c r="R113">
        <f t="shared" ca="1" si="31"/>
        <v>1.184544321309847</v>
      </c>
      <c r="S113">
        <f t="shared" ca="1" si="28"/>
        <v>0.78777930570887089</v>
      </c>
      <c r="T113">
        <f t="shared" ca="1" si="29"/>
        <v>44.064684225467595</v>
      </c>
      <c r="U113">
        <f>70</f>
        <v>70</v>
      </c>
      <c r="V113">
        <f>30</f>
        <v>30</v>
      </c>
      <c r="W113">
        <f t="shared" ca="1" si="27"/>
        <v>198.4041108097523</v>
      </c>
      <c r="X113">
        <f t="shared" ca="1" si="37"/>
        <v>197.71028824406267</v>
      </c>
      <c r="Y113">
        <f t="shared" ca="1" si="36"/>
        <v>9.406618568678482E-2</v>
      </c>
      <c r="Z113">
        <f t="shared" ca="1" si="38"/>
        <v>1.122131834430617</v>
      </c>
      <c r="AA113">
        <f t="shared" ca="1" si="39"/>
        <v>-1.0280656487438322</v>
      </c>
      <c r="AB113">
        <f t="shared" ca="1" si="40"/>
        <v>189.19300000000004</v>
      </c>
    </row>
    <row r="114" spans="1:28" x14ac:dyDescent="0.25">
      <c r="A114" s="20">
        <f t="shared" ca="1" si="20"/>
        <v>45453</v>
      </c>
      <c r="B114" vm="335">
        <f ca="1"/>
        <v>45455</v>
      </c>
      <c r="C114" vm="336">
        <f ca="1"/>
        <v>191.53</v>
      </c>
      <c r="D114" vm="337">
        <f ca="1"/>
        <v>12751329</v>
      </c>
      <c r="E114">
        <f t="shared" ca="1" si="21"/>
        <v>2442262043.3699999</v>
      </c>
      <c r="F114">
        <f ca="1">SUM($E$2:E114)/SUM($D$2:D114)</f>
        <v>186.2712526656899</v>
      </c>
      <c r="G114">
        <f ca="1">_xlfn.STDEV.P($C$2:C114)</f>
        <v>10.854134056206895</v>
      </c>
      <c r="H114">
        <f t="shared" ca="1" si="22"/>
        <v>197.1253867218968</v>
      </c>
      <c r="I114">
        <f t="shared" ca="1" si="23"/>
        <v>175.417118609483</v>
      </c>
      <c r="J114">
        <f t="shared" ca="1" si="32"/>
        <v>199.02900000000002</v>
      </c>
      <c r="K114">
        <f t="shared" ca="1" si="33"/>
        <v>3.1053466625703532</v>
      </c>
      <c r="L114">
        <f t="shared" ca="1" si="34"/>
        <v>205.23969332514073</v>
      </c>
      <c r="M114">
        <f t="shared" ca="1" si="35"/>
        <v>192.81830667485931</v>
      </c>
      <c r="N114">
        <f t="shared" ca="1" si="24"/>
        <v>-2.8300000000000125</v>
      </c>
      <c r="O114">
        <f t="shared" ca="1" si="25"/>
        <v>0</v>
      </c>
      <c r="P114">
        <f t="shared" ca="1" si="26"/>
        <v>2.8300000000000125</v>
      </c>
      <c r="Q114">
        <f t="shared" ca="1" si="30"/>
        <v>0.86650525280693846</v>
      </c>
      <c r="R114">
        <f t="shared" ca="1" si="31"/>
        <v>1.3020768697877159</v>
      </c>
      <c r="S114">
        <f t="shared" ca="1" si="28"/>
        <v>0.66547933759717981</v>
      </c>
      <c r="T114">
        <f t="shared" ca="1" si="29"/>
        <v>39.957225681183182</v>
      </c>
      <c r="U114">
        <f>70</f>
        <v>70</v>
      </c>
      <c r="V114">
        <f>30</f>
        <v>30</v>
      </c>
      <c r="W114">
        <f t="shared" ca="1" si="27"/>
        <v>197.34655530055963</v>
      </c>
      <c r="X114">
        <f t="shared" ca="1" si="37"/>
        <v>197.25248911487284</v>
      </c>
      <c r="Y114">
        <f t="shared" ca="1" si="36"/>
        <v>-0.20698586344008163</v>
      </c>
      <c r="Z114">
        <f t="shared" ca="1" si="38"/>
        <v>0.8563082948564773</v>
      </c>
      <c r="AA114">
        <f t="shared" ca="1" si="39"/>
        <v>-1.0632941582965589</v>
      </c>
      <c r="AB114">
        <f t="shared" ca="1" si="40"/>
        <v>189.40520000000004</v>
      </c>
    </row>
    <row r="115" spans="1:28" x14ac:dyDescent="0.25">
      <c r="A115" s="20">
        <f t="shared" ca="1" si="20"/>
        <v>45453</v>
      </c>
      <c r="B115" vm="338">
        <f ca="1"/>
        <v>45456</v>
      </c>
      <c r="C115" vm="339">
        <f ca="1"/>
        <v>193.66</v>
      </c>
      <c r="D115" vm="340">
        <f ca="1"/>
        <v>8587786</v>
      </c>
      <c r="E115">
        <f t="shared" ca="1" si="21"/>
        <v>1663110636.76</v>
      </c>
      <c r="F115">
        <f ca="1">SUM($E$2:E115)/SUM($D$2:D115)</f>
        <v>186.33190210666677</v>
      </c>
      <c r="G115">
        <f ca="1">_xlfn.STDEV.P($C$2:C115)</f>
        <v>10.823205178551628</v>
      </c>
      <c r="H115">
        <f t="shared" ca="1" si="22"/>
        <v>197.15510728521841</v>
      </c>
      <c r="I115">
        <f t="shared" ca="1" si="23"/>
        <v>175.50869692811514</v>
      </c>
      <c r="J115">
        <f t="shared" ca="1" si="32"/>
        <v>198.60650000000004</v>
      </c>
      <c r="K115">
        <f t="shared" ca="1" si="33"/>
        <v>3.2361759027723132</v>
      </c>
      <c r="L115">
        <f t="shared" ca="1" si="34"/>
        <v>205.07885180554467</v>
      </c>
      <c r="M115">
        <f t="shared" ca="1" si="35"/>
        <v>192.13414819445541</v>
      </c>
      <c r="N115">
        <f t="shared" ca="1" si="24"/>
        <v>2.1299999999999955</v>
      </c>
      <c r="O115">
        <f t="shared" ca="1" si="25"/>
        <v>2.1299999999999955</v>
      </c>
      <c r="P115">
        <f t="shared" ca="1" si="26"/>
        <v>0</v>
      </c>
      <c r="Q115">
        <f t="shared" ca="1" si="30"/>
        <v>0.95675487760644251</v>
      </c>
      <c r="R115">
        <f t="shared" ca="1" si="31"/>
        <v>1.2090713790885932</v>
      </c>
      <c r="S115">
        <f t="shared" ca="1" si="28"/>
        <v>0.79131380839372056</v>
      </c>
      <c r="T115">
        <f t="shared" ca="1" si="29"/>
        <v>44.175052114587075</v>
      </c>
      <c r="U115">
        <f>70</f>
        <v>70</v>
      </c>
      <c r="V115">
        <f>30</f>
        <v>30</v>
      </c>
      <c r="W115">
        <f t="shared" ca="1" si="27"/>
        <v>196.77939294662738</v>
      </c>
      <c r="X115">
        <f t="shared" ca="1" si="37"/>
        <v>196.98637881006746</v>
      </c>
      <c r="Y115">
        <f t="shared" ca="1" si="36"/>
        <v>-0.43092139066553159</v>
      </c>
      <c r="Z115">
        <f t="shared" ca="1" si="38"/>
        <v>0.59886235775207552</v>
      </c>
      <c r="AA115">
        <f t="shared" ca="1" si="39"/>
        <v>-1.0297837484176071</v>
      </c>
      <c r="AB115">
        <f t="shared" ca="1" si="40"/>
        <v>189.64070000000004</v>
      </c>
    </row>
    <row r="116" spans="1:28" x14ac:dyDescent="0.25">
      <c r="A116" s="20">
        <f t="shared" ca="1" si="20"/>
        <v>45453</v>
      </c>
      <c r="B116" vm="341">
        <f ca="1"/>
        <v>45457</v>
      </c>
      <c r="C116" vm="342">
        <f ca="1"/>
        <v>193.78</v>
      </c>
      <c r="D116" vm="343">
        <f ca="1"/>
        <v>6874029</v>
      </c>
      <c r="E116">
        <f t="shared" ca="1" si="21"/>
        <v>1332049339.6200001</v>
      </c>
      <c r="F116">
        <f ca="1">SUM($E$2:E116)/SUM($D$2:D116)</f>
        <v>186.38051902098258</v>
      </c>
      <c r="G116">
        <f ca="1">_xlfn.STDEV.P($C$2:C116)</f>
        <v>10.793057515859104</v>
      </c>
      <c r="H116">
        <f t="shared" ca="1" si="22"/>
        <v>197.17357653684167</v>
      </c>
      <c r="I116">
        <f t="shared" ca="1" si="23"/>
        <v>175.58746150512349</v>
      </c>
      <c r="J116">
        <f t="shared" ca="1" si="32"/>
        <v>198.17200000000003</v>
      </c>
      <c r="K116">
        <f t="shared" ca="1" si="33"/>
        <v>3.2733092863660951</v>
      </c>
      <c r="L116">
        <f t="shared" ca="1" si="34"/>
        <v>204.71861857273223</v>
      </c>
      <c r="M116">
        <f t="shared" ca="1" si="35"/>
        <v>191.62538142726783</v>
      </c>
      <c r="N116">
        <f t="shared" ca="1" si="24"/>
        <v>0.12000000000000455</v>
      </c>
      <c r="O116">
        <f t="shared" ca="1" si="25"/>
        <v>0.12000000000000455</v>
      </c>
      <c r="P116">
        <f t="shared" ca="1" si="26"/>
        <v>0</v>
      </c>
      <c r="Q116">
        <f t="shared" ca="1" si="30"/>
        <v>0.89698667206312543</v>
      </c>
      <c r="R116">
        <f t="shared" ca="1" si="31"/>
        <v>1.1227091377251222</v>
      </c>
      <c r="S116">
        <f t="shared" ca="1" si="28"/>
        <v>0.79894840250488697</v>
      </c>
      <c r="T116">
        <f t="shared" ca="1" si="29"/>
        <v>44.411968758660187</v>
      </c>
      <c r="U116">
        <f>70</f>
        <v>70</v>
      </c>
      <c r="V116">
        <f>30</f>
        <v>30</v>
      </c>
      <c r="W116">
        <f t="shared" ca="1" si="27"/>
        <v>196.31794787791546</v>
      </c>
      <c r="X116">
        <f t="shared" ca="1" si="37"/>
        <v>196.74886926858099</v>
      </c>
      <c r="Y116">
        <f t="shared" ca="1" si="36"/>
        <v>-0.50573217250121161</v>
      </c>
      <c r="Z116">
        <f t="shared" ca="1" si="38"/>
        <v>0.37794345170141808</v>
      </c>
      <c r="AA116">
        <f t="shared" ca="1" si="39"/>
        <v>-0.88367562420262968</v>
      </c>
      <c r="AB116">
        <f t="shared" ca="1" si="40"/>
        <v>189.8886</v>
      </c>
    </row>
    <row r="117" spans="1:28" x14ac:dyDescent="0.25">
      <c r="A117" s="20">
        <f t="shared" ca="1" si="20"/>
        <v>45460</v>
      </c>
      <c r="B117" vm="344">
        <f ca="1"/>
        <v>45460</v>
      </c>
      <c r="C117" vm="345">
        <f ca="1"/>
        <v>194.98</v>
      </c>
      <c r="D117" vm="346">
        <f ca="1"/>
        <v>8725445</v>
      </c>
      <c r="E117">
        <f t="shared" ca="1" si="21"/>
        <v>1701287266.0999999</v>
      </c>
      <c r="F117">
        <f ca="1">SUM($E$2:E117)/SUM($D$2:D117)</f>
        <v>186.45118444393526</v>
      </c>
      <c r="G117">
        <f ca="1">_xlfn.STDEV.P($C$2:C117)</f>
        <v>10.769788438350918</v>
      </c>
      <c r="H117">
        <f t="shared" ca="1" si="22"/>
        <v>197.22097288228619</v>
      </c>
      <c r="I117">
        <f t="shared" ca="1" si="23"/>
        <v>175.68139600558433</v>
      </c>
      <c r="J117">
        <f t="shared" ca="1" si="32"/>
        <v>197.68150000000003</v>
      </c>
      <c r="K117">
        <f t="shared" ca="1" si="33"/>
        <v>2.948288129531583</v>
      </c>
      <c r="L117">
        <f t="shared" ca="1" si="34"/>
        <v>203.57807625906318</v>
      </c>
      <c r="M117">
        <f t="shared" ca="1" si="35"/>
        <v>191.78492374093688</v>
      </c>
      <c r="N117">
        <f t="shared" ca="1" si="24"/>
        <v>1.1999999999999886</v>
      </c>
      <c r="O117">
        <f t="shared" ca="1" si="25"/>
        <v>1.1999999999999886</v>
      </c>
      <c r="P117">
        <f t="shared" ca="1" si="26"/>
        <v>0</v>
      </c>
      <c r="Q117">
        <f t="shared" ca="1" si="30"/>
        <v>0.91863048120147284</v>
      </c>
      <c r="R117">
        <f t="shared" ca="1" si="31"/>
        <v>1.0425156278876133</v>
      </c>
      <c r="S117">
        <f t="shared" ca="1" si="28"/>
        <v>0.88116710831744416</v>
      </c>
      <c r="T117">
        <f t="shared" ca="1" si="29"/>
        <v>46.841511550006778</v>
      </c>
      <c r="U117">
        <f>70</f>
        <v>70</v>
      </c>
      <c r="V117">
        <f>30</f>
        <v>30</v>
      </c>
      <c r="W117">
        <f t="shared" ca="1" si="27"/>
        <v>196.11210974285154</v>
      </c>
      <c r="X117">
        <f t="shared" ca="1" si="37"/>
        <v>196.61784191535276</v>
      </c>
      <c r="Y117">
        <f t="shared" ca="1" si="36"/>
        <v>-0.39744167767159411</v>
      </c>
      <c r="Z117">
        <f t="shared" ca="1" si="38"/>
        <v>0.22286642582681565</v>
      </c>
      <c r="AA117">
        <f t="shared" ca="1" si="39"/>
        <v>-0.6203081034984097</v>
      </c>
      <c r="AB117">
        <f t="shared" ca="1" si="40"/>
        <v>190.13339999999999</v>
      </c>
    </row>
    <row r="118" spans="1:28" x14ac:dyDescent="0.25">
      <c r="A118" s="20">
        <f t="shared" ca="1" si="20"/>
        <v>45460</v>
      </c>
      <c r="B118" vm="347">
        <f ca="1"/>
        <v>45461</v>
      </c>
      <c r="C118" vm="348">
        <f ca="1"/>
        <v>197</v>
      </c>
      <c r="D118" vm="349">
        <f ca="1"/>
        <v>9022971</v>
      </c>
      <c r="E118">
        <f t="shared" ca="1" si="21"/>
        <v>1777525287</v>
      </c>
      <c r="F118">
        <f ca="1">SUM($E$2:E118)/SUM($D$2:D118)</f>
        <v>186.5400688398129</v>
      </c>
      <c r="G118">
        <f ca="1">_xlfn.STDEV.P($C$2:C118)</f>
        <v>10.760180017129022</v>
      </c>
      <c r="H118">
        <f t="shared" ca="1" si="22"/>
        <v>197.30024885694192</v>
      </c>
      <c r="I118">
        <f t="shared" ca="1" si="23"/>
        <v>175.77988882268389</v>
      </c>
      <c r="J118">
        <f t="shared" ca="1" si="32"/>
        <v>197.75250000000003</v>
      </c>
      <c r="K118">
        <f t="shared" ca="1" si="33"/>
        <v>2.9118900987792142</v>
      </c>
      <c r="L118">
        <f t="shared" ca="1" si="34"/>
        <v>203.57628019755845</v>
      </c>
      <c r="M118">
        <f t="shared" ca="1" si="35"/>
        <v>191.92871980244161</v>
      </c>
      <c r="N118">
        <f t="shared" ca="1" si="24"/>
        <v>2.0200000000000102</v>
      </c>
      <c r="O118">
        <f t="shared" ca="1" si="25"/>
        <v>2.0200000000000102</v>
      </c>
      <c r="P118">
        <f t="shared" ca="1" si="26"/>
        <v>0</v>
      </c>
      <c r="Q118">
        <f t="shared" ca="1" si="30"/>
        <v>0.99729973254422544</v>
      </c>
      <c r="R118">
        <f t="shared" ca="1" si="31"/>
        <v>0.96805022589564094</v>
      </c>
      <c r="S118">
        <f t="shared" ca="1" si="28"/>
        <v>1.0302148647520049</v>
      </c>
      <c r="T118">
        <f t="shared" ca="1" si="29"/>
        <v>50.744129729236711</v>
      </c>
      <c r="U118">
        <f>70</f>
        <v>70</v>
      </c>
      <c r="V118">
        <f>30</f>
        <v>30</v>
      </c>
      <c r="W118">
        <f t="shared" ca="1" si="27"/>
        <v>196.24870824395131</v>
      </c>
      <c r="X118">
        <f t="shared" ca="1" si="37"/>
        <v>196.64614992162291</v>
      </c>
      <c r="Y118">
        <f t="shared" ca="1" si="36"/>
        <v>-0.1748500742846204</v>
      </c>
      <c r="Z118">
        <f t="shared" ca="1" si="38"/>
        <v>0.14332312580452844</v>
      </c>
      <c r="AA118">
        <f t="shared" ca="1" si="39"/>
        <v>-0.31817320008914884</v>
      </c>
      <c r="AB118">
        <f t="shared" ca="1" si="40"/>
        <v>190.37399999999997</v>
      </c>
    </row>
    <row r="119" spans="1:28" x14ac:dyDescent="0.25">
      <c r="A119" s="20">
        <f t="shared" ca="1" si="20"/>
        <v>45460</v>
      </c>
      <c r="B119" vm="350">
        <f ca="1"/>
        <v>45463</v>
      </c>
      <c r="C119" vm="351">
        <f ca="1"/>
        <v>198.67</v>
      </c>
      <c r="D119" vm="352">
        <f ca="1"/>
        <v>8731062</v>
      </c>
      <c r="E119">
        <f t="shared" ca="1" si="21"/>
        <v>1734600087.54</v>
      </c>
      <c r="F119">
        <f ca="1">SUM($E$2:E119)/SUM($D$2:D119)</f>
        <v>186.63816930100242</v>
      </c>
      <c r="G119">
        <f ca="1">_xlfn.STDEV.P($C$2:C119)</f>
        <v>10.763646564243642</v>
      </c>
      <c r="H119">
        <f t="shared" ca="1" si="22"/>
        <v>197.40181586524605</v>
      </c>
      <c r="I119">
        <f t="shared" ca="1" si="23"/>
        <v>175.87452273675879</v>
      </c>
      <c r="J119">
        <f t="shared" ca="1" si="32"/>
        <v>197.71000000000004</v>
      </c>
      <c r="K119">
        <f t="shared" ca="1" si="33"/>
        <v>2.8908621915487971</v>
      </c>
      <c r="L119">
        <f t="shared" ca="1" si="34"/>
        <v>203.49172438309762</v>
      </c>
      <c r="M119">
        <f t="shared" ca="1" si="35"/>
        <v>191.92827561690245</v>
      </c>
      <c r="N119">
        <f t="shared" ca="1" si="24"/>
        <v>1.6699999999999875</v>
      </c>
      <c r="O119">
        <f t="shared" ca="1" si="25"/>
        <v>1.6699999999999875</v>
      </c>
      <c r="P119">
        <f t="shared" ca="1" si="26"/>
        <v>0</v>
      </c>
      <c r="Q119">
        <f t="shared" ca="1" si="30"/>
        <v>1.0453497516482084</v>
      </c>
      <c r="R119">
        <f t="shared" ca="1" si="31"/>
        <v>0.89890378118880943</v>
      </c>
      <c r="S119">
        <f t="shared" ca="1" si="28"/>
        <v>1.1629161802676173</v>
      </c>
      <c r="T119">
        <f t="shared" ca="1" si="29"/>
        <v>53.766123295805663</v>
      </c>
      <c r="U119">
        <f>70</f>
        <v>70</v>
      </c>
      <c r="V119">
        <f>30</f>
        <v>30</v>
      </c>
      <c r="W119">
        <f t="shared" ca="1" si="27"/>
        <v>196.62121466795881</v>
      </c>
      <c r="X119">
        <f t="shared" ca="1" si="37"/>
        <v>196.79606474224343</v>
      </c>
      <c r="Y119">
        <f t="shared" ca="1" si="36"/>
        <v>-0.18752217904659574</v>
      </c>
      <c r="Z119">
        <f t="shared" ca="1" si="38"/>
        <v>7.7154064834303621E-2</v>
      </c>
      <c r="AA119">
        <f t="shared" ca="1" si="39"/>
        <v>-0.26467624388089939</v>
      </c>
      <c r="AB119">
        <f t="shared" ca="1" si="40"/>
        <v>190.63789999999995</v>
      </c>
    </row>
    <row r="120" spans="1:28" x14ac:dyDescent="0.25">
      <c r="A120" s="20">
        <f t="shared" ca="1" si="20"/>
        <v>45460</v>
      </c>
      <c r="B120" vm="353">
        <f ca="1"/>
        <v>45464</v>
      </c>
      <c r="C120" vm="354">
        <f ca="1"/>
        <v>196.3</v>
      </c>
      <c r="D120" vm="355">
        <f ca="1"/>
        <v>20972495</v>
      </c>
      <c r="E120">
        <f t="shared" ca="1" si="21"/>
        <v>4116900768.5</v>
      </c>
      <c r="F120">
        <f ca="1">SUM($E$2:E120)/SUM($D$2:D120)</f>
        <v>186.82228856160091</v>
      </c>
      <c r="G120">
        <f ca="1">_xlfn.STDEV.P($C$2:C120)</f>
        <v>10.748007592701425</v>
      </c>
      <c r="H120">
        <f t="shared" ca="1" si="22"/>
        <v>197.57029615430233</v>
      </c>
      <c r="I120">
        <f t="shared" ca="1" si="23"/>
        <v>176.0742809688995</v>
      </c>
      <c r="J120">
        <f t="shared" ca="1" si="32"/>
        <v>197.60950000000005</v>
      </c>
      <c r="K120">
        <f t="shared" ca="1" si="33"/>
        <v>2.9038150495693178</v>
      </c>
      <c r="L120">
        <f t="shared" ca="1" si="34"/>
        <v>203.41713009913869</v>
      </c>
      <c r="M120">
        <f t="shared" ca="1" si="35"/>
        <v>191.80186990086142</v>
      </c>
      <c r="N120">
        <f t="shared" ca="1" si="24"/>
        <v>-2.3699999999999761</v>
      </c>
      <c r="O120">
        <f t="shared" ca="1" si="25"/>
        <v>0</v>
      </c>
      <c r="P120">
        <f t="shared" ca="1" si="26"/>
        <v>2.3699999999999761</v>
      </c>
      <c r="Q120">
        <f t="shared" ca="1" si="30"/>
        <v>0.97068191224476497</v>
      </c>
      <c r="R120">
        <f t="shared" ca="1" si="31"/>
        <v>1.0039820825324643</v>
      </c>
      <c r="S120">
        <f t="shared" ca="1" si="28"/>
        <v>0.96683190779291361</v>
      </c>
      <c r="T120">
        <f t="shared" ca="1" si="29"/>
        <v>49.156814263698166</v>
      </c>
      <c r="U120">
        <f>70</f>
        <v>70</v>
      </c>
      <c r="V120">
        <f>30</f>
        <v>30</v>
      </c>
      <c r="W120">
        <f t="shared" ca="1" si="27"/>
        <v>196.57179702673437</v>
      </c>
      <c r="X120">
        <f t="shared" ca="1" si="37"/>
        <v>196.75931920578097</v>
      </c>
      <c r="Y120">
        <f t="shared" ca="1" si="36"/>
        <v>1.0498504448150925E-2</v>
      </c>
      <c r="Z120">
        <f t="shared" ca="1" si="38"/>
        <v>6.3822952757073087E-2</v>
      </c>
      <c r="AA120">
        <f t="shared" ca="1" si="39"/>
        <v>-5.3324448308922162E-2</v>
      </c>
      <c r="AB120">
        <f t="shared" ca="1" si="40"/>
        <v>190.87359999999993</v>
      </c>
    </row>
    <row r="121" spans="1:28" x14ac:dyDescent="0.25">
      <c r="A121" s="20">
        <f t="shared" ca="1" si="20"/>
        <v>45467</v>
      </c>
      <c r="B121" vm="356">
        <f ca="1"/>
        <v>45467</v>
      </c>
      <c r="C121" vm="357">
        <f ca="1"/>
        <v>198.88</v>
      </c>
      <c r="D121" vm="358">
        <f ca="1"/>
        <v>9785929</v>
      </c>
      <c r="E121">
        <f t="shared" ca="1" si="21"/>
        <v>1946225559.52</v>
      </c>
      <c r="F121">
        <f ca="1">SUM($E$2:E121)/SUM($D$2:D121)</f>
        <v>186.92855889317795</v>
      </c>
      <c r="G121">
        <f ca="1">_xlfn.STDEV.P($C$2:C121)</f>
        <v>10.751886980381112</v>
      </c>
      <c r="H121">
        <f t="shared" ca="1" si="22"/>
        <v>197.68044587355905</v>
      </c>
      <c r="I121">
        <f t="shared" ca="1" si="23"/>
        <v>176.17667191279685</v>
      </c>
      <c r="J121">
        <f t="shared" ca="1" si="32"/>
        <v>197.70750000000004</v>
      </c>
      <c r="K121">
        <f t="shared" ca="1" si="33"/>
        <v>2.9123816894876868</v>
      </c>
      <c r="L121">
        <f t="shared" ca="1" si="34"/>
        <v>203.53226337897541</v>
      </c>
      <c r="M121">
        <f t="shared" ca="1" si="35"/>
        <v>191.88273662102466</v>
      </c>
      <c r="N121">
        <f t="shared" ca="1" si="24"/>
        <v>2.5799999999999841</v>
      </c>
      <c r="O121">
        <f t="shared" ca="1" si="25"/>
        <v>2.5799999999999841</v>
      </c>
      <c r="P121">
        <f t="shared" ca="1" si="26"/>
        <v>0</v>
      </c>
      <c r="Q121">
        <f t="shared" ca="1" si="30"/>
        <v>1.0856332042272805</v>
      </c>
      <c r="R121">
        <f t="shared" ca="1" si="31"/>
        <v>0.93226907663728831</v>
      </c>
      <c r="S121">
        <f t="shared" ca="1" si="28"/>
        <v>1.164506290547767</v>
      </c>
      <c r="T121">
        <f t="shared" ca="1" si="29"/>
        <v>53.800088067799884</v>
      </c>
      <c r="U121">
        <f>70</f>
        <v>70</v>
      </c>
      <c r="V121">
        <f>30</f>
        <v>30</v>
      </c>
      <c r="W121">
        <f t="shared" ca="1" si="27"/>
        <v>196.92690517646756</v>
      </c>
      <c r="X121">
        <f t="shared" ca="1" si="37"/>
        <v>196.91640667201941</v>
      </c>
      <c r="Y121">
        <f t="shared" ca="1" si="36"/>
        <v>0.10090788890190083</v>
      </c>
      <c r="Z121">
        <f t="shared" ca="1" si="38"/>
        <v>7.1239939986038642E-2</v>
      </c>
      <c r="AA121">
        <f t="shared" ca="1" si="39"/>
        <v>2.9667948915862191E-2</v>
      </c>
      <c r="AB121">
        <f t="shared" ca="1" si="40"/>
        <v>191.09969999999998</v>
      </c>
    </row>
    <row r="122" spans="1:28" x14ac:dyDescent="0.25">
      <c r="A122" s="20">
        <f t="shared" ca="1" si="20"/>
        <v>45467</v>
      </c>
      <c r="B122" vm="359">
        <f ca="1"/>
        <v>45468</v>
      </c>
      <c r="C122" vm="360">
        <f ca="1"/>
        <v>198.07</v>
      </c>
      <c r="D122" vm="361">
        <f ca="1"/>
        <v>6915909</v>
      </c>
      <c r="E122">
        <f t="shared" ca="1" si="21"/>
        <v>1369834095.6299999</v>
      </c>
      <c r="F122">
        <f ca="1">SUM($E$2:E122)/SUM($D$2:D122)</f>
        <v>186.99752552978671</v>
      </c>
      <c r="G122">
        <f ca="1">_xlfn.STDEV.P($C$2:C122)</f>
        <v>10.748264464716307</v>
      </c>
      <c r="H122">
        <f t="shared" ca="1" si="22"/>
        <v>197.74578999450301</v>
      </c>
      <c r="I122">
        <f t="shared" ca="1" si="23"/>
        <v>176.24926106507041</v>
      </c>
      <c r="J122">
        <f t="shared" ca="1" si="32"/>
        <v>197.57550000000006</v>
      </c>
      <c r="K122">
        <f t="shared" ca="1" si="33"/>
        <v>2.8277319812695705</v>
      </c>
      <c r="L122">
        <f t="shared" ca="1" si="34"/>
        <v>203.23096396253919</v>
      </c>
      <c r="M122">
        <f t="shared" ca="1" si="35"/>
        <v>191.92003603746093</v>
      </c>
      <c r="N122">
        <f t="shared" ca="1" si="24"/>
        <v>-0.81000000000000227</v>
      </c>
      <c r="O122">
        <f t="shared" ca="1" si="25"/>
        <v>0</v>
      </c>
      <c r="P122">
        <f t="shared" ca="1" si="26"/>
        <v>0.81000000000000227</v>
      </c>
      <c r="Q122">
        <f t="shared" ca="1" si="30"/>
        <v>1.0080879753539034</v>
      </c>
      <c r="R122">
        <f t="shared" ca="1" si="31"/>
        <v>0.9235355711631964</v>
      </c>
      <c r="S122">
        <f t="shared" ca="1" si="28"/>
        <v>1.0915529480734705</v>
      </c>
      <c r="T122">
        <f t="shared" ca="1" si="29"/>
        <v>52.188635677566758</v>
      </c>
      <c r="U122">
        <f>70</f>
        <v>70</v>
      </c>
      <c r="V122">
        <f>30</f>
        <v>30</v>
      </c>
      <c r="W122">
        <f t="shared" ca="1" si="27"/>
        <v>197.10276591854949</v>
      </c>
      <c r="X122">
        <f t="shared" ca="1" si="37"/>
        <v>197.00185802964759</v>
      </c>
      <c r="Y122">
        <f t="shared" ca="1" si="36"/>
        <v>0.11953737371436546</v>
      </c>
      <c r="Z122">
        <f t="shared" ca="1" si="38"/>
        <v>8.0899426731704013E-2</v>
      </c>
      <c r="AA122">
        <f t="shared" ca="1" si="39"/>
        <v>3.8637946982661445E-2</v>
      </c>
      <c r="AB122">
        <f t="shared" ca="1" si="40"/>
        <v>191.33679999999993</v>
      </c>
    </row>
    <row r="123" spans="1:28" x14ac:dyDescent="0.25">
      <c r="A123" s="20">
        <f t="shared" ca="1" si="20"/>
        <v>45467</v>
      </c>
      <c r="B123" vm="362">
        <f ca="1"/>
        <v>45469</v>
      </c>
      <c r="C123" vm="363">
        <f ca="1"/>
        <v>197.43</v>
      </c>
      <c r="D123" vm="364">
        <f ca="1"/>
        <v>7758582</v>
      </c>
      <c r="E123">
        <f t="shared" ca="1" si="21"/>
        <v>1531776844.26</v>
      </c>
      <c r="F123">
        <f ca="1">SUM($E$2:E123)/SUM($D$2:D123)</f>
        <v>187.06947251973747</v>
      </c>
      <c r="G123">
        <f ca="1">_xlfn.STDEV.P($C$2:C123)</f>
        <v>10.739220768988497</v>
      </c>
      <c r="H123">
        <f t="shared" ca="1" si="22"/>
        <v>197.80869328872598</v>
      </c>
      <c r="I123">
        <f t="shared" ca="1" si="23"/>
        <v>176.33025175074897</v>
      </c>
      <c r="J123">
        <f t="shared" ca="1" si="32"/>
        <v>197.47200000000004</v>
      </c>
      <c r="K123">
        <f t="shared" ca="1" si="33"/>
        <v>2.7912317597867253</v>
      </c>
      <c r="L123">
        <f t="shared" ca="1" si="34"/>
        <v>203.05446351957349</v>
      </c>
      <c r="M123">
        <f t="shared" ca="1" si="35"/>
        <v>191.88953648042659</v>
      </c>
      <c r="N123">
        <f t="shared" ca="1" si="24"/>
        <v>-0.63999999999998636</v>
      </c>
      <c r="O123">
        <f t="shared" ca="1" si="25"/>
        <v>0</v>
      </c>
      <c r="P123">
        <f t="shared" ca="1" si="26"/>
        <v>0.63999999999998636</v>
      </c>
      <c r="Q123">
        <f t="shared" ca="1" si="30"/>
        <v>0.93608169140005315</v>
      </c>
      <c r="R123">
        <f t="shared" ca="1" si="31"/>
        <v>0.90328303036582425</v>
      </c>
      <c r="S123">
        <f t="shared" ca="1" si="28"/>
        <v>1.0363105028342507</v>
      </c>
      <c r="T123">
        <f t="shared" ca="1" si="29"/>
        <v>50.891575788262941</v>
      </c>
      <c r="U123">
        <f>70</f>
        <v>70</v>
      </c>
      <c r="V123">
        <f>30</f>
        <v>30</v>
      </c>
      <c r="W123">
        <f t="shared" ca="1" si="27"/>
        <v>197.15310962338805</v>
      </c>
      <c r="X123">
        <f t="shared" ca="1" si="37"/>
        <v>197.03357224967368</v>
      </c>
      <c r="Y123">
        <f t="shared" ca="1" si="36"/>
        <v>0.27157429345385253</v>
      </c>
      <c r="Z123">
        <f t="shared" ca="1" si="38"/>
        <v>0.11903440007613372</v>
      </c>
      <c r="AA123">
        <f t="shared" ca="1" si="39"/>
        <v>0.15253989337771881</v>
      </c>
      <c r="AB123">
        <f t="shared" ca="1" si="40"/>
        <v>191.57379999999995</v>
      </c>
    </row>
    <row r="124" spans="1:28" x14ac:dyDescent="0.25">
      <c r="A124" s="20">
        <f t="shared" ca="1" si="20"/>
        <v>45467</v>
      </c>
      <c r="B124" vm="365">
        <f ca="1"/>
        <v>45470</v>
      </c>
      <c r="C124" vm="366">
        <f ca="1"/>
        <v>199.17</v>
      </c>
      <c r="D124" vm="367">
        <f ca="1"/>
        <v>7913453</v>
      </c>
      <c r="E124">
        <f t="shared" ca="1" si="21"/>
        <v>1576122434.01</v>
      </c>
      <c r="F124">
        <f ca="1">SUM($E$2:E124)/SUM($D$2:D124)</f>
        <v>187.15399438909287</v>
      </c>
      <c r="G124">
        <f ca="1">_xlfn.STDEV.P($C$2:C124)</f>
        <v>10.743359288492554</v>
      </c>
      <c r="H124">
        <f t="shared" ca="1" si="22"/>
        <v>197.89735367758541</v>
      </c>
      <c r="I124">
        <f t="shared" ca="1" si="23"/>
        <v>176.41063510060033</v>
      </c>
      <c r="J124">
        <f t="shared" ca="1" si="32"/>
        <v>197.52500000000003</v>
      </c>
      <c r="K124">
        <f t="shared" ca="1" si="33"/>
        <v>2.8139548868564233</v>
      </c>
      <c r="L124">
        <f t="shared" ca="1" si="34"/>
        <v>203.15290977371288</v>
      </c>
      <c r="M124">
        <f t="shared" ca="1" si="35"/>
        <v>191.89709022628719</v>
      </c>
      <c r="N124">
        <f t="shared" ca="1" si="24"/>
        <v>1.7399999999999807</v>
      </c>
      <c r="O124">
        <f t="shared" ca="1" si="25"/>
        <v>1.7399999999999807</v>
      </c>
      <c r="P124">
        <f t="shared" ca="1" si="26"/>
        <v>0</v>
      </c>
      <c r="Q124">
        <f t="shared" ca="1" si="30"/>
        <v>0.99350442772861935</v>
      </c>
      <c r="R124">
        <f t="shared" ca="1" si="31"/>
        <v>0.83876281391112251</v>
      </c>
      <c r="S124">
        <f t="shared" ca="1" si="28"/>
        <v>1.1844879282331819</v>
      </c>
      <c r="T124">
        <f t="shared" ca="1" si="29"/>
        <v>54.222681339841415</v>
      </c>
      <c r="U124">
        <f>70</f>
        <v>70</v>
      </c>
      <c r="V124">
        <f>30</f>
        <v>30</v>
      </c>
      <c r="W124">
        <f t="shared" ca="1" si="27"/>
        <v>197.46340045055911</v>
      </c>
      <c r="X124">
        <f t="shared" ca="1" si="37"/>
        <v>197.19182615710525</v>
      </c>
      <c r="Y124">
        <f t="shared" ca="1" si="36"/>
        <v>0.63409240101665887</v>
      </c>
      <c r="Z124">
        <f t="shared" ca="1" si="38"/>
        <v>0.22204600026423876</v>
      </c>
      <c r="AA124">
        <f t="shared" ca="1" si="39"/>
        <v>0.41204640075242011</v>
      </c>
      <c r="AB124">
        <f t="shared" ca="1" si="40"/>
        <v>191.81819999999996</v>
      </c>
    </row>
    <row r="125" spans="1:28" x14ac:dyDescent="0.25">
      <c r="A125" s="20">
        <f t="shared" ca="1" si="20"/>
        <v>45467</v>
      </c>
      <c r="B125" vm="368">
        <f ca="1"/>
        <v>45471</v>
      </c>
      <c r="C125" vm="369">
        <f ca="1"/>
        <v>202.26</v>
      </c>
      <c r="D125" vm="370">
        <f ca="1"/>
        <v>15307616</v>
      </c>
      <c r="E125">
        <f t="shared" ca="1" si="21"/>
        <v>3096118412.1599998</v>
      </c>
      <c r="F125">
        <f ca="1">SUM($E$2:E125)/SUM($D$2:D125)</f>
        <v>187.35537944843591</v>
      </c>
      <c r="G125">
        <f ca="1">_xlfn.STDEV.P($C$2:C125)</f>
        <v>10.775919765556186</v>
      </c>
      <c r="H125">
        <f t="shared" ca="1" si="22"/>
        <v>198.13129921399209</v>
      </c>
      <c r="I125">
        <f t="shared" ca="1" si="23"/>
        <v>176.57945968287973</v>
      </c>
      <c r="J125">
        <f t="shared" ca="1" si="32"/>
        <v>197.67150000000007</v>
      </c>
      <c r="K125">
        <f t="shared" ca="1" si="33"/>
        <v>2.9840052120033476</v>
      </c>
      <c r="L125">
        <f t="shared" ca="1" si="34"/>
        <v>203.63951042400677</v>
      </c>
      <c r="M125">
        <f t="shared" ca="1" si="35"/>
        <v>191.70348957599336</v>
      </c>
      <c r="N125">
        <f t="shared" ca="1" si="24"/>
        <v>3.0900000000000034</v>
      </c>
      <c r="O125">
        <f t="shared" ca="1" si="25"/>
        <v>3.0900000000000034</v>
      </c>
      <c r="P125">
        <f t="shared" ca="1" si="26"/>
        <v>0</v>
      </c>
      <c r="Q125">
        <f t="shared" ca="1" si="30"/>
        <v>1.1432541114622896</v>
      </c>
      <c r="R125">
        <f t="shared" ca="1" si="31"/>
        <v>0.77885118434604228</v>
      </c>
      <c r="S125">
        <f t="shared" ca="1" si="28"/>
        <v>1.4678723412640324</v>
      </c>
      <c r="T125">
        <f t="shared" ca="1" si="29"/>
        <v>59.479265467686034</v>
      </c>
      <c r="U125">
        <f>70</f>
        <v>70</v>
      </c>
      <c r="V125">
        <f>30</f>
        <v>30</v>
      </c>
      <c r="W125">
        <f t="shared" ca="1" si="27"/>
        <v>198.20133884278079</v>
      </c>
      <c r="X125">
        <f t="shared" ca="1" si="37"/>
        <v>197.56724644176413</v>
      </c>
      <c r="Y125">
        <f t="shared" ca="1" si="36"/>
        <v>1.1653633696084</v>
      </c>
      <c r="Z125">
        <f t="shared" ca="1" si="38"/>
        <v>0.41070947413307102</v>
      </c>
      <c r="AA125">
        <f t="shared" ca="1" si="39"/>
        <v>0.75465389547532902</v>
      </c>
      <c r="AB125">
        <f t="shared" ca="1" si="40"/>
        <v>192.09579999999991</v>
      </c>
    </row>
    <row r="126" spans="1:28" x14ac:dyDescent="0.25">
      <c r="A126" s="20">
        <f t="shared" ca="1" si="20"/>
        <v>45474</v>
      </c>
      <c r="B126" vm="371">
        <f ca="1"/>
        <v>45474</v>
      </c>
      <c r="C126" vm="372">
        <f ca="1"/>
        <v>205.45</v>
      </c>
      <c r="D126" vm="373">
        <f ca="1"/>
        <v>10205836</v>
      </c>
      <c r="E126">
        <f t="shared" ca="1" si="21"/>
        <v>2096789006.1999998</v>
      </c>
      <c r="F126">
        <f ca="1">SUM($E$2:E126)/SUM($D$2:D126)</f>
        <v>187.51479292276269</v>
      </c>
      <c r="G126">
        <f ca="1">_xlfn.STDEV.P($C$2:C126)</f>
        <v>10.843524299709941</v>
      </c>
      <c r="H126">
        <f t="shared" ca="1" si="22"/>
        <v>198.35831722247264</v>
      </c>
      <c r="I126">
        <f t="shared" ca="1" si="23"/>
        <v>176.67126862305275</v>
      </c>
      <c r="J126">
        <f t="shared" ca="1" si="32"/>
        <v>197.8125</v>
      </c>
      <c r="K126">
        <f t="shared" ca="1" si="33"/>
        <v>3.28234652104413</v>
      </c>
      <c r="L126">
        <f t="shared" ca="1" si="34"/>
        <v>204.37719304208827</v>
      </c>
      <c r="M126">
        <f t="shared" ca="1" si="35"/>
        <v>191.24780695791173</v>
      </c>
      <c r="N126">
        <f t="shared" ca="1" si="24"/>
        <v>3.1899999999999977</v>
      </c>
      <c r="O126">
        <f t="shared" ca="1" si="25"/>
        <v>3.1899999999999977</v>
      </c>
      <c r="P126">
        <f t="shared" ca="1" si="26"/>
        <v>0</v>
      </c>
      <c r="Q126">
        <f t="shared" ca="1" si="30"/>
        <v>1.2894502463578401</v>
      </c>
      <c r="R126">
        <f t="shared" ca="1" si="31"/>
        <v>0.72321895689275351</v>
      </c>
      <c r="S126">
        <f t="shared" ca="1" si="28"/>
        <v>1.7829320347158064</v>
      </c>
      <c r="T126">
        <f t="shared" ca="1" si="29"/>
        <v>64.066675451449896</v>
      </c>
      <c r="U126">
        <f>70</f>
        <v>70</v>
      </c>
      <c r="V126">
        <f>30</f>
        <v>30</v>
      </c>
      <c r="W126">
        <f t="shared" ca="1" si="27"/>
        <v>199.31651748235296</v>
      </c>
      <c r="X126">
        <f t="shared" ca="1" si="37"/>
        <v>198.15115411274456</v>
      </c>
      <c r="Y126">
        <f t="shared" ca="1" si="36"/>
        <v>1.8379504433528382</v>
      </c>
      <c r="Z126">
        <f t="shared" ca="1" si="38"/>
        <v>0.6961576679770245</v>
      </c>
      <c r="AA126">
        <f t="shared" ca="1" si="39"/>
        <v>1.1417927753758137</v>
      </c>
      <c r="AB126">
        <f t="shared" ca="1" si="40"/>
        <v>192.39929999999993</v>
      </c>
    </row>
    <row r="127" spans="1:28" x14ac:dyDescent="0.25">
      <c r="A127" s="20">
        <f t="shared" ca="1" si="20"/>
        <v>45474</v>
      </c>
      <c r="B127" vm="374">
        <f ca="1"/>
        <v>45475</v>
      </c>
      <c r="C127" vm="375">
        <f ca="1"/>
        <v>208.83</v>
      </c>
      <c r="D127" vm="376">
        <f ca="1"/>
        <v>7802936</v>
      </c>
      <c r="E127">
        <f t="shared" ca="1" si="21"/>
        <v>1629487124.8800001</v>
      </c>
      <c r="F127">
        <f ca="1">SUM($E$2:E127)/SUM($D$2:D127)</f>
        <v>187.65740591031999</v>
      </c>
      <c r="G127">
        <f ca="1">_xlfn.STDEV.P($C$2:C127)</f>
        <v>10.953952498533852</v>
      </c>
      <c r="H127">
        <f t="shared" ca="1" si="22"/>
        <v>198.61135840885385</v>
      </c>
      <c r="I127">
        <f t="shared" ca="1" si="23"/>
        <v>176.70345341178614</v>
      </c>
      <c r="J127">
        <f t="shared" ca="1" si="32"/>
        <v>198.16300000000001</v>
      </c>
      <c r="K127">
        <f t="shared" ca="1" si="33"/>
        <v>4.0234210371405652</v>
      </c>
      <c r="L127">
        <f t="shared" ca="1" si="34"/>
        <v>206.20984207428114</v>
      </c>
      <c r="M127">
        <f t="shared" ca="1" si="35"/>
        <v>190.11615792571888</v>
      </c>
      <c r="N127">
        <f t="shared" ca="1" si="24"/>
        <v>3.3800000000000239</v>
      </c>
      <c r="O127">
        <f t="shared" ca="1" si="25"/>
        <v>3.3800000000000239</v>
      </c>
      <c r="P127">
        <f t="shared" ca="1" si="26"/>
        <v>0</v>
      </c>
      <c r="Q127">
        <f t="shared" ca="1" si="30"/>
        <v>1.4387752287608533</v>
      </c>
      <c r="R127">
        <f t="shared" ca="1" si="31"/>
        <v>0.67156045997184255</v>
      </c>
      <c r="S127">
        <f t="shared" ca="1" si="28"/>
        <v>2.1424358855510626</v>
      </c>
      <c r="T127">
        <f t="shared" ca="1" si="29"/>
        <v>68.177552815062811</v>
      </c>
      <c r="U127">
        <f>70</f>
        <v>70</v>
      </c>
      <c r="V127">
        <f>30</f>
        <v>30</v>
      </c>
      <c r="W127">
        <f t="shared" ca="1" si="27"/>
        <v>200.78013017737558</v>
      </c>
      <c r="X127">
        <f t="shared" ca="1" si="37"/>
        <v>198.94217973402274</v>
      </c>
      <c r="Y127">
        <f t="shared" ca="1" si="36"/>
        <v>2.3327927325445899</v>
      </c>
      <c r="Z127">
        <f t="shared" ca="1" si="38"/>
        <v>1.0234846808905376</v>
      </c>
      <c r="AA127">
        <f t="shared" ca="1" si="39"/>
        <v>1.3093080516540523</v>
      </c>
      <c r="AB127">
        <f t="shared" ca="1" si="40"/>
        <v>192.73329999999996</v>
      </c>
    </row>
    <row r="128" spans="1:28" x14ac:dyDescent="0.25">
      <c r="A128" s="20">
        <f t="shared" ca="1" si="20"/>
        <v>45474</v>
      </c>
      <c r="B128" vm="377">
        <f ca="1"/>
        <v>45476</v>
      </c>
      <c r="C128" vm="378">
        <f ca="1"/>
        <v>208.69</v>
      </c>
      <c r="D128" vm="379">
        <f ca="1"/>
        <v>5560925</v>
      </c>
      <c r="E128">
        <f t="shared" ca="1" si="21"/>
        <v>1160509438.25</v>
      </c>
      <c r="F128">
        <f ca="1">SUM($E$2:E128)/SUM($D$2:D128)</f>
        <v>187.75721853001491</v>
      </c>
      <c r="G128">
        <f ca="1">_xlfn.STDEV.P($C$2:C128)</f>
        <v>11.057191975207303</v>
      </c>
      <c r="H128">
        <f t="shared" ca="1" si="22"/>
        <v>198.81441050522221</v>
      </c>
      <c r="I128">
        <f t="shared" ca="1" si="23"/>
        <v>176.70002655480761</v>
      </c>
      <c r="J128">
        <f t="shared" ca="1" si="32"/>
        <v>198.63950000000003</v>
      </c>
      <c r="K128">
        <f t="shared" ca="1" si="33"/>
        <v>4.6614493736559979</v>
      </c>
      <c r="L128">
        <f t="shared" ca="1" si="34"/>
        <v>207.96239874731202</v>
      </c>
      <c r="M128">
        <f t="shared" ca="1" si="35"/>
        <v>189.31660125268803</v>
      </c>
      <c r="N128">
        <f t="shared" ca="1" si="24"/>
        <v>-0.14000000000001478</v>
      </c>
      <c r="O128">
        <f t="shared" ca="1" si="25"/>
        <v>0</v>
      </c>
      <c r="P128">
        <f t="shared" ca="1" si="26"/>
        <v>0.14000000000001478</v>
      </c>
      <c r="Q128">
        <f t="shared" ca="1" si="30"/>
        <v>1.3360055695636495</v>
      </c>
      <c r="R128">
        <f t="shared" ca="1" si="31"/>
        <v>0.63359185568814058</v>
      </c>
      <c r="S128">
        <f t="shared" ca="1" si="28"/>
        <v>2.1086217532146483</v>
      </c>
      <c r="T128">
        <f t="shared" ca="1" si="29"/>
        <v>67.831403130152694</v>
      </c>
      <c r="U128">
        <f>70</f>
        <v>70</v>
      </c>
      <c r="V128">
        <f>30</f>
        <v>30</v>
      </c>
      <c r="W128">
        <f t="shared" ca="1" si="27"/>
        <v>201.99703322701009</v>
      </c>
      <c r="X128">
        <f t="shared" ca="1" si="37"/>
        <v>199.6642404944655</v>
      </c>
      <c r="Y128">
        <f t="shared" ca="1" si="36"/>
        <v>2.3827940390903279</v>
      </c>
      <c r="Z128">
        <f t="shared" ca="1" si="38"/>
        <v>1.2953465525304957</v>
      </c>
      <c r="AA128">
        <f t="shared" ca="1" si="39"/>
        <v>1.0874474865598323</v>
      </c>
      <c r="AB128">
        <f t="shared" ca="1" si="40"/>
        <v>193.07219999999995</v>
      </c>
    </row>
    <row r="129" spans="1:28" x14ac:dyDescent="0.25">
      <c r="A129" s="20">
        <f t="shared" ca="1" si="20"/>
        <v>45474</v>
      </c>
      <c r="B129" vm="380">
        <f ca="1"/>
        <v>45478</v>
      </c>
      <c r="C129" vm="286">
        <f ca="1"/>
        <v>204.79</v>
      </c>
      <c r="D129" vm="381">
        <f ca="1"/>
        <v>8093096</v>
      </c>
      <c r="E129">
        <f t="shared" ca="1" si="21"/>
        <v>1657385129.8399999</v>
      </c>
      <c r="F129">
        <f ca="1">SUM($E$2:E129)/SUM($D$2:D129)</f>
        <v>187.87404915035336</v>
      </c>
      <c r="G129">
        <f ca="1">_xlfn.STDEV.P($C$2:C129)</f>
        <v>11.106264600341678</v>
      </c>
      <c r="H129">
        <f t="shared" ca="1" si="22"/>
        <v>198.98031375069505</v>
      </c>
      <c r="I129">
        <f t="shared" ca="1" si="23"/>
        <v>176.76778455001167</v>
      </c>
      <c r="J129">
        <f t="shared" ca="1" si="32"/>
        <v>199.01600000000002</v>
      </c>
      <c r="K129">
        <f t="shared" ca="1" si="33"/>
        <v>4.844658914722479</v>
      </c>
      <c r="L129">
        <f t="shared" ca="1" si="34"/>
        <v>208.70531782944497</v>
      </c>
      <c r="M129">
        <f t="shared" ca="1" si="35"/>
        <v>189.32668217055507</v>
      </c>
      <c r="N129">
        <f t="shared" ca="1" si="24"/>
        <v>-3.9000000000000057</v>
      </c>
      <c r="O129">
        <f t="shared" ca="1" si="25"/>
        <v>0</v>
      </c>
      <c r="P129">
        <f t="shared" ca="1" si="26"/>
        <v>3.9000000000000057</v>
      </c>
      <c r="Q129">
        <f t="shared" ca="1" si="30"/>
        <v>1.240576600309103</v>
      </c>
      <c r="R129">
        <f t="shared" ca="1" si="31"/>
        <v>0.86690672313898809</v>
      </c>
      <c r="S129">
        <f t="shared" ca="1" si="28"/>
        <v>1.4310381580812885</v>
      </c>
      <c r="T129">
        <f t="shared" ca="1" si="29"/>
        <v>58.865310415807869</v>
      </c>
      <c r="U129">
        <f>70</f>
        <v>70</v>
      </c>
      <c r="V129">
        <f>30</f>
        <v>30</v>
      </c>
      <c r="W129">
        <f t="shared" ca="1" si="27"/>
        <v>202.42672042285469</v>
      </c>
      <c r="X129">
        <f t="shared" ca="1" si="37"/>
        <v>200.04392638376436</v>
      </c>
      <c r="Y129">
        <f t="shared" ca="1" si="36"/>
        <v>2.4251278942006422</v>
      </c>
      <c r="Z129">
        <f t="shared" ca="1" si="38"/>
        <v>1.5213028208645252</v>
      </c>
      <c r="AA129">
        <f t="shared" ca="1" si="39"/>
        <v>0.90382507333611706</v>
      </c>
      <c r="AB129">
        <f t="shared" ca="1" si="40"/>
        <v>193.36999999999998</v>
      </c>
    </row>
    <row r="130" spans="1:28" x14ac:dyDescent="0.25">
      <c r="A130" s="20">
        <f t="shared" ca="1" si="20"/>
        <v>45481</v>
      </c>
      <c r="B130" vm="382">
        <f ca="1"/>
        <v>45481</v>
      </c>
      <c r="C130" vm="383">
        <f ca="1"/>
        <v>205.17</v>
      </c>
      <c r="D130" vm="384">
        <f ca="1"/>
        <v>8706967</v>
      </c>
      <c r="E130">
        <f t="shared" ca="1" si="21"/>
        <v>1786408419.3899999</v>
      </c>
      <c r="F130">
        <f ca="1">SUM($E$2:E130)/SUM($D$2:D130)</f>
        <v>188.00074858437983</v>
      </c>
      <c r="G130">
        <f ca="1">_xlfn.STDEV.P($C$2:C130)</f>
        <v>11.157226950562967</v>
      </c>
      <c r="H130">
        <f t="shared" ca="1" si="22"/>
        <v>199.15797553494281</v>
      </c>
      <c r="I130">
        <f t="shared" ca="1" si="23"/>
        <v>176.84352163381686</v>
      </c>
      <c r="J130">
        <f t="shared" ca="1" si="32"/>
        <v>199.42900000000003</v>
      </c>
      <c r="K130">
        <f t="shared" ca="1" si="33"/>
        <v>5.0050962449340188</v>
      </c>
      <c r="L130">
        <f t="shared" ca="1" si="34"/>
        <v>209.43919248986808</v>
      </c>
      <c r="M130">
        <f t="shared" ca="1" si="35"/>
        <v>189.41880751013198</v>
      </c>
      <c r="N130">
        <f t="shared" ca="1" si="24"/>
        <v>0.37999999999999545</v>
      </c>
      <c r="O130">
        <f t="shared" ca="1" si="25"/>
        <v>0.37999999999999545</v>
      </c>
      <c r="P130">
        <f t="shared" ca="1" si="26"/>
        <v>0</v>
      </c>
      <c r="Q130">
        <f t="shared" ca="1" si="30"/>
        <v>1.1791068431441667</v>
      </c>
      <c r="R130">
        <f t="shared" ca="1" si="31"/>
        <v>0.80498481434334601</v>
      </c>
      <c r="S130">
        <f t="shared" ca="1" si="28"/>
        <v>1.4647566291123206</v>
      </c>
      <c r="T130">
        <f t="shared" ca="1" si="29"/>
        <v>59.42804298856278</v>
      </c>
      <c r="U130">
        <f>70</f>
        <v>70</v>
      </c>
      <c r="V130">
        <f>30</f>
        <v>30</v>
      </c>
      <c r="W130">
        <f t="shared" ca="1" si="27"/>
        <v>202.8487634347232</v>
      </c>
      <c r="X130">
        <f t="shared" ca="1" si="37"/>
        <v>200.42363554052255</v>
      </c>
      <c r="Y130">
        <f t="shared" ca="1" si="36"/>
        <v>2.626897975620949</v>
      </c>
      <c r="Z130">
        <f t="shared" ca="1" si="38"/>
        <v>1.7424218518158101</v>
      </c>
      <c r="AA130">
        <f t="shared" ca="1" si="39"/>
        <v>0.88447612380513885</v>
      </c>
      <c r="AB130">
        <f t="shared" ca="1" si="40"/>
        <v>193.66379999999992</v>
      </c>
    </row>
    <row r="131" spans="1:28" x14ac:dyDescent="0.25">
      <c r="A131" s="20">
        <f t="shared" ref="A131:A194" ca="1" si="41">B131 - WEEKDAY(B131, 2) + 1</f>
        <v>45481</v>
      </c>
      <c r="B131" vm="385">
        <f ca="1"/>
        <v>45482</v>
      </c>
      <c r="C131" vm="386">
        <f ca="1"/>
        <v>207.63</v>
      </c>
      <c r="D131" vm="387">
        <f ca="1"/>
        <v>9060258</v>
      </c>
      <c r="E131">
        <f t="shared" ref="E131:E194" ca="1" si="42">C131*D131</f>
        <v>1881181368.54</v>
      </c>
      <c r="F131">
        <f ca="1">SUM($E$2:E131)/SUM($D$2:D131)</f>
        <v>188.14924286638399</v>
      </c>
      <c r="G131">
        <f ca="1">_xlfn.STDEV.P($C$2:C131)</f>
        <v>11.235190252324044</v>
      </c>
      <c r="H131">
        <f t="shared" ref="H131:H194" ca="1" si="43">F131 + G131</f>
        <v>199.38443311870802</v>
      </c>
      <c r="I131">
        <f t="shared" ref="I131:I194" ca="1" si="44">F131 - G131</f>
        <v>176.91405261405995</v>
      </c>
      <c r="J131">
        <f t="shared" ca="1" si="32"/>
        <v>199.81299999999999</v>
      </c>
      <c r="K131">
        <f t="shared" ca="1" si="33"/>
        <v>5.3311627052148456</v>
      </c>
      <c r="L131">
        <f t="shared" ca="1" si="34"/>
        <v>210.47532541042969</v>
      </c>
      <c r="M131">
        <f t="shared" ca="1" si="35"/>
        <v>189.15067458957029</v>
      </c>
      <c r="N131">
        <f t="shared" ca="1" si="24"/>
        <v>2.460000000000008</v>
      </c>
      <c r="O131">
        <f t="shared" ca="1" si="25"/>
        <v>2.460000000000008</v>
      </c>
      <c r="P131">
        <f t="shared" ca="1" si="26"/>
        <v>0</v>
      </c>
      <c r="Q131">
        <f t="shared" ca="1" si="30"/>
        <v>1.2705992114910123</v>
      </c>
      <c r="R131">
        <f t="shared" ca="1" si="31"/>
        <v>0.74748589903310703</v>
      </c>
      <c r="S131">
        <f t="shared" ca="1" si="28"/>
        <v>1.6998303421302881</v>
      </c>
      <c r="T131">
        <f t="shared" ca="1" si="29"/>
        <v>62.960635548270979</v>
      </c>
      <c r="U131">
        <f>70</f>
        <v>70</v>
      </c>
      <c r="V131">
        <f>30</f>
        <v>30</v>
      </c>
      <c r="W131">
        <f t="shared" ca="1" si="27"/>
        <v>203.58433829091962</v>
      </c>
      <c r="X131">
        <f t="shared" ca="1" si="37"/>
        <v>200.95744031529867</v>
      </c>
      <c r="Y131">
        <f t="shared" ca="1" si="36"/>
        <v>2.76860504253861</v>
      </c>
      <c r="Z131">
        <f t="shared" ca="1" si="38"/>
        <v>1.9476584899603702</v>
      </c>
      <c r="AA131">
        <f t="shared" ca="1" si="39"/>
        <v>0.82094655257823979</v>
      </c>
      <c r="AB131">
        <f t="shared" ca="1" si="40"/>
        <v>193.9975</v>
      </c>
    </row>
    <row r="132" spans="1:28" x14ac:dyDescent="0.25">
      <c r="A132" s="20">
        <f t="shared" ca="1" si="41"/>
        <v>45481</v>
      </c>
      <c r="B132" vm="388">
        <f ca="1"/>
        <v>45483</v>
      </c>
      <c r="C132" vm="389">
        <f ca="1"/>
        <v>207.8</v>
      </c>
      <c r="D132" vm="390">
        <f ca="1"/>
        <v>8328493</v>
      </c>
      <c r="E132">
        <f t="shared" ca="1" si="42"/>
        <v>1730660845.4000001</v>
      </c>
      <c r="F132">
        <f ca="1">SUM($E$2:E132)/SUM($D$2:D132)</f>
        <v>188.2849496413624</v>
      </c>
      <c r="G132">
        <f ca="1">_xlfn.STDEV.P($C$2:C132)</f>
        <v>11.311763471901269</v>
      </c>
      <c r="H132">
        <f t="shared" ca="1" si="43"/>
        <v>199.59671311326366</v>
      </c>
      <c r="I132">
        <f t="shared" ca="1" si="44"/>
        <v>176.97318616946114</v>
      </c>
      <c r="J132">
        <f t="shared" ca="1" si="32"/>
        <v>200.22250000000003</v>
      </c>
      <c r="K132">
        <f t="shared" ca="1" si="33"/>
        <v>5.621396038445666</v>
      </c>
      <c r="L132">
        <f t="shared" ca="1" si="34"/>
        <v>211.46529207689136</v>
      </c>
      <c r="M132">
        <f t="shared" ca="1" si="35"/>
        <v>188.97970792310869</v>
      </c>
      <c r="N132">
        <f t="shared" ref="N132:N195" ca="1" si="45">C132-C131</f>
        <v>0.17000000000001592</v>
      </c>
      <c r="O132">
        <f t="shared" ref="O132:O195" ca="1" si="46">MAX(N132,0)</f>
        <v>0.17000000000001592</v>
      </c>
      <c r="P132">
        <f t="shared" ref="P132:P195" ca="1" si="47">MAX(-N132,0)</f>
        <v>0</v>
      </c>
      <c r="Q132">
        <f t="shared" ca="1" si="30"/>
        <v>1.1919849820987982</v>
      </c>
      <c r="R132">
        <f t="shared" ca="1" si="31"/>
        <v>0.69409404910217087</v>
      </c>
      <c r="S132">
        <f t="shared" ca="1" si="28"/>
        <v>1.7173248836244346</v>
      </c>
      <c r="T132">
        <f t="shared" ca="1" si="29"/>
        <v>63.199100482008781</v>
      </c>
      <c r="U132">
        <f>70</f>
        <v>70</v>
      </c>
      <c r="V132">
        <f>30</f>
        <v>30</v>
      </c>
      <c r="W132">
        <f t="shared" ca="1" si="27"/>
        <v>204.23290163077812</v>
      </c>
      <c r="X132">
        <f t="shared" ca="1" si="37"/>
        <v>201.46429658823951</v>
      </c>
      <c r="Y132">
        <f t="shared" ca="1" si="36"/>
        <v>2.8201578152799414</v>
      </c>
      <c r="Z132">
        <f t="shared" ca="1" si="38"/>
        <v>2.1221583550242844</v>
      </c>
      <c r="AA132">
        <f t="shared" ca="1" si="39"/>
        <v>0.69799946025565696</v>
      </c>
      <c r="AB132">
        <f t="shared" ca="1" si="40"/>
        <v>194.31519999999998</v>
      </c>
    </row>
    <row r="133" spans="1:28" x14ac:dyDescent="0.25">
      <c r="A133" s="20">
        <f t="shared" ca="1" si="41"/>
        <v>45481</v>
      </c>
      <c r="B133" vm="391">
        <f ca="1"/>
        <v>45484</v>
      </c>
      <c r="C133" vm="392">
        <f ca="1"/>
        <v>207.45</v>
      </c>
      <c r="D133" vm="393">
        <f ca="1"/>
        <v>10666937</v>
      </c>
      <c r="E133">
        <f t="shared" ca="1" si="42"/>
        <v>2212856080.6500001</v>
      </c>
      <c r="F133">
        <f ca="1">SUM($E$2:E133)/SUM($D$2:D133)</f>
        <v>188.45297741985246</v>
      </c>
      <c r="G133">
        <f ca="1">_xlfn.STDEV.P($C$2:C133)</f>
        <v>11.380614197946334</v>
      </c>
      <c r="H133">
        <f t="shared" ca="1" si="43"/>
        <v>199.83359161779879</v>
      </c>
      <c r="I133">
        <f t="shared" ca="1" si="44"/>
        <v>177.07236322190613</v>
      </c>
      <c r="J133">
        <f t="shared" ca="1" si="32"/>
        <v>200.87700000000001</v>
      </c>
      <c r="K133">
        <f t="shared" ca="1" si="33"/>
        <v>5.6647674732786504</v>
      </c>
      <c r="L133">
        <f t="shared" ca="1" si="34"/>
        <v>212.2065349465573</v>
      </c>
      <c r="M133">
        <f t="shared" ca="1" si="35"/>
        <v>189.54746505344272</v>
      </c>
      <c r="N133">
        <f t="shared" ca="1" si="45"/>
        <v>-0.35000000000002274</v>
      </c>
      <c r="O133">
        <f t="shared" ca="1" si="46"/>
        <v>0</v>
      </c>
      <c r="P133">
        <f t="shared" ca="1" si="47"/>
        <v>0.35000000000002274</v>
      </c>
      <c r="Q133">
        <f t="shared" ca="1" si="30"/>
        <v>1.1068431976631696</v>
      </c>
      <c r="R133">
        <f t="shared" ca="1" si="31"/>
        <v>0.66951590273773165</v>
      </c>
      <c r="S133">
        <f t="shared" ca="1" si="28"/>
        <v>1.653199264031151</v>
      </c>
      <c r="T133">
        <f t="shared" ca="1" si="29"/>
        <v>62.309653347308519</v>
      </c>
      <c r="U133">
        <f>70</f>
        <v>70</v>
      </c>
      <c r="V133">
        <f>30</f>
        <v>30</v>
      </c>
      <c r="W133">
        <f t="shared" ca="1" si="27"/>
        <v>204.72783984142765</v>
      </c>
      <c r="X133">
        <f t="shared" ca="1" si="37"/>
        <v>201.90768202614771</v>
      </c>
      <c r="Y133">
        <f t="shared" ca="1" si="36"/>
        <v>2.6281816934643984</v>
      </c>
      <c r="Z133">
        <f t="shared" ca="1" si="38"/>
        <v>2.2233630227123076</v>
      </c>
      <c r="AA133">
        <f t="shared" ca="1" si="39"/>
        <v>0.40481867075209088</v>
      </c>
      <c r="AB133">
        <f t="shared" ca="1" si="40"/>
        <v>194.59099999999998</v>
      </c>
    </row>
    <row r="134" spans="1:28" x14ac:dyDescent="0.25">
      <c r="A134" s="20">
        <f t="shared" ca="1" si="41"/>
        <v>45481</v>
      </c>
      <c r="B134" vm="394">
        <f ca="1"/>
        <v>45485</v>
      </c>
      <c r="C134" vm="395">
        <f ca="1"/>
        <v>204.94</v>
      </c>
      <c r="D134" vm="396">
        <f ca="1"/>
        <v>15443441</v>
      </c>
      <c r="E134">
        <f t="shared" ca="1" si="42"/>
        <v>3164978798.54</v>
      </c>
      <c r="F134">
        <f ca="1">SUM($E$2:E134)/SUM($D$2:D134)</f>
        <v>188.65962948442547</v>
      </c>
      <c r="G134">
        <f ca="1">_xlfn.STDEV.P($C$2:C134)</f>
        <v>11.418593861860773</v>
      </c>
      <c r="H134">
        <f t="shared" ca="1" si="43"/>
        <v>200.07822334628625</v>
      </c>
      <c r="I134">
        <f t="shared" ca="1" si="44"/>
        <v>177.24103562256468</v>
      </c>
      <c r="J134">
        <f t="shared" ca="1" si="32"/>
        <v>201.54749999999999</v>
      </c>
      <c r="K134">
        <f t="shared" ca="1" si="33"/>
        <v>5.2808112165900383</v>
      </c>
      <c r="L134">
        <f t="shared" ca="1" si="34"/>
        <v>212.10912243318006</v>
      </c>
      <c r="M134">
        <f t="shared" ca="1" si="35"/>
        <v>190.98587756681991</v>
      </c>
      <c r="N134">
        <f t="shared" ca="1" si="45"/>
        <v>-2.5099999999999909</v>
      </c>
      <c r="O134">
        <f t="shared" ca="1" si="46"/>
        <v>0</v>
      </c>
      <c r="P134">
        <f t="shared" ca="1" si="47"/>
        <v>2.5099999999999909</v>
      </c>
      <c r="Q134">
        <f t="shared" ca="1" si="30"/>
        <v>1.0277829692586575</v>
      </c>
      <c r="R134">
        <f t="shared" ca="1" si="31"/>
        <v>0.80097905254217872</v>
      </c>
      <c r="S134">
        <f t="shared" ca="1" si="28"/>
        <v>1.2831583622525953</v>
      </c>
      <c r="T134">
        <f t="shared" ca="1" si="29"/>
        <v>56.201023260892583</v>
      </c>
      <c r="U134">
        <f>70</f>
        <v>70</v>
      </c>
      <c r="V134">
        <f>30</f>
        <v>30</v>
      </c>
      <c r="W134">
        <f t="shared" ca="1" si="27"/>
        <v>204.76047986582338</v>
      </c>
      <c r="X134">
        <f t="shared" ca="1" si="37"/>
        <v>202.13229817235899</v>
      </c>
      <c r="Y134">
        <f t="shared" ca="1" si="36"/>
        <v>2.855457590122171</v>
      </c>
      <c r="Z134">
        <f t="shared" ca="1" si="38"/>
        <v>2.3497819361942804</v>
      </c>
      <c r="AA134">
        <f t="shared" ca="1" si="39"/>
        <v>0.5056756539278906</v>
      </c>
      <c r="AB134">
        <f t="shared" ca="1" si="40"/>
        <v>194.8501</v>
      </c>
    </row>
    <row r="135" spans="1:28" x14ac:dyDescent="0.25">
      <c r="A135" s="20">
        <f t="shared" ca="1" si="41"/>
        <v>45488</v>
      </c>
      <c r="B135" vm="397">
        <f ca="1"/>
        <v>45488</v>
      </c>
      <c r="C135" vm="398">
        <f ca="1"/>
        <v>210.05</v>
      </c>
      <c r="D135" vm="399">
        <f ca="1"/>
        <v>10719670</v>
      </c>
      <c r="E135">
        <f t="shared" ca="1" si="42"/>
        <v>2251666683.5</v>
      </c>
      <c r="F135">
        <f ca="1">SUM($E$2:E135)/SUM($D$2:D135)</f>
        <v>188.84412720732485</v>
      </c>
      <c r="G135">
        <f ca="1">_xlfn.STDEV.P($C$2:C135)</f>
        <v>11.514472909006439</v>
      </c>
      <c r="H135">
        <f t="shared" ca="1" si="43"/>
        <v>200.35860011633127</v>
      </c>
      <c r="I135">
        <f t="shared" ca="1" si="44"/>
        <v>177.32965429831842</v>
      </c>
      <c r="J135">
        <f t="shared" ca="1" si="32"/>
        <v>202.36700000000002</v>
      </c>
      <c r="K135">
        <f t="shared" ca="1" si="33"/>
        <v>5.2640819662471472</v>
      </c>
      <c r="L135">
        <f t="shared" ca="1" si="34"/>
        <v>212.89516393249431</v>
      </c>
      <c r="M135">
        <f t="shared" ca="1" si="35"/>
        <v>191.83883606750572</v>
      </c>
      <c r="N135">
        <f t="shared" ca="1" si="45"/>
        <v>5.1100000000000136</v>
      </c>
      <c r="O135">
        <f t="shared" ca="1" si="46"/>
        <v>5.1100000000000136</v>
      </c>
      <c r="P135">
        <f t="shared" ca="1" si="47"/>
        <v>0</v>
      </c>
      <c r="Q135">
        <f t="shared" ca="1" si="30"/>
        <v>1.3193699000258974</v>
      </c>
      <c r="R135">
        <f t="shared" ca="1" si="31"/>
        <v>0.74376626307488025</v>
      </c>
      <c r="S135">
        <f t="shared" ca="1" si="28"/>
        <v>1.7739039339743043</v>
      </c>
      <c r="T135">
        <f t="shared" ca="1" si="29"/>
        <v>63.949724871428678</v>
      </c>
      <c r="U135">
        <f>70</f>
        <v>70</v>
      </c>
      <c r="V135">
        <f>30</f>
        <v>30</v>
      </c>
      <c r="W135">
        <f t="shared" ca="1" si="27"/>
        <v>205.57425219415825</v>
      </c>
      <c r="X135">
        <f t="shared" ca="1" si="37"/>
        <v>202.71879460403608</v>
      </c>
      <c r="Y135">
        <f t="shared" ca="1" si="36"/>
        <v>3.2857682488697435</v>
      </c>
      <c r="Z135">
        <f t="shared" ca="1" si="38"/>
        <v>2.5369791987293731</v>
      </c>
      <c r="AA135">
        <f t="shared" ca="1" si="39"/>
        <v>0.74878905014037045</v>
      </c>
      <c r="AB135">
        <f t="shared" ca="1" si="40"/>
        <v>195.15329999999997</v>
      </c>
    </row>
    <row r="136" spans="1:28" x14ac:dyDescent="0.25">
      <c r="A136" s="20">
        <f t="shared" ca="1" si="41"/>
        <v>45488</v>
      </c>
      <c r="B136" vm="400">
        <f ca="1"/>
        <v>45489</v>
      </c>
      <c r="C136" vm="401">
        <f ca="1"/>
        <v>213.62</v>
      </c>
      <c r="D136" vm="402">
        <f ca="1"/>
        <v>11557018</v>
      </c>
      <c r="E136">
        <f t="shared" ca="1" si="42"/>
        <v>2468810185.1599998</v>
      </c>
      <c r="F136">
        <f ca="1">SUM($E$2:E136)/SUM($D$2:D136)</f>
        <v>189.07239581440015</v>
      </c>
      <c r="G136">
        <f ca="1">_xlfn.STDEV.P($C$2:C136)</f>
        <v>11.656526823211399</v>
      </c>
      <c r="H136">
        <f t="shared" ca="1" si="43"/>
        <v>200.72892263761156</v>
      </c>
      <c r="I136">
        <f t="shared" ca="1" si="44"/>
        <v>177.41586899118874</v>
      </c>
      <c r="J136">
        <f t="shared" ca="1" si="32"/>
        <v>203.35900000000004</v>
      </c>
      <c r="K136">
        <f t="shared" ca="1" si="33"/>
        <v>5.4275747225092239</v>
      </c>
      <c r="L136">
        <f t="shared" ca="1" si="34"/>
        <v>214.21414944501848</v>
      </c>
      <c r="M136">
        <f t="shared" ca="1" si="35"/>
        <v>192.5038505549816</v>
      </c>
      <c r="N136">
        <f t="shared" ca="1" si="45"/>
        <v>3.5699999999999932</v>
      </c>
      <c r="O136">
        <f t="shared" ca="1" si="46"/>
        <v>3.5699999999999932</v>
      </c>
      <c r="P136">
        <f t="shared" ca="1" si="47"/>
        <v>0</v>
      </c>
      <c r="Q136">
        <f t="shared" ca="1" si="30"/>
        <v>1.4801291928811899</v>
      </c>
      <c r="R136">
        <f t="shared" ca="1" si="31"/>
        <v>0.69064010142667454</v>
      </c>
      <c r="S136">
        <f t="shared" ca="1" si="28"/>
        <v>2.1431266296637652</v>
      </c>
      <c r="T136">
        <f t="shared" ca="1" si="29"/>
        <v>68.184546223421648</v>
      </c>
      <c r="U136">
        <f>70</f>
        <v>70</v>
      </c>
      <c r="V136">
        <f>30</f>
        <v>30</v>
      </c>
      <c r="W136">
        <f t="shared" ca="1" si="27"/>
        <v>206.81205954890314</v>
      </c>
      <c r="X136">
        <f t="shared" ca="1" si="37"/>
        <v>203.52629130003339</v>
      </c>
      <c r="Y136">
        <f t="shared" ca="1" si="36"/>
        <v>3.8447208362204321</v>
      </c>
      <c r="Z136">
        <f t="shared" ca="1" si="38"/>
        <v>2.798527526227585</v>
      </c>
      <c r="AA136">
        <f t="shared" ca="1" si="39"/>
        <v>1.0461933099928471</v>
      </c>
      <c r="AB136">
        <f t="shared" ca="1" si="40"/>
        <v>195.48049999999995</v>
      </c>
    </row>
    <row r="137" spans="1:28" x14ac:dyDescent="0.25">
      <c r="A137" s="20">
        <f t="shared" ca="1" si="41"/>
        <v>45488</v>
      </c>
      <c r="B137" vm="403">
        <f ca="1"/>
        <v>45490</v>
      </c>
      <c r="C137" vm="404">
        <f ca="1"/>
        <v>216.87</v>
      </c>
      <c r="D137" vm="405">
        <f ca="1"/>
        <v>11572470</v>
      </c>
      <c r="E137">
        <f t="shared" ca="1" si="42"/>
        <v>2509721568.9000001</v>
      </c>
      <c r="F137">
        <f ca="1">SUM($E$2:E137)/SUM($D$2:D137)</f>
        <v>189.3265027870118</v>
      </c>
      <c r="G137">
        <f ca="1">_xlfn.STDEV.P($C$2:C137)</f>
        <v>11.843469829199362</v>
      </c>
      <c r="H137">
        <f t="shared" ca="1" si="43"/>
        <v>201.16997261621117</v>
      </c>
      <c r="I137">
        <f t="shared" ca="1" si="44"/>
        <v>177.48303295781244</v>
      </c>
      <c r="J137">
        <f t="shared" ca="1" si="32"/>
        <v>204.45350000000002</v>
      </c>
      <c r="K137">
        <f t="shared" ca="1" si="33"/>
        <v>5.8403931689930841</v>
      </c>
      <c r="L137">
        <f t="shared" ca="1" si="34"/>
        <v>216.1342863379862</v>
      </c>
      <c r="M137">
        <f t="shared" ca="1" si="35"/>
        <v>192.77271366201384</v>
      </c>
      <c r="N137">
        <f t="shared" ca="1" si="45"/>
        <v>3.25</v>
      </c>
      <c r="O137">
        <f t="shared" ca="1" si="46"/>
        <v>3.25</v>
      </c>
      <c r="P137">
        <f t="shared" ca="1" si="47"/>
        <v>0</v>
      </c>
      <c r="Q137">
        <f t="shared" ca="1" si="30"/>
        <v>1.6065485362468193</v>
      </c>
      <c r="R137">
        <f t="shared" ca="1" si="31"/>
        <v>0.6413086656104835</v>
      </c>
      <c r="S137">
        <f t="shared" ca="1" si="28"/>
        <v>2.5051096646534337</v>
      </c>
      <c r="T137">
        <f t="shared" ca="1" si="29"/>
        <v>71.470222170669956</v>
      </c>
      <c r="U137">
        <f>70</f>
        <v>70</v>
      </c>
      <c r="V137">
        <f>30</f>
        <v>30</v>
      </c>
      <c r="W137">
        <f t="shared" ca="1" si="27"/>
        <v>208.35943500291802</v>
      </c>
      <c r="X137">
        <f t="shared" ca="1" si="37"/>
        <v>204.51471416669759</v>
      </c>
      <c r="Y137">
        <f t="shared" ca="1" si="36"/>
        <v>3.6892025404271465</v>
      </c>
      <c r="Z137">
        <f t="shared" ca="1" si="38"/>
        <v>2.9766625290674975</v>
      </c>
      <c r="AA137">
        <f t="shared" ca="1" si="39"/>
        <v>0.71254001135964895</v>
      </c>
      <c r="AB137">
        <f t="shared" ca="1" si="40"/>
        <v>195.81849999999994</v>
      </c>
    </row>
    <row r="138" spans="1:28" x14ac:dyDescent="0.25">
      <c r="A138" s="20">
        <f t="shared" ca="1" si="41"/>
        <v>45488</v>
      </c>
      <c r="B138" vm="406">
        <f ca="1"/>
        <v>45491</v>
      </c>
      <c r="C138" vm="407">
        <f ca="1"/>
        <v>209.98</v>
      </c>
      <c r="D138" vm="408">
        <f ca="1"/>
        <v>12415125</v>
      </c>
      <c r="E138">
        <f t="shared" ca="1" si="42"/>
        <v>2606927947.5</v>
      </c>
      <c r="F138">
        <f ca="1">SUM($E$2:E138)/SUM($D$2:D138)</f>
        <v>189.52708364773173</v>
      </c>
      <c r="G138">
        <f ca="1">_xlfn.STDEV.P($C$2:C138)</f>
        <v>11.923449040377864</v>
      </c>
      <c r="H138">
        <f t="shared" ca="1" si="43"/>
        <v>201.4505326881096</v>
      </c>
      <c r="I138">
        <f t="shared" ca="1" si="44"/>
        <v>177.60363460735385</v>
      </c>
      <c r="J138">
        <f t="shared" ca="1" si="32"/>
        <v>205.10250000000002</v>
      </c>
      <c r="K138">
        <f t="shared" ca="1" si="33"/>
        <v>5.68773923730501</v>
      </c>
      <c r="L138">
        <f t="shared" ca="1" si="34"/>
        <v>216.47797847461004</v>
      </c>
      <c r="M138">
        <f t="shared" ca="1" si="35"/>
        <v>193.72702152539</v>
      </c>
      <c r="N138">
        <f t="shared" ca="1" si="45"/>
        <v>-6.8900000000000148</v>
      </c>
      <c r="O138">
        <f t="shared" ca="1" si="46"/>
        <v>0</v>
      </c>
      <c r="P138">
        <f t="shared" ca="1" si="47"/>
        <v>6.8900000000000148</v>
      </c>
      <c r="Q138">
        <f t="shared" ca="1" si="30"/>
        <v>1.4917950693720463</v>
      </c>
      <c r="R138">
        <f t="shared" ca="1" si="31"/>
        <v>1.0876437609240215</v>
      </c>
      <c r="S138">
        <f t="shared" ca="1" si="28"/>
        <v>1.3715842658856177</v>
      </c>
      <c r="T138">
        <f t="shared" ca="1" si="29"/>
        <v>57.834093673809598</v>
      </c>
      <c r="U138">
        <f>70</f>
        <v>70</v>
      </c>
      <c r="V138">
        <f>30</f>
        <v>30</v>
      </c>
      <c r="W138">
        <f t="shared" ca="1" si="27"/>
        <v>208.60875269477677</v>
      </c>
      <c r="X138">
        <f t="shared" ca="1" si="37"/>
        <v>204.91955015434962</v>
      </c>
      <c r="Y138">
        <f t="shared" ca="1" si="36"/>
        <v>3.509361111638384</v>
      </c>
      <c r="Z138">
        <f t="shared" ca="1" si="38"/>
        <v>3.083202245581675</v>
      </c>
      <c r="AA138">
        <f t="shared" ca="1" si="39"/>
        <v>0.42615886605670905</v>
      </c>
      <c r="AB138">
        <f t="shared" ca="1" si="40"/>
        <v>196.07839999999993</v>
      </c>
    </row>
    <row r="139" spans="1:28" x14ac:dyDescent="0.25">
      <c r="A139" s="20">
        <f t="shared" ca="1" si="41"/>
        <v>45488</v>
      </c>
      <c r="B139" vm="409">
        <f ca="1"/>
        <v>45492</v>
      </c>
      <c r="C139" vm="410">
        <f ca="1"/>
        <v>209.78</v>
      </c>
      <c r="D139" vm="411">
        <f ca="1"/>
        <v>8095898</v>
      </c>
      <c r="E139">
        <f t="shared" ca="1" si="42"/>
        <v>1698357482.4400001</v>
      </c>
      <c r="F139">
        <f ca="1">SUM($E$2:E139)/SUM($D$2:D139)</f>
        <v>189.65453829458698</v>
      </c>
      <c r="G139">
        <f ca="1">_xlfn.STDEV.P($C$2:C139)</f>
        <v>11.997615009264258</v>
      </c>
      <c r="H139">
        <f t="shared" ca="1" si="43"/>
        <v>201.65215330385124</v>
      </c>
      <c r="I139">
        <f t="shared" ca="1" si="44"/>
        <v>177.65692328532273</v>
      </c>
      <c r="J139">
        <f t="shared" ca="1" si="32"/>
        <v>205.65799999999999</v>
      </c>
      <c r="K139">
        <f t="shared" ca="1" si="33"/>
        <v>5.5677053763552147</v>
      </c>
      <c r="L139">
        <f t="shared" ca="1" si="34"/>
        <v>216.79341075271043</v>
      </c>
      <c r="M139">
        <f t="shared" ca="1" si="35"/>
        <v>194.52258924728955</v>
      </c>
      <c r="N139">
        <f t="shared" ca="1" si="45"/>
        <v>-0.19999999999998863</v>
      </c>
      <c r="O139">
        <f t="shared" ca="1" si="46"/>
        <v>0</v>
      </c>
      <c r="P139">
        <f t="shared" ca="1" si="47"/>
        <v>0.19999999999998863</v>
      </c>
      <c r="Q139">
        <f t="shared" ca="1" si="30"/>
        <v>1.3852382787026143</v>
      </c>
      <c r="R139">
        <f t="shared" ca="1" si="31"/>
        <v>1.0242406351437334</v>
      </c>
      <c r="S139">
        <f t="shared" ca="1" si="28"/>
        <v>1.3524539362844372</v>
      </c>
      <c r="T139">
        <f t="shared" ca="1" si="29"/>
        <v>57.491197401321223</v>
      </c>
      <c r="U139">
        <f>70</f>
        <v>70</v>
      </c>
      <c r="V139">
        <f>30</f>
        <v>30</v>
      </c>
      <c r="W139">
        <f t="shared" ca="1" si="27"/>
        <v>208.78894458788804</v>
      </c>
      <c r="X139">
        <f t="shared" ca="1" si="37"/>
        <v>205.27958347624966</v>
      </c>
      <c r="Y139">
        <f t="shared" ca="1" si="36"/>
        <v>3.3683530279817546</v>
      </c>
      <c r="Z139">
        <f t="shared" ca="1" si="38"/>
        <v>3.1402324020616912</v>
      </c>
      <c r="AA139">
        <f t="shared" ca="1" si="39"/>
        <v>0.22812062592006344</v>
      </c>
      <c r="AB139">
        <f t="shared" ca="1" si="40"/>
        <v>196.34259999999995</v>
      </c>
    </row>
    <row r="140" spans="1:28" x14ac:dyDescent="0.25">
      <c r="A140" s="20">
        <f t="shared" ca="1" si="41"/>
        <v>45495</v>
      </c>
      <c r="B140" vm="412">
        <f ca="1"/>
        <v>45495</v>
      </c>
      <c r="C140" vm="413">
        <f ca="1"/>
        <v>210.28</v>
      </c>
      <c r="D140" vm="414">
        <f ca="1"/>
        <v>7663223</v>
      </c>
      <c r="E140">
        <f t="shared" ca="1" si="42"/>
        <v>1611422532.4400001</v>
      </c>
      <c r="F140">
        <f ca="1">SUM($E$2:E140)/SUM($D$2:D140)</f>
        <v>189.77667294122489</v>
      </c>
      <c r="G140">
        <f ca="1">_xlfn.STDEV.P($C$2:C140)</f>
        <v>12.074481043907653</v>
      </c>
      <c r="H140">
        <f t="shared" ca="1" si="43"/>
        <v>201.85115398513256</v>
      </c>
      <c r="I140">
        <f t="shared" ca="1" si="44"/>
        <v>177.70219189731722</v>
      </c>
      <c r="J140">
        <f t="shared" ca="1" si="32"/>
        <v>206.35700000000003</v>
      </c>
      <c r="K140">
        <f t="shared" ca="1" si="33"/>
        <v>5.1961839236521525</v>
      </c>
      <c r="L140">
        <f t="shared" ca="1" si="34"/>
        <v>216.74936784730434</v>
      </c>
      <c r="M140">
        <f t="shared" ca="1" si="35"/>
        <v>195.96463215269571</v>
      </c>
      <c r="N140">
        <f t="shared" ca="1" si="45"/>
        <v>0.5</v>
      </c>
      <c r="O140">
        <f t="shared" ca="1" si="46"/>
        <v>0.5</v>
      </c>
      <c r="P140">
        <f t="shared" ca="1" si="47"/>
        <v>0</v>
      </c>
      <c r="Q140">
        <f t="shared" ca="1" si="30"/>
        <v>1.3220069730809989</v>
      </c>
      <c r="R140">
        <f t="shared" ca="1" si="31"/>
        <v>0.95108058977632393</v>
      </c>
      <c r="S140">
        <f t="shared" ca="1" si="28"/>
        <v>1.3900052080674992</v>
      </c>
      <c r="T140">
        <f t="shared" ca="1" si="29"/>
        <v>58.159086991756979</v>
      </c>
      <c r="U140">
        <f>70</f>
        <v>70</v>
      </c>
      <c r="V140">
        <f>30</f>
        <v>30</v>
      </c>
      <c r="W140">
        <f t="shared" ca="1" si="27"/>
        <v>209.01833772821294</v>
      </c>
      <c r="X140">
        <f t="shared" ca="1" si="37"/>
        <v>205.64998470023119</v>
      </c>
      <c r="Y140">
        <f t="shared" ca="1" si="36"/>
        <v>3.2234794236584037</v>
      </c>
      <c r="Z140">
        <f t="shared" ca="1" si="38"/>
        <v>3.1568818063810338</v>
      </c>
      <c r="AA140">
        <f t="shared" ca="1" si="39"/>
        <v>6.6597617277369903E-2</v>
      </c>
      <c r="AB140">
        <f t="shared" ca="1" si="40"/>
        <v>196.61089999999993</v>
      </c>
    </row>
    <row r="141" spans="1:28" x14ac:dyDescent="0.25">
      <c r="A141" s="20">
        <f t="shared" ca="1" si="41"/>
        <v>45495</v>
      </c>
      <c r="B141" vm="415">
        <f ca="1"/>
        <v>45496</v>
      </c>
      <c r="C141" vm="416">
        <f ca="1"/>
        <v>210.33</v>
      </c>
      <c r="D141" vm="417">
        <f ca="1"/>
        <v>5557262</v>
      </c>
      <c r="E141">
        <f t="shared" ca="1" si="42"/>
        <v>1168858916.46</v>
      </c>
      <c r="F141">
        <f ca="1">SUM($E$2:E141)/SUM($D$2:D141)</f>
        <v>189.86455612426218</v>
      </c>
      <c r="G141">
        <f ca="1">_xlfn.STDEV.P($C$2:C141)</f>
        <v>12.148671685809594</v>
      </c>
      <c r="H141">
        <f t="shared" ca="1" si="43"/>
        <v>202.01322781007178</v>
      </c>
      <c r="I141">
        <f t="shared" ca="1" si="44"/>
        <v>177.71588443845258</v>
      </c>
      <c r="J141">
        <f t="shared" ca="1" si="32"/>
        <v>206.92950000000002</v>
      </c>
      <c r="K141">
        <f t="shared" ca="1" si="33"/>
        <v>4.9541598416726664</v>
      </c>
      <c r="L141">
        <f t="shared" ca="1" si="34"/>
        <v>216.83781968334534</v>
      </c>
      <c r="M141">
        <f t="shared" ca="1" si="35"/>
        <v>197.02118031665469</v>
      </c>
      <c r="N141">
        <f t="shared" ca="1" si="45"/>
        <v>5.0000000000011369E-2</v>
      </c>
      <c r="O141">
        <f t="shared" ca="1" si="46"/>
        <v>5.0000000000011369E-2</v>
      </c>
      <c r="P141">
        <f t="shared" ca="1" si="47"/>
        <v>0</v>
      </c>
      <c r="Q141">
        <f t="shared" ca="1" si="30"/>
        <v>1.2311493321466427</v>
      </c>
      <c r="R141">
        <f t="shared" ca="1" si="31"/>
        <v>0.88314626193515799</v>
      </c>
      <c r="S141">
        <f t="shared" ca="1" si="28"/>
        <v>1.394049191182599</v>
      </c>
      <c r="T141">
        <f t="shared" ca="1" si="29"/>
        <v>58.229763879411948</v>
      </c>
      <c r="U141">
        <f>70</f>
        <v>70</v>
      </c>
      <c r="V141">
        <f>30</f>
        <v>30</v>
      </c>
      <c r="W141">
        <f t="shared" ca="1" si="27"/>
        <v>209.22013192387249</v>
      </c>
      <c r="X141">
        <f t="shared" ca="1" si="37"/>
        <v>205.99665250021408</v>
      </c>
      <c r="Y141">
        <f t="shared" ca="1" si="36"/>
        <v>2.9344362359560137</v>
      </c>
      <c r="Z141">
        <f t="shared" ca="1" si="38"/>
        <v>3.1123926922960301</v>
      </c>
      <c r="AA141">
        <f t="shared" ca="1" si="39"/>
        <v>-0.17795645634001644</v>
      </c>
      <c r="AB141">
        <f t="shared" ca="1" si="40"/>
        <v>196.87039999999996</v>
      </c>
    </row>
    <row r="142" spans="1:28" x14ac:dyDescent="0.25">
      <c r="A142" s="20">
        <f t="shared" ca="1" si="41"/>
        <v>45495</v>
      </c>
      <c r="B142" vm="418">
        <f ca="1"/>
        <v>45497</v>
      </c>
      <c r="C142" vm="419">
        <f ca="1"/>
        <v>208.59</v>
      </c>
      <c r="D142" vm="420">
        <f ca="1"/>
        <v>7118957</v>
      </c>
      <c r="E142">
        <f t="shared" ca="1" si="42"/>
        <v>1484943240.6300001</v>
      </c>
      <c r="F142">
        <f ca="1">SUM($E$2:E142)/SUM($D$2:D142)</f>
        <v>189.96656522633995</v>
      </c>
      <c r="G142">
        <f ca="1">_xlfn.STDEV.P($C$2:C142)</f>
        <v>12.200673717174803</v>
      </c>
      <c r="H142">
        <f t="shared" ca="1" si="43"/>
        <v>202.16723894351475</v>
      </c>
      <c r="I142">
        <f t="shared" ca="1" si="44"/>
        <v>177.76589150916516</v>
      </c>
      <c r="J142">
        <f t="shared" ca="1" si="32"/>
        <v>207.45550000000003</v>
      </c>
      <c r="K142">
        <f t="shared" ca="1" si="33"/>
        <v>4.5018317616861641</v>
      </c>
      <c r="L142">
        <f t="shared" ca="1" si="34"/>
        <v>216.45916352337235</v>
      </c>
      <c r="M142">
        <f t="shared" ca="1" si="35"/>
        <v>198.4518364766277</v>
      </c>
      <c r="N142">
        <f t="shared" ca="1" si="45"/>
        <v>-1.7400000000000091</v>
      </c>
      <c r="O142">
        <f t="shared" ca="1" si="46"/>
        <v>0</v>
      </c>
      <c r="P142">
        <f t="shared" ca="1" si="47"/>
        <v>1.7400000000000091</v>
      </c>
      <c r="Q142">
        <f t="shared" ca="1" si="30"/>
        <v>1.1432100941361683</v>
      </c>
      <c r="R142">
        <f t="shared" ca="1" si="31"/>
        <v>0.94435010036836164</v>
      </c>
      <c r="S142">
        <f t="shared" ca="1" si="28"/>
        <v>1.2105786759489277</v>
      </c>
      <c r="T142">
        <f t="shared" ca="1" si="29"/>
        <v>54.762976279469754</v>
      </c>
      <c r="U142">
        <f>70</f>
        <v>70</v>
      </c>
      <c r="V142">
        <f>30</f>
        <v>30</v>
      </c>
      <c r="W142">
        <f t="shared" ca="1" si="27"/>
        <v>209.12318855096905</v>
      </c>
      <c r="X142">
        <f t="shared" ca="1" si="37"/>
        <v>206.18875231501303</v>
      </c>
      <c r="Y142">
        <f t="shared" ca="1" si="36"/>
        <v>2.6809187956084486</v>
      </c>
      <c r="Z142">
        <f t="shared" ca="1" si="38"/>
        <v>3.0260979129585142</v>
      </c>
      <c r="AA142">
        <f t="shared" ca="1" si="39"/>
        <v>-0.34517911735006557</v>
      </c>
      <c r="AB142">
        <f t="shared" ca="1" si="40"/>
        <v>197.09569999999997</v>
      </c>
    </row>
    <row r="143" spans="1:28" x14ac:dyDescent="0.25">
      <c r="A143" s="20">
        <f t="shared" ca="1" si="41"/>
        <v>45495</v>
      </c>
      <c r="B143" vm="421">
        <f ca="1"/>
        <v>45498</v>
      </c>
      <c r="C143" vm="422">
        <f ca="1"/>
        <v>208.67</v>
      </c>
      <c r="D143" vm="423">
        <f ca="1"/>
        <v>6403774</v>
      </c>
      <c r="E143">
        <f t="shared" ca="1" si="42"/>
        <v>1336275520.5799999</v>
      </c>
      <c r="F143">
        <f ca="1">SUM($E$2:E143)/SUM($D$2:D143)</f>
        <v>190.05777151955755</v>
      </c>
      <c r="G143">
        <f ca="1">_xlfn.STDEV.P($C$2:C143)</f>
        <v>12.251230589906877</v>
      </c>
      <c r="H143">
        <f t="shared" ca="1" si="43"/>
        <v>202.30900210946442</v>
      </c>
      <c r="I143">
        <f t="shared" ca="1" si="44"/>
        <v>177.80654092965068</v>
      </c>
      <c r="J143">
        <f t="shared" ca="1" si="32"/>
        <v>208.01750000000001</v>
      </c>
      <c r="K143">
        <f t="shared" ca="1" si="33"/>
        <v>3.8368762993927943</v>
      </c>
      <c r="L143">
        <f t="shared" ca="1" si="34"/>
        <v>215.69125259878561</v>
      </c>
      <c r="M143">
        <f t="shared" ca="1" si="35"/>
        <v>200.34374740121442</v>
      </c>
      <c r="N143">
        <f t="shared" ca="1" si="45"/>
        <v>7.9999999999984084E-2</v>
      </c>
      <c r="O143">
        <f t="shared" ca="1" si="46"/>
        <v>7.9999999999984084E-2</v>
      </c>
      <c r="P143">
        <f t="shared" ca="1" si="47"/>
        <v>0</v>
      </c>
      <c r="Q143">
        <f t="shared" ca="1" si="30"/>
        <v>1.0672665159835837</v>
      </c>
      <c r="R143">
        <f t="shared" ca="1" si="31"/>
        <v>0.8768965217706215</v>
      </c>
      <c r="S143">
        <f t="shared" ca="1" si="28"/>
        <v>1.2170951640092822</v>
      </c>
      <c r="T143">
        <f t="shared" ca="1" si="29"/>
        <v>54.895936979464118</v>
      </c>
      <c r="U143">
        <f>70</f>
        <v>70</v>
      </c>
      <c r="V143">
        <f>30</f>
        <v>30</v>
      </c>
      <c r="W143">
        <f t="shared" ref="W143:W206" ca="1" si="48">C143*(2/(12+1)) + W142*(1-(2/(12+1)))</f>
        <v>209.05346723543533</v>
      </c>
      <c r="X143">
        <f t="shared" ca="1" si="37"/>
        <v>206.37254843982689</v>
      </c>
      <c r="Y143">
        <f t="shared" ca="1" si="36"/>
        <v>2.7365285640471484</v>
      </c>
      <c r="Z143">
        <f t="shared" ca="1" si="38"/>
        <v>2.9681840431762412</v>
      </c>
      <c r="AA143">
        <f t="shared" ca="1" si="39"/>
        <v>-0.23165547912909279</v>
      </c>
      <c r="AB143">
        <f t="shared" ca="1" si="40"/>
        <v>197.32949999999994</v>
      </c>
    </row>
    <row r="144" spans="1:28" x14ac:dyDescent="0.25">
      <c r="A144" s="20">
        <f t="shared" ca="1" si="41"/>
        <v>45495</v>
      </c>
      <c r="B144" vm="424">
        <f ca="1"/>
        <v>45499</v>
      </c>
      <c r="C144" vm="425">
        <f ca="1"/>
        <v>212.24</v>
      </c>
      <c r="D144" vm="426">
        <f ca="1"/>
        <v>8027787</v>
      </c>
      <c r="E144">
        <f t="shared" ca="1" si="42"/>
        <v>1703817512.8800001</v>
      </c>
      <c r="F144">
        <f ca="1">SUM($E$2:E144)/SUM($D$2:D144)</f>
        <v>190.19255033661037</v>
      </c>
      <c r="G144">
        <f ca="1">_xlfn.STDEV.P($C$2:C144)</f>
        <v>12.339295059381328</v>
      </c>
      <c r="H144">
        <f t="shared" ca="1" si="43"/>
        <v>202.5318453959917</v>
      </c>
      <c r="I144">
        <f t="shared" ca="1" si="44"/>
        <v>177.85325527722904</v>
      </c>
      <c r="J144">
        <f t="shared" ca="1" si="32"/>
        <v>208.67100000000005</v>
      </c>
      <c r="K144">
        <f t="shared" ca="1" si="33"/>
        <v>3.3302503462083872</v>
      </c>
      <c r="L144">
        <f t="shared" ca="1" si="34"/>
        <v>215.33150069241682</v>
      </c>
      <c r="M144">
        <f t="shared" ca="1" si="35"/>
        <v>202.01049930758327</v>
      </c>
      <c r="N144">
        <f t="shared" ca="1" si="45"/>
        <v>3.5700000000000216</v>
      </c>
      <c r="O144">
        <f t="shared" ca="1" si="46"/>
        <v>3.5700000000000216</v>
      </c>
      <c r="P144">
        <f t="shared" ca="1" si="47"/>
        <v>0</v>
      </c>
      <c r="Q144">
        <f t="shared" ca="1" si="30"/>
        <v>1.2460331934133291</v>
      </c>
      <c r="R144">
        <f t="shared" ca="1" si="31"/>
        <v>0.81426105592986275</v>
      </c>
      <c r="S144">
        <f t="shared" ref="S144:S207" ca="1" si="49">IF(R144=0,NA(),Q144/R144)</f>
        <v>1.5302625421406097</v>
      </c>
      <c r="T144">
        <f t="shared" ref="T144:T207" ca="1" si="50">100-(100/(1+S144))</f>
        <v>60.478409518958578</v>
      </c>
      <c r="U144">
        <f>70</f>
        <v>70</v>
      </c>
      <c r="V144">
        <f>30</f>
        <v>30</v>
      </c>
      <c r="W144">
        <f t="shared" ca="1" si="48"/>
        <v>209.54370304536835</v>
      </c>
      <c r="X144">
        <f t="shared" ca="1" si="37"/>
        <v>206.8071744813212</v>
      </c>
      <c r="Y144">
        <f t="shared" ca="1" si="36"/>
        <v>2.6380287693589537</v>
      </c>
      <c r="Z144">
        <f t="shared" ca="1" si="38"/>
        <v>2.9021529884127837</v>
      </c>
      <c r="AA144">
        <f t="shared" ca="1" si="39"/>
        <v>-0.26412421905382999</v>
      </c>
      <c r="AB144">
        <f t="shared" ca="1" si="40"/>
        <v>197.58509999999995</v>
      </c>
    </row>
    <row r="145" spans="1:28" x14ac:dyDescent="0.25">
      <c r="A145" s="20">
        <f t="shared" ca="1" si="41"/>
        <v>45502</v>
      </c>
      <c r="B145" vm="427">
        <f ca="1"/>
        <v>45502</v>
      </c>
      <c r="C145" vm="428">
        <f ca="1"/>
        <v>210.85</v>
      </c>
      <c r="D145" vm="429">
        <f ca="1"/>
        <v>6533636</v>
      </c>
      <c r="E145">
        <f t="shared" ca="1" si="42"/>
        <v>1377617150.5999999</v>
      </c>
      <c r="F145">
        <f ca="1">SUM($E$2:E145)/SUM($D$2:D145)</f>
        <v>190.29420093146464</v>
      </c>
      <c r="G145">
        <f ca="1">_xlfn.STDEV.P($C$2:C145)</f>
        <v>12.407780545107792</v>
      </c>
      <c r="H145">
        <f t="shared" ca="1" si="43"/>
        <v>202.70198147657243</v>
      </c>
      <c r="I145">
        <f t="shared" ca="1" si="44"/>
        <v>177.88642038635686</v>
      </c>
      <c r="J145">
        <f t="shared" ca="1" si="32"/>
        <v>209.10050000000007</v>
      </c>
      <c r="K145">
        <f t="shared" ca="1" si="33"/>
        <v>2.9971784538479778</v>
      </c>
      <c r="L145">
        <f t="shared" ca="1" si="34"/>
        <v>215.09485690769603</v>
      </c>
      <c r="M145">
        <f t="shared" ca="1" si="35"/>
        <v>203.10614309230411</v>
      </c>
      <c r="N145">
        <f t="shared" ca="1" si="45"/>
        <v>-1.3900000000000148</v>
      </c>
      <c r="O145">
        <f t="shared" ca="1" si="46"/>
        <v>0</v>
      </c>
      <c r="P145">
        <f t="shared" ca="1" si="47"/>
        <v>1.3900000000000148</v>
      </c>
      <c r="Q145">
        <f t="shared" ref="Q145:Q208" ca="1" si="51">(Q144*13+O145)/14</f>
        <v>1.1570308224552341</v>
      </c>
      <c r="R145">
        <f t="shared" ref="R145:R208" ca="1" si="52">(R144*13+P145)/14</f>
        <v>0.85538526622058786</v>
      </c>
      <c r="S145">
        <f t="shared" ca="1" si="49"/>
        <v>1.352642917930337</v>
      </c>
      <c r="T145">
        <f t="shared" ca="1" si="50"/>
        <v>57.494612022137289</v>
      </c>
      <c r="U145">
        <f>70</f>
        <v>70</v>
      </c>
      <c r="V145">
        <f>30</f>
        <v>30</v>
      </c>
      <c r="W145">
        <f t="shared" ca="1" si="48"/>
        <v>209.74467180761934</v>
      </c>
      <c r="X145">
        <f t="shared" ca="1" si="37"/>
        <v>207.10664303826039</v>
      </c>
      <c r="Y145">
        <f t="shared" ca="1" si="36"/>
        <v>2.8770043858356473</v>
      </c>
      <c r="Z145">
        <f t="shared" ca="1" si="38"/>
        <v>2.8971232678973564</v>
      </c>
      <c r="AA145">
        <f t="shared" ca="1" si="39"/>
        <v>-2.0118882061709087E-2</v>
      </c>
      <c r="AB145">
        <f t="shared" ca="1" si="40"/>
        <v>197.80809999999994</v>
      </c>
    </row>
    <row r="146" spans="1:28" x14ac:dyDescent="0.25">
      <c r="A146" s="20">
        <f t="shared" ca="1" si="41"/>
        <v>45502</v>
      </c>
      <c r="B146" vm="430">
        <f ca="1"/>
        <v>45503</v>
      </c>
      <c r="C146" vm="431">
        <f ca="1"/>
        <v>215.19</v>
      </c>
      <c r="D146" vm="432">
        <f ca="1"/>
        <v>8850705</v>
      </c>
      <c r="E146">
        <f t="shared" ca="1" si="42"/>
        <v>1904583208.95</v>
      </c>
      <c r="F146">
        <f ca="1">SUM($E$2:E146)/SUM($D$2:D146)</f>
        <v>190.45905394161883</v>
      </c>
      <c r="G146">
        <f ca="1">_xlfn.STDEV.P($C$2:C146)</f>
        <v>12.525778862196049</v>
      </c>
      <c r="H146">
        <f t="shared" ca="1" si="43"/>
        <v>202.98483280381487</v>
      </c>
      <c r="I146">
        <f t="shared" ca="1" si="44"/>
        <v>177.9332750794228</v>
      </c>
      <c r="J146">
        <f t="shared" ca="1" si="32"/>
        <v>209.58750000000001</v>
      </c>
      <c r="K146">
        <f t="shared" ca="1" si="33"/>
        <v>3.1597049745689567</v>
      </c>
      <c r="L146">
        <f t="shared" ca="1" si="34"/>
        <v>215.90690994913791</v>
      </c>
      <c r="M146">
        <f t="shared" ca="1" si="35"/>
        <v>203.2680900508621</v>
      </c>
      <c r="N146">
        <f t="shared" ca="1" si="45"/>
        <v>4.3400000000000034</v>
      </c>
      <c r="O146">
        <f t="shared" ca="1" si="46"/>
        <v>4.3400000000000034</v>
      </c>
      <c r="P146">
        <f t="shared" ca="1" si="47"/>
        <v>0</v>
      </c>
      <c r="Q146">
        <f t="shared" ca="1" si="51"/>
        <v>1.3843857637084318</v>
      </c>
      <c r="R146">
        <f t="shared" ca="1" si="52"/>
        <v>0.79428631863340293</v>
      </c>
      <c r="S146">
        <f t="shared" ca="1" si="49"/>
        <v>1.7429303907567177</v>
      </c>
      <c r="T146">
        <f t="shared" ca="1" si="50"/>
        <v>63.542640259123722</v>
      </c>
      <c r="U146">
        <f>70</f>
        <v>70</v>
      </c>
      <c r="V146">
        <f>30</f>
        <v>30</v>
      </c>
      <c r="W146">
        <f t="shared" ca="1" si="48"/>
        <v>210.58241460644712</v>
      </c>
      <c r="X146">
        <f t="shared" ca="1" si="37"/>
        <v>207.70541022061147</v>
      </c>
      <c r="Y146">
        <f t="shared" ca="1" si="36"/>
        <v>2.8407943487636942</v>
      </c>
      <c r="Z146">
        <f t="shared" ca="1" si="38"/>
        <v>2.8858574840706241</v>
      </c>
      <c r="AA146">
        <f t="shared" ca="1" si="39"/>
        <v>-4.5063135306929958E-2</v>
      </c>
      <c r="AB146">
        <f t="shared" ca="1" si="40"/>
        <v>198.06469999999993</v>
      </c>
    </row>
    <row r="147" spans="1:28" x14ac:dyDescent="0.25">
      <c r="A147" s="20">
        <f t="shared" ca="1" si="41"/>
        <v>45502</v>
      </c>
      <c r="B147" vm="433">
        <f ca="1"/>
        <v>45504</v>
      </c>
      <c r="C147" vm="434">
        <f ca="1"/>
        <v>212.8</v>
      </c>
      <c r="D147" vm="435">
        <f ca="1"/>
        <v>9071637</v>
      </c>
      <c r="E147">
        <f t="shared" ca="1" si="42"/>
        <v>1930444353.6000001</v>
      </c>
      <c r="F147">
        <f ca="1">SUM($E$2:E147)/SUM($D$2:D147)</f>
        <v>190.60966004255349</v>
      </c>
      <c r="G147">
        <f ca="1">_xlfn.STDEV.P($C$2:C147)</f>
        <v>12.609543493440466</v>
      </c>
      <c r="H147">
        <f t="shared" ca="1" si="43"/>
        <v>203.21920353599396</v>
      </c>
      <c r="I147">
        <f t="shared" ca="1" si="44"/>
        <v>178.00011654911302</v>
      </c>
      <c r="J147">
        <f t="shared" ca="1" si="32"/>
        <v>209.786</v>
      </c>
      <c r="K147">
        <f t="shared" ca="1" si="33"/>
        <v>3.2334540762407498</v>
      </c>
      <c r="L147">
        <f t="shared" ca="1" si="34"/>
        <v>216.2529081524815</v>
      </c>
      <c r="M147">
        <f t="shared" ca="1" si="35"/>
        <v>203.31909184751851</v>
      </c>
      <c r="N147">
        <f t="shared" ca="1" si="45"/>
        <v>-2.3899999999999864</v>
      </c>
      <c r="O147">
        <f t="shared" ca="1" si="46"/>
        <v>0</v>
      </c>
      <c r="P147">
        <f t="shared" ca="1" si="47"/>
        <v>2.3899999999999864</v>
      </c>
      <c r="Q147">
        <f t="shared" ca="1" si="51"/>
        <v>1.2855010663006865</v>
      </c>
      <c r="R147">
        <f t="shared" ca="1" si="52"/>
        <v>0.90826586730244452</v>
      </c>
      <c r="S147">
        <f t="shared" ca="1" si="49"/>
        <v>1.4153356550969298</v>
      </c>
      <c r="T147">
        <f t="shared" ca="1" si="50"/>
        <v>58.597886886248567</v>
      </c>
      <c r="U147">
        <f>70</f>
        <v>70</v>
      </c>
      <c r="V147">
        <f>30</f>
        <v>30</v>
      </c>
      <c r="W147">
        <f t="shared" ca="1" si="48"/>
        <v>210.92358159007063</v>
      </c>
      <c r="X147">
        <f t="shared" ca="1" si="37"/>
        <v>208.08278724130693</v>
      </c>
      <c r="Y147">
        <f t="shared" ca="1" si="36"/>
        <v>2.3939540707299898</v>
      </c>
      <c r="Z147">
        <f t="shared" ca="1" si="38"/>
        <v>2.7874768014024971</v>
      </c>
      <c r="AA147">
        <f t="shared" ca="1" si="39"/>
        <v>-0.39352273067250731</v>
      </c>
      <c r="AB147">
        <f t="shared" ca="1" si="40"/>
        <v>198.31399999999994</v>
      </c>
    </row>
    <row r="148" spans="1:28" x14ac:dyDescent="0.25">
      <c r="A148" s="20">
        <f t="shared" ca="1" si="41"/>
        <v>45502</v>
      </c>
      <c r="B148" vm="436">
        <f ca="1"/>
        <v>45505</v>
      </c>
      <c r="C148" vm="437">
        <f ca="1"/>
        <v>207.96</v>
      </c>
      <c r="D148" vm="438">
        <f ca="1"/>
        <v>10918644</v>
      </c>
      <c r="E148">
        <f t="shared" ca="1" si="42"/>
        <v>2270641206.2400002</v>
      </c>
      <c r="F148">
        <f ca="1">SUM($E$2:E148)/SUM($D$2:D148)</f>
        <v>190.7493041062618</v>
      </c>
      <c r="G148">
        <f ca="1">_xlfn.STDEV.P($C$2:C148)</f>
        <v>12.640738774100814</v>
      </c>
      <c r="H148">
        <f t="shared" ca="1" si="43"/>
        <v>203.39004288036261</v>
      </c>
      <c r="I148">
        <f t="shared" ca="1" si="44"/>
        <v>178.10856533216099</v>
      </c>
      <c r="J148">
        <f t="shared" ca="1" si="32"/>
        <v>209.74950000000004</v>
      </c>
      <c r="K148">
        <f t="shared" ca="1" si="33"/>
        <v>3.2505521393336148</v>
      </c>
      <c r="L148">
        <f t="shared" ca="1" si="34"/>
        <v>216.25060427866728</v>
      </c>
      <c r="M148">
        <f t="shared" ca="1" si="35"/>
        <v>203.2483957213328</v>
      </c>
      <c r="N148">
        <f t="shared" ca="1" si="45"/>
        <v>-4.8400000000000034</v>
      </c>
      <c r="O148">
        <f t="shared" ca="1" si="46"/>
        <v>0</v>
      </c>
      <c r="P148">
        <f t="shared" ca="1" si="47"/>
        <v>4.8400000000000034</v>
      </c>
      <c r="Q148">
        <f t="shared" ca="1" si="51"/>
        <v>1.1936795615649232</v>
      </c>
      <c r="R148">
        <f t="shared" ca="1" si="52"/>
        <v>1.1891040196379845</v>
      </c>
      <c r="S148">
        <f t="shared" ca="1" si="49"/>
        <v>1.0038478903875303</v>
      </c>
      <c r="T148">
        <f t="shared" ca="1" si="50"/>
        <v>50.096012536829484</v>
      </c>
      <c r="U148">
        <f>70</f>
        <v>70</v>
      </c>
      <c r="V148">
        <f>30</f>
        <v>30</v>
      </c>
      <c r="W148">
        <f t="shared" ca="1" si="48"/>
        <v>210.467645960829</v>
      </c>
      <c r="X148">
        <f t="shared" ca="1" si="37"/>
        <v>208.07369189009901</v>
      </c>
      <c r="Y148">
        <f t="shared" ca="1" si="36"/>
        <v>1.3129942623476722</v>
      </c>
      <c r="Z148">
        <f t="shared" ca="1" si="38"/>
        <v>2.4925802935915322</v>
      </c>
      <c r="AA148">
        <f t="shared" ca="1" si="39"/>
        <v>-1.17958603124386</v>
      </c>
      <c r="AB148">
        <f t="shared" ca="1" si="40"/>
        <v>198.51139999999992</v>
      </c>
    </row>
    <row r="149" spans="1:28" x14ac:dyDescent="0.25">
      <c r="A149" s="20">
        <f t="shared" ca="1" si="41"/>
        <v>45502</v>
      </c>
      <c r="B149" vm="439">
        <f ca="1"/>
        <v>45506</v>
      </c>
      <c r="C149" vm="440">
        <f ca="1"/>
        <v>199.14</v>
      </c>
      <c r="D149" vm="441">
        <f ca="1"/>
        <v>18041676</v>
      </c>
      <c r="E149">
        <f t="shared" ca="1" si="42"/>
        <v>3592819358.6399999</v>
      </c>
      <c r="F149">
        <f ca="1">SUM($E$2:E149)/SUM($D$2:D149)</f>
        <v>190.85942836086534</v>
      </c>
      <c r="G149">
        <f ca="1">_xlfn.STDEV.P($C$2:C149)</f>
        <v>12.613744990572007</v>
      </c>
      <c r="H149">
        <f t="shared" ca="1" si="43"/>
        <v>203.47317335143734</v>
      </c>
      <c r="I149">
        <f t="shared" ca="1" si="44"/>
        <v>178.24568337029334</v>
      </c>
      <c r="J149">
        <f t="shared" ca="1" si="32"/>
        <v>209.46700000000004</v>
      </c>
      <c r="K149">
        <f t="shared" ca="1" si="33"/>
        <v>3.8873913591182716</v>
      </c>
      <c r="L149">
        <f t="shared" ca="1" si="34"/>
        <v>217.24178271823658</v>
      </c>
      <c r="M149">
        <f t="shared" ca="1" si="35"/>
        <v>201.6922172817635</v>
      </c>
      <c r="N149">
        <f t="shared" ca="1" si="45"/>
        <v>-8.8200000000000216</v>
      </c>
      <c r="O149">
        <f t="shared" ca="1" si="46"/>
        <v>0</v>
      </c>
      <c r="P149">
        <f t="shared" ca="1" si="47"/>
        <v>8.8200000000000216</v>
      </c>
      <c r="Q149">
        <f t="shared" ca="1" si="51"/>
        <v>1.1084167357388572</v>
      </c>
      <c r="R149">
        <f t="shared" ca="1" si="52"/>
        <v>1.7341680182352728</v>
      </c>
      <c r="S149">
        <f t="shared" ca="1" si="49"/>
        <v>0.63916340520845627</v>
      </c>
      <c r="T149">
        <f t="shared" ca="1" si="50"/>
        <v>38.993269565286099</v>
      </c>
      <c r="U149">
        <f>70</f>
        <v>70</v>
      </c>
      <c r="V149">
        <f>30</f>
        <v>30</v>
      </c>
      <c r="W149">
        <f t="shared" ca="1" si="48"/>
        <v>208.72493119762453</v>
      </c>
      <c r="X149">
        <f t="shared" ca="1" si="37"/>
        <v>207.41193693527686</v>
      </c>
      <c r="Y149">
        <f t="shared" ca="1" si="36"/>
        <v>0.11289191375925611</v>
      </c>
      <c r="Z149">
        <f t="shared" ca="1" si="38"/>
        <v>2.0166426176250769</v>
      </c>
      <c r="AA149">
        <f t="shared" ca="1" si="39"/>
        <v>-1.9037507038658208</v>
      </c>
      <c r="AB149">
        <f t="shared" ca="1" si="40"/>
        <v>198.61989999999992</v>
      </c>
    </row>
    <row r="150" spans="1:28" x14ac:dyDescent="0.25">
      <c r="A150" s="20">
        <f t="shared" ca="1" si="41"/>
        <v>45509</v>
      </c>
      <c r="B150" vm="442">
        <f ca="1"/>
        <v>45509</v>
      </c>
      <c r="C150" vm="443">
        <f ca="1"/>
        <v>194.9</v>
      </c>
      <c r="D150" vm="444">
        <f ca="1"/>
        <v>13926997</v>
      </c>
      <c r="E150">
        <f t="shared" ca="1" si="42"/>
        <v>2714371715.3000002</v>
      </c>
      <c r="F150">
        <f ca="1">SUM($E$2:E150)/SUM($D$2:D150)</f>
        <v>190.89995406616441</v>
      </c>
      <c r="G150">
        <f ca="1">_xlfn.STDEV.P($C$2:C150)</f>
        <v>12.574425386592495</v>
      </c>
      <c r="H150">
        <f t="shared" ca="1" si="43"/>
        <v>203.47437945275692</v>
      </c>
      <c r="I150">
        <f t="shared" ca="1" si="44"/>
        <v>178.3255286795719</v>
      </c>
      <c r="J150">
        <f t="shared" ref="J150:J213" ca="1" si="53">AVERAGE(C131:C150)</f>
        <v>208.95349999999999</v>
      </c>
      <c r="K150">
        <f t="shared" ref="K150:K213" ca="1" si="54">_xlfn.STDEV.S(C131:C150)</f>
        <v>5.0030730293332839</v>
      </c>
      <c r="L150">
        <f t="shared" ref="L150:L213" ca="1" si="55">J150 + 2*K150</f>
        <v>218.95964605866655</v>
      </c>
      <c r="M150">
        <f t="shared" ref="M150:M213" ca="1" si="56">J150-2*K150</f>
        <v>198.94735394133343</v>
      </c>
      <c r="N150">
        <f t="shared" ca="1" si="45"/>
        <v>-4.2399999999999807</v>
      </c>
      <c r="O150">
        <f t="shared" ca="1" si="46"/>
        <v>0</v>
      </c>
      <c r="P150">
        <f t="shared" ca="1" si="47"/>
        <v>4.2399999999999807</v>
      </c>
      <c r="Q150">
        <f t="shared" ca="1" si="51"/>
        <v>1.0292441117575104</v>
      </c>
      <c r="R150">
        <f t="shared" ca="1" si="52"/>
        <v>1.9131560169327517</v>
      </c>
      <c r="S150">
        <f t="shared" ca="1" si="49"/>
        <v>0.53798231960592302</v>
      </c>
      <c r="T150">
        <f t="shared" ca="1" si="50"/>
        <v>34.979746694602454</v>
      </c>
      <c r="U150">
        <f>70</f>
        <v>70</v>
      </c>
      <c r="V150">
        <f>30</f>
        <v>30</v>
      </c>
      <c r="W150">
        <f t="shared" ca="1" si="48"/>
        <v>206.59801870568228</v>
      </c>
      <c r="X150">
        <f t="shared" ca="1" si="37"/>
        <v>206.48512679192302</v>
      </c>
      <c r="Y150">
        <f t="shared" ca="1" si="36"/>
        <v>-0.39468561762777199</v>
      </c>
      <c r="Z150">
        <f t="shared" ca="1" si="38"/>
        <v>1.5343769705745072</v>
      </c>
      <c r="AA150">
        <f t="shared" ca="1" si="39"/>
        <v>-1.9290625882022792</v>
      </c>
      <c r="AB150">
        <f t="shared" ca="1" si="40"/>
        <v>198.67049999999995</v>
      </c>
    </row>
    <row r="151" spans="1:28" x14ac:dyDescent="0.25">
      <c r="A151" s="20">
        <f t="shared" ca="1" si="41"/>
        <v>45509</v>
      </c>
      <c r="B151" vm="445">
        <f ca="1"/>
        <v>45510</v>
      </c>
      <c r="C151" vm="446">
        <f ca="1"/>
        <v>200.34</v>
      </c>
      <c r="D151" vm="447">
        <f ca="1"/>
        <v>10605780</v>
      </c>
      <c r="E151">
        <f t="shared" ca="1" si="42"/>
        <v>2124761965.2</v>
      </c>
      <c r="F151">
        <f ca="1">SUM($E$2:E151)/SUM($D$2:D151)</f>
        <v>190.97150948436934</v>
      </c>
      <c r="G151">
        <f ca="1">_xlfn.STDEV.P($C$2:C151)</f>
        <v>12.553002022358369</v>
      </c>
      <c r="H151">
        <f t="shared" ca="1" si="43"/>
        <v>203.52451150672769</v>
      </c>
      <c r="I151">
        <f t="shared" ca="1" si="44"/>
        <v>178.41850746201098</v>
      </c>
      <c r="J151">
        <f t="shared" ca="1" si="53"/>
        <v>208.58900000000003</v>
      </c>
      <c r="K151">
        <f t="shared" ca="1" si="54"/>
        <v>5.3575700501351617</v>
      </c>
      <c r="L151">
        <f t="shared" ca="1" si="55"/>
        <v>219.30414010027036</v>
      </c>
      <c r="M151">
        <f t="shared" ca="1" si="56"/>
        <v>197.87385989972969</v>
      </c>
      <c r="N151">
        <f t="shared" ca="1" si="45"/>
        <v>5.4399999999999977</v>
      </c>
      <c r="O151">
        <f t="shared" ca="1" si="46"/>
        <v>5.4399999999999977</v>
      </c>
      <c r="P151">
        <f t="shared" ca="1" si="47"/>
        <v>0</v>
      </c>
      <c r="Q151">
        <f t="shared" ca="1" si="51"/>
        <v>1.3442981037748309</v>
      </c>
      <c r="R151">
        <f t="shared" ca="1" si="52"/>
        <v>1.7765020157232694</v>
      </c>
      <c r="S151">
        <f t="shared" ca="1" si="49"/>
        <v>0.75671071120486477</v>
      </c>
      <c r="T151">
        <f t="shared" ca="1" si="50"/>
        <v>43.075431052951458</v>
      </c>
      <c r="U151">
        <f>70</f>
        <v>70</v>
      </c>
      <c r="V151">
        <f>30</f>
        <v>30</v>
      </c>
      <c r="W151">
        <f t="shared" ca="1" si="48"/>
        <v>205.63524659711578</v>
      </c>
      <c r="X151">
        <f t="shared" ca="1" si="37"/>
        <v>206.02993221474355</v>
      </c>
      <c r="Y151">
        <f t="shared" ca="1" si="36"/>
        <v>-0.78307615512326834</v>
      </c>
      <c r="Z151">
        <f t="shared" ca="1" si="38"/>
        <v>1.070886345434952</v>
      </c>
      <c r="AA151">
        <f t="shared" ca="1" si="39"/>
        <v>-1.8539625005582203</v>
      </c>
      <c r="AB151">
        <f t="shared" ca="1" si="40"/>
        <v>198.76009999999994</v>
      </c>
    </row>
    <row r="152" spans="1:28" x14ac:dyDescent="0.25">
      <c r="A152" s="20">
        <f t="shared" ca="1" si="41"/>
        <v>45509</v>
      </c>
      <c r="B152" vm="448">
        <f ca="1"/>
        <v>45511</v>
      </c>
      <c r="C152" vm="449">
        <f ca="1"/>
        <v>200.4</v>
      </c>
      <c r="D152" vm="450">
        <f ca="1"/>
        <v>9204434</v>
      </c>
      <c r="E152">
        <f t="shared" ca="1" si="42"/>
        <v>1844568573.6000001</v>
      </c>
      <c r="F152">
        <f ca="1">SUM($E$2:E152)/SUM($D$2:D152)</f>
        <v>191.03312888013946</v>
      </c>
      <c r="G152">
        <f ca="1">_xlfn.STDEV.P($C$2:C152)</f>
        <v>12.531832812787085</v>
      </c>
      <c r="H152">
        <f t="shared" ca="1" si="43"/>
        <v>203.56496169292654</v>
      </c>
      <c r="I152">
        <f t="shared" ca="1" si="44"/>
        <v>178.50129606735237</v>
      </c>
      <c r="J152">
        <f t="shared" ca="1" si="53"/>
        <v>208.21899999999999</v>
      </c>
      <c r="K152">
        <f t="shared" ca="1" si="54"/>
        <v>5.661814754633844</v>
      </c>
      <c r="L152">
        <f t="shared" ca="1" si="55"/>
        <v>219.54262950926767</v>
      </c>
      <c r="M152">
        <f t="shared" ca="1" si="56"/>
        <v>196.89537049073232</v>
      </c>
      <c r="N152">
        <f t="shared" ca="1" si="45"/>
        <v>6.0000000000002274E-2</v>
      </c>
      <c r="O152">
        <f t="shared" ca="1" si="46"/>
        <v>6.0000000000002274E-2</v>
      </c>
      <c r="P152">
        <f t="shared" ca="1" si="47"/>
        <v>0</v>
      </c>
      <c r="Q152">
        <f t="shared" ca="1" si="51"/>
        <v>1.2525625249337717</v>
      </c>
      <c r="R152">
        <f t="shared" ca="1" si="52"/>
        <v>1.6496090146001787</v>
      </c>
      <c r="S152">
        <f t="shared" ca="1" si="49"/>
        <v>0.75930872943087035</v>
      </c>
      <c r="T152">
        <f t="shared" ca="1" si="50"/>
        <v>43.159493085474757</v>
      </c>
      <c r="U152">
        <f>70</f>
        <v>70</v>
      </c>
      <c r="V152">
        <f>30</f>
        <v>30</v>
      </c>
      <c r="W152">
        <f t="shared" ca="1" si="48"/>
        <v>204.82982404371336</v>
      </c>
      <c r="X152">
        <f t="shared" ca="1" si="37"/>
        <v>205.61290019883663</v>
      </c>
      <c r="Y152">
        <f t="shared" ca="1" si="36"/>
        <v>-0.78648097902859604</v>
      </c>
      <c r="Z152">
        <f t="shared" ca="1" si="38"/>
        <v>0.69941288054224249</v>
      </c>
      <c r="AA152">
        <f t="shared" ca="1" si="39"/>
        <v>-1.4858938595708384</v>
      </c>
      <c r="AB152">
        <f t="shared" ca="1" si="40"/>
        <v>198.88439999999994</v>
      </c>
    </row>
    <row r="153" spans="1:28" x14ac:dyDescent="0.25">
      <c r="A153" s="20">
        <f t="shared" ca="1" si="41"/>
        <v>45509</v>
      </c>
      <c r="B153" vm="451">
        <f ca="1"/>
        <v>45512</v>
      </c>
      <c r="C153" vm="452">
        <f ca="1"/>
        <v>204.06</v>
      </c>
      <c r="D153" vm="453">
        <f ca="1"/>
        <v>7761199</v>
      </c>
      <c r="E153">
        <f t="shared" ca="1" si="42"/>
        <v>1583750267.9400001</v>
      </c>
      <c r="F153">
        <f ca="1">SUM($E$2:E153)/SUM($D$2:D153)</f>
        <v>191.1045226667313</v>
      </c>
      <c r="G153">
        <f ca="1">_xlfn.STDEV.P($C$2:C153)</f>
        <v>12.53088671146021</v>
      </c>
      <c r="H153">
        <f t="shared" ca="1" si="43"/>
        <v>203.6354093781915</v>
      </c>
      <c r="I153">
        <f t="shared" ca="1" si="44"/>
        <v>178.5736359552711</v>
      </c>
      <c r="J153">
        <f t="shared" ca="1" si="53"/>
        <v>208.04949999999999</v>
      </c>
      <c r="K153">
        <f t="shared" ca="1" si="54"/>
        <v>5.7363021969503016</v>
      </c>
      <c r="L153">
        <f t="shared" ca="1" si="55"/>
        <v>219.52210439390061</v>
      </c>
      <c r="M153">
        <f t="shared" ca="1" si="56"/>
        <v>196.57689560609938</v>
      </c>
      <c r="N153">
        <f t="shared" ca="1" si="45"/>
        <v>3.6599999999999966</v>
      </c>
      <c r="O153">
        <f t="shared" ca="1" si="46"/>
        <v>3.6599999999999966</v>
      </c>
      <c r="P153">
        <f t="shared" ca="1" si="47"/>
        <v>0</v>
      </c>
      <c r="Q153">
        <f t="shared" ca="1" si="51"/>
        <v>1.4245223445813591</v>
      </c>
      <c r="R153">
        <f t="shared" ca="1" si="52"/>
        <v>1.5317797992715947</v>
      </c>
      <c r="S153">
        <f t="shared" ca="1" si="49"/>
        <v>0.92997854212384856</v>
      </c>
      <c r="T153">
        <f t="shared" ca="1" si="50"/>
        <v>48.185952425173184</v>
      </c>
      <c r="U153">
        <f>70</f>
        <v>70</v>
      </c>
      <c r="V153">
        <f>30</f>
        <v>30</v>
      </c>
      <c r="W153">
        <f t="shared" ca="1" si="48"/>
        <v>204.71138957544974</v>
      </c>
      <c r="X153">
        <f t="shared" ca="1" si="37"/>
        <v>205.49787055447834</v>
      </c>
      <c r="Y153">
        <f t="shared" ca="1" si="36"/>
        <v>-0.64138241110222793</v>
      </c>
      <c r="Z153">
        <f t="shared" ca="1" si="38"/>
        <v>0.4312538222133484</v>
      </c>
      <c r="AA153">
        <f t="shared" ca="1" si="39"/>
        <v>-1.0726362333155763</v>
      </c>
      <c r="AB153">
        <f t="shared" ca="1" si="40"/>
        <v>199.02200000000002</v>
      </c>
    </row>
    <row r="154" spans="1:28" x14ac:dyDescent="0.25">
      <c r="A154" s="20">
        <f t="shared" ca="1" si="41"/>
        <v>45509</v>
      </c>
      <c r="B154" vm="454">
        <f ca="1"/>
        <v>45513</v>
      </c>
      <c r="C154" vm="455">
        <f ca="1"/>
        <v>205.8</v>
      </c>
      <c r="D154" vm="456">
        <f ca="1"/>
        <v>5540240</v>
      </c>
      <c r="E154">
        <f t="shared" ca="1" si="42"/>
        <v>1140181392</v>
      </c>
      <c r="F154">
        <f ca="1">SUM($E$2:E154)/SUM($D$2:D154)</f>
        <v>191.16179014092205</v>
      </c>
      <c r="G154">
        <f ca="1">_xlfn.STDEV.P($C$2:C154)</f>
        <v>12.54134176582383</v>
      </c>
      <c r="H154">
        <f t="shared" ca="1" si="43"/>
        <v>203.70313190674588</v>
      </c>
      <c r="I154">
        <f t="shared" ca="1" si="44"/>
        <v>178.62044837509822</v>
      </c>
      <c r="J154">
        <f t="shared" ca="1" si="53"/>
        <v>208.09250000000003</v>
      </c>
      <c r="K154">
        <f t="shared" ca="1" si="54"/>
        <v>5.7149498086850663</v>
      </c>
      <c r="L154">
        <f t="shared" ca="1" si="55"/>
        <v>219.52239961737016</v>
      </c>
      <c r="M154">
        <f t="shared" ca="1" si="56"/>
        <v>196.6626003826299</v>
      </c>
      <c r="N154">
        <f t="shared" ca="1" si="45"/>
        <v>1.7400000000000091</v>
      </c>
      <c r="O154">
        <f t="shared" ca="1" si="46"/>
        <v>1.7400000000000091</v>
      </c>
      <c r="P154">
        <f t="shared" ca="1" si="47"/>
        <v>0</v>
      </c>
      <c r="Q154">
        <f t="shared" ca="1" si="51"/>
        <v>1.4470564628255485</v>
      </c>
      <c r="R154">
        <f t="shared" ca="1" si="52"/>
        <v>1.4223669564664809</v>
      </c>
      <c r="S154">
        <f t="shared" ca="1" si="49"/>
        <v>1.017358042695538</v>
      </c>
      <c r="T154">
        <f t="shared" ca="1" si="50"/>
        <v>50.430217203098579</v>
      </c>
      <c r="U154">
        <f>70</f>
        <v>70</v>
      </c>
      <c r="V154">
        <f>30</f>
        <v>30</v>
      </c>
      <c r="W154">
        <f t="shared" ca="1" si="48"/>
        <v>204.87886810230364</v>
      </c>
      <c r="X154">
        <f t="shared" ca="1" si="37"/>
        <v>205.52025051340587</v>
      </c>
      <c r="Y154">
        <f t="shared" ca="1" si="36"/>
        <v>-0.48928088453769192</v>
      </c>
      <c r="Z154">
        <f t="shared" ca="1" si="38"/>
        <v>0.24714688086314035</v>
      </c>
      <c r="AA154">
        <f t="shared" ca="1" si="39"/>
        <v>-0.73642776540083221</v>
      </c>
      <c r="AB154">
        <f t="shared" ca="1" si="40"/>
        <v>199.1534</v>
      </c>
    </row>
    <row r="155" spans="1:28" x14ac:dyDescent="0.25">
      <c r="A155" s="20">
        <f t="shared" ca="1" si="41"/>
        <v>45516</v>
      </c>
      <c r="B155" vm="457">
        <f ca="1"/>
        <v>45516</v>
      </c>
      <c r="C155" vm="458">
        <f ca="1"/>
        <v>206.19</v>
      </c>
      <c r="D155" vm="459">
        <f ca="1"/>
        <v>6935954</v>
      </c>
      <c r="E155">
        <f t="shared" ca="1" si="42"/>
        <v>1430124355.26</v>
      </c>
      <c r="F155">
        <f ca="1">SUM($E$2:E155)/SUM($D$2:D155)</f>
        <v>191.23475194735454</v>
      </c>
      <c r="G155">
        <f ca="1">_xlfn.STDEV.P($C$2:C155)</f>
        <v>12.553834378990038</v>
      </c>
      <c r="H155">
        <f t="shared" ca="1" si="43"/>
        <v>203.78858632634459</v>
      </c>
      <c r="I155">
        <f t="shared" ca="1" si="44"/>
        <v>178.68091756836449</v>
      </c>
      <c r="J155">
        <f t="shared" ca="1" si="53"/>
        <v>207.89950000000005</v>
      </c>
      <c r="K155">
        <f t="shared" ca="1" si="54"/>
        <v>5.7105400933619883</v>
      </c>
      <c r="L155">
        <f t="shared" ca="1" si="55"/>
        <v>219.32058018672402</v>
      </c>
      <c r="M155">
        <f t="shared" ca="1" si="56"/>
        <v>196.47841981327608</v>
      </c>
      <c r="N155">
        <f t="shared" ca="1" si="45"/>
        <v>0.38999999999998636</v>
      </c>
      <c r="O155">
        <f t="shared" ca="1" si="46"/>
        <v>0.38999999999998636</v>
      </c>
      <c r="P155">
        <f t="shared" ca="1" si="47"/>
        <v>0</v>
      </c>
      <c r="Q155">
        <f t="shared" ca="1" si="51"/>
        <v>1.3715524297665798</v>
      </c>
      <c r="R155">
        <f t="shared" ca="1" si="52"/>
        <v>1.3207693167188752</v>
      </c>
      <c r="S155">
        <f t="shared" ca="1" si="49"/>
        <v>1.0384496462818069</v>
      </c>
      <c r="T155">
        <f t="shared" ca="1" si="50"/>
        <v>50.943110033449685</v>
      </c>
      <c r="U155">
        <f>70</f>
        <v>70</v>
      </c>
      <c r="V155">
        <f>30</f>
        <v>30</v>
      </c>
      <c r="W155">
        <f t="shared" ca="1" si="48"/>
        <v>205.08058070194923</v>
      </c>
      <c r="X155">
        <f t="shared" ca="1" si="37"/>
        <v>205.56986158648692</v>
      </c>
      <c r="Y155">
        <f t="shared" ca="1" si="36"/>
        <v>-0.22493603170747178</v>
      </c>
      <c r="Z155">
        <f t="shared" ca="1" si="38"/>
        <v>0.15273029834901794</v>
      </c>
      <c r="AA155">
        <f t="shared" ca="1" si="39"/>
        <v>-0.37766633005648975</v>
      </c>
      <c r="AB155">
        <f t="shared" ca="1" si="40"/>
        <v>199.27739999999997</v>
      </c>
    </row>
    <row r="156" spans="1:28" x14ac:dyDescent="0.25">
      <c r="A156" s="20">
        <f t="shared" ca="1" si="41"/>
        <v>45516</v>
      </c>
      <c r="B156" vm="460">
        <f ca="1"/>
        <v>45517</v>
      </c>
      <c r="C156" vm="461">
        <f ca="1"/>
        <v>207.94</v>
      </c>
      <c r="D156" vm="462">
        <f ca="1"/>
        <v>6387942</v>
      </c>
      <c r="E156">
        <f t="shared" ca="1" si="42"/>
        <v>1328308659.48</v>
      </c>
      <c r="F156">
        <f ca="1">SUM($E$2:E156)/SUM($D$2:D156)</f>
        <v>191.30911521103039</v>
      </c>
      <c r="G156">
        <f ca="1">_xlfn.STDEV.P($C$2:C156)</f>
        <v>12.579004362811284</v>
      </c>
      <c r="H156">
        <f t="shared" ca="1" si="43"/>
        <v>203.88811957384166</v>
      </c>
      <c r="I156">
        <f t="shared" ca="1" si="44"/>
        <v>178.73011084821911</v>
      </c>
      <c r="J156">
        <f t="shared" ca="1" si="53"/>
        <v>207.61550000000003</v>
      </c>
      <c r="K156">
        <f t="shared" ca="1" si="54"/>
        <v>5.5500568750049295</v>
      </c>
      <c r="L156">
        <f t="shared" ca="1" si="55"/>
        <v>218.71561375000988</v>
      </c>
      <c r="M156">
        <f t="shared" ca="1" si="56"/>
        <v>196.51538624999017</v>
      </c>
      <c r="N156">
        <f t="shared" ca="1" si="45"/>
        <v>1.75</v>
      </c>
      <c r="O156">
        <f t="shared" ca="1" si="46"/>
        <v>1.75</v>
      </c>
      <c r="P156">
        <f t="shared" ca="1" si="47"/>
        <v>0</v>
      </c>
      <c r="Q156">
        <f t="shared" ca="1" si="51"/>
        <v>1.398584399068967</v>
      </c>
      <c r="R156">
        <f t="shared" ca="1" si="52"/>
        <v>1.2264286512389557</v>
      </c>
      <c r="S156">
        <f t="shared" ca="1" si="49"/>
        <v>1.1403715965507633</v>
      </c>
      <c r="T156">
        <f t="shared" ca="1" si="50"/>
        <v>53.279140799125116</v>
      </c>
      <c r="U156">
        <f>70</f>
        <v>70</v>
      </c>
      <c r="V156">
        <f>30</f>
        <v>30</v>
      </c>
      <c r="W156">
        <f t="shared" ca="1" si="48"/>
        <v>205.52049136318783</v>
      </c>
      <c r="X156">
        <f t="shared" ca="1" si="37"/>
        <v>205.7454273948953</v>
      </c>
      <c r="Y156">
        <f t="shared" ref="Y156:Y219" ca="1" si="57">W157-X157</f>
        <v>0.16821091602795946</v>
      </c>
      <c r="Z156">
        <f t="shared" ca="1" si="38"/>
        <v>0.15582642188480625</v>
      </c>
      <c r="AA156">
        <f t="shared" ca="1" si="39"/>
        <v>1.2384494143153207E-2</v>
      </c>
      <c r="AB156">
        <f t="shared" ca="1" si="40"/>
        <v>199.39349999999999</v>
      </c>
    </row>
    <row r="157" spans="1:28" x14ac:dyDescent="0.25">
      <c r="A157" s="20">
        <f t="shared" ca="1" si="41"/>
        <v>45516</v>
      </c>
      <c r="B157" vm="463">
        <f ca="1"/>
        <v>45518</v>
      </c>
      <c r="C157" vm="464">
        <f ca="1"/>
        <v>210.24</v>
      </c>
      <c r="D157" vm="465">
        <f ca="1"/>
        <v>6999809</v>
      </c>
      <c r="E157">
        <f t="shared" ca="1" si="42"/>
        <v>1471639844.1600001</v>
      </c>
      <c r="F157">
        <f ca="1">SUM($E$2:E157)/SUM($D$2:D157)</f>
        <v>191.40100946717183</v>
      </c>
      <c r="G157">
        <f ca="1">_xlfn.STDEV.P($C$2:C157)</f>
        <v>12.622814804280734</v>
      </c>
      <c r="H157">
        <f t="shared" ca="1" si="43"/>
        <v>204.02382427145255</v>
      </c>
      <c r="I157">
        <f t="shared" ca="1" si="44"/>
        <v>178.77819466289111</v>
      </c>
      <c r="J157">
        <f t="shared" ca="1" si="53"/>
        <v>207.28400000000002</v>
      </c>
      <c r="K157">
        <f t="shared" ca="1" si="54"/>
        <v>5.1519228908907619</v>
      </c>
      <c r="L157">
        <f t="shared" ca="1" si="55"/>
        <v>217.58784578178154</v>
      </c>
      <c r="M157">
        <f t="shared" ca="1" si="56"/>
        <v>196.9801542182185</v>
      </c>
      <c r="N157">
        <f t="shared" ca="1" si="45"/>
        <v>2.3000000000000114</v>
      </c>
      <c r="O157">
        <f t="shared" ca="1" si="46"/>
        <v>2.3000000000000114</v>
      </c>
      <c r="P157">
        <f t="shared" ca="1" si="47"/>
        <v>0</v>
      </c>
      <c r="Q157">
        <f t="shared" ca="1" si="51"/>
        <v>1.4629712277068987</v>
      </c>
      <c r="R157">
        <f t="shared" ca="1" si="52"/>
        <v>1.1388266047218873</v>
      </c>
      <c r="S157">
        <f t="shared" ca="1" si="49"/>
        <v>1.2846303569314406</v>
      </c>
      <c r="T157">
        <f t="shared" ca="1" si="50"/>
        <v>56.229243082319385</v>
      </c>
      <c r="U157">
        <f>70</f>
        <v>70</v>
      </c>
      <c r="V157">
        <f>30</f>
        <v>30</v>
      </c>
      <c r="W157">
        <f t="shared" ca="1" si="48"/>
        <v>206.24656961500509</v>
      </c>
      <c r="X157">
        <f t="shared" ref="X157:X220" ca="1" si="58">C157*(2/(26+1)) + X156*(1-(2/(26+1)))</f>
        <v>206.07835869897713</v>
      </c>
      <c r="Y157">
        <f t="shared" ca="1" si="57"/>
        <v>0.57881651991152694</v>
      </c>
      <c r="Z157">
        <f t="shared" ca="1" si="38"/>
        <v>0.24042444149015041</v>
      </c>
      <c r="AA157">
        <f t="shared" ca="1" si="39"/>
        <v>0.33839207842137653</v>
      </c>
      <c r="AB157">
        <f t="shared" ca="1" si="40"/>
        <v>199.50530000000003</v>
      </c>
    </row>
    <row r="158" spans="1:28" x14ac:dyDescent="0.25">
      <c r="A158" s="20">
        <f t="shared" ca="1" si="41"/>
        <v>45516</v>
      </c>
      <c r="B158" vm="466">
        <f ca="1"/>
        <v>45519</v>
      </c>
      <c r="C158" vm="467">
        <f ca="1"/>
        <v>211.55</v>
      </c>
      <c r="D158" vm="468">
        <f ca="1"/>
        <v>7001005</v>
      </c>
      <c r="E158">
        <f t="shared" ca="1" si="42"/>
        <v>1481062607.75</v>
      </c>
      <c r="F158">
        <f ca="1">SUM($E$2:E158)/SUM($D$2:D158)</f>
        <v>191.49836071789039</v>
      </c>
      <c r="G158">
        <f ca="1">_xlfn.STDEV.P($C$2:C158)</f>
        <v>12.677145000804188</v>
      </c>
      <c r="H158">
        <f t="shared" ca="1" si="43"/>
        <v>204.17550571869458</v>
      </c>
      <c r="I158">
        <f t="shared" ca="1" si="44"/>
        <v>178.8212157170862</v>
      </c>
      <c r="J158">
        <f t="shared" ca="1" si="53"/>
        <v>207.36250000000004</v>
      </c>
      <c r="K158">
        <f t="shared" ca="1" si="54"/>
        <v>5.2068324293536117</v>
      </c>
      <c r="L158">
        <f t="shared" ca="1" si="55"/>
        <v>217.77616485870726</v>
      </c>
      <c r="M158">
        <f t="shared" ca="1" si="56"/>
        <v>196.94883514129282</v>
      </c>
      <c r="N158">
        <f t="shared" ca="1" si="45"/>
        <v>1.3100000000000023</v>
      </c>
      <c r="O158">
        <f t="shared" ca="1" si="46"/>
        <v>1.3100000000000023</v>
      </c>
      <c r="P158">
        <f t="shared" ca="1" si="47"/>
        <v>0</v>
      </c>
      <c r="Q158">
        <f t="shared" ca="1" si="51"/>
        <v>1.4520447114421204</v>
      </c>
      <c r="R158">
        <f t="shared" ca="1" si="52"/>
        <v>1.0574818472417526</v>
      </c>
      <c r="S158">
        <f t="shared" ca="1" si="49"/>
        <v>1.3731154962418624</v>
      </c>
      <c r="T158">
        <f t="shared" ca="1" si="50"/>
        <v>57.86130082654509</v>
      </c>
      <c r="U158">
        <f>70</f>
        <v>70</v>
      </c>
      <c r="V158">
        <f>30</f>
        <v>30</v>
      </c>
      <c r="W158">
        <f t="shared" ca="1" si="48"/>
        <v>207.06248198192739</v>
      </c>
      <c r="X158">
        <f t="shared" ca="1" si="58"/>
        <v>206.48366546201586</v>
      </c>
      <c r="Y158">
        <f t="shared" ca="1" si="57"/>
        <v>1.0869683005050774</v>
      </c>
      <c r="Z158">
        <f t="shared" ca="1" si="38"/>
        <v>0.40973321329313583</v>
      </c>
      <c r="AA158">
        <f t="shared" ca="1" si="39"/>
        <v>0.67723508721194159</v>
      </c>
      <c r="AB158">
        <f t="shared" ca="1" si="40"/>
        <v>199.65459999999999</v>
      </c>
    </row>
    <row r="159" spans="1:28" x14ac:dyDescent="0.25">
      <c r="A159" s="20">
        <f t="shared" ca="1" si="41"/>
        <v>45516</v>
      </c>
      <c r="B159" vm="469">
        <f ca="1"/>
        <v>45520</v>
      </c>
      <c r="C159" vm="470">
        <f ca="1"/>
        <v>213.97</v>
      </c>
      <c r="D159" vm="471">
        <f ca="1"/>
        <v>7931234</v>
      </c>
      <c r="E159">
        <f t="shared" ca="1" si="42"/>
        <v>1697046138.98</v>
      </c>
      <c r="F159">
        <f ca="1">SUM($E$2:E159)/SUM($D$2:D159)</f>
        <v>191.62069064729553</v>
      </c>
      <c r="G159">
        <f ca="1">_xlfn.STDEV.P($C$2:C159)</f>
        <v>12.753886205671591</v>
      </c>
      <c r="H159">
        <f t="shared" ca="1" si="43"/>
        <v>204.37457685296712</v>
      </c>
      <c r="I159">
        <f t="shared" ca="1" si="44"/>
        <v>178.86680444162394</v>
      </c>
      <c r="J159">
        <f t="shared" ca="1" si="53"/>
        <v>207.57200000000006</v>
      </c>
      <c r="K159">
        <f t="shared" ca="1" si="54"/>
        <v>5.3902832656744986</v>
      </c>
      <c r="L159">
        <f t="shared" ca="1" si="55"/>
        <v>218.35256653134905</v>
      </c>
      <c r="M159">
        <f t="shared" ca="1" si="56"/>
        <v>196.79143346865106</v>
      </c>
      <c r="N159">
        <f t="shared" ca="1" si="45"/>
        <v>2.4199999999999875</v>
      </c>
      <c r="O159">
        <f t="shared" ca="1" si="46"/>
        <v>2.4199999999999875</v>
      </c>
      <c r="P159">
        <f t="shared" ca="1" si="47"/>
        <v>0</v>
      </c>
      <c r="Q159">
        <f t="shared" ca="1" si="51"/>
        <v>1.5211843749105396</v>
      </c>
      <c r="R159">
        <f t="shared" ca="1" si="52"/>
        <v>0.9819474295816274</v>
      </c>
      <c r="S159">
        <f t="shared" ca="1" si="49"/>
        <v>1.5491505238306513</v>
      </c>
      <c r="T159">
        <f t="shared" ca="1" si="50"/>
        <v>60.771245532520254</v>
      </c>
      <c r="U159">
        <f>70</f>
        <v>70</v>
      </c>
      <c r="V159">
        <f>30</f>
        <v>30</v>
      </c>
      <c r="W159">
        <f t="shared" ca="1" si="48"/>
        <v>208.12517706163086</v>
      </c>
      <c r="X159">
        <f t="shared" ca="1" si="58"/>
        <v>207.03820876112579</v>
      </c>
      <c r="Y159">
        <f t="shared" ca="1" si="57"/>
        <v>1.5907684898532466</v>
      </c>
      <c r="Z159">
        <f t="shared" ca="1" si="38"/>
        <v>0.64594026860515807</v>
      </c>
      <c r="AA159">
        <f t="shared" ca="1" si="39"/>
        <v>0.94482822124808852</v>
      </c>
      <c r="AB159">
        <f t="shared" ca="1" si="40"/>
        <v>199.84610000000001</v>
      </c>
    </row>
    <row r="160" spans="1:28" x14ac:dyDescent="0.25">
      <c r="A160" s="20">
        <f t="shared" ca="1" si="41"/>
        <v>45523</v>
      </c>
      <c r="B160" vm="472">
        <f ca="1"/>
        <v>45523</v>
      </c>
      <c r="C160" vm="473">
        <f ca="1"/>
        <v>215.45</v>
      </c>
      <c r="D160" vm="474">
        <f ca="1"/>
        <v>6090818</v>
      </c>
      <c r="E160">
        <f t="shared" ca="1" si="42"/>
        <v>1312266738.0999999</v>
      </c>
      <c r="F160">
        <f ca="1">SUM($E$2:E160)/SUM($D$2:D160)</f>
        <v>191.71989540070999</v>
      </c>
      <c r="G160">
        <f ca="1">_xlfn.STDEV.P($C$2:C160)</f>
        <v>12.843856094391686</v>
      </c>
      <c r="H160">
        <f t="shared" ca="1" si="43"/>
        <v>204.56375149510168</v>
      </c>
      <c r="I160">
        <f t="shared" ca="1" si="44"/>
        <v>178.87603930631829</v>
      </c>
      <c r="J160">
        <f t="shared" ca="1" si="53"/>
        <v>207.83050000000003</v>
      </c>
      <c r="K160">
        <f t="shared" ca="1" si="54"/>
        <v>5.6449376249409244</v>
      </c>
      <c r="L160">
        <f t="shared" ca="1" si="55"/>
        <v>219.12037524988187</v>
      </c>
      <c r="M160">
        <f t="shared" ca="1" si="56"/>
        <v>196.54062475011818</v>
      </c>
      <c r="N160">
        <f t="shared" ca="1" si="45"/>
        <v>1.4799999999999898</v>
      </c>
      <c r="O160">
        <f t="shared" ca="1" si="46"/>
        <v>1.4799999999999898</v>
      </c>
      <c r="P160">
        <f t="shared" ca="1" si="47"/>
        <v>0</v>
      </c>
      <c r="Q160">
        <f t="shared" ca="1" si="51"/>
        <v>1.5182426338455002</v>
      </c>
      <c r="R160">
        <f t="shared" ca="1" si="52"/>
        <v>0.91180832746865392</v>
      </c>
      <c r="S160">
        <f t="shared" ca="1" si="49"/>
        <v>1.6650896774110611</v>
      </c>
      <c r="T160">
        <f t="shared" ca="1" si="50"/>
        <v>62.477810466346988</v>
      </c>
      <c r="U160">
        <f>70</f>
        <v>70</v>
      </c>
      <c r="V160">
        <f>30</f>
        <v>30</v>
      </c>
      <c r="W160">
        <f t="shared" ca="1" si="48"/>
        <v>209.25207289830306</v>
      </c>
      <c r="X160">
        <f t="shared" ca="1" si="58"/>
        <v>207.66130440844981</v>
      </c>
      <c r="Y160">
        <f t="shared" ca="1" si="57"/>
        <v>1.8931672878912309</v>
      </c>
      <c r="Z160">
        <f t="shared" ca="1" si="38"/>
        <v>0.89538567246237266</v>
      </c>
      <c r="AA160">
        <f t="shared" ca="1" si="39"/>
        <v>0.99778161542885824</v>
      </c>
      <c r="AB160">
        <f t="shared" ca="1" si="40"/>
        <v>200.04330000000004</v>
      </c>
    </row>
    <row r="161" spans="1:28" x14ac:dyDescent="0.25">
      <c r="A161" s="20">
        <f t="shared" ca="1" si="41"/>
        <v>45523</v>
      </c>
      <c r="B161" vm="475">
        <f ca="1"/>
        <v>45524</v>
      </c>
      <c r="C161" vm="476">
        <f ca="1"/>
        <v>214.52</v>
      </c>
      <c r="D161" vm="477">
        <f ca="1"/>
        <v>5640223</v>
      </c>
      <c r="E161">
        <f t="shared" ca="1" si="42"/>
        <v>1209940637.96</v>
      </c>
      <c r="F161">
        <f ca="1">SUM($E$2:E161)/SUM($D$2:D161)</f>
        <v>191.80745574606328</v>
      </c>
      <c r="G161">
        <f ca="1">_xlfn.STDEV.P($C$2:C161)</f>
        <v>12.920453006854819</v>
      </c>
      <c r="H161">
        <f t="shared" ca="1" si="43"/>
        <v>204.7279087529181</v>
      </c>
      <c r="I161">
        <f t="shared" ca="1" si="44"/>
        <v>178.88700273920847</v>
      </c>
      <c r="J161">
        <f t="shared" ca="1" si="53"/>
        <v>208.04000000000002</v>
      </c>
      <c r="K161">
        <f t="shared" ca="1" si="54"/>
        <v>5.8176917108166935</v>
      </c>
      <c r="L161">
        <f t="shared" ca="1" si="55"/>
        <v>219.6753834216334</v>
      </c>
      <c r="M161">
        <f t="shared" ca="1" si="56"/>
        <v>196.40461657836664</v>
      </c>
      <c r="N161">
        <f t="shared" ca="1" si="45"/>
        <v>-0.9299999999999784</v>
      </c>
      <c r="O161">
        <f t="shared" ca="1" si="46"/>
        <v>0</v>
      </c>
      <c r="P161">
        <f t="shared" ca="1" si="47"/>
        <v>0.9299999999999784</v>
      </c>
      <c r="Q161">
        <f t="shared" ca="1" si="51"/>
        <v>1.4097967314279642</v>
      </c>
      <c r="R161">
        <f t="shared" ca="1" si="52"/>
        <v>0.91310773264946288</v>
      </c>
      <c r="S161">
        <f t="shared" ca="1" si="49"/>
        <v>1.5439544327779531</v>
      </c>
      <c r="T161">
        <f t="shared" ca="1" si="50"/>
        <v>60.691119812707583</v>
      </c>
      <c r="U161">
        <f>70</f>
        <v>70</v>
      </c>
      <c r="V161">
        <f>30</f>
        <v>30</v>
      </c>
      <c r="W161">
        <f t="shared" ca="1" si="48"/>
        <v>210.06252322164104</v>
      </c>
      <c r="X161">
        <f t="shared" ca="1" si="58"/>
        <v>208.16935593374981</v>
      </c>
      <c r="Y161">
        <f t="shared" ca="1" si="57"/>
        <v>2.1148966335005639</v>
      </c>
      <c r="Z161">
        <f t="shared" ca="1" si="38"/>
        <v>1.1392878646700109</v>
      </c>
      <c r="AA161">
        <f t="shared" ca="1" si="39"/>
        <v>0.97560876883055303</v>
      </c>
      <c r="AB161">
        <f t="shared" ca="1" si="40"/>
        <v>200.19330000000005</v>
      </c>
    </row>
    <row r="162" spans="1:28" x14ac:dyDescent="0.25">
      <c r="A162" s="20">
        <f t="shared" ca="1" si="41"/>
        <v>45523</v>
      </c>
      <c r="B162" vm="478">
        <f ca="1"/>
        <v>45525</v>
      </c>
      <c r="C162" vm="479">
        <f ca="1"/>
        <v>214.6</v>
      </c>
      <c r="D162" vm="480">
        <f ca="1"/>
        <v>5202472</v>
      </c>
      <c r="E162">
        <f t="shared" ca="1" si="42"/>
        <v>1116450491.2</v>
      </c>
      <c r="F162">
        <f ca="1">SUM($E$2:E162)/SUM($D$2:D162)</f>
        <v>191.88790855852872</v>
      </c>
      <c r="G162">
        <f ca="1">_xlfn.STDEV.P($C$2:C162)</f>
        <v>12.995060282139127</v>
      </c>
      <c r="H162">
        <f t="shared" ca="1" si="43"/>
        <v>204.88296884066784</v>
      </c>
      <c r="I162">
        <f t="shared" ca="1" si="44"/>
        <v>178.8928482763896</v>
      </c>
      <c r="J162">
        <f t="shared" ca="1" si="53"/>
        <v>208.34050000000002</v>
      </c>
      <c r="K162">
        <f t="shared" ca="1" si="54"/>
        <v>5.9999574340595387</v>
      </c>
      <c r="L162">
        <f t="shared" ca="1" si="55"/>
        <v>220.3404148681191</v>
      </c>
      <c r="M162">
        <f t="shared" ca="1" si="56"/>
        <v>196.34058513188094</v>
      </c>
      <c r="N162">
        <f t="shared" ca="1" si="45"/>
        <v>7.9999999999984084E-2</v>
      </c>
      <c r="O162">
        <f t="shared" ca="1" si="46"/>
        <v>7.9999999999984084E-2</v>
      </c>
      <c r="P162">
        <f t="shared" ca="1" si="47"/>
        <v>0</v>
      </c>
      <c r="Q162">
        <f t="shared" ca="1" si="51"/>
        <v>1.3148112506116798</v>
      </c>
      <c r="R162">
        <f t="shared" ca="1" si="52"/>
        <v>0.84788575174592984</v>
      </c>
      <c r="S162">
        <f t="shared" ca="1" si="49"/>
        <v>1.5506938852366337</v>
      </c>
      <c r="T162">
        <f t="shared" ca="1" si="50"/>
        <v>60.794981875795429</v>
      </c>
      <c r="U162">
        <f>70</f>
        <v>70</v>
      </c>
      <c r="V162">
        <f>30</f>
        <v>30</v>
      </c>
      <c r="W162">
        <f t="shared" ca="1" si="48"/>
        <v>210.76059657215779</v>
      </c>
      <c r="X162">
        <f t="shared" ca="1" si="58"/>
        <v>208.64569993865723</v>
      </c>
      <c r="Y162">
        <f t="shared" ca="1" si="57"/>
        <v>2.4264521420719518</v>
      </c>
      <c r="Z162">
        <f t="shared" ca="1" si="38"/>
        <v>1.3967207201503991</v>
      </c>
      <c r="AA162">
        <f t="shared" ca="1" si="39"/>
        <v>1.0297314219215528</v>
      </c>
      <c r="AB162">
        <f t="shared" ca="1" si="40"/>
        <v>200.33630000000005</v>
      </c>
    </row>
    <row r="163" spans="1:28" x14ac:dyDescent="0.25">
      <c r="A163" s="20">
        <f t="shared" ca="1" si="41"/>
        <v>45523</v>
      </c>
      <c r="B163" vm="481">
        <f ca="1"/>
        <v>45526</v>
      </c>
      <c r="C163" vm="482">
        <f ca="1"/>
        <v>216.63</v>
      </c>
      <c r="D163" vm="483">
        <f ca="1"/>
        <v>5247098</v>
      </c>
      <c r="E163">
        <f t="shared" ca="1" si="42"/>
        <v>1136678839.74</v>
      </c>
      <c r="F163">
        <f ca="1">SUM($E$2:E163)/SUM($D$2:D163)</f>
        <v>191.97567952592257</v>
      </c>
      <c r="G163">
        <f ca="1">_xlfn.STDEV.P($C$2:C163)</f>
        <v>13.088660250785557</v>
      </c>
      <c r="H163">
        <f t="shared" ca="1" si="43"/>
        <v>205.06433977670812</v>
      </c>
      <c r="I163">
        <f t="shared" ca="1" si="44"/>
        <v>178.88701927513702</v>
      </c>
      <c r="J163">
        <f t="shared" ca="1" si="53"/>
        <v>208.73849999999999</v>
      </c>
      <c r="K163">
        <f t="shared" ca="1" si="54"/>
        <v>6.2804184196847732</v>
      </c>
      <c r="L163">
        <f t="shared" ca="1" si="55"/>
        <v>221.29933683936954</v>
      </c>
      <c r="M163">
        <f t="shared" ca="1" si="56"/>
        <v>196.17766316063043</v>
      </c>
      <c r="N163">
        <f t="shared" ca="1" si="45"/>
        <v>2.0300000000000011</v>
      </c>
      <c r="O163">
        <f t="shared" ca="1" si="46"/>
        <v>2.0300000000000011</v>
      </c>
      <c r="P163">
        <f t="shared" ca="1" si="47"/>
        <v>0</v>
      </c>
      <c r="Q163">
        <f t="shared" ca="1" si="51"/>
        <v>1.3658961612822742</v>
      </c>
      <c r="R163">
        <f t="shared" ca="1" si="52"/>
        <v>0.78732248376407765</v>
      </c>
      <c r="S163">
        <f t="shared" ca="1" si="49"/>
        <v>1.7348623841556225</v>
      </c>
      <c r="T163">
        <f t="shared" ca="1" si="50"/>
        <v>63.43508888076115</v>
      </c>
      <c r="U163">
        <f>70</f>
        <v>70</v>
      </c>
      <c r="V163">
        <f>30</f>
        <v>30</v>
      </c>
      <c r="W163">
        <f t="shared" ca="1" si="48"/>
        <v>211.66358171490273</v>
      </c>
      <c r="X163">
        <f t="shared" ca="1" si="58"/>
        <v>209.23712957283078</v>
      </c>
      <c r="Y163">
        <f t="shared" ca="1" si="57"/>
        <v>2.7769135560003235</v>
      </c>
      <c r="Z163">
        <f t="shared" ca="1" si="38"/>
        <v>1.672759287320384</v>
      </c>
      <c r="AA163">
        <f t="shared" ca="1" si="39"/>
        <v>1.1041542686799395</v>
      </c>
      <c r="AB163">
        <f t="shared" ca="1" si="40"/>
        <v>200.51320000000007</v>
      </c>
    </row>
    <row r="164" spans="1:28" x14ac:dyDescent="0.25">
      <c r="A164" s="20">
        <f t="shared" ca="1" si="41"/>
        <v>45523</v>
      </c>
      <c r="B164" vm="484">
        <f ca="1"/>
        <v>45527</v>
      </c>
      <c r="C164" vm="485">
        <f ca="1"/>
        <v>218.31</v>
      </c>
      <c r="D164" vm="486">
        <f ca="1"/>
        <v>7213981</v>
      </c>
      <c r="E164">
        <f t="shared" ca="1" si="42"/>
        <v>1574884192.1100001</v>
      </c>
      <c r="F164">
        <f ca="1">SUM($E$2:E164)/SUM($D$2:D164)</f>
        <v>192.10349381867198</v>
      </c>
      <c r="G164">
        <f ca="1">_xlfn.STDEV.P($C$2:C164)</f>
        <v>13.197894993925789</v>
      </c>
      <c r="H164">
        <f t="shared" ca="1" si="43"/>
        <v>205.30138881259776</v>
      </c>
      <c r="I164">
        <f t="shared" ca="1" si="44"/>
        <v>178.90559882474619</v>
      </c>
      <c r="J164">
        <f t="shared" ca="1" si="53"/>
        <v>209.042</v>
      </c>
      <c r="K164">
        <f t="shared" ca="1" si="54"/>
        <v>6.5972096174702601</v>
      </c>
      <c r="L164">
        <f t="shared" ca="1" si="55"/>
        <v>222.23641923494051</v>
      </c>
      <c r="M164">
        <f t="shared" ca="1" si="56"/>
        <v>195.84758076505949</v>
      </c>
      <c r="N164">
        <f t="shared" ca="1" si="45"/>
        <v>1.6800000000000068</v>
      </c>
      <c r="O164">
        <f t="shared" ca="1" si="46"/>
        <v>1.6800000000000068</v>
      </c>
      <c r="P164">
        <f t="shared" ca="1" si="47"/>
        <v>0</v>
      </c>
      <c r="Q164">
        <f t="shared" ca="1" si="51"/>
        <v>1.3883321497621122</v>
      </c>
      <c r="R164">
        <f t="shared" ca="1" si="52"/>
        <v>0.73108516349521491</v>
      </c>
      <c r="S164">
        <f t="shared" ca="1" si="49"/>
        <v>1.8990019481789129</v>
      </c>
      <c r="T164">
        <f t="shared" ca="1" si="50"/>
        <v>65.505369852263215</v>
      </c>
      <c r="U164">
        <f>70</f>
        <v>70</v>
      </c>
      <c r="V164">
        <f>30</f>
        <v>30</v>
      </c>
      <c r="W164">
        <f t="shared" ca="1" si="48"/>
        <v>212.68610760491771</v>
      </c>
      <c r="X164">
        <f t="shared" ca="1" si="58"/>
        <v>209.90919404891739</v>
      </c>
      <c r="Y164">
        <f t="shared" ca="1" si="57"/>
        <v>3.0884498369299536</v>
      </c>
      <c r="Z164">
        <f t="shared" ca="1" si="38"/>
        <v>1.9558973972422982</v>
      </c>
      <c r="AA164">
        <f t="shared" ca="1" si="39"/>
        <v>1.1325524396876554</v>
      </c>
      <c r="AB164">
        <f t="shared" ca="1" si="40"/>
        <v>200.7077000000001</v>
      </c>
    </row>
    <row r="165" spans="1:28" x14ac:dyDescent="0.25">
      <c r="A165" s="20">
        <f t="shared" ca="1" si="41"/>
        <v>45530</v>
      </c>
      <c r="B165" vm="487">
        <f ca="1"/>
        <v>45530</v>
      </c>
      <c r="C165" vm="488">
        <f ca="1"/>
        <v>219.17</v>
      </c>
      <c r="D165" vm="489">
        <f ca="1"/>
        <v>5105245</v>
      </c>
      <c r="E165">
        <f t="shared" ca="1" si="42"/>
        <v>1118916546.6499999</v>
      </c>
      <c r="F165">
        <f ca="1">SUM($E$2:E165)/SUM($D$2:D165)</f>
        <v>192.19614307739016</v>
      </c>
      <c r="G165">
        <f ca="1">_xlfn.STDEV.P($C$2:C165)</f>
        <v>13.313170985288282</v>
      </c>
      <c r="H165">
        <f t="shared" ca="1" si="43"/>
        <v>205.50931406267844</v>
      </c>
      <c r="I165">
        <f t="shared" ca="1" si="44"/>
        <v>178.88297209210188</v>
      </c>
      <c r="J165">
        <f t="shared" ca="1" si="53"/>
        <v>209.458</v>
      </c>
      <c r="K165">
        <f t="shared" ca="1" si="54"/>
        <v>6.9690546062764591</v>
      </c>
      <c r="L165">
        <f t="shared" ca="1" si="55"/>
        <v>223.39610921255291</v>
      </c>
      <c r="M165">
        <f t="shared" ca="1" si="56"/>
        <v>195.51989078744708</v>
      </c>
      <c r="N165">
        <f t="shared" ca="1" si="45"/>
        <v>0.85999999999998522</v>
      </c>
      <c r="O165">
        <f t="shared" ca="1" si="46"/>
        <v>0.85999999999998522</v>
      </c>
      <c r="P165">
        <f t="shared" ca="1" si="47"/>
        <v>0</v>
      </c>
      <c r="Q165">
        <f t="shared" ca="1" si="51"/>
        <v>1.3505941390648175</v>
      </c>
      <c r="R165">
        <f t="shared" ca="1" si="52"/>
        <v>0.67886479467412819</v>
      </c>
      <c r="S165">
        <f t="shared" ca="1" si="49"/>
        <v>1.989489143730212</v>
      </c>
      <c r="T165">
        <f t="shared" ca="1" si="50"/>
        <v>66.549468757989047</v>
      </c>
      <c r="U165">
        <f>70</f>
        <v>70</v>
      </c>
      <c r="V165">
        <f>30</f>
        <v>30</v>
      </c>
      <c r="W165">
        <f t="shared" ca="1" si="48"/>
        <v>213.68362951185344</v>
      </c>
      <c r="X165">
        <f t="shared" ca="1" si="58"/>
        <v>210.59517967492349</v>
      </c>
      <c r="Y165">
        <f t="shared" ca="1" si="57"/>
        <v>3.3779047597445526</v>
      </c>
      <c r="Z165">
        <f t="shared" ca="1" si="38"/>
        <v>2.2402988697427491</v>
      </c>
      <c r="AA165">
        <f t="shared" ca="1" si="39"/>
        <v>1.1376058900018036</v>
      </c>
      <c r="AB165">
        <f t="shared" ca="1" si="40"/>
        <v>200.91640000000007</v>
      </c>
    </row>
    <row r="166" spans="1:28" x14ac:dyDescent="0.25">
      <c r="A166" s="20">
        <f t="shared" ca="1" si="41"/>
        <v>45530</v>
      </c>
      <c r="B166" vm="490">
        <f ca="1"/>
        <v>45531</v>
      </c>
      <c r="C166" vm="491">
        <f ca="1"/>
        <v>220.18</v>
      </c>
      <c r="D166" vm="492">
        <f ca="1"/>
        <v>5185221</v>
      </c>
      <c r="E166">
        <f t="shared" ca="1" si="42"/>
        <v>1141681959.78</v>
      </c>
      <c r="F166">
        <f ca="1">SUM($E$2:E166)/SUM($D$2:D166)</f>
        <v>192.29309596182341</v>
      </c>
      <c r="G166">
        <f ca="1">_xlfn.STDEV.P($C$2:C166)</f>
        <v>13.436195948434895</v>
      </c>
      <c r="H166">
        <f t="shared" ca="1" si="43"/>
        <v>205.7292919102583</v>
      </c>
      <c r="I166">
        <f t="shared" ca="1" si="44"/>
        <v>178.85690001338853</v>
      </c>
      <c r="J166">
        <f t="shared" ca="1" si="53"/>
        <v>209.70749999999998</v>
      </c>
      <c r="K166">
        <f t="shared" ca="1" si="54"/>
        <v>7.2679801545075629</v>
      </c>
      <c r="L166">
        <f t="shared" ca="1" si="55"/>
        <v>224.24346030901512</v>
      </c>
      <c r="M166">
        <f t="shared" ca="1" si="56"/>
        <v>195.17153969098484</v>
      </c>
      <c r="N166">
        <f t="shared" ca="1" si="45"/>
        <v>1.0100000000000193</v>
      </c>
      <c r="O166">
        <f t="shared" ca="1" si="46"/>
        <v>1.0100000000000193</v>
      </c>
      <c r="P166">
        <f t="shared" ca="1" si="47"/>
        <v>0</v>
      </c>
      <c r="Q166">
        <f t="shared" ca="1" si="51"/>
        <v>1.3262659862744748</v>
      </c>
      <c r="R166">
        <f t="shared" ca="1" si="52"/>
        <v>0.63037445219740473</v>
      </c>
      <c r="S166">
        <f t="shared" ca="1" si="49"/>
        <v>2.1039335932020742</v>
      </c>
      <c r="T166">
        <f t="shared" ca="1" si="50"/>
        <v>67.782815902050856</v>
      </c>
      <c r="U166">
        <f>70</f>
        <v>70</v>
      </c>
      <c r="V166">
        <f>30</f>
        <v>30</v>
      </c>
      <c r="W166">
        <f t="shared" ca="1" si="48"/>
        <v>214.68307112541444</v>
      </c>
      <c r="X166">
        <f t="shared" ca="1" si="58"/>
        <v>211.30516636566989</v>
      </c>
      <c r="Y166">
        <f t="shared" ca="1" si="57"/>
        <v>3.6547380495879906</v>
      </c>
      <c r="Z166">
        <f t="shared" ref="Z166:Z229" ca="1" si="59">Y166*(2/(9+1)) + Z165*(1-(2/(9+1)))</f>
        <v>2.5231867057117974</v>
      </c>
      <c r="AA166">
        <f t="shared" ref="AA166:AA229" ca="1" si="60">Y166-Z166</f>
        <v>1.1315513438761933</v>
      </c>
      <c r="AB166">
        <f t="shared" ref="AB166:AB229" ca="1" si="61">AVERAGE(C67:C166)</f>
        <v>201.16170000000005</v>
      </c>
    </row>
    <row r="167" spans="1:28" x14ac:dyDescent="0.25">
      <c r="A167" s="20">
        <f t="shared" ca="1" si="41"/>
        <v>45530</v>
      </c>
      <c r="B167" vm="493">
        <f ca="1"/>
        <v>45532</v>
      </c>
      <c r="C167" vm="494">
        <f ca="1"/>
        <v>221.29</v>
      </c>
      <c r="D167" vm="495">
        <f ca="1"/>
        <v>6506402</v>
      </c>
      <c r="E167">
        <f t="shared" ca="1" si="42"/>
        <v>1439801698.5799999</v>
      </c>
      <c r="F167">
        <f ca="1">SUM($E$2:E167)/SUM($D$2:D167)</f>
        <v>192.41861062587907</v>
      </c>
      <c r="G167">
        <f ca="1">_xlfn.STDEV.P($C$2:C167)</f>
        <v>13.568099252330503</v>
      </c>
      <c r="H167">
        <f t="shared" ca="1" si="43"/>
        <v>205.98670987820958</v>
      </c>
      <c r="I167">
        <f t="shared" ca="1" si="44"/>
        <v>178.85051137354856</v>
      </c>
      <c r="J167">
        <f t="shared" ca="1" si="53"/>
        <v>210.13199999999998</v>
      </c>
      <c r="K167">
        <f t="shared" ca="1" si="54"/>
        <v>7.6935855715893871</v>
      </c>
      <c r="L167">
        <f t="shared" ca="1" si="55"/>
        <v>225.51917114317874</v>
      </c>
      <c r="M167">
        <f t="shared" ca="1" si="56"/>
        <v>194.74482885682121</v>
      </c>
      <c r="N167">
        <f t="shared" ca="1" si="45"/>
        <v>1.1099999999999852</v>
      </c>
      <c r="O167">
        <f t="shared" ca="1" si="46"/>
        <v>1.1099999999999852</v>
      </c>
      <c r="P167">
        <f t="shared" ca="1" si="47"/>
        <v>0</v>
      </c>
      <c r="Q167">
        <f t="shared" ca="1" si="51"/>
        <v>1.310818415826297</v>
      </c>
      <c r="R167">
        <f t="shared" ca="1" si="52"/>
        <v>0.58534770561187588</v>
      </c>
      <c r="S167">
        <f t="shared" ca="1" si="49"/>
        <v>2.2393842211375405</v>
      </c>
      <c r="T167">
        <f t="shared" ca="1" si="50"/>
        <v>69.129935452706491</v>
      </c>
      <c r="U167">
        <f>70</f>
        <v>70</v>
      </c>
      <c r="V167">
        <f>30</f>
        <v>30</v>
      </c>
      <c r="W167">
        <f t="shared" ca="1" si="48"/>
        <v>215.69952172150454</v>
      </c>
      <c r="X167">
        <f t="shared" ca="1" si="58"/>
        <v>212.04478367191655</v>
      </c>
      <c r="Y167">
        <f t="shared" ca="1" si="57"/>
        <v>3.9033711051679916</v>
      </c>
      <c r="Z167">
        <f t="shared" ca="1" si="59"/>
        <v>2.7992235856030363</v>
      </c>
      <c r="AA167">
        <f t="shared" ca="1" si="60"/>
        <v>1.1041475195649553</v>
      </c>
      <c r="AB167">
        <f t="shared" ca="1" si="61"/>
        <v>201.40010000000007</v>
      </c>
    </row>
    <row r="168" spans="1:28" x14ac:dyDescent="0.25">
      <c r="A168" s="20">
        <f t="shared" ca="1" si="41"/>
        <v>45530</v>
      </c>
      <c r="B168" vm="496">
        <f ca="1"/>
        <v>45533</v>
      </c>
      <c r="C168" vm="497">
        <f ca="1"/>
        <v>222.21</v>
      </c>
      <c r="D168" vm="498">
        <f ca="1"/>
        <v>6416149</v>
      </c>
      <c r="E168">
        <f t="shared" ca="1" si="42"/>
        <v>1425732469.29</v>
      </c>
      <c r="F168">
        <f ca="1">SUM($E$2:E168)/SUM($D$2:D168)</f>
        <v>192.54523499573324</v>
      </c>
      <c r="G168">
        <f ca="1">_xlfn.STDEV.P($C$2:C168)</f>
        <v>13.706409061717585</v>
      </c>
      <c r="H168">
        <f t="shared" ca="1" si="43"/>
        <v>206.25164405745082</v>
      </c>
      <c r="I168">
        <f t="shared" ca="1" si="44"/>
        <v>178.83882593401566</v>
      </c>
      <c r="J168">
        <f t="shared" ca="1" si="53"/>
        <v>210.84449999999998</v>
      </c>
      <c r="K168">
        <f t="shared" ca="1" si="54"/>
        <v>8.1293532305693539</v>
      </c>
      <c r="L168">
        <f t="shared" ca="1" si="55"/>
        <v>227.10320646113868</v>
      </c>
      <c r="M168">
        <f t="shared" ca="1" si="56"/>
        <v>194.58579353886128</v>
      </c>
      <c r="N168">
        <f t="shared" ca="1" si="45"/>
        <v>0.92000000000001592</v>
      </c>
      <c r="O168">
        <f t="shared" ca="1" si="46"/>
        <v>0.92000000000001592</v>
      </c>
      <c r="P168">
        <f t="shared" ca="1" si="47"/>
        <v>0</v>
      </c>
      <c r="Q168">
        <f t="shared" ca="1" si="51"/>
        <v>1.2829028146958483</v>
      </c>
      <c r="R168">
        <f t="shared" ca="1" si="52"/>
        <v>0.54353715521102763</v>
      </c>
      <c r="S168">
        <f t="shared" ca="1" si="49"/>
        <v>2.3602854053238786</v>
      </c>
      <c r="T168">
        <f t="shared" ca="1" si="50"/>
        <v>70.240623060896951</v>
      </c>
      <c r="U168">
        <f>70</f>
        <v>70</v>
      </c>
      <c r="V168">
        <f>30</f>
        <v>30</v>
      </c>
      <c r="W168">
        <f t="shared" ca="1" si="48"/>
        <v>216.70113376434998</v>
      </c>
      <c r="X168">
        <f t="shared" ca="1" si="58"/>
        <v>212.79776265918198</v>
      </c>
      <c r="Y168">
        <f t="shared" ca="1" si="57"/>
        <v>4.2602959081988558</v>
      </c>
      <c r="Z168">
        <f t="shared" ca="1" si="59"/>
        <v>3.0914380501222003</v>
      </c>
      <c r="AA168">
        <f t="shared" ca="1" si="60"/>
        <v>1.1688578580766555</v>
      </c>
      <c r="AB168">
        <f t="shared" ca="1" si="61"/>
        <v>201.63740000000004</v>
      </c>
    </row>
    <row r="169" spans="1:28" x14ac:dyDescent="0.25">
      <c r="A169" s="20">
        <f t="shared" ca="1" si="41"/>
        <v>45530</v>
      </c>
      <c r="B169" vm="499">
        <f ca="1"/>
        <v>45534</v>
      </c>
      <c r="C169" vm="500">
        <f ca="1"/>
        <v>224.8</v>
      </c>
      <c r="D169" vm="501">
        <f ca="1"/>
        <v>8574128</v>
      </c>
      <c r="E169">
        <f t="shared" ca="1" si="42"/>
        <v>1927463974.4000001</v>
      </c>
      <c r="F169">
        <f ca="1">SUM($E$2:E169)/SUM($D$2:D169)</f>
        <v>192.72740470503854</v>
      </c>
      <c r="G169">
        <f ca="1">_xlfn.STDEV.P($C$2:C169)</f>
        <v>13.872525161811001</v>
      </c>
      <c r="H169">
        <f t="shared" ca="1" si="43"/>
        <v>206.59992986684955</v>
      </c>
      <c r="I169">
        <f t="shared" ca="1" si="44"/>
        <v>178.85487954322753</v>
      </c>
      <c r="J169">
        <f t="shared" ca="1" si="53"/>
        <v>212.12749999999997</v>
      </c>
      <c r="K169">
        <f t="shared" ca="1" si="54"/>
        <v>8.2093662009349178</v>
      </c>
      <c r="L169">
        <f t="shared" ca="1" si="55"/>
        <v>228.54623240186982</v>
      </c>
      <c r="M169">
        <f t="shared" ca="1" si="56"/>
        <v>195.70876759813012</v>
      </c>
      <c r="N169">
        <f t="shared" ca="1" si="45"/>
        <v>2.5900000000000034</v>
      </c>
      <c r="O169">
        <f t="shared" ca="1" si="46"/>
        <v>2.5900000000000034</v>
      </c>
      <c r="P169">
        <f t="shared" ca="1" si="47"/>
        <v>0</v>
      </c>
      <c r="Q169">
        <f t="shared" ca="1" si="51"/>
        <v>1.3762668993604308</v>
      </c>
      <c r="R169">
        <f t="shared" ca="1" si="52"/>
        <v>0.50471307269595422</v>
      </c>
      <c r="S169">
        <f t="shared" ca="1" si="49"/>
        <v>2.7268302998553637</v>
      </c>
      <c r="T169">
        <f t="shared" ca="1" si="50"/>
        <v>73.167546694068434</v>
      </c>
      <c r="U169">
        <f>70</f>
        <v>70</v>
      </c>
      <c r="V169">
        <f>30</f>
        <v>30</v>
      </c>
      <c r="W169">
        <f t="shared" ca="1" si="48"/>
        <v>217.94711318521922</v>
      </c>
      <c r="X169">
        <f t="shared" ca="1" si="58"/>
        <v>213.68681727702037</v>
      </c>
      <c r="Y169">
        <f t="shared" ca="1" si="57"/>
        <v>4.1324131082008364</v>
      </c>
      <c r="Z169">
        <f t="shared" ca="1" si="59"/>
        <v>3.2996330617379277</v>
      </c>
      <c r="AA169">
        <f t="shared" ca="1" si="60"/>
        <v>0.83278004646290871</v>
      </c>
      <c r="AB169">
        <f t="shared" ca="1" si="61"/>
        <v>201.91390000000004</v>
      </c>
    </row>
    <row r="170" spans="1:28" x14ac:dyDescent="0.25">
      <c r="A170" s="20">
        <f t="shared" ca="1" si="41"/>
        <v>45537</v>
      </c>
      <c r="B170" vm="502">
        <f ca="1"/>
        <v>45538</v>
      </c>
      <c r="C170" vm="503">
        <f ca="1"/>
        <v>220.3</v>
      </c>
      <c r="D170" vm="504">
        <f ca="1"/>
        <v>8956089</v>
      </c>
      <c r="E170">
        <f t="shared" ca="1" si="42"/>
        <v>1973026406.7</v>
      </c>
      <c r="F170">
        <f ca="1">SUM($E$2:E170)/SUM($D$2:D170)</f>
        <v>192.88911355987369</v>
      </c>
      <c r="G170">
        <f ca="1">_xlfn.STDEV.P($C$2:C170)</f>
        <v>13.978298846930866</v>
      </c>
      <c r="H170">
        <f t="shared" ca="1" si="43"/>
        <v>206.86741240680456</v>
      </c>
      <c r="I170">
        <f t="shared" ca="1" si="44"/>
        <v>178.91081471294282</v>
      </c>
      <c r="J170">
        <f t="shared" ca="1" si="53"/>
        <v>213.39749999999998</v>
      </c>
      <c r="K170">
        <f t="shared" ca="1" si="54"/>
        <v>7.3205736581370804</v>
      </c>
      <c r="L170">
        <f t="shared" ca="1" si="55"/>
        <v>228.03864731627414</v>
      </c>
      <c r="M170">
        <f t="shared" ca="1" si="56"/>
        <v>198.75635268372582</v>
      </c>
      <c r="N170">
        <f t="shared" ca="1" si="45"/>
        <v>-4.5</v>
      </c>
      <c r="O170">
        <f t="shared" ca="1" si="46"/>
        <v>0</v>
      </c>
      <c r="P170">
        <f t="shared" ca="1" si="47"/>
        <v>4.5</v>
      </c>
      <c r="Q170">
        <f t="shared" ca="1" si="51"/>
        <v>1.2779621208346856</v>
      </c>
      <c r="R170">
        <f t="shared" ca="1" si="52"/>
        <v>0.79009071036052891</v>
      </c>
      <c r="S170">
        <f t="shared" ca="1" si="49"/>
        <v>1.6174878454798367</v>
      </c>
      <c r="T170">
        <f t="shared" ca="1" si="50"/>
        <v>61.795429089502406</v>
      </c>
      <c r="U170">
        <f>70</f>
        <v>70</v>
      </c>
      <c r="V170">
        <f>30</f>
        <v>30</v>
      </c>
      <c r="W170">
        <f t="shared" ca="1" si="48"/>
        <v>218.30909577210858</v>
      </c>
      <c r="X170">
        <f t="shared" ca="1" si="58"/>
        <v>214.17668266390774</v>
      </c>
      <c r="Y170">
        <f t="shared" ca="1" si="57"/>
        <v>3.9077480870262775</v>
      </c>
      <c r="Z170">
        <f t="shared" ca="1" si="59"/>
        <v>3.4212560667955976</v>
      </c>
      <c r="AA170">
        <f t="shared" ca="1" si="60"/>
        <v>0.48649202023067994</v>
      </c>
      <c r="AB170">
        <f t="shared" ca="1" si="61"/>
        <v>202.16219999999998</v>
      </c>
    </row>
    <row r="171" spans="1:28" x14ac:dyDescent="0.25">
      <c r="A171" s="20">
        <f t="shared" ca="1" si="41"/>
        <v>45537</v>
      </c>
      <c r="B171" vm="505">
        <f ca="1"/>
        <v>45539</v>
      </c>
      <c r="C171" vm="506">
        <f ca="1"/>
        <v>219.33</v>
      </c>
      <c r="D171" vm="507">
        <f ca="1"/>
        <v>7389474</v>
      </c>
      <c r="E171">
        <f t="shared" ca="1" si="42"/>
        <v>1620733332.4200001</v>
      </c>
      <c r="F171">
        <f ca="1">SUM($E$2:E171)/SUM($D$2:D171)</f>
        <v>193.01644358628315</v>
      </c>
      <c r="G171">
        <f ca="1">_xlfn.STDEV.P($C$2:C171)</f>
        <v>14.069989863457096</v>
      </c>
      <c r="H171">
        <f t="shared" ca="1" si="43"/>
        <v>207.08643344974024</v>
      </c>
      <c r="I171">
        <f t="shared" ca="1" si="44"/>
        <v>178.94645372282605</v>
      </c>
      <c r="J171">
        <f t="shared" ca="1" si="53"/>
        <v>214.34700000000004</v>
      </c>
      <c r="K171">
        <f t="shared" ca="1" si="54"/>
        <v>6.7468917599923461</v>
      </c>
      <c r="L171">
        <f t="shared" ca="1" si="55"/>
        <v>227.84078351998474</v>
      </c>
      <c r="M171">
        <f t="shared" ca="1" si="56"/>
        <v>200.85321648001533</v>
      </c>
      <c r="N171">
        <f t="shared" ca="1" si="45"/>
        <v>-0.96999999999999886</v>
      </c>
      <c r="O171">
        <f t="shared" ca="1" si="46"/>
        <v>0</v>
      </c>
      <c r="P171">
        <f t="shared" ca="1" si="47"/>
        <v>0.96999999999999886</v>
      </c>
      <c r="Q171">
        <f t="shared" ca="1" si="51"/>
        <v>1.1866791122036366</v>
      </c>
      <c r="R171">
        <f t="shared" ca="1" si="52"/>
        <v>0.80294137390620535</v>
      </c>
      <c r="S171">
        <f t="shared" ca="1" si="49"/>
        <v>1.4779150144307511</v>
      </c>
      <c r="T171">
        <f t="shared" ca="1" si="50"/>
        <v>59.643490830950512</v>
      </c>
      <c r="U171">
        <f>70</f>
        <v>70</v>
      </c>
      <c r="V171">
        <f>30</f>
        <v>30</v>
      </c>
      <c r="W171">
        <f t="shared" ca="1" si="48"/>
        <v>218.46615796101494</v>
      </c>
      <c r="X171">
        <f t="shared" ca="1" si="58"/>
        <v>214.55840987398867</v>
      </c>
      <c r="Y171">
        <f t="shared" ca="1" si="57"/>
        <v>3.5515832061969377</v>
      </c>
      <c r="Z171">
        <f t="shared" ca="1" si="59"/>
        <v>3.4473214946758657</v>
      </c>
      <c r="AA171">
        <f t="shared" ca="1" si="60"/>
        <v>0.104261711521072</v>
      </c>
      <c r="AB171">
        <f t="shared" ca="1" si="61"/>
        <v>202.40119999999999</v>
      </c>
    </row>
    <row r="172" spans="1:28" x14ac:dyDescent="0.25">
      <c r="A172" s="20">
        <f t="shared" ca="1" si="41"/>
        <v>45537</v>
      </c>
      <c r="B172" vm="508">
        <f ca="1"/>
        <v>45540</v>
      </c>
      <c r="C172" vm="509">
        <f ca="1"/>
        <v>217.63</v>
      </c>
      <c r="D172" vm="510">
        <f ca="1"/>
        <v>8067874</v>
      </c>
      <c r="E172">
        <f t="shared" ca="1" si="42"/>
        <v>1755811418.6199999</v>
      </c>
      <c r="F172">
        <f ca="1">SUM($E$2:E172)/SUM($D$2:D172)</f>
        <v>193.1451787936374</v>
      </c>
      <c r="G172">
        <f ca="1">_xlfn.STDEV.P($C$2:C172)</f>
        <v>14.141575143505547</v>
      </c>
      <c r="H172">
        <f t="shared" ca="1" si="43"/>
        <v>207.28675393714295</v>
      </c>
      <c r="I172">
        <f t="shared" ca="1" si="44"/>
        <v>179.00360365013185</v>
      </c>
      <c r="J172">
        <f t="shared" ca="1" si="53"/>
        <v>215.20850000000002</v>
      </c>
      <c r="K172">
        <f t="shared" ca="1" si="54"/>
        <v>5.9218865015163962</v>
      </c>
      <c r="L172">
        <f t="shared" ca="1" si="55"/>
        <v>227.05227300303281</v>
      </c>
      <c r="M172">
        <f t="shared" ca="1" si="56"/>
        <v>203.36472699696722</v>
      </c>
      <c r="N172">
        <f t="shared" ca="1" si="45"/>
        <v>-1.7000000000000171</v>
      </c>
      <c r="O172">
        <f t="shared" ca="1" si="46"/>
        <v>0</v>
      </c>
      <c r="P172">
        <f t="shared" ca="1" si="47"/>
        <v>1.7000000000000171</v>
      </c>
      <c r="Q172">
        <f t="shared" ca="1" si="51"/>
        <v>1.1019163184748055</v>
      </c>
      <c r="R172">
        <f t="shared" ca="1" si="52"/>
        <v>0.86701699005576327</v>
      </c>
      <c r="S172">
        <f t="shared" ca="1" si="49"/>
        <v>1.2709281722425467</v>
      </c>
      <c r="T172">
        <f t="shared" ca="1" si="50"/>
        <v>55.965141820734132</v>
      </c>
      <c r="U172">
        <f>70</f>
        <v>70</v>
      </c>
      <c r="V172">
        <f>30</f>
        <v>30</v>
      </c>
      <c r="W172">
        <f t="shared" ca="1" si="48"/>
        <v>218.33751827470496</v>
      </c>
      <c r="X172">
        <f t="shared" ca="1" si="58"/>
        <v>214.78593506850802</v>
      </c>
      <c r="Y172">
        <f t="shared" ca="1" si="57"/>
        <v>2.8196411120292169</v>
      </c>
      <c r="Z172">
        <f t="shared" ca="1" si="59"/>
        <v>3.3217854181465358</v>
      </c>
      <c r="AA172">
        <f t="shared" ca="1" si="60"/>
        <v>-0.50214430611731897</v>
      </c>
      <c r="AB172">
        <f t="shared" ca="1" si="61"/>
        <v>202.74959999999999</v>
      </c>
    </row>
    <row r="173" spans="1:28" x14ac:dyDescent="0.25">
      <c r="A173" s="20">
        <f t="shared" ca="1" si="41"/>
        <v>45537</v>
      </c>
      <c r="B173" vm="511">
        <f ca="1"/>
        <v>45541</v>
      </c>
      <c r="C173" vm="512">
        <f ca="1"/>
        <v>212.46</v>
      </c>
      <c r="D173" vm="513">
        <f ca="1"/>
        <v>7776998</v>
      </c>
      <c r="E173">
        <f t="shared" ca="1" si="42"/>
        <v>1652300995.0800002</v>
      </c>
      <c r="F173">
        <f ca="1">SUM($E$2:E173)/SUM($D$2:D173)</f>
        <v>193.24206957637898</v>
      </c>
      <c r="G173">
        <f ca="1">_xlfn.STDEV.P($C$2:C173)</f>
        <v>14.167178503675412</v>
      </c>
      <c r="H173">
        <f t="shared" ca="1" si="43"/>
        <v>207.4092480800544</v>
      </c>
      <c r="I173">
        <f t="shared" ca="1" si="44"/>
        <v>179.07489107270356</v>
      </c>
      <c r="J173">
        <f t="shared" ca="1" si="53"/>
        <v>215.62849999999997</v>
      </c>
      <c r="K173">
        <f t="shared" ca="1" si="54"/>
        <v>5.3608878634243533</v>
      </c>
      <c r="L173">
        <f t="shared" ca="1" si="55"/>
        <v>226.35027572684868</v>
      </c>
      <c r="M173">
        <f t="shared" ca="1" si="56"/>
        <v>204.90672427315127</v>
      </c>
      <c r="N173">
        <f t="shared" ca="1" si="45"/>
        <v>-5.1699999999999875</v>
      </c>
      <c r="O173">
        <f t="shared" ca="1" si="46"/>
        <v>0</v>
      </c>
      <c r="P173">
        <f t="shared" ca="1" si="47"/>
        <v>5.1699999999999875</v>
      </c>
      <c r="Q173">
        <f t="shared" ca="1" si="51"/>
        <v>1.0232080100123195</v>
      </c>
      <c r="R173">
        <f t="shared" ca="1" si="52"/>
        <v>1.1743729193374937</v>
      </c>
      <c r="S173">
        <f t="shared" ca="1" si="49"/>
        <v>0.87128031749024681</v>
      </c>
      <c r="T173">
        <f t="shared" ca="1" si="50"/>
        <v>46.56065204911706</v>
      </c>
      <c r="U173">
        <f>70</f>
        <v>70</v>
      </c>
      <c r="V173">
        <f>30</f>
        <v>30</v>
      </c>
      <c r="W173">
        <f t="shared" ca="1" si="48"/>
        <v>217.43328469398111</v>
      </c>
      <c r="X173">
        <f t="shared" ca="1" si="58"/>
        <v>214.61364358195189</v>
      </c>
      <c r="Y173">
        <f t="shared" ca="1" si="57"/>
        <v>2.5610580911054797</v>
      </c>
      <c r="Z173">
        <f t="shared" ca="1" si="59"/>
        <v>3.1696399527383248</v>
      </c>
      <c r="AA173">
        <f t="shared" ca="1" si="60"/>
        <v>-0.60858186163284511</v>
      </c>
      <c r="AB173">
        <f t="shared" ca="1" si="61"/>
        <v>203.0453</v>
      </c>
    </row>
    <row r="174" spans="1:28" x14ac:dyDescent="0.25">
      <c r="A174" s="20">
        <f t="shared" ca="1" si="41"/>
        <v>45544</v>
      </c>
      <c r="B174" vm="514">
        <f ca="1"/>
        <v>45544</v>
      </c>
      <c r="C174" vm="515">
        <f ca="1"/>
        <v>216.81</v>
      </c>
      <c r="D174" vm="516">
        <f ca="1"/>
        <v>8935074</v>
      </c>
      <c r="E174">
        <f t="shared" ca="1" si="42"/>
        <v>1937213393.9400001</v>
      </c>
      <c r="F174">
        <f ca="1">SUM($E$2:E174)/SUM($D$2:D174)</f>
        <v>193.3771223671873</v>
      </c>
      <c r="G174">
        <f ca="1">_xlfn.STDEV.P($C$2:C174)</f>
        <v>14.227110302513713</v>
      </c>
      <c r="H174">
        <f t="shared" ca="1" si="43"/>
        <v>207.60423266970102</v>
      </c>
      <c r="I174">
        <f t="shared" ca="1" si="44"/>
        <v>179.15001206467358</v>
      </c>
      <c r="J174">
        <f t="shared" ca="1" si="53"/>
        <v>216.17900000000003</v>
      </c>
      <c r="K174">
        <f t="shared" ca="1" si="54"/>
        <v>4.8383271358687834</v>
      </c>
      <c r="L174">
        <f t="shared" ca="1" si="55"/>
        <v>225.85565427173759</v>
      </c>
      <c r="M174">
        <f t="shared" ca="1" si="56"/>
        <v>206.50234572826247</v>
      </c>
      <c r="N174">
        <f t="shared" ca="1" si="45"/>
        <v>4.3499999999999943</v>
      </c>
      <c r="O174">
        <f t="shared" ca="1" si="46"/>
        <v>4.3499999999999943</v>
      </c>
      <c r="P174">
        <f t="shared" ca="1" si="47"/>
        <v>0</v>
      </c>
      <c r="Q174">
        <f t="shared" ca="1" si="51"/>
        <v>1.2608360092971533</v>
      </c>
      <c r="R174">
        <f t="shared" ca="1" si="52"/>
        <v>1.0904891393848155</v>
      </c>
      <c r="S174">
        <f t="shared" ca="1" si="49"/>
        <v>1.1562114318794927</v>
      </c>
      <c r="T174">
        <f t="shared" ca="1" si="50"/>
        <v>53.62235886448596</v>
      </c>
      <c r="U174">
        <f>70</f>
        <v>70</v>
      </c>
      <c r="V174">
        <f>30</f>
        <v>30</v>
      </c>
      <c r="W174">
        <f t="shared" ca="1" si="48"/>
        <v>217.33739474106093</v>
      </c>
      <c r="X174">
        <f t="shared" ca="1" si="58"/>
        <v>214.77633664995545</v>
      </c>
      <c r="Y174">
        <f t="shared" ca="1" si="57"/>
        <v>1.4318428115657582</v>
      </c>
      <c r="Z174">
        <f t="shared" ca="1" si="59"/>
        <v>2.8220805245038116</v>
      </c>
      <c r="AA174">
        <f t="shared" ca="1" si="60"/>
        <v>-1.3902377129380534</v>
      </c>
      <c r="AB174">
        <f t="shared" ca="1" si="61"/>
        <v>203.40540000000001</v>
      </c>
    </row>
    <row r="175" spans="1:28" x14ac:dyDescent="0.25">
      <c r="A175" s="20">
        <f t="shared" ca="1" si="41"/>
        <v>45544</v>
      </c>
      <c r="B175" vm="517">
        <f ca="1"/>
        <v>45545</v>
      </c>
      <c r="C175" vm="518">
        <f ca="1"/>
        <v>205.56</v>
      </c>
      <c r="D175" vm="519">
        <f ca="1"/>
        <v>28406903</v>
      </c>
      <c r="E175">
        <f t="shared" ca="1" si="42"/>
        <v>5839322980.6800003</v>
      </c>
      <c r="F175">
        <f ca="1">SUM($E$2:E175)/SUM($D$2:D175)</f>
        <v>193.59510246056303</v>
      </c>
      <c r="G175">
        <f ca="1">_xlfn.STDEV.P($C$2:C175)</f>
        <v>14.210237339342878</v>
      </c>
      <c r="H175">
        <f t="shared" ca="1" si="43"/>
        <v>207.80533979990591</v>
      </c>
      <c r="I175">
        <f t="shared" ca="1" si="44"/>
        <v>179.38486512122014</v>
      </c>
      <c r="J175">
        <f t="shared" ca="1" si="53"/>
        <v>216.14750000000004</v>
      </c>
      <c r="K175">
        <f t="shared" ca="1" si="54"/>
        <v>4.9083279123074943</v>
      </c>
      <c r="L175">
        <f t="shared" ca="1" si="55"/>
        <v>225.96415582461503</v>
      </c>
      <c r="M175">
        <f t="shared" ca="1" si="56"/>
        <v>206.33084417538504</v>
      </c>
      <c r="N175">
        <f t="shared" ca="1" si="45"/>
        <v>-11.25</v>
      </c>
      <c r="O175">
        <f t="shared" ca="1" si="46"/>
        <v>0</v>
      </c>
      <c r="P175">
        <f t="shared" ca="1" si="47"/>
        <v>11.25</v>
      </c>
      <c r="Q175">
        <f t="shared" ca="1" si="51"/>
        <v>1.1707762943473567</v>
      </c>
      <c r="R175">
        <f t="shared" ca="1" si="52"/>
        <v>1.8161684865716143</v>
      </c>
      <c r="S175">
        <f t="shared" ca="1" si="49"/>
        <v>0.64464079351879622</v>
      </c>
      <c r="T175">
        <f t="shared" ca="1" si="50"/>
        <v>39.19644922217654</v>
      </c>
      <c r="U175">
        <f>70</f>
        <v>70</v>
      </c>
      <c r="V175">
        <f>30</f>
        <v>30</v>
      </c>
      <c r="W175">
        <f t="shared" ca="1" si="48"/>
        <v>215.52548785782079</v>
      </c>
      <c r="X175">
        <f t="shared" ca="1" si="58"/>
        <v>214.09364504625503</v>
      </c>
      <c r="Y175">
        <f t="shared" ca="1" si="57"/>
        <v>0.66403206193700726</v>
      </c>
      <c r="Z175">
        <f t="shared" ca="1" si="59"/>
        <v>2.3904708319904509</v>
      </c>
      <c r="AA175">
        <f t="shared" ca="1" si="60"/>
        <v>-1.7264387700534436</v>
      </c>
      <c r="AB175">
        <f t="shared" ca="1" si="61"/>
        <v>203.66020000000003</v>
      </c>
    </row>
    <row r="176" spans="1:28" x14ac:dyDescent="0.25">
      <c r="A176" s="20">
        <f t="shared" ca="1" si="41"/>
        <v>45544</v>
      </c>
      <c r="B176" vm="520">
        <f ca="1"/>
        <v>45546</v>
      </c>
      <c r="C176" vm="521">
        <f ca="1"/>
        <v>207.23</v>
      </c>
      <c r="D176" vm="522">
        <f ca="1"/>
        <v>13658743</v>
      </c>
      <c r="E176">
        <f t="shared" ca="1" si="42"/>
        <v>2830501311.8899999</v>
      </c>
      <c r="F176">
        <f ca="1">SUM($E$2:E176)/SUM($D$2:D176)</f>
        <v>193.71140397968884</v>
      </c>
      <c r="G176">
        <f ca="1">_xlfn.STDEV.P($C$2:C176)</f>
        <v>14.201089145238841</v>
      </c>
      <c r="H176">
        <f t="shared" ca="1" si="43"/>
        <v>207.91249312492769</v>
      </c>
      <c r="I176">
        <f t="shared" ca="1" si="44"/>
        <v>179.51031483444999</v>
      </c>
      <c r="J176">
        <f t="shared" ca="1" si="53"/>
        <v>216.11199999999999</v>
      </c>
      <c r="K176">
        <f t="shared" ca="1" si="54"/>
        <v>4.9729559143748503</v>
      </c>
      <c r="L176">
        <f t="shared" ca="1" si="55"/>
        <v>226.0579118287497</v>
      </c>
      <c r="M176">
        <f t="shared" ca="1" si="56"/>
        <v>206.16608817125029</v>
      </c>
      <c r="N176">
        <f t="shared" ca="1" si="45"/>
        <v>1.6699999999999875</v>
      </c>
      <c r="O176">
        <f t="shared" ca="1" si="46"/>
        <v>1.6699999999999875</v>
      </c>
      <c r="P176">
        <f t="shared" ca="1" si="47"/>
        <v>0</v>
      </c>
      <c r="Q176">
        <f t="shared" ca="1" si="51"/>
        <v>1.2064351304654017</v>
      </c>
      <c r="R176">
        <f t="shared" ca="1" si="52"/>
        <v>1.6864421661022131</v>
      </c>
      <c r="S176">
        <f t="shared" ca="1" si="49"/>
        <v>0.71537296369538306</v>
      </c>
      <c r="T176">
        <f t="shared" ca="1" si="50"/>
        <v>41.70363989847862</v>
      </c>
      <c r="U176">
        <f>70</f>
        <v>70</v>
      </c>
      <c r="V176">
        <f>30</f>
        <v>30</v>
      </c>
      <c r="W176">
        <f t="shared" ca="1" si="48"/>
        <v>214.24925895661761</v>
      </c>
      <c r="X176">
        <f t="shared" ca="1" si="58"/>
        <v>213.5852268946806</v>
      </c>
      <c r="Y176">
        <f t="shared" ca="1" si="57"/>
        <v>4.6472061089559702E-3</v>
      </c>
      <c r="Z176">
        <f t="shared" ca="1" si="59"/>
        <v>1.9133061068141521</v>
      </c>
      <c r="AA176">
        <f t="shared" ca="1" si="60"/>
        <v>-1.9086589007051962</v>
      </c>
      <c r="AB176">
        <f t="shared" ca="1" si="61"/>
        <v>203.92000000000004</v>
      </c>
    </row>
    <row r="177" spans="1:28" x14ac:dyDescent="0.25">
      <c r="A177" s="20">
        <f t="shared" ca="1" si="41"/>
        <v>45544</v>
      </c>
      <c r="B177" vm="523">
        <f ca="1"/>
        <v>45547</v>
      </c>
      <c r="C177" vm="524">
        <f ca="1"/>
        <v>206.6</v>
      </c>
      <c r="D177" vm="525">
        <f ca="1"/>
        <v>9055756</v>
      </c>
      <c r="E177">
        <f t="shared" ca="1" si="42"/>
        <v>1870919189.5999999</v>
      </c>
      <c r="F177">
        <f ca="1">SUM($E$2:E177)/SUM($D$2:D177)</f>
        <v>193.78388161210361</v>
      </c>
      <c r="G177">
        <f ca="1">_xlfn.STDEV.P($C$2:C177)</f>
        <v>14.188633973686692</v>
      </c>
      <c r="H177">
        <f t="shared" ca="1" si="43"/>
        <v>207.97251558579029</v>
      </c>
      <c r="I177">
        <f t="shared" ca="1" si="44"/>
        <v>179.59524763841694</v>
      </c>
      <c r="J177">
        <f t="shared" ca="1" si="53"/>
        <v>215.93</v>
      </c>
      <c r="K177">
        <f t="shared" ca="1" si="54"/>
        <v>5.2576300444411785</v>
      </c>
      <c r="L177">
        <f t="shared" ca="1" si="55"/>
        <v>226.44526008888238</v>
      </c>
      <c r="M177">
        <f t="shared" ca="1" si="56"/>
        <v>205.41473991111764</v>
      </c>
      <c r="N177">
        <f t="shared" ca="1" si="45"/>
        <v>-0.62999999999999545</v>
      </c>
      <c r="O177">
        <f t="shared" ca="1" si="46"/>
        <v>0</v>
      </c>
      <c r="P177">
        <f t="shared" ca="1" si="47"/>
        <v>0.62999999999999545</v>
      </c>
      <c r="Q177">
        <f t="shared" ca="1" si="51"/>
        <v>1.1202611925750159</v>
      </c>
      <c r="R177">
        <f t="shared" ca="1" si="52"/>
        <v>1.6109820113806261</v>
      </c>
      <c r="S177">
        <f t="shared" ca="1" si="49"/>
        <v>0.69539025554664136</v>
      </c>
      <c r="T177">
        <f t="shared" ca="1" si="50"/>
        <v>41.016530162987635</v>
      </c>
      <c r="U177">
        <f>70</f>
        <v>70</v>
      </c>
      <c r="V177">
        <f>30</f>
        <v>30</v>
      </c>
      <c r="W177">
        <f t="shared" ca="1" si="48"/>
        <v>213.07244988636876</v>
      </c>
      <c r="X177">
        <f t="shared" ca="1" si="58"/>
        <v>213.0678026802598</v>
      </c>
      <c r="Y177">
        <f t="shared" ca="1" si="57"/>
        <v>-0.69389816191713294</v>
      </c>
      <c r="Z177">
        <f t="shared" ca="1" si="59"/>
        <v>1.3918652530678952</v>
      </c>
      <c r="AA177">
        <f t="shared" ca="1" si="60"/>
        <v>-2.0857634149850282</v>
      </c>
      <c r="AB177">
        <f t="shared" ca="1" si="61"/>
        <v>204.12799999999999</v>
      </c>
    </row>
    <row r="178" spans="1:28" x14ac:dyDescent="0.25">
      <c r="A178" s="20">
        <f t="shared" ca="1" si="41"/>
        <v>45544</v>
      </c>
      <c r="B178" vm="526">
        <f ca="1"/>
        <v>45548</v>
      </c>
      <c r="C178" vm="527">
        <f ca="1"/>
        <v>204.32</v>
      </c>
      <c r="D178" vm="528">
        <f ca="1"/>
        <v>10226694</v>
      </c>
      <c r="E178">
        <f t="shared" ca="1" si="42"/>
        <v>2089518118.0799999</v>
      </c>
      <c r="F178">
        <f ca="1">SUM($E$2:E178)/SUM($D$2:D178)</f>
        <v>193.8503691582037</v>
      </c>
      <c r="G178">
        <f ca="1">_xlfn.STDEV.P($C$2:C178)</f>
        <v>14.166382617427104</v>
      </c>
      <c r="H178">
        <f t="shared" ca="1" si="43"/>
        <v>208.01675177563081</v>
      </c>
      <c r="I178">
        <f t="shared" ca="1" si="44"/>
        <v>179.6839865407766</v>
      </c>
      <c r="J178">
        <f t="shared" ca="1" si="53"/>
        <v>215.5685</v>
      </c>
      <c r="K178">
        <f t="shared" ca="1" si="54"/>
        <v>5.7956646910019183</v>
      </c>
      <c r="L178">
        <f t="shared" ca="1" si="55"/>
        <v>227.15982938200384</v>
      </c>
      <c r="M178">
        <f t="shared" ca="1" si="56"/>
        <v>203.97717061799617</v>
      </c>
      <c r="N178">
        <f t="shared" ca="1" si="45"/>
        <v>-2.2800000000000011</v>
      </c>
      <c r="O178">
        <f t="shared" ca="1" si="46"/>
        <v>0</v>
      </c>
      <c r="P178">
        <f t="shared" ca="1" si="47"/>
        <v>2.2800000000000011</v>
      </c>
      <c r="Q178">
        <f t="shared" ca="1" si="51"/>
        <v>1.0402425359625147</v>
      </c>
      <c r="R178">
        <f t="shared" ca="1" si="52"/>
        <v>1.6587690105677244</v>
      </c>
      <c r="S178">
        <f t="shared" ca="1" si="49"/>
        <v>0.62711717504686504</v>
      </c>
      <c r="T178">
        <f t="shared" ca="1" si="50"/>
        <v>38.541611179834213</v>
      </c>
      <c r="U178">
        <f>70</f>
        <v>70</v>
      </c>
      <c r="V178">
        <f>30</f>
        <v>30</v>
      </c>
      <c r="W178">
        <f t="shared" ca="1" si="48"/>
        <v>211.72591913461972</v>
      </c>
      <c r="X178">
        <f t="shared" ca="1" si="58"/>
        <v>212.41981729653685</v>
      </c>
      <c r="Y178">
        <f t="shared" ca="1" si="57"/>
        <v>-0.95089070767073736</v>
      </c>
      <c r="Z178">
        <f t="shared" ca="1" si="59"/>
        <v>0.92331406092016866</v>
      </c>
      <c r="AA178">
        <f t="shared" ca="1" si="60"/>
        <v>-1.874204768590906</v>
      </c>
      <c r="AB178">
        <f t="shared" ca="1" si="61"/>
        <v>204.27709999999999</v>
      </c>
    </row>
    <row r="179" spans="1:28" x14ac:dyDescent="0.25">
      <c r="A179" s="20">
        <f t="shared" ca="1" si="41"/>
        <v>45551</v>
      </c>
      <c r="B179" vm="529">
        <f ca="1"/>
        <v>45551</v>
      </c>
      <c r="C179" vm="530">
        <f ca="1"/>
        <v>207.86</v>
      </c>
      <c r="D179" vm="531">
        <f ca="1"/>
        <v>8634936</v>
      </c>
      <c r="E179">
        <f t="shared" ca="1" si="42"/>
        <v>1794857796.96</v>
      </c>
      <c r="F179">
        <f ca="1">SUM($E$2:E179)/SUM($D$2:D179)</f>
        <v>193.92462016299768</v>
      </c>
      <c r="G179">
        <f ca="1">_xlfn.STDEV.P($C$2:C179)</f>
        <v>14.159813213853875</v>
      </c>
      <c r="H179">
        <f t="shared" ca="1" si="43"/>
        <v>208.08443337685156</v>
      </c>
      <c r="I179">
        <f t="shared" ca="1" si="44"/>
        <v>179.7648069491438</v>
      </c>
      <c r="J179">
        <f t="shared" ca="1" si="53"/>
        <v>215.26300000000001</v>
      </c>
      <c r="K179">
        <f t="shared" ca="1" si="54"/>
        <v>6.0402336134675441</v>
      </c>
      <c r="L179">
        <f t="shared" ca="1" si="55"/>
        <v>227.3434672269351</v>
      </c>
      <c r="M179">
        <f t="shared" ca="1" si="56"/>
        <v>203.18253277306491</v>
      </c>
      <c r="N179">
        <f t="shared" ca="1" si="45"/>
        <v>3.5400000000000205</v>
      </c>
      <c r="O179">
        <f t="shared" ca="1" si="46"/>
        <v>3.5400000000000205</v>
      </c>
      <c r="P179">
        <f t="shared" ca="1" si="47"/>
        <v>0</v>
      </c>
      <c r="Q179">
        <f t="shared" ca="1" si="51"/>
        <v>1.2187966405366224</v>
      </c>
      <c r="R179">
        <f t="shared" ca="1" si="52"/>
        <v>1.5402855098128871</v>
      </c>
      <c r="S179">
        <f t="shared" ca="1" si="49"/>
        <v>0.79127968988339115</v>
      </c>
      <c r="T179">
        <f t="shared" ca="1" si="50"/>
        <v>44.173988816615342</v>
      </c>
      <c r="U179">
        <f>70</f>
        <v>70</v>
      </c>
      <c r="V179">
        <f>30</f>
        <v>30</v>
      </c>
      <c r="W179">
        <f t="shared" ca="1" si="48"/>
        <v>211.13116234467822</v>
      </c>
      <c r="X179">
        <f t="shared" ca="1" si="58"/>
        <v>212.08205305234895</v>
      </c>
      <c r="Y179">
        <f t="shared" ca="1" si="57"/>
        <v>-1.0305185915782715</v>
      </c>
      <c r="Z179">
        <f t="shared" ca="1" si="59"/>
        <v>0.53254753042048064</v>
      </c>
      <c r="AA179">
        <f t="shared" ca="1" si="60"/>
        <v>-1.5630661219987521</v>
      </c>
      <c r="AB179">
        <f t="shared" ca="1" si="61"/>
        <v>204.43430000000001</v>
      </c>
    </row>
    <row r="180" spans="1:28" x14ac:dyDescent="0.25">
      <c r="A180" s="20">
        <f t="shared" ca="1" si="41"/>
        <v>45551</v>
      </c>
      <c r="B180" vm="532">
        <f ca="1"/>
        <v>45552</v>
      </c>
      <c r="C180" vm="533">
        <f ca="1"/>
        <v>209.25</v>
      </c>
      <c r="D180" vm="534">
        <f ca="1"/>
        <v>7573345</v>
      </c>
      <c r="E180">
        <f t="shared" ca="1" si="42"/>
        <v>1584722441.25</v>
      </c>
      <c r="F180">
        <f ca="1">SUM($E$2:E180)/SUM($D$2:D180)</f>
        <v>193.99552917079589</v>
      </c>
      <c r="G180">
        <f ca="1">_xlfn.STDEV.P($C$2:C180)</f>
        <v>14.160364800008193</v>
      </c>
      <c r="H180">
        <f t="shared" ca="1" si="43"/>
        <v>208.15589397080407</v>
      </c>
      <c r="I180">
        <f t="shared" ca="1" si="44"/>
        <v>179.83516437078771</v>
      </c>
      <c r="J180">
        <f t="shared" ca="1" si="53"/>
        <v>214.95300000000003</v>
      </c>
      <c r="K180">
        <f t="shared" ca="1" si="54"/>
        <v>6.1874372724093156</v>
      </c>
      <c r="L180">
        <f t="shared" ca="1" si="55"/>
        <v>227.32787454481866</v>
      </c>
      <c r="M180">
        <f t="shared" ca="1" si="56"/>
        <v>202.57812545518141</v>
      </c>
      <c r="N180">
        <f t="shared" ca="1" si="45"/>
        <v>1.3899999999999864</v>
      </c>
      <c r="O180">
        <f t="shared" ca="1" si="46"/>
        <v>1.3899999999999864</v>
      </c>
      <c r="P180">
        <f t="shared" ca="1" si="47"/>
        <v>0</v>
      </c>
      <c r="Q180">
        <f t="shared" ca="1" si="51"/>
        <v>1.2310254519268626</v>
      </c>
      <c r="R180">
        <f t="shared" ca="1" si="52"/>
        <v>1.4302651162548237</v>
      </c>
      <c r="S180">
        <f t="shared" ca="1" si="49"/>
        <v>0.86069738955133446</v>
      </c>
      <c r="T180">
        <f t="shared" ca="1" si="50"/>
        <v>46.256709682323589</v>
      </c>
      <c r="U180">
        <f>70</f>
        <v>70</v>
      </c>
      <c r="V180">
        <f>30</f>
        <v>30</v>
      </c>
      <c r="W180">
        <f t="shared" ca="1" si="48"/>
        <v>210.84175275318927</v>
      </c>
      <c r="X180">
        <f t="shared" ca="1" si="58"/>
        <v>211.87227134476754</v>
      </c>
      <c r="Y180">
        <f t="shared" ca="1" si="57"/>
        <v>-1.2183692859038331</v>
      </c>
      <c r="Z180">
        <f t="shared" ca="1" si="59"/>
        <v>0.18236416715561793</v>
      </c>
      <c r="AA180">
        <f t="shared" ca="1" si="60"/>
        <v>-1.4007334530594511</v>
      </c>
      <c r="AB180">
        <f t="shared" ca="1" si="61"/>
        <v>204.59600000000003</v>
      </c>
    </row>
    <row r="181" spans="1:28" x14ac:dyDescent="0.25">
      <c r="A181" s="20">
        <f t="shared" ca="1" si="41"/>
        <v>45551</v>
      </c>
      <c r="B181" vm="535">
        <f ca="1"/>
        <v>45553</v>
      </c>
      <c r="C181" vm="536">
        <f ca="1"/>
        <v>207.53</v>
      </c>
      <c r="D181" vm="537">
        <f ca="1"/>
        <v>8259876</v>
      </c>
      <c r="E181">
        <f t="shared" ca="1" si="42"/>
        <v>1714172066.28</v>
      </c>
      <c r="F181">
        <f ca="1">SUM($E$2:E181)/SUM($D$2:D181)</f>
        <v>194.06348569290162</v>
      </c>
      <c r="G181">
        <f ca="1">_xlfn.STDEV.P($C$2:C181)</f>
        <v>14.151500112429732</v>
      </c>
      <c r="H181">
        <f t="shared" ca="1" si="43"/>
        <v>208.21498580533137</v>
      </c>
      <c r="I181">
        <f t="shared" ca="1" si="44"/>
        <v>179.91198558047188</v>
      </c>
      <c r="J181">
        <f t="shared" ca="1" si="53"/>
        <v>214.6035</v>
      </c>
      <c r="K181">
        <f t="shared" ca="1" si="54"/>
        <v>6.406713809911075</v>
      </c>
      <c r="L181">
        <f t="shared" ca="1" si="55"/>
        <v>227.41692761982216</v>
      </c>
      <c r="M181">
        <f t="shared" ca="1" si="56"/>
        <v>201.79007238017783</v>
      </c>
      <c r="N181">
        <f t="shared" ca="1" si="45"/>
        <v>-1.7199999999999989</v>
      </c>
      <c r="O181">
        <f t="shared" ca="1" si="46"/>
        <v>0</v>
      </c>
      <c r="P181">
        <f t="shared" ca="1" si="47"/>
        <v>1.7199999999999989</v>
      </c>
      <c r="Q181">
        <f t="shared" ca="1" si="51"/>
        <v>1.1430950625035154</v>
      </c>
      <c r="R181">
        <f t="shared" ca="1" si="52"/>
        <v>1.4509604650937646</v>
      </c>
      <c r="S181">
        <f t="shared" ca="1" si="49"/>
        <v>0.78781957882611631</v>
      </c>
      <c r="T181">
        <f t="shared" ca="1" si="50"/>
        <v>44.065944246085458</v>
      </c>
      <c r="U181">
        <f>70</f>
        <v>70</v>
      </c>
      <c r="V181">
        <f>30</f>
        <v>30</v>
      </c>
      <c r="W181">
        <f t="shared" ca="1" si="48"/>
        <v>210.33225232962167</v>
      </c>
      <c r="X181">
        <f t="shared" ca="1" si="58"/>
        <v>211.5506216155255</v>
      </c>
      <c r="Y181">
        <f t="shared" ca="1" si="57"/>
        <v>-1.1163335702226505</v>
      </c>
      <c r="Z181">
        <f t="shared" ca="1" si="59"/>
        <v>-7.7375380320035769E-2</v>
      </c>
      <c r="AA181">
        <f t="shared" ca="1" si="60"/>
        <v>-1.0389581899026146</v>
      </c>
      <c r="AB181">
        <f t="shared" ca="1" si="61"/>
        <v>204.73759999999999</v>
      </c>
    </row>
    <row r="182" spans="1:28" x14ac:dyDescent="0.25">
      <c r="A182" s="20">
        <f t="shared" ca="1" si="41"/>
        <v>45551</v>
      </c>
      <c r="B182" vm="538">
        <f ca="1"/>
        <v>45554</v>
      </c>
      <c r="C182" vm="539">
        <f ca="1"/>
        <v>210.48</v>
      </c>
      <c r="D182" vm="540">
        <f ca="1"/>
        <v>11635168</v>
      </c>
      <c r="E182">
        <f t="shared" ca="1" si="42"/>
        <v>2448970160.6399999</v>
      </c>
      <c r="F182">
        <f ca="1">SUM($E$2:E182)/SUM($D$2:D182)</f>
        <v>194.17878032683785</v>
      </c>
      <c r="G182">
        <f ca="1">_xlfn.STDEV.P($C$2:C182)</f>
        <v>14.158318624408073</v>
      </c>
      <c r="H182">
        <f t="shared" ca="1" si="43"/>
        <v>208.33709895124593</v>
      </c>
      <c r="I182">
        <f t="shared" ca="1" si="44"/>
        <v>180.02046170242977</v>
      </c>
      <c r="J182">
        <f t="shared" ca="1" si="53"/>
        <v>214.39749999999998</v>
      </c>
      <c r="K182">
        <f t="shared" ca="1" si="54"/>
        <v>6.4727289250239846</v>
      </c>
      <c r="L182">
        <f t="shared" ca="1" si="55"/>
        <v>227.34295785004795</v>
      </c>
      <c r="M182">
        <f t="shared" ca="1" si="56"/>
        <v>201.45204214995201</v>
      </c>
      <c r="N182">
        <f t="shared" ca="1" si="45"/>
        <v>2.9499999999999886</v>
      </c>
      <c r="O182">
        <f t="shared" ca="1" si="46"/>
        <v>2.9499999999999886</v>
      </c>
      <c r="P182">
        <f t="shared" ca="1" si="47"/>
        <v>0</v>
      </c>
      <c r="Q182">
        <f t="shared" ca="1" si="51"/>
        <v>1.2721597008961207</v>
      </c>
      <c r="R182">
        <f t="shared" ca="1" si="52"/>
        <v>1.3473204318727814</v>
      </c>
      <c r="S182">
        <f t="shared" ca="1" si="49"/>
        <v>0.94421465807344218</v>
      </c>
      <c r="T182">
        <f t="shared" ca="1" si="50"/>
        <v>48.565350238079247</v>
      </c>
      <c r="U182">
        <f>70</f>
        <v>70</v>
      </c>
      <c r="V182">
        <f>30</f>
        <v>30</v>
      </c>
      <c r="W182">
        <f t="shared" ca="1" si="48"/>
        <v>210.35498274044912</v>
      </c>
      <c r="X182">
        <f t="shared" ca="1" si="58"/>
        <v>211.47131631067177</v>
      </c>
      <c r="Y182">
        <f t="shared" ca="1" si="57"/>
        <v>-0.97500833918786611</v>
      </c>
      <c r="Z182">
        <f t="shared" ca="1" si="59"/>
        <v>-0.25690197209360183</v>
      </c>
      <c r="AA182">
        <f t="shared" ca="1" si="60"/>
        <v>-0.71810636709426423</v>
      </c>
      <c r="AB182">
        <f t="shared" ca="1" si="61"/>
        <v>204.9075</v>
      </c>
    </row>
    <row r="183" spans="1:28" x14ac:dyDescent="0.25">
      <c r="A183" s="20">
        <f t="shared" ca="1" si="41"/>
        <v>45551</v>
      </c>
      <c r="B183" vm="541">
        <f ca="1"/>
        <v>45555</v>
      </c>
      <c r="C183" vm="542">
        <f ca="1"/>
        <v>211.09</v>
      </c>
      <c r="D183" vm="543">
        <f ca="1"/>
        <v>20884974</v>
      </c>
      <c r="E183">
        <f t="shared" ca="1" si="42"/>
        <v>4408609161.6599998</v>
      </c>
      <c r="F183">
        <f ca="1">SUM($E$2:E183)/SUM($D$2:D183)</f>
        <v>194.38931503828243</v>
      </c>
      <c r="G183">
        <f ca="1">_xlfn.STDEV.P($C$2:C183)</f>
        <v>14.168227982764732</v>
      </c>
      <c r="H183">
        <f t="shared" ca="1" si="43"/>
        <v>208.55754302104717</v>
      </c>
      <c r="I183">
        <f t="shared" ca="1" si="44"/>
        <v>180.2210870555177</v>
      </c>
      <c r="J183">
        <f t="shared" ca="1" si="53"/>
        <v>214.12049999999999</v>
      </c>
      <c r="K183">
        <f t="shared" ca="1" si="54"/>
        <v>6.490677910422157</v>
      </c>
      <c r="L183">
        <f t="shared" ca="1" si="55"/>
        <v>227.10185582084432</v>
      </c>
      <c r="M183">
        <f t="shared" ca="1" si="56"/>
        <v>201.13914417915566</v>
      </c>
      <c r="N183">
        <f t="shared" ca="1" si="45"/>
        <v>0.61000000000001364</v>
      </c>
      <c r="O183">
        <f t="shared" ca="1" si="46"/>
        <v>0.61000000000001364</v>
      </c>
      <c r="P183">
        <f t="shared" ca="1" si="47"/>
        <v>0</v>
      </c>
      <c r="Q183">
        <f t="shared" ca="1" si="51"/>
        <v>1.2248625794035417</v>
      </c>
      <c r="R183">
        <f t="shared" ca="1" si="52"/>
        <v>1.2510832581675828</v>
      </c>
      <c r="S183">
        <f t="shared" ca="1" si="49"/>
        <v>0.97904161965811487</v>
      </c>
      <c r="T183">
        <f t="shared" ca="1" si="50"/>
        <v>49.470491672997113</v>
      </c>
      <c r="U183">
        <f>70</f>
        <v>70</v>
      </c>
      <c r="V183">
        <f>30</f>
        <v>30</v>
      </c>
      <c r="W183">
        <f t="shared" ca="1" si="48"/>
        <v>210.46806231884156</v>
      </c>
      <c r="X183">
        <f t="shared" ca="1" si="58"/>
        <v>211.44307065802943</v>
      </c>
      <c r="Y183">
        <f t="shared" ca="1" si="57"/>
        <v>-0.82525200901318385</v>
      </c>
      <c r="Z183">
        <f t="shared" ca="1" si="59"/>
        <v>-0.37057197947751824</v>
      </c>
      <c r="AA183">
        <f t="shared" ca="1" si="60"/>
        <v>-0.45468002953566561</v>
      </c>
      <c r="AB183">
        <f t="shared" ca="1" si="61"/>
        <v>205.08559999999997</v>
      </c>
    </row>
    <row r="184" spans="1:28" x14ac:dyDescent="0.25">
      <c r="A184" s="20">
        <f t="shared" ca="1" si="41"/>
        <v>45558</v>
      </c>
      <c r="B184" vm="544">
        <f ca="1"/>
        <v>45558</v>
      </c>
      <c r="C184" vm="545">
        <f ca="1"/>
        <v>211.44</v>
      </c>
      <c r="D184" vm="546">
        <f ca="1"/>
        <v>7223491</v>
      </c>
      <c r="E184">
        <f t="shared" ca="1" si="42"/>
        <v>1527334937.04</v>
      </c>
      <c r="F184">
        <f ca="1">SUM($E$2:E184)/SUM($D$2:D184)</f>
        <v>194.46241847596423</v>
      </c>
      <c r="G184">
        <f ca="1">_xlfn.STDEV.P($C$2:C184)</f>
        <v>14.179637772146332</v>
      </c>
      <c r="H184">
        <f t="shared" ca="1" si="43"/>
        <v>208.64205624811055</v>
      </c>
      <c r="I184">
        <f t="shared" ca="1" si="44"/>
        <v>180.28278070381791</v>
      </c>
      <c r="J184">
        <f t="shared" ca="1" si="53"/>
        <v>213.77699999999999</v>
      </c>
      <c r="K184">
        <f t="shared" ca="1" si="54"/>
        <v>6.4388721634182291</v>
      </c>
      <c r="L184">
        <f t="shared" ca="1" si="55"/>
        <v>226.65474432683644</v>
      </c>
      <c r="M184">
        <f t="shared" ca="1" si="56"/>
        <v>200.89925567316354</v>
      </c>
      <c r="N184">
        <f t="shared" ca="1" si="45"/>
        <v>0.34999999999999432</v>
      </c>
      <c r="O184">
        <f t="shared" ca="1" si="46"/>
        <v>0.34999999999999432</v>
      </c>
      <c r="P184">
        <f t="shared" ca="1" si="47"/>
        <v>0</v>
      </c>
      <c r="Q184">
        <f t="shared" ca="1" si="51"/>
        <v>1.1623723951604312</v>
      </c>
      <c r="R184">
        <f t="shared" ca="1" si="52"/>
        <v>1.1617201682984697</v>
      </c>
      <c r="S184">
        <f t="shared" ca="1" si="49"/>
        <v>1.0005614319866003</v>
      </c>
      <c r="T184">
        <f t="shared" ca="1" si="50"/>
        <v>50.014031860697301</v>
      </c>
      <c r="U184">
        <f>70</f>
        <v>70</v>
      </c>
      <c r="V184">
        <f>30</f>
        <v>30</v>
      </c>
      <c r="W184">
        <f t="shared" ca="1" si="48"/>
        <v>210.61759119286592</v>
      </c>
      <c r="X184">
        <f t="shared" ca="1" si="58"/>
        <v>211.4428432018791</v>
      </c>
      <c r="Y184">
        <f t="shared" ca="1" si="57"/>
        <v>-0.68655115763399976</v>
      </c>
      <c r="Z184">
        <f t="shared" ca="1" si="59"/>
        <v>-0.43376781510881457</v>
      </c>
      <c r="AA184">
        <f t="shared" ca="1" si="60"/>
        <v>-0.2527833425251852</v>
      </c>
      <c r="AB184">
        <f t="shared" ca="1" si="61"/>
        <v>205.28259999999995</v>
      </c>
    </row>
    <row r="185" spans="1:28" x14ac:dyDescent="0.25">
      <c r="A185" s="20">
        <f t="shared" ca="1" si="41"/>
        <v>45558</v>
      </c>
      <c r="B185" vm="547">
        <f ca="1"/>
        <v>45559</v>
      </c>
      <c r="C185" vm="548">
        <f ca="1"/>
        <v>211.59</v>
      </c>
      <c r="D185" vm="549">
        <f ca="1"/>
        <v>7323239</v>
      </c>
      <c r="E185">
        <f t="shared" ca="1" si="42"/>
        <v>1549524140.01</v>
      </c>
      <c r="F185">
        <f ca="1">SUM($E$2:E185)/SUM($D$2:D185)</f>
        <v>194.53654343412231</v>
      </c>
      <c r="G185">
        <f ca="1">_xlfn.STDEV.P($C$2:C185)</f>
        <v>14.191296398788262</v>
      </c>
      <c r="H185">
        <f t="shared" ca="1" si="43"/>
        <v>208.72783983291058</v>
      </c>
      <c r="I185">
        <f t="shared" ca="1" si="44"/>
        <v>180.34524703533404</v>
      </c>
      <c r="J185">
        <f t="shared" ca="1" si="53"/>
        <v>213.398</v>
      </c>
      <c r="K185">
        <f t="shared" ca="1" si="54"/>
        <v>6.3268355772101961</v>
      </c>
      <c r="L185">
        <f t="shared" ca="1" si="55"/>
        <v>226.05167115442038</v>
      </c>
      <c r="M185">
        <f t="shared" ca="1" si="56"/>
        <v>200.74432884557962</v>
      </c>
      <c r="N185">
        <f t="shared" ca="1" si="45"/>
        <v>0.15000000000000568</v>
      </c>
      <c r="O185">
        <f t="shared" ca="1" si="46"/>
        <v>0.15000000000000568</v>
      </c>
      <c r="P185">
        <f t="shared" ca="1" si="47"/>
        <v>0</v>
      </c>
      <c r="Q185">
        <f t="shared" ca="1" si="51"/>
        <v>1.0900600812204009</v>
      </c>
      <c r="R185">
        <f t="shared" ca="1" si="52"/>
        <v>1.0787401562771504</v>
      </c>
      <c r="S185">
        <f t="shared" ca="1" si="49"/>
        <v>1.0104936530612867</v>
      </c>
      <c r="T185">
        <f t="shared" ca="1" si="50"/>
        <v>50.260972051448867</v>
      </c>
      <c r="U185">
        <f>70</f>
        <v>70</v>
      </c>
      <c r="V185">
        <f>30</f>
        <v>30</v>
      </c>
      <c r="W185">
        <f t="shared" ca="1" si="48"/>
        <v>210.76719254780963</v>
      </c>
      <c r="X185">
        <f t="shared" ca="1" si="58"/>
        <v>211.45374370544363</v>
      </c>
      <c r="Y185">
        <f t="shared" ca="1" si="57"/>
        <v>-0.68173936629546006</v>
      </c>
      <c r="Z185">
        <f t="shared" ca="1" si="59"/>
        <v>-0.48336212534614365</v>
      </c>
      <c r="AA185">
        <f t="shared" ca="1" si="60"/>
        <v>-0.19837724094931641</v>
      </c>
      <c r="AB185">
        <f t="shared" ca="1" si="61"/>
        <v>205.47989999999993</v>
      </c>
    </row>
    <row r="186" spans="1:28" x14ac:dyDescent="0.25">
      <c r="A186" s="20">
        <f t="shared" ca="1" si="41"/>
        <v>45558</v>
      </c>
      <c r="B186" vm="550">
        <f ca="1"/>
        <v>45560</v>
      </c>
      <c r="C186" vm="551">
        <f ca="1"/>
        <v>210.19</v>
      </c>
      <c r="D186" vm="552">
        <f ca="1"/>
        <v>8976520</v>
      </c>
      <c r="E186">
        <f t="shared" ca="1" si="42"/>
        <v>1886774738.8</v>
      </c>
      <c r="F186">
        <f ca="1">SUM($E$2:E186)/SUM($D$2:D186)</f>
        <v>194.61914450675877</v>
      </c>
      <c r="G186">
        <f ca="1">_xlfn.STDEV.P($C$2:C186)</f>
        <v>14.194095761597785</v>
      </c>
      <c r="H186">
        <f t="shared" ca="1" si="43"/>
        <v>208.81324026835657</v>
      </c>
      <c r="I186">
        <f t="shared" ca="1" si="44"/>
        <v>180.42504874516098</v>
      </c>
      <c r="J186">
        <f t="shared" ca="1" si="53"/>
        <v>212.89850000000001</v>
      </c>
      <c r="K186">
        <f t="shared" ca="1" si="54"/>
        <v>6.1552453241117888</v>
      </c>
      <c r="L186">
        <f t="shared" ca="1" si="55"/>
        <v>225.20899064822359</v>
      </c>
      <c r="M186">
        <f t="shared" ca="1" si="56"/>
        <v>200.58800935177644</v>
      </c>
      <c r="N186">
        <f t="shared" ca="1" si="45"/>
        <v>-1.4000000000000057</v>
      </c>
      <c r="O186">
        <f t="shared" ca="1" si="46"/>
        <v>0</v>
      </c>
      <c r="P186">
        <f t="shared" ca="1" si="47"/>
        <v>1.4000000000000057</v>
      </c>
      <c r="Q186">
        <f t="shared" ca="1" si="51"/>
        <v>1.012198646847515</v>
      </c>
      <c r="R186">
        <f t="shared" ca="1" si="52"/>
        <v>1.10168728797164</v>
      </c>
      <c r="S186">
        <f t="shared" ca="1" si="49"/>
        <v>0.91877128646107376</v>
      </c>
      <c r="T186">
        <f t="shared" ca="1" si="50"/>
        <v>47.883314334749556</v>
      </c>
      <c r="U186">
        <f>70</f>
        <v>70</v>
      </c>
      <c r="V186">
        <f>30</f>
        <v>30</v>
      </c>
      <c r="W186">
        <f t="shared" ca="1" si="48"/>
        <v>210.67839369430047</v>
      </c>
      <c r="X186">
        <f t="shared" ca="1" si="58"/>
        <v>211.36013306059593</v>
      </c>
      <c r="Y186">
        <f t="shared" ca="1" si="57"/>
        <v>-0.70290688742574048</v>
      </c>
      <c r="Z186">
        <f t="shared" ca="1" si="59"/>
        <v>-0.52727107776206306</v>
      </c>
      <c r="AA186">
        <f t="shared" ca="1" si="60"/>
        <v>-0.17563580966367742</v>
      </c>
      <c r="AB186">
        <f t="shared" ca="1" si="61"/>
        <v>205.66519999999994</v>
      </c>
    </row>
    <row r="187" spans="1:28" x14ac:dyDescent="0.25">
      <c r="A187" s="20">
        <f t="shared" ca="1" si="41"/>
        <v>45558</v>
      </c>
      <c r="B187" vm="553">
        <f ca="1"/>
        <v>45561</v>
      </c>
      <c r="C187" vm="410">
        <f ca="1"/>
        <v>209.78</v>
      </c>
      <c r="D187" vm="554">
        <f ca="1"/>
        <v>7807480</v>
      </c>
      <c r="E187">
        <f t="shared" ca="1" si="42"/>
        <v>1637853154.4000001</v>
      </c>
      <c r="F187">
        <f ca="1">SUM($E$2:E187)/SUM($D$2:D187)</f>
        <v>194.68840942510238</v>
      </c>
      <c r="G187">
        <f ca="1">_xlfn.STDEV.P($C$2:C187)</f>
        <v>14.194191894930876</v>
      </c>
      <c r="H187">
        <f t="shared" ca="1" si="43"/>
        <v>208.88260132003325</v>
      </c>
      <c r="I187">
        <f t="shared" ca="1" si="44"/>
        <v>180.49421753017151</v>
      </c>
      <c r="J187">
        <f t="shared" ca="1" si="53"/>
        <v>212.32300000000004</v>
      </c>
      <c r="K187">
        <f t="shared" ca="1" si="54"/>
        <v>5.8603826891388193</v>
      </c>
      <c r="L187">
        <f t="shared" ca="1" si="55"/>
        <v>224.04376537827767</v>
      </c>
      <c r="M187">
        <f t="shared" ca="1" si="56"/>
        <v>200.6022346217224</v>
      </c>
      <c r="N187">
        <f t="shared" ca="1" si="45"/>
        <v>-0.40999999999999659</v>
      </c>
      <c r="O187">
        <f t="shared" ca="1" si="46"/>
        <v>0</v>
      </c>
      <c r="P187">
        <f t="shared" ca="1" si="47"/>
        <v>0.40999999999999659</v>
      </c>
      <c r="Q187">
        <f t="shared" ca="1" si="51"/>
        <v>0.9398987435012639</v>
      </c>
      <c r="R187">
        <f t="shared" ca="1" si="52"/>
        <v>1.0522810531165225</v>
      </c>
      <c r="S187">
        <f t="shared" ca="1" si="49"/>
        <v>0.89320124192826822</v>
      </c>
      <c r="T187">
        <f t="shared" ca="1" si="50"/>
        <v>47.179413479494791</v>
      </c>
      <c r="U187">
        <f>70</f>
        <v>70</v>
      </c>
      <c r="V187">
        <f>30</f>
        <v>30</v>
      </c>
      <c r="W187">
        <f t="shared" ca="1" si="48"/>
        <v>210.54017927979271</v>
      </c>
      <c r="X187">
        <f t="shared" ca="1" si="58"/>
        <v>211.24308616721845</v>
      </c>
      <c r="Y187">
        <f t="shared" ca="1" si="57"/>
        <v>-0.65404489529217358</v>
      </c>
      <c r="Z187">
        <f t="shared" ca="1" si="59"/>
        <v>-0.55262584126808523</v>
      </c>
      <c r="AA187">
        <f t="shared" ca="1" si="60"/>
        <v>-0.10141905402408835</v>
      </c>
      <c r="AB187">
        <f t="shared" ca="1" si="61"/>
        <v>205.85789999999994</v>
      </c>
    </row>
    <row r="188" spans="1:28" x14ac:dyDescent="0.25">
      <c r="A188" s="20">
        <f t="shared" ca="1" si="41"/>
        <v>45558</v>
      </c>
      <c r="B188" vm="555">
        <f ca="1"/>
        <v>45562</v>
      </c>
      <c r="C188" vm="556">
        <f ca="1"/>
        <v>210.5</v>
      </c>
      <c r="D188" vm="557">
        <f ca="1"/>
        <v>7032450</v>
      </c>
      <c r="E188">
        <f t="shared" ca="1" si="42"/>
        <v>1480330725</v>
      </c>
      <c r="F188">
        <f ca="1">SUM($E$2:E188)/SUM($D$2:D188)</f>
        <v>194.75320978718929</v>
      </c>
      <c r="G188">
        <f ca="1">_xlfn.STDEV.P($C$2:C188)</f>
        <v>14.197800897583852</v>
      </c>
      <c r="H188">
        <f t="shared" ca="1" si="43"/>
        <v>208.95101068477314</v>
      </c>
      <c r="I188">
        <f t="shared" ca="1" si="44"/>
        <v>180.55540888960545</v>
      </c>
      <c r="J188">
        <f t="shared" ca="1" si="53"/>
        <v>211.73750000000004</v>
      </c>
      <c r="K188">
        <f t="shared" ca="1" si="54"/>
        <v>5.3863959975205411</v>
      </c>
      <c r="L188">
        <f t="shared" ca="1" si="55"/>
        <v>222.51029199504111</v>
      </c>
      <c r="M188">
        <f t="shared" ca="1" si="56"/>
        <v>200.96470800495896</v>
      </c>
      <c r="N188">
        <f t="shared" ca="1" si="45"/>
        <v>0.71999999999999886</v>
      </c>
      <c r="O188">
        <f t="shared" ca="1" si="46"/>
        <v>0.71999999999999886</v>
      </c>
      <c r="P188">
        <f t="shared" ca="1" si="47"/>
        <v>0</v>
      </c>
      <c r="Q188">
        <f t="shared" ca="1" si="51"/>
        <v>0.9241916903940306</v>
      </c>
      <c r="R188">
        <f t="shared" ca="1" si="52"/>
        <v>0.97711812075105675</v>
      </c>
      <c r="S188">
        <f t="shared" ca="1" si="49"/>
        <v>0.94583415327888454</v>
      </c>
      <c r="T188">
        <f t="shared" ca="1" si="50"/>
        <v>48.608158700734037</v>
      </c>
      <c r="U188">
        <f>70</f>
        <v>70</v>
      </c>
      <c r="V188">
        <f>30</f>
        <v>30</v>
      </c>
      <c r="W188">
        <f t="shared" ca="1" si="48"/>
        <v>210.5339978521323</v>
      </c>
      <c r="X188">
        <f t="shared" ca="1" si="58"/>
        <v>211.18804274742448</v>
      </c>
      <c r="Y188">
        <f t="shared" ca="1" si="57"/>
        <v>-0.5795912559249814</v>
      </c>
      <c r="Z188">
        <f t="shared" ca="1" si="59"/>
        <v>-0.55801892419946453</v>
      </c>
      <c r="AA188">
        <f t="shared" ca="1" si="60"/>
        <v>-2.1572331725516869E-2</v>
      </c>
      <c r="AB188">
        <f t="shared" ca="1" si="61"/>
        <v>206.04289999999995</v>
      </c>
    </row>
    <row r="189" spans="1:28" x14ac:dyDescent="0.25">
      <c r="A189" s="20">
        <f t="shared" ca="1" si="41"/>
        <v>45565</v>
      </c>
      <c r="B189" vm="558">
        <f ca="1"/>
        <v>45565</v>
      </c>
      <c r="C189" vm="559">
        <f ca="1"/>
        <v>210.86</v>
      </c>
      <c r="D189" vm="560">
        <f ca="1"/>
        <v>8668314</v>
      </c>
      <c r="E189">
        <f t="shared" ca="1" si="42"/>
        <v>1827800690.0400002</v>
      </c>
      <c r="F189">
        <f ca="1">SUM($E$2:E189)/SUM($D$2:D189)</f>
        <v>194.8341660576119</v>
      </c>
      <c r="G189">
        <f ca="1">_xlfn.STDEV.P($C$2:C189)</f>
        <v>14.20294196914435</v>
      </c>
      <c r="H189">
        <f t="shared" ca="1" si="43"/>
        <v>209.03710802675624</v>
      </c>
      <c r="I189">
        <f t="shared" ca="1" si="44"/>
        <v>180.63122408846755</v>
      </c>
      <c r="J189">
        <f t="shared" ca="1" si="53"/>
        <v>211.04050000000001</v>
      </c>
      <c r="K189">
        <f t="shared" ca="1" si="54"/>
        <v>4.4228884048894219</v>
      </c>
      <c r="L189">
        <f t="shared" ca="1" si="55"/>
        <v>219.88627680977885</v>
      </c>
      <c r="M189">
        <f t="shared" ca="1" si="56"/>
        <v>202.19472319022117</v>
      </c>
      <c r="N189">
        <f t="shared" ca="1" si="45"/>
        <v>0.36000000000001364</v>
      </c>
      <c r="O189">
        <f t="shared" ca="1" si="46"/>
        <v>0.36000000000001364</v>
      </c>
      <c r="P189">
        <f t="shared" ca="1" si="47"/>
        <v>0</v>
      </c>
      <c r="Q189">
        <f t="shared" ca="1" si="51"/>
        <v>0.88389228393731512</v>
      </c>
      <c r="R189">
        <f t="shared" ca="1" si="52"/>
        <v>0.9073239692688384</v>
      </c>
      <c r="S189">
        <f t="shared" ca="1" si="49"/>
        <v>0.97417495169844837</v>
      </c>
      <c r="T189">
        <f t="shared" ca="1" si="50"/>
        <v>49.345928072906268</v>
      </c>
      <c r="U189">
        <f>70</f>
        <v>70</v>
      </c>
      <c r="V189">
        <f>30</f>
        <v>30</v>
      </c>
      <c r="W189">
        <f t="shared" ca="1" si="48"/>
        <v>210.58415202872732</v>
      </c>
      <c r="X189">
        <f t="shared" ca="1" si="58"/>
        <v>211.1637432846523</v>
      </c>
      <c r="Y189">
        <f t="shared" ca="1" si="57"/>
        <v>-0.8193829486609161</v>
      </c>
      <c r="Z189">
        <f t="shared" ca="1" si="59"/>
        <v>-0.61029172909175489</v>
      </c>
      <c r="AA189">
        <f t="shared" ca="1" si="60"/>
        <v>-0.20909121956916121</v>
      </c>
      <c r="AB189">
        <f t="shared" ca="1" si="61"/>
        <v>206.23399999999995</v>
      </c>
    </row>
    <row r="190" spans="1:28" x14ac:dyDescent="0.25">
      <c r="A190" s="20">
        <f t="shared" ca="1" si="41"/>
        <v>45565</v>
      </c>
      <c r="B190" vm="561">
        <f ca="1"/>
        <v>45566</v>
      </c>
      <c r="C190" vm="562">
        <f ca="1"/>
        <v>207.04</v>
      </c>
      <c r="D190" vm="563">
        <f ca="1"/>
        <v>8540064</v>
      </c>
      <c r="E190">
        <f t="shared" ca="1" si="42"/>
        <v>1768134850.5599999</v>
      </c>
      <c r="F190">
        <f ca="1">SUM($E$2:E190)/SUM($D$2:D190)</f>
        <v>194.89430976307958</v>
      </c>
      <c r="G190">
        <f ca="1">_xlfn.STDEV.P($C$2:C190)</f>
        <v>14.188907920474378</v>
      </c>
      <c r="H190">
        <f t="shared" ca="1" si="43"/>
        <v>209.08321768355395</v>
      </c>
      <c r="I190">
        <f t="shared" ca="1" si="44"/>
        <v>180.7054018426052</v>
      </c>
      <c r="J190">
        <f t="shared" ca="1" si="53"/>
        <v>210.37750000000005</v>
      </c>
      <c r="K190">
        <f t="shared" ca="1" si="54"/>
        <v>3.9279777507677323</v>
      </c>
      <c r="L190">
        <f t="shared" ca="1" si="55"/>
        <v>218.23345550153553</v>
      </c>
      <c r="M190">
        <f t="shared" ca="1" si="56"/>
        <v>202.52154449846458</v>
      </c>
      <c r="N190">
        <f t="shared" ca="1" si="45"/>
        <v>-3.8200000000000216</v>
      </c>
      <c r="O190">
        <f t="shared" ca="1" si="46"/>
        <v>0</v>
      </c>
      <c r="P190">
        <f t="shared" ca="1" si="47"/>
        <v>3.8200000000000216</v>
      </c>
      <c r="Q190">
        <f t="shared" ca="1" si="51"/>
        <v>0.82075712079893548</v>
      </c>
      <c r="R190">
        <f t="shared" ca="1" si="52"/>
        <v>1.1153722571782085</v>
      </c>
      <c r="S190">
        <f t="shared" ca="1" si="49"/>
        <v>0.73585936490421333</v>
      </c>
      <c r="T190">
        <f t="shared" ca="1" si="50"/>
        <v>42.391646453733244</v>
      </c>
      <c r="U190">
        <f>70</f>
        <v>70</v>
      </c>
      <c r="V190">
        <f>30</f>
        <v>30</v>
      </c>
      <c r="W190">
        <f t="shared" ca="1" si="48"/>
        <v>210.0388978704616</v>
      </c>
      <c r="X190">
        <f t="shared" ca="1" si="58"/>
        <v>210.85828081912251</v>
      </c>
      <c r="Y190">
        <f t="shared" ca="1" si="57"/>
        <v>-0.97797321563453465</v>
      </c>
      <c r="Z190">
        <f t="shared" ca="1" si="59"/>
        <v>-0.68382802640031093</v>
      </c>
      <c r="AA190">
        <f t="shared" ca="1" si="60"/>
        <v>-0.29414518923422373</v>
      </c>
      <c r="AB190">
        <f t="shared" ca="1" si="61"/>
        <v>206.34789999999998</v>
      </c>
    </row>
    <row r="191" spans="1:28" x14ac:dyDescent="0.25">
      <c r="A191" s="20">
        <f t="shared" ca="1" si="41"/>
        <v>45565</v>
      </c>
      <c r="B191" vm="564">
        <f ca="1"/>
        <v>45567</v>
      </c>
      <c r="C191" vm="565">
        <f ca="1"/>
        <v>207.29</v>
      </c>
      <c r="D191" vm="566">
        <f ca="1"/>
        <v>5810931</v>
      </c>
      <c r="E191">
        <f t="shared" ca="1" si="42"/>
        <v>1204547886.99</v>
      </c>
      <c r="F191">
        <f ca="1">SUM($E$2:E191)/SUM($D$2:D191)</f>
        <v>194.93573112427319</v>
      </c>
      <c r="G191">
        <f ca="1">_xlfn.STDEV.P($C$2:C191)</f>
        <v>14.175807828871982</v>
      </c>
      <c r="H191">
        <f t="shared" ca="1" si="43"/>
        <v>209.11153895314516</v>
      </c>
      <c r="I191">
        <f t="shared" ca="1" si="44"/>
        <v>180.75992329540122</v>
      </c>
      <c r="J191">
        <f t="shared" ca="1" si="53"/>
        <v>209.77550000000005</v>
      </c>
      <c r="K191">
        <f t="shared" ca="1" si="54"/>
        <v>3.3661511286709396</v>
      </c>
      <c r="L191">
        <f t="shared" ca="1" si="55"/>
        <v>216.50780225734192</v>
      </c>
      <c r="M191">
        <f t="shared" ca="1" si="56"/>
        <v>203.04319774265818</v>
      </c>
      <c r="N191">
        <f t="shared" ca="1" si="45"/>
        <v>0.25</v>
      </c>
      <c r="O191">
        <f t="shared" ca="1" si="46"/>
        <v>0.25</v>
      </c>
      <c r="P191">
        <f t="shared" ca="1" si="47"/>
        <v>0</v>
      </c>
      <c r="Q191">
        <f t="shared" ca="1" si="51"/>
        <v>0.77998875502758291</v>
      </c>
      <c r="R191">
        <f t="shared" ca="1" si="52"/>
        <v>1.0357028102369079</v>
      </c>
      <c r="S191">
        <f t="shared" ca="1" si="49"/>
        <v>0.75310093524721378</v>
      </c>
      <c r="T191">
        <f t="shared" ca="1" si="50"/>
        <v>42.958218782822975</v>
      </c>
      <c r="U191">
        <f>70</f>
        <v>70</v>
      </c>
      <c r="V191">
        <f>30</f>
        <v>30</v>
      </c>
      <c r="W191">
        <f t="shared" ca="1" si="48"/>
        <v>209.61599050577519</v>
      </c>
      <c r="X191">
        <f t="shared" ca="1" si="58"/>
        <v>210.59396372140972</v>
      </c>
      <c r="Y191">
        <f t="shared" ca="1" si="57"/>
        <v>-1.2554103397234542</v>
      </c>
      <c r="Z191">
        <f t="shared" ca="1" si="59"/>
        <v>-0.79814448906493962</v>
      </c>
      <c r="AA191">
        <f t="shared" ca="1" si="60"/>
        <v>-0.45726585065851455</v>
      </c>
      <c r="AB191">
        <f t="shared" ca="1" si="61"/>
        <v>206.44579999999993</v>
      </c>
    </row>
    <row r="192" spans="1:28" x14ac:dyDescent="0.25">
      <c r="A192" s="20">
        <f t="shared" ca="1" si="41"/>
        <v>45565</v>
      </c>
      <c r="B192" vm="567">
        <f ca="1"/>
        <v>45568</v>
      </c>
      <c r="C192" vm="568">
        <f ca="1"/>
        <v>205.23</v>
      </c>
      <c r="D192" vm="569">
        <f ca="1"/>
        <v>7251325</v>
      </c>
      <c r="E192">
        <f t="shared" ca="1" si="42"/>
        <v>1488189429.75</v>
      </c>
      <c r="F192">
        <f ca="1">SUM($E$2:E192)/SUM($D$2:D192)</f>
        <v>194.97847890894366</v>
      </c>
      <c r="G192">
        <f ca="1">_xlfn.STDEV.P($C$2:C192)</f>
        <v>14.154719435206436</v>
      </c>
      <c r="H192">
        <f t="shared" ca="1" si="43"/>
        <v>209.13319834415009</v>
      </c>
      <c r="I192">
        <f t="shared" ca="1" si="44"/>
        <v>180.82375947373723</v>
      </c>
      <c r="J192">
        <f t="shared" ca="1" si="53"/>
        <v>209.15549999999999</v>
      </c>
      <c r="K192">
        <f t="shared" ca="1" si="54"/>
        <v>2.9608755372977833</v>
      </c>
      <c r="L192">
        <f t="shared" ca="1" si="55"/>
        <v>215.07725107459555</v>
      </c>
      <c r="M192">
        <f t="shared" ca="1" si="56"/>
        <v>203.23374892540443</v>
      </c>
      <c r="N192">
        <f t="shared" ca="1" si="45"/>
        <v>-2.0600000000000023</v>
      </c>
      <c r="O192">
        <f t="shared" ca="1" si="46"/>
        <v>0</v>
      </c>
      <c r="P192">
        <f t="shared" ca="1" si="47"/>
        <v>2.0600000000000023</v>
      </c>
      <c r="Q192">
        <f t="shared" ca="1" si="51"/>
        <v>0.72427527252561263</v>
      </c>
      <c r="R192">
        <f t="shared" ca="1" si="52"/>
        <v>1.108866895219986</v>
      </c>
      <c r="S192">
        <f t="shared" ca="1" si="49"/>
        <v>0.65316700827462704</v>
      </c>
      <c r="T192">
        <f t="shared" ca="1" si="50"/>
        <v>39.510043752707276</v>
      </c>
      <c r="U192">
        <f>70</f>
        <v>70</v>
      </c>
      <c r="V192">
        <f>30</f>
        <v>30</v>
      </c>
      <c r="W192">
        <f t="shared" ca="1" si="48"/>
        <v>208.94122273565591</v>
      </c>
      <c r="X192">
        <f t="shared" ca="1" si="58"/>
        <v>210.19663307537937</v>
      </c>
      <c r="Y192">
        <f t="shared" ca="1" si="57"/>
        <v>-0.98063417951135534</v>
      </c>
      <c r="Z192">
        <f t="shared" ca="1" si="59"/>
        <v>-0.83464242715422288</v>
      </c>
      <c r="AA192">
        <f t="shared" ca="1" si="60"/>
        <v>-0.14599175235713246</v>
      </c>
      <c r="AB192">
        <f t="shared" ca="1" si="61"/>
        <v>206.51039999999995</v>
      </c>
    </row>
    <row r="193" spans="1:28" x14ac:dyDescent="0.25">
      <c r="A193" s="20">
        <f t="shared" ca="1" si="41"/>
        <v>45565</v>
      </c>
      <c r="B193" vm="570">
        <f ca="1"/>
        <v>45569</v>
      </c>
      <c r="C193" vm="571">
        <f ca="1"/>
        <v>211.22</v>
      </c>
      <c r="D193" vm="572">
        <f ca="1"/>
        <v>10213415</v>
      </c>
      <c r="E193">
        <f t="shared" ca="1" si="42"/>
        <v>2157277516.3000002</v>
      </c>
      <c r="F193">
        <f ca="1">SUM($E$2:E193)/SUM($D$2:D193)</f>
        <v>195.07292101945603</v>
      </c>
      <c r="G193">
        <f ca="1">_xlfn.STDEV.P($C$2:C193)</f>
        <v>14.160613178834661</v>
      </c>
      <c r="H193">
        <f t="shared" ca="1" si="43"/>
        <v>209.2335341982907</v>
      </c>
      <c r="I193">
        <f t="shared" ca="1" si="44"/>
        <v>180.91230784062137</v>
      </c>
      <c r="J193">
        <f t="shared" ca="1" si="53"/>
        <v>209.09350000000003</v>
      </c>
      <c r="K193">
        <f t="shared" ca="1" si="54"/>
        <v>2.9004033748501463</v>
      </c>
      <c r="L193">
        <f t="shared" ca="1" si="55"/>
        <v>214.89430674970032</v>
      </c>
      <c r="M193">
        <f t="shared" ca="1" si="56"/>
        <v>203.29269325029975</v>
      </c>
      <c r="N193">
        <f t="shared" ca="1" si="45"/>
        <v>5.9900000000000091</v>
      </c>
      <c r="O193">
        <f t="shared" ca="1" si="46"/>
        <v>5.9900000000000091</v>
      </c>
      <c r="P193">
        <f t="shared" ca="1" si="47"/>
        <v>0</v>
      </c>
      <c r="Q193">
        <f t="shared" ca="1" si="51"/>
        <v>1.1003984673452123</v>
      </c>
      <c r="R193">
        <f t="shared" ca="1" si="52"/>
        <v>1.0296621169899871</v>
      </c>
      <c r="S193">
        <f t="shared" ca="1" si="49"/>
        <v>1.0686986043169275</v>
      </c>
      <c r="T193">
        <f t="shared" ca="1" si="50"/>
        <v>51.660430479664086</v>
      </c>
      <c r="U193">
        <f>70</f>
        <v>70</v>
      </c>
      <c r="V193">
        <f>30</f>
        <v>30</v>
      </c>
      <c r="W193">
        <f t="shared" ca="1" si="48"/>
        <v>209.2918038532473</v>
      </c>
      <c r="X193">
        <f t="shared" ca="1" si="58"/>
        <v>210.27243803275866</v>
      </c>
      <c r="Y193">
        <f t="shared" ca="1" si="57"/>
        <v>-0.7773122969575752</v>
      </c>
      <c r="Z193">
        <f t="shared" ca="1" si="59"/>
        <v>-0.82317640111489343</v>
      </c>
      <c r="AA193">
        <f t="shared" ca="1" si="60"/>
        <v>4.5864104157318231E-2</v>
      </c>
      <c r="AB193">
        <f t="shared" ca="1" si="61"/>
        <v>206.63529999999994</v>
      </c>
    </row>
    <row r="194" spans="1:28" x14ac:dyDescent="0.25">
      <c r="A194" s="20">
        <f t="shared" ca="1" si="41"/>
        <v>45572</v>
      </c>
      <c r="B194" vm="573">
        <f ca="1"/>
        <v>45572</v>
      </c>
      <c r="C194" vm="574">
        <f ca="1"/>
        <v>210.93</v>
      </c>
      <c r="D194" vm="575">
        <f ca="1"/>
        <v>6718898</v>
      </c>
      <c r="E194">
        <f t="shared" ca="1" si="42"/>
        <v>1417217155.1400001</v>
      </c>
      <c r="F194">
        <f ca="1">SUM($E$2:E194)/SUM($D$2:D194)</f>
        <v>195.13334802905482</v>
      </c>
      <c r="G194">
        <f ca="1">_xlfn.STDEV.P($C$2:C194)</f>
        <v>14.164413804389188</v>
      </c>
      <c r="H194">
        <f t="shared" ca="1" si="43"/>
        <v>209.29776183344401</v>
      </c>
      <c r="I194">
        <f t="shared" ca="1" si="44"/>
        <v>180.96893422466562</v>
      </c>
      <c r="J194">
        <f t="shared" ca="1" si="53"/>
        <v>208.79950000000002</v>
      </c>
      <c r="K194">
        <f t="shared" ca="1" si="54"/>
        <v>2.3162366822976157</v>
      </c>
      <c r="L194">
        <f t="shared" ca="1" si="55"/>
        <v>213.43197336459525</v>
      </c>
      <c r="M194">
        <f t="shared" ca="1" si="56"/>
        <v>204.1670266354048</v>
      </c>
      <c r="N194">
        <f t="shared" ca="1" si="45"/>
        <v>-0.28999999999999204</v>
      </c>
      <c r="O194">
        <f t="shared" ca="1" si="46"/>
        <v>0</v>
      </c>
      <c r="P194">
        <f t="shared" ca="1" si="47"/>
        <v>0.28999999999999204</v>
      </c>
      <c r="Q194">
        <f t="shared" ca="1" si="51"/>
        <v>1.0217985768205542</v>
      </c>
      <c r="R194">
        <f t="shared" ca="1" si="52"/>
        <v>0.97682910863355887</v>
      </c>
      <c r="S194">
        <f t="shared" ca="1" si="49"/>
        <v>1.0460361672164962</v>
      </c>
      <c r="T194">
        <f t="shared" ca="1" si="50"/>
        <v>51.125008637533654</v>
      </c>
      <c r="U194">
        <f>70</f>
        <v>70</v>
      </c>
      <c r="V194">
        <f>30</f>
        <v>30</v>
      </c>
      <c r="W194">
        <f t="shared" ca="1" si="48"/>
        <v>209.54383402967079</v>
      </c>
      <c r="X194">
        <f t="shared" ca="1" si="58"/>
        <v>210.32114632662837</v>
      </c>
      <c r="Y194">
        <f t="shared" ca="1" si="57"/>
        <v>-0.62351524029057259</v>
      </c>
      <c r="Z194">
        <f t="shared" ca="1" si="59"/>
        <v>-0.78324416895002924</v>
      </c>
      <c r="AA194">
        <f t="shared" ca="1" si="60"/>
        <v>0.15972892865945665</v>
      </c>
      <c r="AB194">
        <f t="shared" ca="1" si="61"/>
        <v>206.72949999999994</v>
      </c>
    </row>
    <row r="195" spans="1:28" x14ac:dyDescent="0.25">
      <c r="A195" s="20">
        <f t="shared" ref="A195:A258" ca="1" si="62">B195 - WEEKDAY(B195, 2) + 1</f>
        <v>45572</v>
      </c>
      <c r="B195" vm="576">
        <f ca="1"/>
        <v>45573</v>
      </c>
      <c r="C195" vm="577">
        <f ca="1"/>
        <v>210.75</v>
      </c>
      <c r="D195" vm="578">
        <f ca="1"/>
        <v>6021772</v>
      </c>
      <c r="E195">
        <f t="shared" ref="E195:E258" ca="1" si="63">C195*D195</f>
        <v>1269088449</v>
      </c>
      <c r="F195">
        <f ca="1">SUM($E$2:E195)/SUM($D$2:D195)</f>
        <v>195.18650269191698</v>
      </c>
      <c r="G195">
        <f ca="1">_xlfn.STDEV.P($C$2:C195)</f>
        <v>14.166798362917559</v>
      </c>
      <c r="H195">
        <f t="shared" ref="H195:H258" ca="1" si="64">F195 + G195</f>
        <v>209.35330105483453</v>
      </c>
      <c r="I195">
        <f t="shared" ref="I195:I258" ca="1" si="65">F195 - G195</f>
        <v>181.01970432899944</v>
      </c>
      <c r="J195">
        <f t="shared" ca="1" si="53"/>
        <v>209.05900000000003</v>
      </c>
      <c r="K195">
        <f t="shared" ca="1" si="54"/>
        <v>2.2230536134832799</v>
      </c>
      <c r="L195">
        <f t="shared" ca="1" si="55"/>
        <v>213.50510722696657</v>
      </c>
      <c r="M195">
        <f t="shared" ca="1" si="56"/>
        <v>204.61289277303348</v>
      </c>
      <c r="N195">
        <f t="shared" ca="1" si="45"/>
        <v>-0.18000000000000682</v>
      </c>
      <c r="O195">
        <f t="shared" ca="1" si="46"/>
        <v>0</v>
      </c>
      <c r="P195">
        <f t="shared" ca="1" si="47"/>
        <v>0.18000000000000682</v>
      </c>
      <c r="Q195">
        <f t="shared" ca="1" si="51"/>
        <v>0.94881296419051453</v>
      </c>
      <c r="R195">
        <f t="shared" ca="1" si="52"/>
        <v>0.91991274373116227</v>
      </c>
      <c r="S195">
        <f t="shared" ca="1" si="49"/>
        <v>1.0314162627448045</v>
      </c>
      <c r="T195">
        <f t="shared" ca="1" si="50"/>
        <v>50.773260097424732</v>
      </c>
      <c r="U195">
        <f>70</f>
        <v>70</v>
      </c>
      <c r="V195">
        <f>30</f>
        <v>30</v>
      </c>
      <c r="W195">
        <f t="shared" ca="1" si="48"/>
        <v>209.72939802510606</v>
      </c>
      <c r="X195">
        <f t="shared" ca="1" si="58"/>
        <v>210.35291326539664</v>
      </c>
      <c r="Y195">
        <f t="shared" ca="1" si="57"/>
        <v>-0.28292193104675789</v>
      </c>
      <c r="Z195">
        <f t="shared" ca="1" si="59"/>
        <v>-0.68317972136937499</v>
      </c>
      <c r="AA195">
        <f t="shared" ca="1" si="60"/>
        <v>0.4002577903226171</v>
      </c>
      <c r="AB195">
        <f t="shared" ca="1" si="61"/>
        <v>206.81589999999994</v>
      </c>
    </row>
    <row r="196" spans="1:28" x14ac:dyDescent="0.25">
      <c r="A196" s="20">
        <f t="shared" ca="1" si="62"/>
        <v>45572</v>
      </c>
      <c r="B196" vm="579">
        <f ca="1"/>
        <v>45574</v>
      </c>
      <c r="C196" vm="580">
        <f ca="1"/>
        <v>213.42</v>
      </c>
      <c r="D196" vm="581">
        <f ca="1"/>
        <v>7023998</v>
      </c>
      <c r="E196">
        <f t="shared" ca="1" si="63"/>
        <v>1499061653.1599998</v>
      </c>
      <c r="F196">
        <f ca="1">SUM($E$2:E196)/SUM($D$2:D196)</f>
        <v>195.25860723979699</v>
      </c>
      <c r="G196">
        <f ca="1">_xlfn.STDEV.P($C$2:C196)</f>
        <v>14.184055992640713</v>
      </c>
      <c r="H196">
        <f t="shared" ca="1" si="64"/>
        <v>209.4426632324377</v>
      </c>
      <c r="I196">
        <f t="shared" ca="1" si="65"/>
        <v>181.07455124715628</v>
      </c>
      <c r="J196">
        <f t="shared" ca="1" si="53"/>
        <v>209.36849999999998</v>
      </c>
      <c r="K196">
        <f t="shared" ca="1" si="54"/>
        <v>2.3803433520574755</v>
      </c>
      <c r="L196">
        <f t="shared" ca="1" si="55"/>
        <v>214.12918670411494</v>
      </c>
      <c r="M196">
        <f t="shared" ca="1" si="56"/>
        <v>204.60781329588502</v>
      </c>
      <c r="N196">
        <f t="shared" ref="N196:N259" ca="1" si="66">C196-C195</f>
        <v>2.6699999999999875</v>
      </c>
      <c r="O196">
        <f t="shared" ref="O196:O259" ca="1" si="67">MAX(N196,0)</f>
        <v>2.6699999999999875</v>
      </c>
      <c r="P196">
        <f t="shared" ref="P196:P259" ca="1" si="68">MAX(-N196,0)</f>
        <v>0</v>
      </c>
      <c r="Q196">
        <f t="shared" ca="1" si="51"/>
        <v>1.0717548953197626</v>
      </c>
      <c r="R196">
        <f t="shared" ca="1" si="52"/>
        <v>0.85420469060750792</v>
      </c>
      <c r="S196">
        <f t="shared" ca="1" si="49"/>
        <v>1.2546815852269948</v>
      </c>
      <c r="T196">
        <f t="shared" ca="1" si="50"/>
        <v>55.647839297923611</v>
      </c>
      <c r="U196">
        <f>70</f>
        <v>70</v>
      </c>
      <c r="V196">
        <f>30</f>
        <v>30</v>
      </c>
      <c r="W196">
        <f t="shared" ca="1" si="48"/>
        <v>210.29718294432053</v>
      </c>
      <c r="X196">
        <f t="shared" ca="1" si="58"/>
        <v>210.58010487536728</v>
      </c>
      <c r="Y196">
        <f t="shared" ca="1" si="57"/>
        <v>-5.9118945957777669E-2</v>
      </c>
      <c r="Z196">
        <f t="shared" ca="1" si="59"/>
        <v>-0.55836756628705564</v>
      </c>
      <c r="AA196">
        <f t="shared" ca="1" si="60"/>
        <v>0.49924862032927797</v>
      </c>
      <c r="AB196">
        <f t="shared" ca="1" si="61"/>
        <v>206.92539999999991</v>
      </c>
    </row>
    <row r="197" spans="1:28" x14ac:dyDescent="0.25">
      <c r="A197" s="20">
        <f t="shared" ca="1" si="62"/>
        <v>45572</v>
      </c>
      <c r="B197" vm="582">
        <f ca="1"/>
        <v>45575</v>
      </c>
      <c r="C197" vm="583">
        <f ca="1"/>
        <v>212.84</v>
      </c>
      <c r="D197" vm="584">
        <f ca="1"/>
        <v>7927051</v>
      </c>
      <c r="E197">
        <f t="shared" ca="1" si="63"/>
        <v>1687193534.8399999</v>
      </c>
      <c r="F197">
        <f ca="1">SUM($E$2:E197)/SUM($D$2:D197)</f>
        <v>195.33672311748313</v>
      </c>
      <c r="G197">
        <f ca="1">_xlfn.STDEV.P($C$2:C197)</f>
        <v>14.197075416530449</v>
      </c>
      <c r="H197">
        <f t="shared" ca="1" si="64"/>
        <v>209.53379853401358</v>
      </c>
      <c r="I197">
        <f t="shared" ca="1" si="65"/>
        <v>181.13964770095268</v>
      </c>
      <c r="J197">
        <f t="shared" ca="1" si="53"/>
        <v>209.68049999999999</v>
      </c>
      <c r="K197">
        <f t="shared" ca="1" si="54"/>
        <v>2.4071657826712238</v>
      </c>
      <c r="L197">
        <f t="shared" ca="1" si="55"/>
        <v>214.49483156534245</v>
      </c>
      <c r="M197">
        <f t="shared" ca="1" si="56"/>
        <v>204.86616843465754</v>
      </c>
      <c r="N197">
        <f t="shared" ca="1" si="66"/>
        <v>-0.57999999999998408</v>
      </c>
      <c r="O197">
        <f t="shared" ca="1" si="67"/>
        <v>0</v>
      </c>
      <c r="P197">
        <f t="shared" ca="1" si="68"/>
        <v>0.57999999999998408</v>
      </c>
      <c r="Q197">
        <f t="shared" ca="1" si="51"/>
        <v>0.99520097422549392</v>
      </c>
      <c r="R197">
        <f t="shared" ca="1" si="52"/>
        <v>0.83461864127839913</v>
      </c>
      <c r="S197">
        <f t="shared" ca="1" si="49"/>
        <v>1.1924020444848058</v>
      </c>
      <c r="T197">
        <f t="shared" ca="1" si="50"/>
        <v>54.387927957119253</v>
      </c>
      <c r="U197">
        <f>70</f>
        <v>70</v>
      </c>
      <c r="V197">
        <f>30</f>
        <v>30</v>
      </c>
      <c r="W197">
        <f t="shared" ca="1" si="48"/>
        <v>210.6883855682712</v>
      </c>
      <c r="X197">
        <f t="shared" ca="1" si="58"/>
        <v>210.74750451422898</v>
      </c>
      <c r="Y197">
        <f t="shared" ca="1" si="57"/>
        <v>0.87074514715706641</v>
      </c>
      <c r="Z197">
        <f t="shared" ca="1" si="59"/>
        <v>-0.27254502359823124</v>
      </c>
      <c r="AA197">
        <f t="shared" ca="1" si="60"/>
        <v>1.1432901707552976</v>
      </c>
      <c r="AB197">
        <f t="shared" ca="1" si="61"/>
        <v>207.00589999999988</v>
      </c>
    </row>
    <row r="198" spans="1:28" x14ac:dyDescent="0.25">
      <c r="A198" s="20">
        <f t="shared" ca="1" si="62"/>
        <v>45572</v>
      </c>
      <c r="B198" vm="585">
        <f ca="1"/>
        <v>45576</v>
      </c>
      <c r="C198" vm="586">
        <f ca="1"/>
        <v>222.29</v>
      </c>
      <c r="D198" vm="587">
        <f ca="1"/>
        <v>18320650</v>
      </c>
      <c r="E198">
        <f t="shared" ca="1" si="63"/>
        <v>4072497288.5</v>
      </c>
      <c r="F198">
        <f ca="1">SUM($E$2:E198)/SUM($D$2:D198)</f>
        <v>195.61068487472778</v>
      </c>
      <c r="G198">
        <f ca="1">_xlfn.STDEV.P($C$2:C198)</f>
        <v>14.280562766084403</v>
      </c>
      <c r="H198">
        <f t="shared" ca="1" si="64"/>
        <v>209.8912476408122</v>
      </c>
      <c r="I198">
        <f t="shared" ca="1" si="65"/>
        <v>181.33012210864337</v>
      </c>
      <c r="J198">
        <f t="shared" ca="1" si="53"/>
        <v>210.57900000000001</v>
      </c>
      <c r="K198">
        <f t="shared" ca="1" si="54"/>
        <v>3.4352122435003536</v>
      </c>
      <c r="L198">
        <f t="shared" ca="1" si="55"/>
        <v>217.44942448700073</v>
      </c>
      <c r="M198">
        <f t="shared" ca="1" si="56"/>
        <v>203.70857551299929</v>
      </c>
      <c r="N198">
        <f t="shared" ca="1" si="66"/>
        <v>9.4499999999999886</v>
      </c>
      <c r="O198">
        <f t="shared" ca="1" si="67"/>
        <v>9.4499999999999886</v>
      </c>
      <c r="P198">
        <f t="shared" ca="1" si="68"/>
        <v>0</v>
      </c>
      <c r="Q198">
        <f t="shared" ca="1" si="51"/>
        <v>1.5991151903522436</v>
      </c>
      <c r="R198">
        <f t="shared" ca="1" si="52"/>
        <v>0.77500302404422783</v>
      </c>
      <c r="S198">
        <f t="shared" ca="1" si="49"/>
        <v>2.0633663879239075</v>
      </c>
      <c r="T198">
        <f t="shared" ca="1" si="50"/>
        <v>67.356173785084977</v>
      </c>
      <c r="U198">
        <f>70</f>
        <v>70</v>
      </c>
      <c r="V198">
        <f>30</f>
        <v>30</v>
      </c>
      <c r="W198">
        <f t="shared" ca="1" si="48"/>
        <v>212.47324932699871</v>
      </c>
      <c r="X198">
        <f t="shared" ca="1" si="58"/>
        <v>211.60250417984165</v>
      </c>
      <c r="Y198">
        <f t="shared" ca="1" si="57"/>
        <v>1.524732739800811</v>
      </c>
      <c r="Z198">
        <f t="shared" ca="1" si="59"/>
        <v>8.6910529081577231E-2</v>
      </c>
      <c r="AA198">
        <f t="shared" ca="1" si="60"/>
        <v>1.4378222107192338</v>
      </c>
      <c r="AB198">
        <f t="shared" ca="1" si="61"/>
        <v>207.27299999999991</v>
      </c>
    </row>
    <row r="199" spans="1:28" x14ac:dyDescent="0.25">
      <c r="A199" s="20">
        <f t="shared" ca="1" si="62"/>
        <v>45579</v>
      </c>
      <c r="B199" vm="588">
        <f ca="1"/>
        <v>45579</v>
      </c>
      <c r="C199" vm="589">
        <f ca="1"/>
        <v>221.48</v>
      </c>
      <c r="D199" vm="590">
        <f ca="1"/>
        <v>9048925</v>
      </c>
      <c r="E199">
        <f t="shared" ca="1" si="63"/>
        <v>2004155909</v>
      </c>
      <c r="F199">
        <f ca="1">SUM($E$2:E199)/SUM($D$2:D199)</f>
        <v>195.73990928365001</v>
      </c>
      <c r="G199">
        <f ca="1">_xlfn.STDEV.P($C$2:C199)</f>
        <v>14.354335078198156</v>
      </c>
      <c r="H199">
        <f t="shared" ca="1" si="64"/>
        <v>210.09424436184815</v>
      </c>
      <c r="I199">
        <f t="shared" ca="1" si="65"/>
        <v>181.38557420545186</v>
      </c>
      <c r="J199">
        <f t="shared" ca="1" si="53"/>
        <v>211.26</v>
      </c>
      <c r="K199">
        <f t="shared" ca="1" si="54"/>
        <v>4.1446007997723591</v>
      </c>
      <c r="L199">
        <f t="shared" ca="1" si="55"/>
        <v>219.54920159954472</v>
      </c>
      <c r="M199">
        <f t="shared" ca="1" si="56"/>
        <v>202.97079840045527</v>
      </c>
      <c r="N199">
        <f t="shared" ca="1" si="66"/>
        <v>-0.81000000000000227</v>
      </c>
      <c r="O199">
        <f t="shared" ca="1" si="67"/>
        <v>0</v>
      </c>
      <c r="P199">
        <f t="shared" ca="1" si="68"/>
        <v>0.81000000000000227</v>
      </c>
      <c r="Q199">
        <f t="shared" ca="1" si="51"/>
        <v>1.4848926767556547</v>
      </c>
      <c r="R199">
        <f t="shared" ca="1" si="52"/>
        <v>0.77750280804106886</v>
      </c>
      <c r="S199">
        <f t="shared" ca="1" si="49"/>
        <v>1.9098229117613945</v>
      </c>
      <c r="T199">
        <f t="shared" ca="1" si="50"/>
        <v>65.633647465004231</v>
      </c>
      <c r="U199">
        <f>70</f>
        <v>70</v>
      </c>
      <c r="V199">
        <f>30</f>
        <v>30</v>
      </c>
      <c r="W199">
        <f t="shared" ca="1" si="48"/>
        <v>213.85890327669122</v>
      </c>
      <c r="X199">
        <f t="shared" ca="1" si="58"/>
        <v>212.33417053689041</v>
      </c>
      <c r="Y199">
        <f t="shared" ca="1" si="57"/>
        <v>2.0923329022447774</v>
      </c>
      <c r="Z199">
        <f t="shared" ca="1" si="59"/>
        <v>0.48799500371421733</v>
      </c>
      <c r="AA199">
        <f t="shared" ca="1" si="60"/>
        <v>1.6043378985305601</v>
      </c>
      <c r="AB199">
        <f t="shared" ca="1" si="61"/>
        <v>207.49259999999987</v>
      </c>
    </row>
    <row r="200" spans="1:28" x14ac:dyDescent="0.25">
      <c r="A200" s="20">
        <f t="shared" ca="1" si="62"/>
        <v>45579</v>
      </c>
      <c r="B200" vm="591">
        <f ca="1"/>
        <v>45580</v>
      </c>
      <c r="C200" vm="592">
        <f ca="1"/>
        <v>222.39</v>
      </c>
      <c r="D200" vm="593">
        <f ca="1"/>
        <v>9235825</v>
      </c>
      <c r="E200">
        <f t="shared" ca="1" si="63"/>
        <v>2053955121.7499998</v>
      </c>
      <c r="F200">
        <f ca="1">SUM($E$2:E200)/SUM($D$2:D200)</f>
        <v>195.87509425628102</v>
      </c>
      <c r="G200">
        <f ca="1">_xlfn.STDEV.P($C$2:C200)</f>
        <v>14.433893957466378</v>
      </c>
      <c r="H200">
        <f t="shared" ca="1" si="64"/>
        <v>210.3089882137474</v>
      </c>
      <c r="I200">
        <f t="shared" ca="1" si="65"/>
        <v>181.44120029881464</v>
      </c>
      <c r="J200">
        <f t="shared" ca="1" si="53"/>
        <v>211.917</v>
      </c>
      <c r="K200">
        <f t="shared" ca="1" si="54"/>
        <v>4.7990153595349758</v>
      </c>
      <c r="L200">
        <f t="shared" ca="1" si="55"/>
        <v>221.51503071906996</v>
      </c>
      <c r="M200">
        <f t="shared" ca="1" si="56"/>
        <v>202.31896928093005</v>
      </c>
      <c r="N200">
        <f t="shared" ca="1" si="66"/>
        <v>0.90999999999999659</v>
      </c>
      <c r="O200">
        <f t="shared" ca="1" si="67"/>
        <v>0.90999999999999659</v>
      </c>
      <c r="P200">
        <f t="shared" ca="1" si="68"/>
        <v>0</v>
      </c>
      <c r="Q200">
        <f t="shared" ca="1" si="51"/>
        <v>1.4438289141302505</v>
      </c>
      <c r="R200">
        <f t="shared" ca="1" si="52"/>
        <v>0.7219668931809925</v>
      </c>
      <c r="S200">
        <f t="shared" ca="1" si="49"/>
        <v>1.9998547409407204</v>
      </c>
      <c r="T200">
        <f t="shared" ca="1" si="50"/>
        <v>66.665052598966469</v>
      </c>
      <c r="U200">
        <f>70</f>
        <v>70</v>
      </c>
      <c r="V200">
        <f>30</f>
        <v>30</v>
      </c>
      <c r="W200">
        <f t="shared" ca="1" si="48"/>
        <v>215.17137969566181</v>
      </c>
      <c r="X200">
        <f t="shared" ca="1" si="58"/>
        <v>213.07904679341704</v>
      </c>
      <c r="Y200">
        <f t="shared" ca="1" si="57"/>
        <v>2.6129047343334264</v>
      </c>
      <c r="Z200">
        <f t="shared" ca="1" si="59"/>
        <v>0.91297694983805922</v>
      </c>
      <c r="AA200">
        <f t="shared" ca="1" si="60"/>
        <v>1.6999277844953671</v>
      </c>
      <c r="AB200">
        <f t="shared" ca="1" si="61"/>
        <v>207.7333999999999</v>
      </c>
    </row>
    <row r="201" spans="1:28" x14ac:dyDescent="0.25">
      <c r="A201" s="20">
        <f t="shared" ca="1" si="62"/>
        <v>45579</v>
      </c>
      <c r="B201" vm="594">
        <f ca="1"/>
        <v>45581</v>
      </c>
      <c r="C201" vm="595">
        <f ca="1"/>
        <v>223.64</v>
      </c>
      <c r="D201" vm="596">
        <f ca="1"/>
        <v>6382515</v>
      </c>
      <c r="E201">
        <f t="shared" ca="1" si="63"/>
        <v>1427385654.5999999</v>
      </c>
      <c r="F201">
        <f ca="1">SUM($E$2:E201)/SUM($D$2:D201)</f>
        <v>195.97208322359884</v>
      </c>
      <c r="G201">
        <f ca="1">_xlfn.STDEV.P($C$2:C201)</f>
        <v>14.522348120655286</v>
      </c>
      <c r="H201">
        <f t="shared" ca="1" si="64"/>
        <v>210.49443134425414</v>
      </c>
      <c r="I201">
        <f t="shared" ca="1" si="65"/>
        <v>181.44973510294355</v>
      </c>
      <c r="J201">
        <f t="shared" ca="1" si="53"/>
        <v>212.7225</v>
      </c>
      <c r="K201">
        <f t="shared" ca="1" si="54"/>
        <v>5.3448783896361913</v>
      </c>
      <c r="L201">
        <f t="shared" ca="1" si="55"/>
        <v>223.41225677927238</v>
      </c>
      <c r="M201">
        <f t="shared" ca="1" si="56"/>
        <v>202.03274322072761</v>
      </c>
      <c r="N201">
        <f t="shared" ca="1" si="66"/>
        <v>1.25</v>
      </c>
      <c r="O201">
        <f t="shared" ca="1" si="67"/>
        <v>1.25</v>
      </c>
      <c r="P201">
        <f t="shared" ca="1" si="68"/>
        <v>0</v>
      </c>
      <c r="Q201">
        <f t="shared" ca="1" si="51"/>
        <v>1.4299839916923756</v>
      </c>
      <c r="R201">
        <f t="shared" ca="1" si="52"/>
        <v>0.67039782938235015</v>
      </c>
      <c r="S201">
        <f t="shared" ca="1" si="49"/>
        <v>2.1330379202000791</v>
      </c>
      <c r="T201">
        <f t="shared" ca="1" si="50"/>
        <v>68.082097137970834</v>
      </c>
      <c r="U201">
        <f>70</f>
        <v>70</v>
      </c>
      <c r="V201">
        <f>30</f>
        <v>30</v>
      </c>
      <c r="W201">
        <f t="shared" ca="1" si="48"/>
        <v>216.47424435786769</v>
      </c>
      <c r="X201">
        <f t="shared" ca="1" si="58"/>
        <v>213.86133962353426</v>
      </c>
      <c r="Y201">
        <f t="shared" ca="1" si="57"/>
        <v>3.0532056884275391</v>
      </c>
      <c r="Z201">
        <f t="shared" ca="1" si="59"/>
        <v>1.3410226975559554</v>
      </c>
      <c r="AA201">
        <f t="shared" ca="1" si="60"/>
        <v>1.7121829908715838</v>
      </c>
      <c r="AB201">
        <f t="shared" ca="1" si="61"/>
        <v>208.00059999999991</v>
      </c>
    </row>
    <row r="202" spans="1:28" x14ac:dyDescent="0.25">
      <c r="A202" s="20">
        <f t="shared" ca="1" si="62"/>
        <v>45579</v>
      </c>
      <c r="B202" vm="597">
        <f ca="1"/>
        <v>45582</v>
      </c>
      <c r="C202" vm="598">
        <f ca="1"/>
        <v>224.42</v>
      </c>
      <c r="D202" vm="599">
        <f ca="1"/>
        <v>6470186</v>
      </c>
      <c r="E202">
        <f t="shared" ca="1" si="63"/>
        <v>1452039142.1199999</v>
      </c>
      <c r="F202">
        <f ca="1">SUM($E$2:E202)/SUM($D$2:D202)</f>
        <v>196.07246764333414</v>
      </c>
      <c r="G202">
        <f ca="1">_xlfn.STDEV.P($C$2:C202)</f>
        <v>14.615352705445956</v>
      </c>
      <c r="H202">
        <f t="shared" ca="1" si="64"/>
        <v>210.68782034878009</v>
      </c>
      <c r="I202">
        <f t="shared" ca="1" si="65"/>
        <v>181.45711493788818</v>
      </c>
      <c r="J202">
        <f t="shared" ca="1" si="53"/>
        <v>213.41949999999997</v>
      </c>
      <c r="K202">
        <f t="shared" ca="1" si="54"/>
        <v>5.9155161495671225</v>
      </c>
      <c r="L202">
        <f t="shared" ca="1" si="55"/>
        <v>225.25053229913422</v>
      </c>
      <c r="M202">
        <f t="shared" ca="1" si="56"/>
        <v>201.58846770086572</v>
      </c>
      <c r="N202">
        <f t="shared" ca="1" si="66"/>
        <v>0.78000000000000114</v>
      </c>
      <c r="O202">
        <f t="shared" ca="1" si="67"/>
        <v>0.78000000000000114</v>
      </c>
      <c r="P202">
        <f t="shared" ca="1" si="68"/>
        <v>0</v>
      </c>
      <c r="Q202">
        <f t="shared" ca="1" si="51"/>
        <v>1.3835565637143488</v>
      </c>
      <c r="R202">
        <f t="shared" ca="1" si="52"/>
        <v>0.62251227014075372</v>
      </c>
      <c r="S202">
        <f t="shared" ca="1" si="49"/>
        <v>2.2225370166623679</v>
      </c>
      <c r="T202">
        <f t="shared" ca="1" si="50"/>
        <v>68.968548853607416</v>
      </c>
      <c r="U202">
        <f>70</f>
        <v>70</v>
      </c>
      <c r="V202">
        <f>30</f>
        <v>30</v>
      </c>
      <c r="W202">
        <f t="shared" ca="1" si="48"/>
        <v>217.69666830281113</v>
      </c>
      <c r="X202">
        <f t="shared" ca="1" si="58"/>
        <v>214.64346261438359</v>
      </c>
      <c r="Y202">
        <f t="shared" ca="1" si="57"/>
        <v>3.4391599323653566</v>
      </c>
      <c r="Z202">
        <f t="shared" ca="1" si="59"/>
        <v>1.7606501445178357</v>
      </c>
      <c r="AA202">
        <f t="shared" ca="1" si="60"/>
        <v>1.6785097878475208</v>
      </c>
      <c r="AB202">
        <f t="shared" ca="1" si="61"/>
        <v>208.2376999999999</v>
      </c>
    </row>
    <row r="203" spans="1:28" x14ac:dyDescent="0.25">
      <c r="A203" s="20">
        <f t="shared" ca="1" si="62"/>
        <v>45579</v>
      </c>
      <c r="B203" vm="600">
        <f ca="1"/>
        <v>45583</v>
      </c>
      <c r="C203" vm="601">
        <f ca="1"/>
        <v>225.37</v>
      </c>
      <c r="D203" vm="602">
        <f ca="1"/>
        <v>7000543</v>
      </c>
      <c r="E203">
        <f t="shared" ca="1" si="63"/>
        <v>1577712375.9100001</v>
      </c>
      <c r="F203">
        <f ca="1">SUM($E$2:E203)/SUM($D$2:D203)</f>
        <v>196.18389886429432</v>
      </c>
      <c r="G203">
        <f ca="1">_xlfn.STDEV.P($C$2:C203)</f>
        <v>14.714471941633699</v>
      </c>
      <c r="H203">
        <f t="shared" ca="1" si="64"/>
        <v>210.89837080592801</v>
      </c>
      <c r="I203">
        <f t="shared" ca="1" si="65"/>
        <v>181.46942692266063</v>
      </c>
      <c r="J203">
        <f t="shared" ca="1" si="53"/>
        <v>214.1335</v>
      </c>
      <c r="K203">
        <f t="shared" ca="1" si="54"/>
        <v>6.4565970139075564</v>
      </c>
      <c r="L203">
        <f t="shared" ca="1" si="55"/>
        <v>227.04669402781511</v>
      </c>
      <c r="M203">
        <f t="shared" ca="1" si="56"/>
        <v>201.22030597218489</v>
      </c>
      <c r="N203">
        <f t="shared" ca="1" si="66"/>
        <v>0.95000000000001705</v>
      </c>
      <c r="O203">
        <f t="shared" ca="1" si="67"/>
        <v>0.95000000000001705</v>
      </c>
      <c r="P203">
        <f t="shared" ca="1" si="68"/>
        <v>0</v>
      </c>
      <c r="Q203">
        <f t="shared" ca="1" si="51"/>
        <v>1.3525882377347536</v>
      </c>
      <c r="R203">
        <f t="shared" ca="1" si="52"/>
        <v>0.57804710798784265</v>
      </c>
      <c r="S203">
        <f t="shared" ca="1" si="49"/>
        <v>2.339927350286477</v>
      </c>
      <c r="T203">
        <f t="shared" ca="1" si="50"/>
        <v>70.059228985497953</v>
      </c>
      <c r="U203">
        <f>70</f>
        <v>70</v>
      </c>
      <c r="V203">
        <f>30</f>
        <v>30</v>
      </c>
      <c r="W203">
        <f t="shared" ca="1" si="48"/>
        <v>218.87718087160943</v>
      </c>
      <c r="X203">
        <f t="shared" ca="1" si="58"/>
        <v>215.43802093924407</v>
      </c>
      <c r="Y203">
        <f t="shared" ca="1" si="57"/>
        <v>3.5132932011785556</v>
      </c>
      <c r="Z203">
        <f t="shared" ca="1" si="59"/>
        <v>2.1111787558499797</v>
      </c>
      <c r="AA203">
        <f t="shared" ca="1" si="60"/>
        <v>1.4021144453285759</v>
      </c>
      <c r="AB203">
        <f t="shared" ca="1" si="61"/>
        <v>208.49639999999985</v>
      </c>
    </row>
    <row r="204" spans="1:28" x14ac:dyDescent="0.25">
      <c r="A204" s="20">
        <f t="shared" ca="1" si="62"/>
        <v>45586</v>
      </c>
      <c r="B204" vm="603">
        <f ca="1"/>
        <v>45586</v>
      </c>
      <c r="C204" vm="604">
        <f ca="1"/>
        <v>223</v>
      </c>
      <c r="D204" vm="605">
        <f ca="1"/>
        <v>5869959</v>
      </c>
      <c r="E204">
        <f t="shared" ca="1" si="63"/>
        <v>1309000857</v>
      </c>
      <c r="F204">
        <f ca="1">SUM($E$2:E204)/SUM($D$2:D204)</f>
        <v>196.26914839204557</v>
      </c>
      <c r="G204">
        <f ca="1">_xlfn.STDEV.P($C$2:C204)</f>
        <v>14.789420534020163</v>
      </c>
      <c r="H204">
        <f t="shared" ca="1" si="64"/>
        <v>211.05856892606573</v>
      </c>
      <c r="I204">
        <f t="shared" ca="1" si="65"/>
        <v>181.4797278580254</v>
      </c>
      <c r="J204">
        <f t="shared" ca="1" si="53"/>
        <v>214.71149999999997</v>
      </c>
      <c r="K204">
        <f t="shared" ca="1" si="54"/>
        <v>6.7150398948534669</v>
      </c>
      <c r="L204">
        <f t="shared" ca="1" si="55"/>
        <v>228.1415797897069</v>
      </c>
      <c r="M204">
        <f t="shared" ca="1" si="56"/>
        <v>201.28142021029305</v>
      </c>
      <c r="N204">
        <f t="shared" ca="1" si="66"/>
        <v>-2.3700000000000045</v>
      </c>
      <c r="O204">
        <f t="shared" ca="1" si="67"/>
        <v>0</v>
      </c>
      <c r="P204">
        <f t="shared" ca="1" si="68"/>
        <v>2.3700000000000045</v>
      </c>
      <c r="Q204">
        <f t="shared" ca="1" si="51"/>
        <v>1.2559747921822713</v>
      </c>
      <c r="R204">
        <f t="shared" ca="1" si="52"/>
        <v>0.70604374313156859</v>
      </c>
      <c r="S204">
        <f t="shared" ca="1" si="49"/>
        <v>1.7788909035742635</v>
      </c>
      <c r="T204">
        <f t="shared" ca="1" si="50"/>
        <v>64.014420331730889</v>
      </c>
      <c r="U204">
        <f>70</f>
        <v>70</v>
      </c>
      <c r="V204">
        <f>30</f>
        <v>30</v>
      </c>
      <c r="W204">
        <f t="shared" ca="1" si="48"/>
        <v>219.51146073751568</v>
      </c>
      <c r="X204">
        <f t="shared" ca="1" si="58"/>
        <v>215.99816753633712</v>
      </c>
      <c r="Y204">
        <f t="shared" ca="1" si="57"/>
        <v>3.6206820220301665</v>
      </c>
      <c r="Z204">
        <f t="shared" ca="1" si="59"/>
        <v>2.4130794090860173</v>
      </c>
      <c r="AA204">
        <f t="shared" ca="1" si="60"/>
        <v>1.2076026129441493</v>
      </c>
      <c r="AB204">
        <f t="shared" ca="1" si="61"/>
        <v>208.74529999999987</v>
      </c>
    </row>
    <row r="205" spans="1:28" x14ac:dyDescent="0.25">
      <c r="A205" s="20">
        <f t="shared" ca="1" si="62"/>
        <v>45586</v>
      </c>
      <c r="B205" vm="606">
        <f ca="1"/>
        <v>45587</v>
      </c>
      <c r="C205" vm="607">
        <f ca="1"/>
        <v>224.12</v>
      </c>
      <c r="D205" vm="608">
        <f ca="1"/>
        <v>9586793</v>
      </c>
      <c r="E205">
        <f t="shared" ca="1" si="63"/>
        <v>2148592047.1599998</v>
      </c>
      <c r="F205">
        <f ca="1">SUM($E$2:E205)/SUM($D$2:D205)</f>
        <v>196.4130031018704</v>
      </c>
      <c r="G205">
        <f ca="1">_xlfn.STDEV.P($C$2:C205)</f>
        <v>14.871847794551234</v>
      </c>
      <c r="H205">
        <f t="shared" ca="1" si="64"/>
        <v>211.28485089642163</v>
      </c>
      <c r="I205">
        <f t="shared" ca="1" si="65"/>
        <v>181.54115530731917</v>
      </c>
      <c r="J205">
        <f t="shared" ca="1" si="53"/>
        <v>215.33800000000002</v>
      </c>
      <c r="K205">
        <f t="shared" ca="1" si="54"/>
        <v>6.9874681808897954</v>
      </c>
      <c r="L205">
        <f t="shared" ca="1" si="55"/>
        <v>229.31293636177961</v>
      </c>
      <c r="M205">
        <f t="shared" ca="1" si="56"/>
        <v>201.36306363822044</v>
      </c>
      <c r="N205">
        <f t="shared" ca="1" si="66"/>
        <v>1.1200000000000045</v>
      </c>
      <c r="O205">
        <f t="shared" ca="1" si="67"/>
        <v>1.1200000000000045</v>
      </c>
      <c r="P205">
        <f t="shared" ca="1" si="68"/>
        <v>0</v>
      </c>
      <c r="Q205">
        <f t="shared" ca="1" si="51"/>
        <v>1.2462623070263952</v>
      </c>
      <c r="R205">
        <f t="shared" ca="1" si="52"/>
        <v>0.65561204719359945</v>
      </c>
      <c r="S205">
        <f t="shared" ca="1" si="49"/>
        <v>1.9009142866747524</v>
      </c>
      <c r="T205">
        <f t="shared" ca="1" si="50"/>
        <v>65.528109375948645</v>
      </c>
      <c r="U205">
        <f>70</f>
        <v>70</v>
      </c>
      <c r="V205">
        <f>30</f>
        <v>30</v>
      </c>
      <c r="W205">
        <f t="shared" ca="1" si="48"/>
        <v>220.22046677789785</v>
      </c>
      <c r="X205">
        <f t="shared" ca="1" si="58"/>
        <v>216.59978475586769</v>
      </c>
      <c r="Y205">
        <f t="shared" ca="1" si="57"/>
        <v>3.6069190523608654</v>
      </c>
      <c r="Z205">
        <f t="shared" ca="1" si="59"/>
        <v>2.6518473377409872</v>
      </c>
      <c r="AA205">
        <f t="shared" ca="1" si="60"/>
        <v>0.95507171461987816</v>
      </c>
      <c r="AB205">
        <f t="shared" ca="1" si="61"/>
        <v>208.99319999999986</v>
      </c>
    </row>
    <row r="206" spans="1:28" x14ac:dyDescent="0.25">
      <c r="A206" s="20">
        <f t="shared" ca="1" si="62"/>
        <v>45586</v>
      </c>
      <c r="B206" vm="609">
        <f ca="1"/>
        <v>45588</v>
      </c>
      <c r="C206" vm="610">
        <f ca="1"/>
        <v>223.41</v>
      </c>
      <c r="D206" vm="611">
        <f ca="1"/>
        <v>6180528</v>
      </c>
      <c r="E206">
        <f t="shared" ca="1" si="63"/>
        <v>1380791760.48</v>
      </c>
      <c r="F206">
        <f ca="1">SUM($E$2:E206)/SUM($D$2:D206)</f>
        <v>196.50260341223677</v>
      </c>
      <c r="G206">
        <f ca="1">_xlfn.STDEV.P($C$2:C206)</f>
        <v>14.945802729894702</v>
      </c>
      <c r="H206">
        <f t="shared" ca="1" si="64"/>
        <v>211.44840614213146</v>
      </c>
      <c r="I206">
        <f t="shared" ca="1" si="65"/>
        <v>181.55680068234207</v>
      </c>
      <c r="J206">
        <f t="shared" ca="1" si="53"/>
        <v>215.99899999999997</v>
      </c>
      <c r="K206">
        <f t="shared" ca="1" si="54"/>
        <v>7.0992452526937475</v>
      </c>
      <c r="L206">
        <f t="shared" ca="1" si="55"/>
        <v>230.19749050538746</v>
      </c>
      <c r="M206">
        <f t="shared" ca="1" si="56"/>
        <v>201.80050949461247</v>
      </c>
      <c r="N206">
        <f t="shared" ca="1" si="66"/>
        <v>-0.71000000000000796</v>
      </c>
      <c r="O206">
        <f t="shared" ca="1" si="67"/>
        <v>0</v>
      </c>
      <c r="P206">
        <f t="shared" ca="1" si="68"/>
        <v>0.71000000000000796</v>
      </c>
      <c r="Q206">
        <f t="shared" ca="1" si="51"/>
        <v>1.157243570810224</v>
      </c>
      <c r="R206">
        <f t="shared" ca="1" si="52"/>
        <v>0.65949690096548585</v>
      </c>
      <c r="S206">
        <f t="shared" ca="1" si="49"/>
        <v>1.7547369352548137</v>
      </c>
      <c r="T206">
        <f t="shared" ca="1" si="50"/>
        <v>63.698893088406649</v>
      </c>
      <c r="U206">
        <f>70</f>
        <v>70</v>
      </c>
      <c r="V206">
        <f>30</f>
        <v>30</v>
      </c>
      <c r="W206">
        <f t="shared" ca="1" si="48"/>
        <v>220.7111641966828</v>
      </c>
      <c r="X206">
        <f t="shared" ca="1" si="58"/>
        <v>217.10424514432194</v>
      </c>
      <c r="Y206">
        <f t="shared" ca="1" si="57"/>
        <v>3.68027377353323</v>
      </c>
      <c r="Z206">
        <f t="shared" ca="1" si="59"/>
        <v>2.8575326248994362</v>
      </c>
      <c r="AA206">
        <f t="shared" ca="1" si="60"/>
        <v>0.82274114863379388</v>
      </c>
      <c r="AB206">
        <f t="shared" ca="1" si="61"/>
        <v>209.20099999999985</v>
      </c>
    </row>
    <row r="207" spans="1:28" x14ac:dyDescent="0.25">
      <c r="A207" s="20">
        <f t="shared" ca="1" si="62"/>
        <v>45586</v>
      </c>
      <c r="B207" vm="612">
        <f ca="1"/>
        <v>45589</v>
      </c>
      <c r="C207" vm="613">
        <f ca="1"/>
        <v>224.98</v>
      </c>
      <c r="D207" vm="614">
        <f ca="1"/>
        <v>6002202</v>
      </c>
      <c r="E207">
        <f t="shared" ca="1" si="63"/>
        <v>1350375405.96</v>
      </c>
      <c r="F207">
        <f ca="1">SUM($E$2:E207)/SUM($D$2:D207)</f>
        <v>196.59409514002127</v>
      </c>
      <c r="G207">
        <f ca="1">_xlfn.STDEV.P($C$2:C207)</f>
        <v>15.031086703008926</v>
      </c>
      <c r="H207">
        <f t="shared" ca="1" si="64"/>
        <v>211.62518184303019</v>
      </c>
      <c r="I207">
        <f t="shared" ca="1" si="65"/>
        <v>181.56300843701234</v>
      </c>
      <c r="J207">
        <f t="shared" ca="1" si="53"/>
        <v>216.75899999999996</v>
      </c>
      <c r="K207">
        <f t="shared" ca="1" si="54"/>
        <v>7.2111637866501628</v>
      </c>
      <c r="L207">
        <f t="shared" ca="1" si="55"/>
        <v>231.18132757330028</v>
      </c>
      <c r="M207">
        <f t="shared" ca="1" si="56"/>
        <v>202.33667242669964</v>
      </c>
      <c r="N207">
        <f t="shared" ca="1" si="66"/>
        <v>1.5699999999999932</v>
      </c>
      <c r="O207">
        <f t="shared" ca="1" si="67"/>
        <v>1.5699999999999932</v>
      </c>
      <c r="P207">
        <f t="shared" ca="1" si="68"/>
        <v>0</v>
      </c>
      <c r="Q207">
        <f t="shared" ca="1" si="51"/>
        <v>1.1867261728952074</v>
      </c>
      <c r="R207">
        <f t="shared" ca="1" si="52"/>
        <v>0.61238997946795115</v>
      </c>
      <c r="S207">
        <f t="shared" ca="1" si="49"/>
        <v>1.9378602078470384</v>
      </c>
      <c r="T207">
        <f t="shared" ca="1" si="50"/>
        <v>65.961620728957925</v>
      </c>
      <c r="U207">
        <f>70</f>
        <v>70</v>
      </c>
      <c r="V207">
        <f>30</f>
        <v>30</v>
      </c>
      <c r="W207">
        <f t="shared" ref="W207:W270" ca="1" si="69">C207*(2/(12+1)) + W206*(1-(2/(12+1)))</f>
        <v>221.36790816642392</v>
      </c>
      <c r="X207">
        <f t="shared" ca="1" si="58"/>
        <v>217.68763439289069</v>
      </c>
      <c r="Y207">
        <f t="shared" ca="1" si="57"/>
        <v>3.4828135263203137</v>
      </c>
      <c r="Z207">
        <f t="shared" ca="1" si="59"/>
        <v>2.982588805183612</v>
      </c>
      <c r="AA207">
        <f t="shared" ca="1" si="60"/>
        <v>0.50022472113670169</v>
      </c>
      <c r="AB207">
        <f t="shared" ca="1" si="61"/>
        <v>209.43259999999987</v>
      </c>
    </row>
    <row r="208" spans="1:28" x14ac:dyDescent="0.25">
      <c r="A208" s="20">
        <f t="shared" ca="1" si="62"/>
        <v>45586</v>
      </c>
      <c r="B208" vm="615">
        <f ca="1"/>
        <v>45590</v>
      </c>
      <c r="C208" vm="616">
        <f ca="1"/>
        <v>222.31</v>
      </c>
      <c r="D208" vm="617">
        <f ca="1"/>
        <v>6369720</v>
      </c>
      <c r="E208">
        <f t="shared" ca="1" si="63"/>
        <v>1416052453.2</v>
      </c>
      <c r="F208">
        <f ca="1">SUM($E$2:E208)/SUM($D$2:D208)</f>
        <v>196.68147571143709</v>
      </c>
      <c r="G208">
        <f ca="1">_xlfn.STDEV.P($C$2:C208)</f>
        <v>15.091829124160739</v>
      </c>
      <c r="H208">
        <f t="shared" ca="1" si="64"/>
        <v>211.77330483559783</v>
      </c>
      <c r="I208">
        <f t="shared" ca="1" si="65"/>
        <v>181.58964658727635</v>
      </c>
      <c r="J208">
        <f t="shared" ca="1" si="53"/>
        <v>217.34949999999998</v>
      </c>
      <c r="K208">
        <f t="shared" ca="1" si="54"/>
        <v>7.154981683745727</v>
      </c>
      <c r="L208">
        <f t="shared" ca="1" si="55"/>
        <v>231.65946336749144</v>
      </c>
      <c r="M208">
        <f t="shared" ca="1" si="56"/>
        <v>203.03953663250851</v>
      </c>
      <c r="N208">
        <f t="shared" ca="1" si="66"/>
        <v>-2.6699999999999875</v>
      </c>
      <c r="O208">
        <f t="shared" ca="1" si="67"/>
        <v>0</v>
      </c>
      <c r="P208">
        <f t="shared" ca="1" si="68"/>
        <v>2.6699999999999875</v>
      </c>
      <c r="Q208">
        <f t="shared" ca="1" si="51"/>
        <v>1.1019600176884068</v>
      </c>
      <c r="R208">
        <f t="shared" ca="1" si="52"/>
        <v>0.75936212379166801</v>
      </c>
      <c r="S208">
        <f t="shared" ref="S208:S271" ca="1" si="70">IF(R208=0,NA(),Q208/R208)</f>
        <v>1.4511653704639225</v>
      </c>
      <c r="T208">
        <f t="shared" ref="T208:T271" ca="1" si="71">100-(100/(1+S208))</f>
        <v>59.203078990515685</v>
      </c>
      <c r="U208">
        <f>70</f>
        <v>70</v>
      </c>
      <c r="V208">
        <f>30</f>
        <v>30</v>
      </c>
      <c r="W208">
        <f t="shared" ca="1" si="69"/>
        <v>221.51284537158946</v>
      </c>
      <c r="X208">
        <f t="shared" ca="1" si="58"/>
        <v>218.03003184526915</v>
      </c>
      <c r="Y208">
        <f t="shared" ca="1" si="57"/>
        <v>3.5428909562666604</v>
      </c>
      <c r="Z208">
        <f t="shared" ca="1" si="59"/>
        <v>3.0946492354002215</v>
      </c>
      <c r="AA208">
        <f t="shared" ca="1" si="60"/>
        <v>0.44824172086643888</v>
      </c>
      <c r="AB208">
        <f t="shared" ca="1" si="61"/>
        <v>209.66409999999993</v>
      </c>
    </row>
    <row r="209" spans="1:28" x14ac:dyDescent="0.25">
      <c r="A209" s="20">
        <f t="shared" ca="1" si="62"/>
        <v>45593</v>
      </c>
      <c r="B209" vm="618">
        <f ca="1"/>
        <v>45593</v>
      </c>
      <c r="C209" vm="619">
        <f ca="1"/>
        <v>225.5</v>
      </c>
      <c r="D209" vm="620">
        <f ca="1"/>
        <v>6842956</v>
      </c>
      <c r="E209">
        <f t="shared" ca="1" si="63"/>
        <v>1543086578</v>
      </c>
      <c r="F209">
        <f ca="1">SUM($E$2:E209)/SUM($D$2:D209)</f>
        <v>196.7862912731475</v>
      </c>
      <c r="G209">
        <f ca="1">_xlfn.STDEV.P($C$2:C209)</f>
        <v>15.177121238813147</v>
      </c>
      <c r="H209">
        <f t="shared" ca="1" si="64"/>
        <v>211.96341251196066</v>
      </c>
      <c r="I209">
        <f t="shared" ca="1" si="65"/>
        <v>181.60917003433434</v>
      </c>
      <c r="J209">
        <f t="shared" ca="1" si="53"/>
        <v>218.08149999999995</v>
      </c>
      <c r="K209">
        <f t="shared" ca="1" si="54"/>
        <v>7.2048304520026889</v>
      </c>
      <c r="L209">
        <f t="shared" ca="1" si="55"/>
        <v>232.49116090400531</v>
      </c>
      <c r="M209">
        <f t="shared" ca="1" si="56"/>
        <v>203.67183909599459</v>
      </c>
      <c r="N209">
        <f t="shared" ca="1" si="66"/>
        <v>3.1899999999999977</v>
      </c>
      <c r="O209">
        <f t="shared" ca="1" si="67"/>
        <v>3.1899999999999977</v>
      </c>
      <c r="P209">
        <f t="shared" ca="1" si="68"/>
        <v>0</v>
      </c>
      <c r="Q209">
        <f t="shared" ref="Q209:Q272" ca="1" si="72">(Q208*13+O209)/14</f>
        <v>1.2511057307106632</v>
      </c>
      <c r="R209">
        <f t="shared" ref="R209:R272" ca="1" si="73">(R208*13+P209)/14</f>
        <v>0.70512197209226313</v>
      </c>
      <c r="S209">
        <f t="shared" ca="1" si="70"/>
        <v>1.7743110840785994</v>
      </c>
      <c r="T209">
        <f t="shared" ca="1" si="71"/>
        <v>63.95501550857557</v>
      </c>
      <c r="U209">
        <f>70</f>
        <v>70</v>
      </c>
      <c r="V209">
        <f>30</f>
        <v>30</v>
      </c>
      <c r="W209">
        <f t="shared" ca="1" si="69"/>
        <v>222.12625377596032</v>
      </c>
      <c r="X209">
        <f t="shared" ca="1" si="58"/>
        <v>218.58336281969366</v>
      </c>
      <c r="Y209">
        <f t="shared" ca="1" si="57"/>
        <v>3.3421779346432459</v>
      </c>
      <c r="Z209">
        <f t="shared" ca="1" si="59"/>
        <v>3.1441549752488269</v>
      </c>
      <c r="AA209">
        <f t="shared" ca="1" si="60"/>
        <v>0.19802295939441894</v>
      </c>
      <c r="AB209">
        <f t="shared" ca="1" si="61"/>
        <v>209.94649999999993</v>
      </c>
    </row>
    <row r="210" spans="1:28" x14ac:dyDescent="0.25">
      <c r="A210" s="20">
        <f t="shared" ca="1" si="62"/>
        <v>45593</v>
      </c>
      <c r="B210" vm="621">
        <f ca="1"/>
        <v>45594</v>
      </c>
      <c r="C210" vm="622">
        <f ca="1"/>
        <v>222.9</v>
      </c>
      <c r="D210" vm="623">
        <f ca="1"/>
        <v>6580004</v>
      </c>
      <c r="E210">
        <f t="shared" ca="1" si="63"/>
        <v>1466682891.6000001</v>
      </c>
      <c r="F210">
        <f ca="1">SUM($E$2:E210)/SUM($D$2:D210)</f>
        <v>196.87730120162419</v>
      </c>
      <c r="G210">
        <f ca="1">_xlfn.STDEV.P($C$2:C210)</f>
        <v>15.238637491406241</v>
      </c>
      <c r="H210">
        <f t="shared" ca="1" si="64"/>
        <v>212.11593869303044</v>
      </c>
      <c r="I210">
        <f t="shared" ca="1" si="65"/>
        <v>181.63866371021794</v>
      </c>
      <c r="J210">
        <f t="shared" ca="1" si="53"/>
        <v>218.87449999999998</v>
      </c>
      <c r="K210">
        <f t="shared" ca="1" si="54"/>
        <v>6.7862410919370326</v>
      </c>
      <c r="L210">
        <f t="shared" ca="1" si="55"/>
        <v>232.44698218387404</v>
      </c>
      <c r="M210">
        <f t="shared" ca="1" si="56"/>
        <v>205.30201781612593</v>
      </c>
      <c r="N210">
        <f t="shared" ca="1" si="66"/>
        <v>-2.5999999999999943</v>
      </c>
      <c r="O210">
        <f t="shared" ca="1" si="67"/>
        <v>0</v>
      </c>
      <c r="P210">
        <f t="shared" ca="1" si="68"/>
        <v>2.5999999999999943</v>
      </c>
      <c r="Q210">
        <f t="shared" ca="1" si="72"/>
        <v>1.1617410356599014</v>
      </c>
      <c r="R210">
        <f t="shared" ca="1" si="73"/>
        <v>0.84047040265710105</v>
      </c>
      <c r="S210">
        <f t="shared" ca="1" si="70"/>
        <v>1.3822509775324876</v>
      </c>
      <c r="T210">
        <f t="shared" ca="1" si="71"/>
        <v>58.022894756630969</v>
      </c>
      <c r="U210">
        <f>70</f>
        <v>70</v>
      </c>
      <c r="V210">
        <f>30</f>
        <v>30</v>
      </c>
      <c r="W210">
        <f t="shared" ca="1" si="69"/>
        <v>222.24529165658183</v>
      </c>
      <c r="X210">
        <f t="shared" ca="1" si="58"/>
        <v>218.90311372193858</v>
      </c>
      <c r="Y210">
        <f t="shared" ca="1" si="57"/>
        <v>3.2672924853981726</v>
      </c>
      <c r="Z210">
        <f t="shared" ca="1" si="59"/>
        <v>3.1687824772786963</v>
      </c>
      <c r="AA210">
        <f t="shared" ca="1" si="60"/>
        <v>9.85100081194763E-2</v>
      </c>
      <c r="AB210">
        <f t="shared" ca="1" si="61"/>
        <v>210.20639999999992</v>
      </c>
    </row>
    <row r="211" spans="1:28" x14ac:dyDescent="0.25">
      <c r="A211" s="20">
        <f t="shared" ca="1" si="62"/>
        <v>45593</v>
      </c>
      <c r="B211" vm="624">
        <f ca="1"/>
        <v>45595</v>
      </c>
      <c r="C211" vm="625">
        <f ca="1"/>
        <v>224.41</v>
      </c>
      <c r="D211" vm="626">
        <f ca="1"/>
        <v>7110941</v>
      </c>
      <c r="E211">
        <f t="shared" ca="1" si="63"/>
        <v>1595766269.8099999</v>
      </c>
      <c r="F211">
        <f ca="1">SUM($E$2:E211)/SUM($D$2:D211)</f>
        <v>196.98060999393203</v>
      </c>
      <c r="G211">
        <f ca="1">_xlfn.STDEV.P($C$2:C211)</f>
        <v>15.310384238651469</v>
      </c>
      <c r="H211">
        <f t="shared" ca="1" si="64"/>
        <v>212.2909942325835</v>
      </c>
      <c r="I211">
        <f t="shared" ca="1" si="65"/>
        <v>181.67022575528057</v>
      </c>
      <c r="J211">
        <f t="shared" ca="1" si="53"/>
        <v>219.73049999999995</v>
      </c>
      <c r="K211">
        <f t="shared" ca="1" si="54"/>
        <v>6.3112043016243824</v>
      </c>
      <c r="L211">
        <f t="shared" ca="1" si="55"/>
        <v>232.35290860324872</v>
      </c>
      <c r="M211">
        <f t="shared" ca="1" si="56"/>
        <v>207.10809139675118</v>
      </c>
      <c r="N211">
        <f t="shared" ca="1" si="66"/>
        <v>1.5099999999999909</v>
      </c>
      <c r="O211">
        <f t="shared" ca="1" si="67"/>
        <v>1.5099999999999909</v>
      </c>
      <c r="P211">
        <f t="shared" ca="1" si="68"/>
        <v>0</v>
      </c>
      <c r="Q211">
        <f t="shared" ca="1" si="72"/>
        <v>1.1866166759699079</v>
      </c>
      <c r="R211">
        <f t="shared" ca="1" si="73"/>
        <v>0.78043680246730818</v>
      </c>
      <c r="S211">
        <f t="shared" ca="1" si="70"/>
        <v>1.5204519728163566</v>
      </c>
      <c r="T211">
        <f t="shared" ca="1" si="71"/>
        <v>60.324576275000453</v>
      </c>
      <c r="U211">
        <f>70</f>
        <v>70</v>
      </c>
      <c r="V211">
        <f>30</f>
        <v>30</v>
      </c>
      <c r="W211">
        <f t="shared" ca="1" si="69"/>
        <v>222.57832370941537</v>
      </c>
      <c r="X211">
        <f t="shared" ca="1" si="58"/>
        <v>219.3110312240172</v>
      </c>
      <c r="Y211">
        <f t="shared" ca="1" si="57"/>
        <v>2.9727549683497898</v>
      </c>
      <c r="Z211">
        <f t="shared" ca="1" si="59"/>
        <v>3.129576975492915</v>
      </c>
      <c r="AA211">
        <f t="shared" ca="1" si="60"/>
        <v>-0.15682200714312522</v>
      </c>
      <c r="AB211">
        <f t="shared" ca="1" si="61"/>
        <v>210.45099999999994</v>
      </c>
    </row>
    <row r="212" spans="1:28" x14ac:dyDescent="0.25">
      <c r="A212" s="20">
        <f t="shared" ca="1" si="62"/>
        <v>45593</v>
      </c>
      <c r="B212" vm="627">
        <f ca="1"/>
        <v>45596</v>
      </c>
      <c r="C212" vm="628">
        <f ca="1"/>
        <v>221.92</v>
      </c>
      <c r="D212" vm="629">
        <f ca="1"/>
        <v>7829932</v>
      </c>
      <c r="E212">
        <f t="shared" ca="1" si="63"/>
        <v>1737618509.4399998</v>
      </c>
      <c r="F212">
        <f ca="1">SUM($E$2:E212)/SUM($D$2:D212)</f>
        <v>197.0832258809609</v>
      </c>
      <c r="G212">
        <f ca="1">_xlfn.STDEV.P($C$2:C212)</f>
        <v>15.361000843384092</v>
      </c>
      <c r="H212">
        <f t="shared" ca="1" si="64"/>
        <v>212.44422672434499</v>
      </c>
      <c r="I212">
        <f t="shared" ca="1" si="65"/>
        <v>181.72222503757681</v>
      </c>
      <c r="J212">
        <f t="shared" ca="1" si="53"/>
        <v>220.56499999999997</v>
      </c>
      <c r="K212">
        <f t="shared" ca="1" si="54"/>
        <v>5.3182718799882425</v>
      </c>
      <c r="L212">
        <f t="shared" ca="1" si="55"/>
        <v>231.20154375997646</v>
      </c>
      <c r="M212">
        <f t="shared" ca="1" si="56"/>
        <v>209.92845624002348</v>
      </c>
      <c r="N212">
        <f t="shared" ca="1" si="66"/>
        <v>-2.4900000000000091</v>
      </c>
      <c r="O212">
        <f t="shared" ca="1" si="67"/>
        <v>0</v>
      </c>
      <c r="P212">
        <f t="shared" ca="1" si="68"/>
        <v>2.4900000000000091</v>
      </c>
      <c r="Q212">
        <f t="shared" ca="1" si="72"/>
        <v>1.1018583419720573</v>
      </c>
      <c r="R212">
        <f t="shared" ca="1" si="73"/>
        <v>0.9025484594339297</v>
      </c>
      <c r="S212">
        <f t="shared" ca="1" si="70"/>
        <v>1.220830117712608</v>
      </c>
      <c r="T212">
        <f t="shared" ca="1" si="71"/>
        <v>54.971792212995936</v>
      </c>
      <c r="U212">
        <f>70</f>
        <v>70</v>
      </c>
      <c r="V212">
        <f>30</f>
        <v>30</v>
      </c>
      <c r="W212">
        <f t="shared" ca="1" si="69"/>
        <v>222.47704313873609</v>
      </c>
      <c r="X212">
        <f t="shared" ca="1" si="58"/>
        <v>219.5042881703863</v>
      </c>
      <c r="Y212">
        <f t="shared" ca="1" si="57"/>
        <v>2.7894819282879268</v>
      </c>
      <c r="Z212">
        <f t="shared" ca="1" si="59"/>
        <v>3.0615579660519177</v>
      </c>
      <c r="AA212">
        <f t="shared" ca="1" si="60"/>
        <v>-0.27207603776399081</v>
      </c>
      <c r="AB212">
        <f t="shared" ca="1" si="61"/>
        <v>210.67409999999992</v>
      </c>
    </row>
    <row r="213" spans="1:28" x14ac:dyDescent="0.25">
      <c r="A213" s="20">
        <f t="shared" ca="1" si="62"/>
        <v>45593</v>
      </c>
      <c r="B213" vm="630">
        <f ca="1"/>
        <v>45597</v>
      </c>
      <c r="C213" vm="631">
        <f ca="1"/>
        <v>222.94</v>
      </c>
      <c r="D213" vm="632">
        <f ca="1"/>
        <v>6923452</v>
      </c>
      <c r="E213">
        <f t="shared" ca="1" si="63"/>
        <v>1543514388.8799999</v>
      </c>
      <c r="F213">
        <f ca="1">SUM($E$2:E213)/SUM($D$2:D213)</f>
        <v>197.1769584683887</v>
      </c>
      <c r="G213">
        <f ca="1">_xlfn.STDEV.P($C$2:C213)</f>
        <v>15.417670370527334</v>
      </c>
      <c r="H213">
        <f t="shared" ca="1" si="64"/>
        <v>212.59462883891604</v>
      </c>
      <c r="I213">
        <f t="shared" ca="1" si="65"/>
        <v>181.75928809786137</v>
      </c>
      <c r="J213">
        <f t="shared" ca="1" si="53"/>
        <v>221.15099999999993</v>
      </c>
      <c r="K213">
        <f t="shared" ca="1" si="54"/>
        <v>4.8603659164825492</v>
      </c>
      <c r="L213">
        <f t="shared" ca="1" si="55"/>
        <v>230.87173183296503</v>
      </c>
      <c r="M213">
        <f t="shared" ca="1" si="56"/>
        <v>211.43026816703482</v>
      </c>
      <c r="N213">
        <f t="shared" ca="1" si="66"/>
        <v>1.0200000000000102</v>
      </c>
      <c r="O213">
        <f t="shared" ca="1" si="67"/>
        <v>1.0200000000000102</v>
      </c>
      <c r="P213">
        <f t="shared" ca="1" si="68"/>
        <v>0</v>
      </c>
      <c r="Q213">
        <f t="shared" ca="1" si="72"/>
        <v>1.0960113175454826</v>
      </c>
      <c r="R213">
        <f t="shared" ca="1" si="73"/>
        <v>0.83808071233150616</v>
      </c>
      <c r="S213">
        <f t="shared" ca="1" si="70"/>
        <v>1.3077634426121372</v>
      </c>
      <c r="T213">
        <f t="shared" ca="1" si="71"/>
        <v>56.668002381209888</v>
      </c>
      <c r="U213">
        <f>70</f>
        <v>70</v>
      </c>
      <c r="V213">
        <f>30</f>
        <v>30</v>
      </c>
      <c r="W213">
        <f t="shared" ca="1" si="69"/>
        <v>222.54826727123822</v>
      </c>
      <c r="X213">
        <f t="shared" ca="1" si="58"/>
        <v>219.75878534295029</v>
      </c>
      <c r="Y213">
        <f t="shared" ca="1" si="57"/>
        <v>2.3620231997119845</v>
      </c>
      <c r="Z213">
        <f t="shared" ca="1" si="59"/>
        <v>2.921651012783931</v>
      </c>
      <c r="AA213">
        <f t="shared" ca="1" si="60"/>
        <v>-0.55962781307194653</v>
      </c>
      <c r="AB213">
        <f t="shared" ca="1" si="61"/>
        <v>210.95989999999995</v>
      </c>
    </row>
    <row r="214" spans="1:28" x14ac:dyDescent="0.25">
      <c r="A214" s="20">
        <f t="shared" ca="1" si="62"/>
        <v>45600</v>
      </c>
      <c r="B214" vm="633">
        <f ca="1"/>
        <v>45600</v>
      </c>
      <c r="C214" vm="634">
        <f ca="1"/>
        <v>219.78</v>
      </c>
      <c r="D214" vm="635">
        <f ca="1"/>
        <v>8229588</v>
      </c>
      <c r="E214">
        <f t="shared" ca="1" si="63"/>
        <v>1808698850.6400001</v>
      </c>
      <c r="F214">
        <f ca="1">SUM($E$2:E214)/SUM($D$2:D214)</f>
        <v>197.27393602131031</v>
      </c>
      <c r="G214">
        <f ca="1">_xlfn.STDEV.P($C$2:C214)</f>
        <v>15.450800510268714</v>
      </c>
      <c r="H214">
        <f t="shared" ca="1" si="64"/>
        <v>212.72473653157903</v>
      </c>
      <c r="I214">
        <f t="shared" ca="1" si="65"/>
        <v>181.82313551104158</v>
      </c>
      <c r="J214">
        <f t="shared" ref="J214:J277" ca="1" si="74">AVERAGE(C195:C214)</f>
        <v>221.59349999999995</v>
      </c>
      <c r="K214">
        <f t="shared" ref="K214:K277" ca="1" si="75">_xlfn.STDEV.S(C195:C214)</f>
        <v>4.2447159411499662</v>
      </c>
      <c r="L214">
        <f t="shared" ref="L214:L277" ca="1" si="76">J214 + 2*K214</f>
        <v>230.08293188229987</v>
      </c>
      <c r="M214">
        <f t="shared" ref="M214:M277" ca="1" si="77">J214-2*K214</f>
        <v>213.10406811770002</v>
      </c>
      <c r="N214">
        <f t="shared" ca="1" si="66"/>
        <v>-3.1599999999999966</v>
      </c>
      <c r="O214">
        <f t="shared" ca="1" si="67"/>
        <v>0</v>
      </c>
      <c r="P214">
        <f t="shared" ca="1" si="68"/>
        <v>3.1599999999999966</v>
      </c>
      <c r="Q214">
        <f t="shared" ca="1" si="72"/>
        <v>1.0177247948636625</v>
      </c>
      <c r="R214">
        <f t="shared" ca="1" si="73"/>
        <v>1.0039320900221127</v>
      </c>
      <c r="S214">
        <f t="shared" ca="1" si="70"/>
        <v>1.0137386831028043</v>
      </c>
      <c r="T214">
        <f t="shared" ca="1" si="71"/>
        <v>50.341123781801613</v>
      </c>
      <c r="U214">
        <f>70</f>
        <v>70</v>
      </c>
      <c r="V214">
        <f>30</f>
        <v>30</v>
      </c>
      <c r="W214">
        <f t="shared" ca="1" si="69"/>
        <v>222.12237999874003</v>
      </c>
      <c r="X214">
        <f t="shared" ca="1" si="58"/>
        <v>219.76035679902805</v>
      </c>
      <c r="Y214">
        <f t="shared" ca="1" si="57"/>
        <v>2.1366122505460794</v>
      </c>
      <c r="Z214">
        <f t="shared" ca="1" si="59"/>
        <v>2.7646432603363609</v>
      </c>
      <c r="AA214">
        <f t="shared" ca="1" si="60"/>
        <v>-0.62803100979028148</v>
      </c>
      <c r="AB214">
        <f t="shared" ca="1" si="61"/>
        <v>211.24239999999992</v>
      </c>
    </row>
    <row r="215" spans="1:28" x14ac:dyDescent="0.25">
      <c r="A215" s="20">
        <f t="shared" ca="1" si="62"/>
        <v>45600</v>
      </c>
      <c r="B215" vm="636">
        <f ca="1"/>
        <v>45601</v>
      </c>
      <c r="C215" vm="637">
        <f ca="1"/>
        <v>221.49</v>
      </c>
      <c r="D215" vm="638">
        <f ca="1"/>
        <v>5600686</v>
      </c>
      <c r="E215">
        <f t="shared" ca="1" si="63"/>
        <v>1240495942.1400001</v>
      </c>
      <c r="F215">
        <f ca="1">SUM($E$2:E215)/SUM($D$2:D215)</f>
        <v>197.34443856356981</v>
      </c>
      <c r="G215">
        <f ca="1">_xlfn.STDEV.P($C$2:C215)</f>
        <v>15.494281620931289</v>
      </c>
      <c r="H215">
        <f t="shared" ca="1" si="64"/>
        <v>212.83872018450108</v>
      </c>
      <c r="I215">
        <f t="shared" ca="1" si="65"/>
        <v>181.85015694263853</v>
      </c>
      <c r="J215">
        <f t="shared" ca="1" si="74"/>
        <v>222.13049999999998</v>
      </c>
      <c r="K215">
        <f t="shared" ca="1" si="75"/>
        <v>3.3950156576648474</v>
      </c>
      <c r="L215">
        <f t="shared" ca="1" si="76"/>
        <v>228.92053131532967</v>
      </c>
      <c r="M215">
        <f t="shared" ca="1" si="77"/>
        <v>215.3404686846703</v>
      </c>
      <c r="N215">
        <f t="shared" ca="1" si="66"/>
        <v>1.710000000000008</v>
      </c>
      <c r="O215">
        <f t="shared" ca="1" si="67"/>
        <v>1.710000000000008</v>
      </c>
      <c r="P215">
        <f t="shared" ca="1" si="68"/>
        <v>0</v>
      </c>
      <c r="Q215">
        <f t="shared" ca="1" si="72"/>
        <v>1.067173023801973</v>
      </c>
      <c r="R215">
        <f t="shared" ca="1" si="73"/>
        <v>0.93222265502053325</v>
      </c>
      <c r="S215">
        <f t="shared" ca="1" si="70"/>
        <v>1.1447619493633387</v>
      </c>
      <c r="T215">
        <f t="shared" ca="1" si="71"/>
        <v>53.374778944728824</v>
      </c>
      <c r="U215">
        <f>70</f>
        <v>70</v>
      </c>
      <c r="V215">
        <f>30</f>
        <v>30</v>
      </c>
      <c r="W215">
        <f t="shared" ca="1" si="69"/>
        <v>222.02509076816463</v>
      </c>
      <c r="X215">
        <f t="shared" ca="1" si="58"/>
        <v>219.88847851761855</v>
      </c>
      <c r="Y215">
        <f t="shared" ca="1" si="57"/>
        <v>3.9754314527602901</v>
      </c>
      <c r="Z215">
        <f t="shared" ca="1" si="59"/>
        <v>3.0068008988211465</v>
      </c>
      <c r="AA215">
        <f t="shared" ca="1" si="60"/>
        <v>0.96863055393914355</v>
      </c>
      <c r="AB215">
        <f t="shared" ca="1" si="61"/>
        <v>211.52069999999992</v>
      </c>
    </row>
    <row r="216" spans="1:28" x14ac:dyDescent="0.25">
      <c r="A216" s="20">
        <f t="shared" ca="1" si="62"/>
        <v>45600</v>
      </c>
      <c r="B216" vm="639">
        <f ca="1"/>
        <v>45602</v>
      </c>
      <c r="C216" vm="640">
        <f ca="1"/>
        <v>247.06</v>
      </c>
      <c r="D216" vm="641">
        <f ca="1"/>
        <v>23987753</v>
      </c>
      <c r="E216">
        <f t="shared" ca="1" si="63"/>
        <v>5926414256.1800003</v>
      </c>
      <c r="F216">
        <f ca="1">SUM($E$2:E216)/SUM($D$2:D216)</f>
        <v>197.9567324994085</v>
      </c>
      <c r="G216">
        <f ca="1">_xlfn.STDEV.P($C$2:C216)</f>
        <v>15.806027874665062</v>
      </c>
      <c r="H216">
        <f t="shared" ca="1" si="64"/>
        <v>213.76276037407357</v>
      </c>
      <c r="I216">
        <f t="shared" ca="1" si="65"/>
        <v>182.15070462474344</v>
      </c>
      <c r="J216">
        <f t="shared" ca="1" si="74"/>
        <v>223.8125</v>
      </c>
      <c r="K216">
        <f t="shared" ca="1" si="75"/>
        <v>6.1044469338688705</v>
      </c>
      <c r="L216">
        <f t="shared" ca="1" si="76"/>
        <v>236.02139386773774</v>
      </c>
      <c r="M216">
        <f t="shared" ca="1" si="77"/>
        <v>211.60360613226226</v>
      </c>
      <c r="N216">
        <f t="shared" ca="1" si="66"/>
        <v>25.569999999999993</v>
      </c>
      <c r="O216">
        <f t="shared" ca="1" si="67"/>
        <v>25.569999999999993</v>
      </c>
      <c r="P216">
        <f t="shared" ca="1" si="68"/>
        <v>0</v>
      </c>
      <c r="Q216">
        <f t="shared" ca="1" si="72"/>
        <v>2.8173749506732597</v>
      </c>
      <c r="R216">
        <f t="shared" ca="1" si="73"/>
        <v>0.86563532251906661</v>
      </c>
      <c r="S216">
        <f t="shared" ca="1" si="70"/>
        <v>3.2546903729326546</v>
      </c>
      <c r="T216">
        <f t="shared" ca="1" si="71"/>
        <v>76.496527071352446</v>
      </c>
      <c r="U216">
        <f>70</f>
        <v>70</v>
      </c>
      <c r="V216">
        <f>30</f>
        <v>30</v>
      </c>
      <c r="W216">
        <f t="shared" ca="1" si="69"/>
        <v>225.87661526537005</v>
      </c>
      <c r="X216">
        <f t="shared" ca="1" si="58"/>
        <v>221.90118381260976</v>
      </c>
      <c r="Y216">
        <f t="shared" ca="1" si="57"/>
        <v>4.5188318937798613</v>
      </c>
      <c r="Z216">
        <f t="shared" ca="1" si="59"/>
        <v>3.30920709781289</v>
      </c>
      <c r="AA216">
        <f t="shared" ca="1" si="60"/>
        <v>1.2096247959669713</v>
      </c>
      <c r="AB216">
        <f t="shared" ca="1" si="61"/>
        <v>212.05349999999996</v>
      </c>
    </row>
    <row r="217" spans="1:28" x14ac:dyDescent="0.25">
      <c r="A217" s="20">
        <f t="shared" ca="1" si="62"/>
        <v>45600</v>
      </c>
      <c r="B217" vm="642">
        <f ca="1"/>
        <v>45603</v>
      </c>
      <c r="C217" vm="643">
        <f ca="1"/>
        <v>236.38</v>
      </c>
      <c r="D217" vm="644">
        <f ca="1"/>
        <v>16451071</v>
      </c>
      <c r="E217">
        <f t="shared" ca="1" si="63"/>
        <v>3888704162.98</v>
      </c>
      <c r="F217">
        <f ca="1">SUM($E$2:E217)/SUM($D$2:D217)</f>
        <v>198.27855298659085</v>
      </c>
      <c r="G217">
        <f ca="1">_xlfn.STDEV.P($C$2:C217)</f>
        <v>15.974197574038911</v>
      </c>
      <c r="H217">
        <f t="shared" ca="1" si="64"/>
        <v>214.25275056062975</v>
      </c>
      <c r="I217">
        <f t="shared" ca="1" si="65"/>
        <v>182.30435541255196</v>
      </c>
      <c r="J217">
        <f t="shared" ca="1" si="74"/>
        <v>224.98950000000005</v>
      </c>
      <c r="K217">
        <f t="shared" ca="1" si="75"/>
        <v>6.1467188294586137</v>
      </c>
      <c r="L217">
        <f t="shared" ca="1" si="76"/>
        <v>237.28293765891726</v>
      </c>
      <c r="M217">
        <f t="shared" ca="1" si="77"/>
        <v>212.69606234108284</v>
      </c>
      <c r="N217">
        <f t="shared" ca="1" si="66"/>
        <v>-10.680000000000007</v>
      </c>
      <c r="O217">
        <f t="shared" ca="1" si="67"/>
        <v>0</v>
      </c>
      <c r="P217">
        <f t="shared" ca="1" si="68"/>
        <v>10.680000000000007</v>
      </c>
      <c r="Q217">
        <f t="shared" ca="1" si="72"/>
        <v>2.6161338827680267</v>
      </c>
      <c r="R217">
        <f t="shared" ca="1" si="73"/>
        <v>1.5666613709105623</v>
      </c>
      <c r="S217">
        <f t="shared" ca="1" si="70"/>
        <v>1.6698783357679257</v>
      </c>
      <c r="T217">
        <f t="shared" ca="1" si="71"/>
        <v>62.545109767618897</v>
      </c>
      <c r="U217">
        <f>70</f>
        <v>70</v>
      </c>
      <c r="V217">
        <f>30</f>
        <v>30</v>
      </c>
      <c r="W217">
        <f t="shared" ca="1" si="69"/>
        <v>227.49252060915927</v>
      </c>
      <c r="X217">
        <f t="shared" ca="1" si="58"/>
        <v>222.97368871537941</v>
      </c>
      <c r="Y217">
        <f t="shared" ca="1" si="57"/>
        <v>4.9409395681538513</v>
      </c>
      <c r="Z217">
        <f t="shared" ca="1" si="59"/>
        <v>3.6355535918810826</v>
      </c>
      <c r="AA217">
        <f t="shared" ca="1" si="60"/>
        <v>1.3053859762727686</v>
      </c>
      <c r="AB217">
        <f t="shared" ca="1" si="61"/>
        <v>212.46749999999997</v>
      </c>
    </row>
    <row r="218" spans="1:28" x14ac:dyDescent="0.25">
      <c r="A218" s="20">
        <f t="shared" ca="1" si="62"/>
        <v>45600</v>
      </c>
      <c r="B218" vm="645">
        <f ca="1"/>
        <v>45604</v>
      </c>
      <c r="C218" vm="646">
        <f ca="1"/>
        <v>236.98</v>
      </c>
      <c r="D218" vm="647">
        <f ca="1"/>
        <v>9502100</v>
      </c>
      <c r="E218">
        <f t="shared" ca="1" si="63"/>
        <v>2251807658</v>
      </c>
      <c r="F218">
        <f ca="1">SUM($E$2:E218)/SUM($D$2:D218)</f>
        <v>198.46488010504052</v>
      </c>
      <c r="G218">
        <f ca="1">_xlfn.STDEV.P($C$2:C218)</f>
        <v>16.143667569648887</v>
      </c>
      <c r="H218">
        <f t="shared" ca="1" si="64"/>
        <v>214.60854767468942</v>
      </c>
      <c r="I218">
        <f t="shared" ca="1" si="65"/>
        <v>182.32121253539162</v>
      </c>
      <c r="J218">
        <f t="shared" ca="1" si="74"/>
        <v>225.72399999999999</v>
      </c>
      <c r="K218">
        <f t="shared" ca="1" si="75"/>
        <v>6.6631582522657267</v>
      </c>
      <c r="L218">
        <f t="shared" ca="1" si="76"/>
        <v>239.05031650453145</v>
      </c>
      <c r="M218">
        <f t="shared" ca="1" si="77"/>
        <v>212.39768349546853</v>
      </c>
      <c r="N218">
        <f t="shared" ca="1" si="66"/>
        <v>0.59999999999999432</v>
      </c>
      <c r="O218">
        <f t="shared" ca="1" si="67"/>
        <v>0.59999999999999432</v>
      </c>
      <c r="P218">
        <f t="shared" ca="1" si="68"/>
        <v>0</v>
      </c>
      <c r="Q218">
        <f t="shared" ca="1" si="72"/>
        <v>2.472124319713167</v>
      </c>
      <c r="R218">
        <f t="shared" ca="1" si="73"/>
        <v>1.4547569872740935</v>
      </c>
      <c r="S218">
        <f t="shared" ca="1" si="70"/>
        <v>1.6993383371510071</v>
      </c>
      <c r="T218">
        <f t="shared" ca="1" si="71"/>
        <v>62.953884430232591</v>
      </c>
      <c r="U218">
        <f>70</f>
        <v>70</v>
      </c>
      <c r="V218">
        <f>30</f>
        <v>30</v>
      </c>
      <c r="W218">
        <f t="shared" ca="1" si="69"/>
        <v>228.95213282313478</v>
      </c>
      <c r="X218">
        <f t="shared" ca="1" si="58"/>
        <v>224.01119325498092</v>
      </c>
      <c r="Y218">
        <f t="shared" ca="1" si="57"/>
        <v>5.3996172096929627</v>
      </c>
      <c r="Z218">
        <f t="shared" ca="1" si="59"/>
        <v>3.988366315443459</v>
      </c>
      <c r="AA218">
        <f t="shared" ca="1" si="60"/>
        <v>1.4112508942495037</v>
      </c>
      <c r="AB218">
        <f t="shared" ca="1" si="61"/>
        <v>212.86729999999997</v>
      </c>
    </row>
    <row r="219" spans="1:28" x14ac:dyDescent="0.25">
      <c r="A219" s="20">
        <f t="shared" ca="1" si="62"/>
        <v>45607</v>
      </c>
      <c r="B219" vm="648">
        <f ca="1"/>
        <v>45607</v>
      </c>
      <c r="C219" vm="649">
        <f ca="1"/>
        <v>239.29</v>
      </c>
      <c r="D219" vm="650">
        <f ca="1"/>
        <v>9017079</v>
      </c>
      <c r="E219">
        <f t="shared" ca="1" si="63"/>
        <v>2157696833.9099998</v>
      </c>
      <c r="F219">
        <f ca="1">SUM($E$2:E219)/SUM($D$2:D219)</f>
        <v>198.65055062663674</v>
      </c>
      <c r="G219">
        <f ca="1">_xlfn.STDEV.P($C$2:C219)</f>
        <v>16.333176232441641</v>
      </c>
      <c r="H219">
        <f t="shared" ca="1" si="64"/>
        <v>214.98372685907839</v>
      </c>
      <c r="I219">
        <f t="shared" ca="1" si="65"/>
        <v>182.3173743941951</v>
      </c>
      <c r="J219">
        <f t="shared" ca="1" si="74"/>
        <v>226.61450000000005</v>
      </c>
      <c r="K219">
        <f t="shared" ca="1" si="75"/>
        <v>7.2319499263229208</v>
      </c>
      <c r="L219">
        <f t="shared" ca="1" si="76"/>
        <v>241.0783998526459</v>
      </c>
      <c r="M219">
        <f t="shared" ca="1" si="77"/>
        <v>212.1506001473542</v>
      </c>
      <c r="N219">
        <f t="shared" ca="1" si="66"/>
        <v>2.3100000000000023</v>
      </c>
      <c r="O219">
        <f t="shared" ca="1" si="67"/>
        <v>2.3100000000000023</v>
      </c>
      <c r="P219">
        <f t="shared" ca="1" si="68"/>
        <v>0</v>
      </c>
      <c r="Q219">
        <f t="shared" ca="1" si="72"/>
        <v>2.4605440111622268</v>
      </c>
      <c r="R219">
        <f t="shared" ca="1" si="73"/>
        <v>1.3508457738973725</v>
      </c>
      <c r="S219">
        <f t="shared" ca="1" si="70"/>
        <v>1.82148403519317</v>
      </c>
      <c r="T219">
        <f t="shared" ca="1" si="71"/>
        <v>64.557658752389997</v>
      </c>
      <c r="U219">
        <f>70</f>
        <v>70</v>
      </c>
      <c r="V219">
        <f>30</f>
        <v>30</v>
      </c>
      <c r="W219">
        <f t="shared" ca="1" si="69"/>
        <v>230.54257392726788</v>
      </c>
      <c r="X219">
        <f t="shared" ca="1" si="58"/>
        <v>225.14295671757492</v>
      </c>
      <c r="Y219">
        <f t="shared" ca="1" si="57"/>
        <v>5.718984396543334</v>
      </c>
      <c r="Z219">
        <f t="shared" ca="1" si="59"/>
        <v>4.334489931663434</v>
      </c>
      <c r="AA219">
        <f t="shared" ca="1" si="60"/>
        <v>1.3844944648799</v>
      </c>
      <c r="AB219">
        <f t="shared" ca="1" si="61"/>
        <v>213.27349999999996</v>
      </c>
    </row>
    <row r="220" spans="1:28" x14ac:dyDescent="0.25">
      <c r="A220" s="20">
        <f t="shared" ca="1" si="62"/>
        <v>45607</v>
      </c>
      <c r="B220" vm="651">
        <f ca="1"/>
        <v>45608</v>
      </c>
      <c r="C220" vm="652">
        <f ca="1"/>
        <v>239.56</v>
      </c>
      <c r="D220" vm="653">
        <f ca="1"/>
        <v>6860956</v>
      </c>
      <c r="E220">
        <f t="shared" ca="1" si="63"/>
        <v>1643610619.3600001</v>
      </c>
      <c r="F220">
        <f ca="1">SUM($E$2:E220)/SUM($D$2:D220)</f>
        <v>198.79162808161718</v>
      </c>
      <c r="G220">
        <f ca="1">_xlfn.STDEV.P($C$2:C220)</f>
        <v>16.519764563513583</v>
      </c>
      <c r="H220">
        <f t="shared" ca="1" si="64"/>
        <v>215.31139264513075</v>
      </c>
      <c r="I220">
        <f t="shared" ca="1" si="65"/>
        <v>182.2718635181036</v>
      </c>
      <c r="J220">
        <f t="shared" ca="1" si="74"/>
        <v>227.47300000000004</v>
      </c>
      <c r="K220">
        <f t="shared" ca="1" si="75"/>
        <v>7.7075493408803597</v>
      </c>
      <c r="L220">
        <f t="shared" ca="1" si="76"/>
        <v>242.88809868176077</v>
      </c>
      <c r="M220">
        <f t="shared" ca="1" si="77"/>
        <v>212.05790131823932</v>
      </c>
      <c r="N220">
        <f t="shared" ca="1" si="66"/>
        <v>0.27000000000001023</v>
      </c>
      <c r="O220">
        <f t="shared" ca="1" si="67"/>
        <v>0.27000000000001023</v>
      </c>
      <c r="P220">
        <f t="shared" ca="1" si="68"/>
        <v>0</v>
      </c>
      <c r="Q220">
        <f t="shared" ca="1" si="72"/>
        <v>2.3040765817934967</v>
      </c>
      <c r="R220">
        <f t="shared" ca="1" si="73"/>
        <v>1.2543567900475601</v>
      </c>
      <c r="S220">
        <f t="shared" ca="1" si="70"/>
        <v>1.8368590181635127</v>
      </c>
      <c r="T220">
        <f t="shared" ca="1" si="71"/>
        <v>64.7497463357426</v>
      </c>
      <c r="U220">
        <f>70</f>
        <v>70</v>
      </c>
      <c r="V220">
        <f>30</f>
        <v>30</v>
      </c>
      <c r="W220">
        <f t="shared" ca="1" si="69"/>
        <v>231.92987024614976</v>
      </c>
      <c r="X220">
        <f t="shared" ca="1" si="58"/>
        <v>226.21088584960643</v>
      </c>
      <c r="Y220">
        <f t="shared" ref="Y220:Y283" ca="1" si="78">W221-X221</f>
        <v>6.0316625697561221</v>
      </c>
      <c r="Z220">
        <f t="shared" ca="1" si="59"/>
        <v>4.673924459281972</v>
      </c>
      <c r="AA220">
        <f t="shared" ca="1" si="60"/>
        <v>1.3577381104741502</v>
      </c>
      <c r="AB220">
        <f t="shared" ca="1" si="61"/>
        <v>213.70609999999999</v>
      </c>
    </row>
    <row r="221" spans="1:28" x14ac:dyDescent="0.25">
      <c r="A221" s="20">
        <f t="shared" ca="1" si="62"/>
        <v>45607</v>
      </c>
      <c r="B221" vm="654">
        <f ca="1"/>
        <v>45609</v>
      </c>
      <c r="C221" vm="655">
        <f ca="1"/>
        <v>241.16</v>
      </c>
      <c r="D221" vm="656">
        <f ca="1"/>
        <v>11472557</v>
      </c>
      <c r="E221">
        <f t="shared" ca="1" si="63"/>
        <v>2766721846.1199999</v>
      </c>
      <c r="F221">
        <f ca="1">SUM($E$2:E221)/SUM($D$2:D221)</f>
        <v>199.0345430057184</v>
      </c>
      <c r="G221">
        <f ca="1">_xlfn.STDEV.P($C$2:C221)</f>
        <v>16.718297491505012</v>
      </c>
      <c r="H221">
        <f t="shared" ca="1" si="64"/>
        <v>215.75284049722342</v>
      </c>
      <c r="I221">
        <f t="shared" ca="1" si="65"/>
        <v>182.31624551421339</v>
      </c>
      <c r="J221">
        <f t="shared" ca="1" si="74"/>
        <v>228.34900000000002</v>
      </c>
      <c r="K221">
        <f t="shared" ca="1" si="75"/>
        <v>8.2270880568240443</v>
      </c>
      <c r="L221">
        <f t="shared" ca="1" si="76"/>
        <v>244.80317611364811</v>
      </c>
      <c r="M221">
        <f t="shared" ca="1" si="77"/>
        <v>211.89482388635193</v>
      </c>
      <c r="N221">
        <f t="shared" ca="1" si="66"/>
        <v>1.5999999999999943</v>
      </c>
      <c r="O221">
        <f t="shared" ca="1" si="67"/>
        <v>1.5999999999999943</v>
      </c>
      <c r="P221">
        <f t="shared" ca="1" si="68"/>
        <v>0</v>
      </c>
      <c r="Q221">
        <f t="shared" ca="1" si="72"/>
        <v>2.2537853973796751</v>
      </c>
      <c r="R221">
        <f t="shared" ca="1" si="73"/>
        <v>1.1647598764727343</v>
      </c>
      <c r="S221">
        <f t="shared" ca="1" si="70"/>
        <v>1.9349785676038727</v>
      </c>
      <c r="T221">
        <f t="shared" ca="1" si="71"/>
        <v>65.928200940274536</v>
      </c>
      <c r="U221">
        <f>70</f>
        <v>70</v>
      </c>
      <c r="V221">
        <f>30</f>
        <v>30</v>
      </c>
      <c r="W221">
        <f t="shared" ca="1" si="69"/>
        <v>233.34989020828058</v>
      </c>
      <c r="X221">
        <f t="shared" ref="X221:X284" ca="1" si="79">C221*(2/(26+1)) + X220*(1-(2/(26+1)))</f>
        <v>227.31822763852446</v>
      </c>
      <c r="Y221">
        <f t="shared" ca="1" si="78"/>
        <v>6.2645396277461032</v>
      </c>
      <c r="Z221">
        <f t="shared" ca="1" si="59"/>
        <v>4.9920474929747982</v>
      </c>
      <c r="AA221">
        <f t="shared" ca="1" si="60"/>
        <v>1.272492134771305</v>
      </c>
      <c r="AB221">
        <f t="shared" ca="1" si="61"/>
        <v>214.12889999999999</v>
      </c>
    </row>
    <row r="222" spans="1:28" x14ac:dyDescent="0.25">
      <c r="A222" s="20">
        <f t="shared" ca="1" si="62"/>
        <v>45607</v>
      </c>
      <c r="B222" vm="657">
        <f ca="1"/>
        <v>45610</v>
      </c>
      <c r="C222" vm="658">
        <f ca="1"/>
        <v>241.87</v>
      </c>
      <c r="D222" vm="659">
        <f ca="1"/>
        <v>10172202</v>
      </c>
      <c r="E222">
        <f t="shared" ca="1" si="63"/>
        <v>2460350497.7400002</v>
      </c>
      <c r="F222">
        <f ca="1">SUM($E$2:E222)/SUM($D$2:D222)</f>
        <v>199.25119785432545</v>
      </c>
      <c r="G222">
        <f ca="1">_xlfn.STDEV.P($C$2:C222)</f>
        <v>16.918548277722834</v>
      </c>
      <c r="H222">
        <f t="shared" ca="1" si="64"/>
        <v>216.16974613204829</v>
      </c>
      <c r="I222">
        <f t="shared" ca="1" si="65"/>
        <v>182.33264957660262</v>
      </c>
      <c r="J222">
        <f t="shared" ca="1" si="74"/>
        <v>229.22150000000002</v>
      </c>
      <c r="K222">
        <f t="shared" ca="1" si="75"/>
        <v>8.7001810477229657</v>
      </c>
      <c r="L222">
        <f t="shared" ca="1" si="76"/>
        <v>246.62186209544595</v>
      </c>
      <c r="M222">
        <f t="shared" ca="1" si="77"/>
        <v>211.82113790455409</v>
      </c>
      <c r="N222">
        <f t="shared" ca="1" si="66"/>
        <v>0.71000000000000796</v>
      </c>
      <c r="O222">
        <f t="shared" ca="1" si="67"/>
        <v>0.71000000000000796</v>
      </c>
      <c r="P222">
        <f t="shared" ca="1" si="68"/>
        <v>0</v>
      </c>
      <c r="Q222">
        <f t="shared" ca="1" si="72"/>
        <v>2.1435150118525561</v>
      </c>
      <c r="R222">
        <f t="shared" ca="1" si="73"/>
        <v>1.0815627424389676</v>
      </c>
      <c r="S222">
        <f t="shared" ca="1" si="70"/>
        <v>1.9818683907498915</v>
      </c>
      <c r="T222">
        <f t="shared" ca="1" si="71"/>
        <v>66.463979325777146</v>
      </c>
      <c r="U222">
        <f>70</f>
        <v>70</v>
      </c>
      <c r="V222">
        <f>30</f>
        <v>30</v>
      </c>
      <c r="W222">
        <f t="shared" ca="1" si="69"/>
        <v>234.66067633008356</v>
      </c>
      <c r="X222">
        <f t="shared" ca="1" si="79"/>
        <v>228.39613670233746</v>
      </c>
      <c r="Y222">
        <f t="shared" ca="1" si="78"/>
        <v>6.6500183526357262</v>
      </c>
      <c r="Z222">
        <f t="shared" ca="1" si="59"/>
        <v>5.323641664906984</v>
      </c>
      <c r="AA222">
        <f t="shared" ca="1" si="60"/>
        <v>1.3263766877287422</v>
      </c>
      <c r="AB222">
        <f t="shared" ca="1" si="61"/>
        <v>214.56689999999998</v>
      </c>
    </row>
    <row r="223" spans="1:28" x14ac:dyDescent="0.25">
      <c r="A223" s="20">
        <f t="shared" ca="1" si="62"/>
        <v>45607</v>
      </c>
      <c r="B223" vm="660">
        <f ca="1"/>
        <v>45611</v>
      </c>
      <c r="C223" vm="661">
        <f ca="1"/>
        <v>245.31</v>
      </c>
      <c r="D223" vm="662">
        <f ca="1"/>
        <v>11518836</v>
      </c>
      <c r="E223">
        <f t="shared" ca="1" si="63"/>
        <v>2825685659.1599998</v>
      </c>
      <c r="F223">
        <f ca="1">SUM($E$2:E223)/SUM($D$2:D223)</f>
        <v>199.5134934377227</v>
      </c>
      <c r="G223">
        <f ca="1">_xlfn.STDEV.P($C$2:C223)</f>
        <v>17.151910692532006</v>
      </c>
      <c r="H223">
        <f t="shared" ca="1" si="64"/>
        <v>216.6654041302547</v>
      </c>
      <c r="I223">
        <f t="shared" ca="1" si="65"/>
        <v>182.3615827451907</v>
      </c>
      <c r="J223">
        <f t="shared" ca="1" si="74"/>
        <v>230.21850000000003</v>
      </c>
      <c r="K223">
        <f t="shared" ca="1" si="75"/>
        <v>9.3535680076473593</v>
      </c>
      <c r="L223">
        <f t="shared" ca="1" si="76"/>
        <v>248.92563601529474</v>
      </c>
      <c r="M223">
        <f t="shared" ca="1" si="77"/>
        <v>211.51136398470533</v>
      </c>
      <c r="N223">
        <f t="shared" ca="1" si="66"/>
        <v>3.4399999999999977</v>
      </c>
      <c r="O223">
        <f t="shared" ca="1" si="67"/>
        <v>3.4399999999999977</v>
      </c>
      <c r="P223">
        <f t="shared" ca="1" si="68"/>
        <v>0</v>
      </c>
      <c r="Q223">
        <f t="shared" ca="1" si="72"/>
        <v>2.2361210824345163</v>
      </c>
      <c r="R223">
        <f t="shared" ca="1" si="73"/>
        <v>1.0043082608361842</v>
      </c>
      <c r="S223">
        <f t="shared" ca="1" si="70"/>
        <v>2.2265286163958549</v>
      </c>
      <c r="T223">
        <f t="shared" ca="1" si="71"/>
        <v>69.006938450245798</v>
      </c>
      <c r="U223">
        <f>70</f>
        <v>70</v>
      </c>
      <c r="V223">
        <f>30</f>
        <v>30</v>
      </c>
      <c r="W223">
        <f t="shared" ca="1" si="69"/>
        <v>236.29903381776302</v>
      </c>
      <c r="X223">
        <f t="shared" ca="1" si="79"/>
        <v>229.64901546512729</v>
      </c>
      <c r="Y223">
        <f t="shared" ca="1" si="78"/>
        <v>6.8539117313653435</v>
      </c>
      <c r="Z223">
        <f t="shared" ca="1" si="59"/>
        <v>5.6296956781986562</v>
      </c>
      <c r="AA223">
        <f t="shared" ca="1" si="60"/>
        <v>1.2242160531666872</v>
      </c>
      <c r="AB223">
        <f t="shared" ca="1" si="61"/>
        <v>215.04570000000001</v>
      </c>
    </row>
    <row r="224" spans="1:28" x14ac:dyDescent="0.25">
      <c r="A224" s="20">
        <f t="shared" ca="1" si="62"/>
        <v>45614</v>
      </c>
      <c r="B224" vm="663">
        <f ca="1"/>
        <v>45614</v>
      </c>
      <c r="C224" vm="664">
        <f ca="1"/>
        <v>245.03</v>
      </c>
      <c r="D224" vm="665">
        <f ca="1"/>
        <v>9052575</v>
      </c>
      <c r="E224">
        <f t="shared" ca="1" si="63"/>
        <v>2218152452.25</v>
      </c>
      <c r="F224">
        <f ca="1">SUM($E$2:E224)/SUM($D$2:D224)</f>
        <v>199.71629507073624</v>
      </c>
      <c r="G224">
        <f ca="1">_xlfn.STDEV.P($C$2:C224)</f>
        <v>17.374474882127188</v>
      </c>
      <c r="H224">
        <f t="shared" ca="1" si="64"/>
        <v>217.09076995286341</v>
      </c>
      <c r="I224">
        <f t="shared" ca="1" si="65"/>
        <v>182.34182018860906</v>
      </c>
      <c r="J224">
        <f t="shared" ca="1" si="74"/>
        <v>231.32000000000002</v>
      </c>
      <c r="K224">
        <f t="shared" ca="1" si="75"/>
        <v>9.7476129331614754</v>
      </c>
      <c r="L224">
        <f t="shared" ca="1" si="76"/>
        <v>250.81522586632298</v>
      </c>
      <c r="M224">
        <f t="shared" ca="1" si="77"/>
        <v>211.82477413367707</v>
      </c>
      <c r="N224">
        <f t="shared" ca="1" si="66"/>
        <v>-0.28000000000000114</v>
      </c>
      <c r="O224">
        <f t="shared" ca="1" si="67"/>
        <v>0</v>
      </c>
      <c r="P224">
        <f t="shared" ca="1" si="68"/>
        <v>0.28000000000000114</v>
      </c>
      <c r="Q224">
        <f t="shared" ca="1" si="72"/>
        <v>2.0763981479749081</v>
      </c>
      <c r="R224">
        <f t="shared" ca="1" si="73"/>
        <v>0.95257195649074256</v>
      </c>
      <c r="S224">
        <f t="shared" ca="1" si="70"/>
        <v>2.1797808909096172</v>
      </c>
      <c r="T224">
        <f t="shared" ca="1" si="71"/>
        <v>68.551292233411175</v>
      </c>
      <c r="U224">
        <f>70</f>
        <v>70</v>
      </c>
      <c r="V224">
        <f>30</f>
        <v>30</v>
      </c>
      <c r="W224">
        <f t="shared" ca="1" si="69"/>
        <v>237.642259384261</v>
      </c>
      <c r="X224">
        <f t="shared" ca="1" si="79"/>
        <v>230.78834765289565</v>
      </c>
      <c r="Y224">
        <f t="shared" ca="1" si="78"/>
        <v>6.7807921650553453</v>
      </c>
      <c r="Z224">
        <f t="shared" ca="1" si="59"/>
        <v>5.8599149755699944</v>
      </c>
      <c r="AA224">
        <f t="shared" ca="1" si="60"/>
        <v>0.92087718948535091</v>
      </c>
      <c r="AB224">
        <f t="shared" ca="1" si="61"/>
        <v>215.5043</v>
      </c>
    </row>
    <row r="225" spans="1:28" x14ac:dyDescent="0.25">
      <c r="A225" s="20">
        <f t="shared" ca="1" si="62"/>
        <v>45614</v>
      </c>
      <c r="B225" vm="666">
        <f ca="1"/>
        <v>45615</v>
      </c>
      <c r="C225" vm="667">
        <f ca="1"/>
        <v>243.09</v>
      </c>
      <c r="D225" vm="668">
        <f ca="1"/>
        <v>6792660</v>
      </c>
      <c r="E225">
        <f t="shared" ca="1" si="63"/>
        <v>1651227719.4000001</v>
      </c>
      <c r="F225">
        <f ca="1">SUM($E$2:E225)/SUM($D$2:D225)</f>
        <v>199.86082149355448</v>
      </c>
      <c r="G225">
        <f ca="1">_xlfn.STDEV.P($C$2:C225)</f>
        <v>17.568547303368181</v>
      </c>
      <c r="H225">
        <f t="shared" ca="1" si="64"/>
        <v>217.42936879692266</v>
      </c>
      <c r="I225">
        <f t="shared" ca="1" si="65"/>
        <v>182.2922741901863</v>
      </c>
      <c r="J225">
        <f t="shared" ca="1" si="74"/>
        <v>232.26849999999999</v>
      </c>
      <c r="K225">
        <f t="shared" ca="1" si="75"/>
        <v>9.9313513550192205</v>
      </c>
      <c r="L225">
        <f t="shared" ca="1" si="76"/>
        <v>252.13120271003842</v>
      </c>
      <c r="M225">
        <f t="shared" ca="1" si="77"/>
        <v>212.40579728996155</v>
      </c>
      <c r="N225">
        <f t="shared" ca="1" si="66"/>
        <v>-1.9399999999999977</v>
      </c>
      <c r="O225">
        <f t="shared" ca="1" si="67"/>
        <v>0</v>
      </c>
      <c r="P225">
        <f t="shared" ca="1" si="68"/>
        <v>1.9399999999999977</v>
      </c>
      <c r="Q225">
        <f t="shared" ca="1" si="72"/>
        <v>1.9280839945481287</v>
      </c>
      <c r="R225">
        <f t="shared" ca="1" si="73"/>
        <v>1.0231025310271178</v>
      </c>
      <c r="S225">
        <f t="shared" ca="1" si="70"/>
        <v>1.8845462073214478</v>
      </c>
      <c r="T225">
        <f t="shared" ca="1" si="71"/>
        <v>65.332501956049896</v>
      </c>
      <c r="U225">
        <f>70</f>
        <v>70</v>
      </c>
      <c r="V225">
        <f>30</f>
        <v>30</v>
      </c>
      <c r="W225">
        <f t="shared" ca="1" si="69"/>
        <v>238.48037332514392</v>
      </c>
      <c r="X225">
        <f t="shared" ca="1" si="79"/>
        <v>231.69958116008857</v>
      </c>
      <c r="Y225">
        <f t="shared" ca="1" si="78"/>
        <v>6.4619572664927603</v>
      </c>
      <c r="Z225">
        <f t="shared" ca="1" si="59"/>
        <v>5.9803234337545472</v>
      </c>
      <c r="AA225">
        <f t="shared" ca="1" si="60"/>
        <v>0.48163383273821303</v>
      </c>
      <c r="AB225">
        <f t="shared" ca="1" si="61"/>
        <v>215.91260000000003</v>
      </c>
    </row>
    <row r="226" spans="1:28" x14ac:dyDescent="0.25">
      <c r="A226" s="20">
        <f t="shared" ca="1" si="62"/>
        <v>45614</v>
      </c>
      <c r="B226" vm="669">
        <f ca="1"/>
        <v>45616</v>
      </c>
      <c r="C226" vm="670">
        <f ca="1"/>
        <v>240.78</v>
      </c>
      <c r="D226" vm="671">
        <f ca="1"/>
        <v>9015290</v>
      </c>
      <c r="E226">
        <f t="shared" ca="1" si="63"/>
        <v>2170701526.1999998</v>
      </c>
      <c r="F226">
        <f ca="1">SUM($E$2:E226)/SUM($D$2:D226)</f>
        <v>200.0409867578048</v>
      </c>
      <c r="G226">
        <f ca="1">_xlfn.STDEV.P($C$2:C226)</f>
        <v>17.732917521385101</v>
      </c>
      <c r="H226">
        <f t="shared" ca="1" si="64"/>
        <v>217.77390427918991</v>
      </c>
      <c r="I226">
        <f t="shared" ca="1" si="65"/>
        <v>182.3080692364197</v>
      </c>
      <c r="J226">
        <f t="shared" ca="1" si="74"/>
        <v>233.137</v>
      </c>
      <c r="K226">
        <f t="shared" ca="1" si="75"/>
        <v>9.8752476851016393</v>
      </c>
      <c r="L226">
        <f t="shared" ca="1" si="76"/>
        <v>252.88749537020328</v>
      </c>
      <c r="M226">
        <f t="shared" ca="1" si="77"/>
        <v>213.38650462979672</v>
      </c>
      <c r="N226">
        <f t="shared" ca="1" si="66"/>
        <v>-2.3100000000000023</v>
      </c>
      <c r="O226">
        <f t="shared" ca="1" si="67"/>
        <v>0</v>
      </c>
      <c r="P226">
        <f t="shared" ca="1" si="68"/>
        <v>2.3100000000000023</v>
      </c>
      <c r="Q226">
        <f t="shared" ca="1" si="72"/>
        <v>1.7903637092232625</v>
      </c>
      <c r="R226">
        <f t="shared" ca="1" si="73"/>
        <v>1.1150237788108952</v>
      </c>
      <c r="S226">
        <f t="shared" ca="1" si="70"/>
        <v>1.6056731194850178</v>
      </c>
      <c r="T226">
        <f t="shared" ca="1" si="71"/>
        <v>61.622200708059694</v>
      </c>
      <c r="U226">
        <f>70</f>
        <v>70</v>
      </c>
      <c r="V226">
        <f>30</f>
        <v>30</v>
      </c>
      <c r="W226">
        <f t="shared" ca="1" si="69"/>
        <v>238.83416204435252</v>
      </c>
      <c r="X226">
        <f t="shared" ca="1" si="79"/>
        <v>232.37220477785976</v>
      </c>
      <c r="Y226">
        <f t="shared" ca="1" si="78"/>
        <v>6.4560101833853878</v>
      </c>
      <c r="Z226">
        <f t="shared" ca="1" si="59"/>
        <v>6.0754607836807155</v>
      </c>
      <c r="AA226">
        <f t="shared" ca="1" si="60"/>
        <v>0.38054939970467228</v>
      </c>
      <c r="AB226">
        <f t="shared" ca="1" si="61"/>
        <v>216.26589999999999</v>
      </c>
    </row>
    <row r="227" spans="1:28" x14ac:dyDescent="0.25">
      <c r="A227" s="20">
        <f t="shared" ca="1" si="62"/>
        <v>45614</v>
      </c>
      <c r="B227" vm="672">
        <f ca="1"/>
        <v>45617</v>
      </c>
      <c r="C227" vm="673">
        <f ca="1"/>
        <v>244.76</v>
      </c>
      <c r="D227" vm="674">
        <f ca="1"/>
        <v>8783516</v>
      </c>
      <c r="E227">
        <f t="shared" ca="1" si="63"/>
        <v>2149853376.1599998</v>
      </c>
      <c r="F227">
        <f ca="1">SUM($E$2:E227)/SUM($D$2:D227)</f>
        <v>200.23200112325188</v>
      </c>
      <c r="G227">
        <f ca="1">_xlfn.STDEV.P($C$2:C227)</f>
        <v>17.93376132308661</v>
      </c>
      <c r="H227">
        <f t="shared" ca="1" si="64"/>
        <v>218.16576244633848</v>
      </c>
      <c r="I227">
        <f t="shared" ca="1" si="65"/>
        <v>182.29823980016528</v>
      </c>
      <c r="J227">
        <f t="shared" ca="1" si="74"/>
        <v>234.12599999999998</v>
      </c>
      <c r="K227">
        <f t="shared" ca="1" si="75"/>
        <v>10.004958980951711</v>
      </c>
      <c r="L227">
        <f t="shared" ca="1" si="76"/>
        <v>254.1359179619034</v>
      </c>
      <c r="M227">
        <f t="shared" ca="1" si="77"/>
        <v>214.11608203809655</v>
      </c>
      <c r="N227">
        <f t="shared" ca="1" si="66"/>
        <v>3.9799999999999898</v>
      </c>
      <c r="O227">
        <f t="shared" ca="1" si="67"/>
        <v>3.9799999999999898</v>
      </c>
      <c r="P227">
        <f t="shared" ca="1" si="68"/>
        <v>0</v>
      </c>
      <c r="Q227">
        <f t="shared" ca="1" si="72"/>
        <v>1.9467663014216003</v>
      </c>
      <c r="R227">
        <f t="shared" ca="1" si="73"/>
        <v>1.0353792231815455</v>
      </c>
      <c r="S227">
        <f t="shared" ca="1" si="70"/>
        <v>1.8802447043890993</v>
      </c>
      <c r="T227">
        <f t="shared" ca="1" si="71"/>
        <v>65.280727763299524</v>
      </c>
      <c r="U227">
        <f>70</f>
        <v>70</v>
      </c>
      <c r="V227">
        <f>30</f>
        <v>30</v>
      </c>
      <c r="W227">
        <f t="shared" ca="1" si="69"/>
        <v>239.74582942214442</v>
      </c>
      <c r="X227">
        <f t="shared" ca="1" si="79"/>
        <v>233.28981923875904</v>
      </c>
      <c r="Y227">
        <f t="shared" ca="1" si="78"/>
        <v>6.6801142045019901</v>
      </c>
      <c r="Z227">
        <f t="shared" ca="1" si="59"/>
        <v>6.196391467844971</v>
      </c>
      <c r="AA227">
        <f t="shared" ca="1" si="60"/>
        <v>0.48372273665701915</v>
      </c>
      <c r="AB227">
        <f t="shared" ca="1" si="61"/>
        <v>216.62520000000001</v>
      </c>
    </row>
    <row r="228" spans="1:28" x14ac:dyDescent="0.25">
      <c r="A228" s="20">
        <f t="shared" ca="1" si="62"/>
        <v>45614</v>
      </c>
      <c r="B228" vm="675">
        <f ca="1"/>
        <v>45618</v>
      </c>
      <c r="C228" vm="676">
        <f ca="1"/>
        <v>248.55</v>
      </c>
      <c r="D228" vm="677">
        <f ca="1"/>
        <v>7997307</v>
      </c>
      <c r="E228">
        <f t="shared" ca="1" si="63"/>
        <v>1987730654.8500001</v>
      </c>
      <c r="F228">
        <f ca="1">SUM($E$2:E228)/SUM($D$2:D228)</f>
        <v>200.41918670334422</v>
      </c>
      <c r="G228">
        <f ca="1">_xlfn.STDEV.P($C$2:C228)</f>
        <v>18.170487782905095</v>
      </c>
      <c r="H228">
        <f t="shared" ca="1" si="64"/>
        <v>218.58967448624932</v>
      </c>
      <c r="I228">
        <f t="shared" ca="1" si="65"/>
        <v>182.24869892043913</v>
      </c>
      <c r="J228">
        <f t="shared" ca="1" si="74"/>
        <v>235.43800000000002</v>
      </c>
      <c r="K228">
        <f t="shared" ca="1" si="75"/>
        <v>10.094010522138989</v>
      </c>
      <c r="L228">
        <f t="shared" ca="1" si="76"/>
        <v>255.62602104427799</v>
      </c>
      <c r="M228">
        <f t="shared" ca="1" si="77"/>
        <v>215.24997895572204</v>
      </c>
      <c r="N228">
        <f t="shared" ca="1" si="66"/>
        <v>3.7900000000000205</v>
      </c>
      <c r="O228">
        <f t="shared" ca="1" si="67"/>
        <v>3.7900000000000205</v>
      </c>
      <c r="P228">
        <f t="shared" ca="1" si="68"/>
        <v>0</v>
      </c>
      <c r="Q228">
        <f t="shared" ca="1" si="72"/>
        <v>2.0784258513200586</v>
      </c>
      <c r="R228">
        <f t="shared" ca="1" si="73"/>
        <v>0.96142356438286369</v>
      </c>
      <c r="S228">
        <f t="shared" ca="1" si="70"/>
        <v>2.1618212079648753</v>
      </c>
      <c r="T228">
        <f t="shared" ca="1" si="71"/>
        <v>68.372658217329885</v>
      </c>
      <c r="U228">
        <f>70</f>
        <v>70</v>
      </c>
      <c r="V228">
        <f>30</f>
        <v>30</v>
      </c>
      <c r="W228">
        <f t="shared" ca="1" si="69"/>
        <v>241.10031720335297</v>
      </c>
      <c r="X228">
        <f t="shared" ca="1" si="79"/>
        <v>234.42020299885098</v>
      </c>
      <c r="Y228">
        <f t="shared" ca="1" si="78"/>
        <v>6.9183710392287026</v>
      </c>
      <c r="Z228">
        <f t="shared" ca="1" si="59"/>
        <v>6.340787382121718</v>
      </c>
      <c r="AA228">
        <f t="shared" ca="1" si="60"/>
        <v>0.57758365710698456</v>
      </c>
      <c r="AB228">
        <f t="shared" ca="1" si="61"/>
        <v>217.02380000000002</v>
      </c>
    </row>
    <row r="229" spans="1:28" x14ac:dyDescent="0.25">
      <c r="A229" s="20">
        <f t="shared" ca="1" si="62"/>
        <v>45621</v>
      </c>
      <c r="B229" vm="678">
        <f ca="1"/>
        <v>45621</v>
      </c>
      <c r="C229" vm="679">
        <f ca="1"/>
        <v>250.29</v>
      </c>
      <c r="D229" vm="680">
        <f ca="1"/>
        <v>10295350</v>
      </c>
      <c r="E229">
        <f t="shared" ca="1" si="63"/>
        <v>2576823151.5</v>
      </c>
      <c r="F229">
        <f ca="1">SUM($E$2:E229)/SUM($D$2:D229)</f>
        <v>200.66667045912251</v>
      </c>
      <c r="G229">
        <f ca="1">_xlfn.STDEV.P($C$2:C229)</f>
        <v>18.419712119301458</v>
      </c>
      <c r="H229">
        <f t="shared" ca="1" si="64"/>
        <v>219.08638257842398</v>
      </c>
      <c r="I229">
        <f t="shared" ca="1" si="65"/>
        <v>182.24695833982105</v>
      </c>
      <c r="J229">
        <f t="shared" ca="1" si="74"/>
        <v>236.67750000000001</v>
      </c>
      <c r="K229">
        <f t="shared" ca="1" si="75"/>
        <v>10.328761007370071</v>
      </c>
      <c r="L229">
        <f t="shared" ca="1" si="76"/>
        <v>257.33502201474016</v>
      </c>
      <c r="M229">
        <f t="shared" ca="1" si="77"/>
        <v>216.01997798525986</v>
      </c>
      <c r="N229">
        <f t="shared" ca="1" si="66"/>
        <v>1.7399999999999807</v>
      </c>
      <c r="O229">
        <f t="shared" ca="1" si="67"/>
        <v>1.7399999999999807</v>
      </c>
      <c r="P229">
        <f t="shared" ca="1" si="68"/>
        <v>0</v>
      </c>
      <c r="Q229">
        <f t="shared" ca="1" si="72"/>
        <v>2.0542525762257671</v>
      </c>
      <c r="R229">
        <f t="shared" ca="1" si="73"/>
        <v>0.89275045264123054</v>
      </c>
      <c r="S229">
        <f t="shared" ca="1" si="70"/>
        <v>2.3010378433841123</v>
      </c>
      <c r="T229">
        <f t="shared" ca="1" si="71"/>
        <v>69.706496942948291</v>
      </c>
      <c r="U229">
        <f>70</f>
        <v>70</v>
      </c>
      <c r="V229">
        <f>30</f>
        <v>30</v>
      </c>
      <c r="W229">
        <f t="shared" ca="1" si="69"/>
        <v>242.5141145566833</v>
      </c>
      <c r="X229">
        <f t="shared" ca="1" si="79"/>
        <v>235.59574351745459</v>
      </c>
      <c r="Y229">
        <f t="shared" ca="1" si="78"/>
        <v>7.000670598752663</v>
      </c>
      <c r="Z229">
        <f t="shared" ca="1" si="59"/>
        <v>6.4727640254479075</v>
      </c>
      <c r="AA229">
        <f t="shared" ca="1" si="60"/>
        <v>0.52790657330475543</v>
      </c>
      <c r="AB229">
        <f t="shared" ca="1" si="61"/>
        <v>217.47880000000004</v>
      </c>
    </row>
    <row r="230" spans="1:28" x14ac:dyDescent="0.25">
      <c r="A230" s="20">
        <f t="shared" ca="1" si="62"/>
        <v>45621</v>
      </c>
      <c r="B230" vm="681">
        <f ca="1"/>
        <v>45622</v>
      </c>
      <c r="C230" vm="682">
        <f ca="1"/>
        <v>249.97</v>
      </c>
      <c r="D230" vm="683">
        <f ca="1"/>
        <v>6212142</v>
      </c>
      <c r="E230">
        <f t="shared" ca="1" si="63"/>
        <v>1552849135.74</v>
      </c>
      <c r="F230">
        <f ca="1">SUM($E$2:E230)/SUM($D$2:D230)</f>
        <v>200.81386044882726</v>
      </c>
      <c r="G230">
        <f ca="1">_xlfn.STDEV.P($C$2:C230)</f>
        <v>18.657373750021542</v>
      </c>
      <c r="H230">
        <f t="shared" ca="1" si="64"/>
        <v>219.4712341988488</v>
      </c>
      <c r="I230">
        <f t="shared" ca="1" si="65"/>
        <v>182.15648669880571</v>
      </c>
      <c r="J230">
        <f t="shared" ca="1" si="74"/>
        <v>238.03100000000003</v>
      </c>
      <c r="K230">
        <f t="shared" ca="1" si="75"/>
        <v>10.201172739599986</v>
      </c>
      <c r="L230">
        <f t="shared" ca="1" si="76"/>
        <v>258.4333454792</v>
      </c>
      <c r="M230">
        <f t="shared" ca="1" si="77"/>
        <v>217.62865452080007</v>
      </c>
      <c r="N230">
        <f t="shared" ca="1" si="66"/>
        <v>-0.31999999999999318</v>
      </c>
      <c r="O230">
        <f t="shared" ca="1" si="67"/>
        <v>0</v>
      </c>
      <c r="P230">
        <f t="shared" ca="1" si="68"/>
        <v>0.31999999999999318</v>
      </c>
      <c r="Q230">
        <f t="shared" ca="1" si="72"/>
        <v>1.9075202493524979</v>
      </c>
      <c r="R230">
        <f t="shared" ca="1" si="73"/>
        <v>0.85183970602399928</v>
      </c>
      <c r="S230">
        <f t="shared" ca="1" si="70"/>
        <v>2.239294829605837</v>
      </c>
      <c r="T230">
        <f t="shared" ca="1" si="71"/>
        <v>69.129083562866626</v>
      </c>
      <c r="U230">
        <f>70</f>
        <v>70</v>
      </c>
      <c r="V230">
        <f>30</f>
        <v>30</v>
      </c>
      <c r="W230">
        <f t="shared" ca="1" si="69"/>
        <v>243.66117385565508</v>
      </c>
      <c r="X230">
        <f t="shared" ca="1" si="79"/>
        <v>236.66050325690242</v>
      </c>
      <c r="Y230">
        <f t="shared" ca="1" si="78"/>
        <v>6.971011614348356</v>
      </c>
      <c r="Z230">
        <f t="shared" ref="Z230:Z293" ca="1" si="80">Y230*(2/(9+1)) + Z229*(1-(2/(9+1)))</f>
        <v>6.5724135432279978</v>
      </c>
      <c r="AA230">
        <f t="shared" ref="AA230:AA293" ca="1" si="81">Y230-Z230</f>
        <v>0.39859807112035828</v>
      </c>
      <c r="AB230">
        <f t="shared" ref="AB230:AB293" ca="1" si="82">AVERAGE(C131:C230)</f>
        <v>217.92680000000004</v>
      </c>
    </row>
    <row r="231" spans="1:28" x14ac:dyDescent="0.25">
      <c r="A231" s="20">
        <f t="shared" ca="1" si="62"/>
        <v>45621</v>
      </c>
      <c r="B231" vm="684">
        <f ca="1"/>
        <v>45623</v>
      </c>
      <c r="C231" vm="685">
        <f ca="1"/>
        <v>249.79</v>
      </c>
      <c r="D231" vm="686">
        <f ca="1"/>
        <v>5472265</v>
      </c>
      <c r="E231">
        <f t="shared" ca="1" si="63"/>
        <v>1366917074.3499999</v>
      </c>
      <c r="F231">
        <f ca="1">SUM($E$2:E231)/SUM($D$2:D231)</f>
        <v>200.94232156756254</v>
      </c>
      <c r="G231">
        <f ca="1">_xlfn.STDEV.P($C$2:C231)</f>
        <v>18.885663776970784</v>
      </c>
      <c r="H231">
        <f t="shared" ca="1" si="64"/>
        <v>219.82798534453332</v>
      </c>
      <c r="I231">
        <f t="shared" ca="1" si="65"/>
        <v>182.05665779059177</v>
      </c>
      <c r="J231">
        <f t="shared" ca="1" si="74"/>
        <v>239.30000000000004</v>
      </c>
      <c r="K231">
        <f t="shared" ca="1" si="75"/>
        <v>9.994076666758799</v>
      </c>
      <c r="L231">
        <f t="shared" ca="1" si="76"/>
        <v>259.28815333351764</v>
      </c>
      <c r="M231">
        <f t="shared" ca="1" si="77"/>
        <v>219.31184666648244</v>
      </c>
      <c r="N231">
        <f t="shared" ca="1" si="66"/>
        <v>-0.18000000000000682</v>
      </c>
      <c r="O231">
        <f t="shared" ca="1" si="67"/>
        <v>0</v>
      </c>
      <c r="P231">
        <f t="shared" ca="1" si="68"/>
        <v>0.18000000000000682</v>
      </c>
      <c r="Q231">
        <f t="shared" ca="1" si="72"/>
        <v>1.7712688029701766</v>
      </c>
      <c r="R231">
        <f t="shared" ca="1" si="73"/>
        <v>0.80385115559371401</v>
      </c>
      <c r="S231">
        <f t="shared" ca="1" si="70"/>
        <v>2.2034785801383099</v>
      </c>
      <c r="T231">
        <f t="shared" ca="1" si="71"/>
        <v>68.783933621406476</v>
      </c>
      <c r="U231">
        <f>70</f>
        <v>70</v>
      </c>
      <c r="V231">
        <f>30</f>
        <v>30</v>
      </c>
      <c r="W231">
        <f t="shared" ca="1" si="69"/>
        <v>244.60407018555429</v>
      </c>
      <c r="X231">
        <f t="shared" ca="1" si="79"/>
        <v>237.63305857120594</v>
      </c>
      <c r="Y231">
        <f t="shared" ca="1" si="78"/>
        <v>6.8627487449222144</v>
      </c>
      <c r="Z231">
        <f t="shared" ca="1" si="80"/>
        <v>6.6304805835668414</v>
      </c>
      <c r="AA231">
        <f t="shared" ca="1" si="81"/>
        <v>0.23226816135537298</v>
      </c>
      <c r="AB231">
        <f t="shared" ca="1" si="82"/>
        <v>218.34840000000003</v>
      </c>
    </row>
    <row r="232" spans="1:28" x14ac:dyDescent="0.25">
      <c r="A232" s="20">
        <f t="shared" ca="1" si="62"/>
        <v>45621</v>
      </c>
      <c r="B232" vm="687">
        <f ca="1"/>
        <v>45625</v>
      </c>
      <c r="C232" vm="688">
        <f ca="1"/>
        <v>249.72</v>
      </c>
      <c r="D232" vm="689">
        <f ca="1"/>
        <v>5494825</v>
      </c>
      <c r="E232">
        <f t="shared" ca="1" si="63"/>
        <v>1372167699</v>
      </c>
      <c r="F232">
        <f ca="1">SUM($E$2:E232)/SUM($D$2:D232)</f>
        <v>201.07045212152832</v>
      </c>
      <c r="G232">
        <f ca="1">_xlfn.STDEV.P($C$2:C232)</f>
        <v>19.106252492051503</v>
      </c>
      <c r="H232">
        <f t="shared" ca="1" si="64"/>
        <v>220.17670461357983</v>
      </c>
      <c r="I232">
        <f t="shared" ca="1" si="65"/>
        <v>181.96419962947681</v>
      </c>
      <c r="J232">
        <f t="shared" ca="1" si="74"/>
        <v>240.69000000000005</v>
      </c>
      <c r="K232">
        <f t="shared" ca="1" si="75"/>
        <v>9.3629162123774226</v>
      </c>
      <c r="L232">
        <f t="shared" ca="1" si="76"/>
        <v>259.41583242475491</v>
      </c>
      <c r="M232">
        <f t="shared" ca="1" si="77"/>
        <v>221.9641675752452</v>
      </c>
      <c r="N232">
        <f t="shared" ca="1" si="66"/>
        <v>-6.9999999999993179E-2</v>
      </c>
      <c r="O232">
        <f t="shared" ca="1" si="67"/>
        <v>0</v>
      </c>
      <c r="P232">
        <f t="shared" ca="1" si="68"/>
        <v>6.9999999999993179E-2</v>
      </c>
      <c r="Q232">
        <f t="shared" ca="1" si="72"/>
        <v>1.6447496027580211</v>
      </c>
      <c r="R232">
        <f t="shared" ca="1" si="73"/>
        <v>0.75143321590844825</v>
      </c>
      <c r="S232">
        <f t="shared" ca="1" si="70"/>
        <v>2.1888167410454358</v>
      </c>
      <c r="T232">
        <f t="shared" ca="1" si="71"/>
        <v>68.640405479301535</v>
      </c>
      <c r="U232">
        <f>70</f>
        <v>70</v>
      </c>
      <c r="V232">
        <f>30</f>
        <v>30</v>
      </c>
      <c r="W232">
        <f t="shared" ca="1" si="69"/>
        <v>245.39113631085362</v>
      </c>
      <c r="X232">
        <f t="shared" ca="1" si="79"/>
        <v>238.52838756593141</v>
      </c>
      <c r="Y232">
        <f t="shared" ca="1" si="78"/>
        <v>6.4229103287630096</v>
      </c>
      <c r="Z232">
        <f t="shared" ca="1" si="80"/>
        <v>6.5889665326060758</v>
      </c>
      <c r="AA232">
        <f t="shared" ca="1" si="81"/>
        <v>-0.16605620384306619</v>
      </c>
      <c r="AB232">
        <f t="shared" ca="1" si="82"/>
        <v>218.76760000000004</v>
      </c>
    </row>
    <row r="233" spans="1:28" x14ac:dyDescent="0.25">
      <c r="A233" s="20">
        <f t="shared" ca="1" si="62"/>
        <v>45628</v>
      </c>
      <c r="B233" vm="690">
        <f ca="1"/>
        <v>45628</v>
      </c>
      <c r="C233" vm="691">
        <f ca="1"/>
        <v>246.25</v>
      </c>
      <c r="D233" vm="692">
        <f ca="1"/>
        <v>8899741</v>
      </c>
      <c r="E233">
        <f t="shared" ca="1" si="63"/>
        <v>2191561221.25</v>
      </c>
      <c r="F233">
        <f ca="1">SUM($E$2:E233)/SUM($D$2:D233)</f>
        <v>201.26185706328118</v>
      </c>
      <c r="G233">
        <f ca="1">_xlfn.STDEV.P($C$2:C233)</f>
        <v>19.284726543400755</v>
      </c>
      <c r="H233">
        <f t="shared" ca="1" si="64"/>
        <v>220.54658360668193</v>
      </c>
      <c r="I233">
        <f t="shared" ca="1" si="65"/>
        <v>181.97713051988043</v>
      </c>
      <c r="J233">
        <f t="shared" ca="1" si="74"/>
        <v>241.85550000000003</v>
      </c>
      <c r="K233">
        <f t="shared" ca="1" si="75"/>
        <v>8.4426956751477125</v>
      </c>
      <c r="L233">
        <f t="shared" ca="1" si="76"/>
        <v>258.74089135029544</v>
      </c>
      <c r="M233">
        <f t="shared" ca="1" si="77"/>
        <v>224.9701086497046</v>
      </c>
      <c r="N233">
        <f t="shared" ca="1" si="66"/>
        <v>-3.4699999999999989</v>
      </c>
      <c r="O233">
        <f t="shared" ca="1" si="67"/>
        <v>0</v>
      </c>
      <c r="P233">
        <f t="shared" ca="1" si="68"/>
        <v>3.4699999999999989</v>
      </c>
      <c r="Q233">
        <f t="shared" ca="1" si="72"/>
        <v>1.5272674882753052</v>
      </c>
      <c r="R233">
        <f t="shared" ca="1" si="73"/>
        <v>0.94561655762927332</v>
      </c>
      <c r="S233">
        <f t="shared" ca="1" si="70"/>
        <v>1.6151023117702923</v>
      </c>
      <c r="T233">
        <f t="shared" ca="1" si="71"/>
        <v>61.76057833381477</v>
      </c>
      <c r="U233">
        <f>70</f>
        <v>70</v>
      </c>
      <c r="V233">
        <f>30</f>
        <v>30</v>
      </c>
      <c r="W233">
        <f t="shared" ca="1" si="69"/>
        <v>245.52326918610692</v>
      </c>
      <c r="X233">
        <f t="shared" ca="1" si="79"/>
        <v>239.10035885734391</v>
      </c>
      <c r="Y233">
        <f t="shared" ca="1" si="78"/>
        <v>5.8910379476837136</v>
      </c>
      <c r="Z233">
        <f t="shared" ca="1" si="80"/>
        <v>6.4493808156216037</v>
      </c>
      <c r="AA233">
        <f t="shared" ca="1" si="81"/>
        <v>-0.55834286793789012</v>
      </c>
      <c r="AB233">
        <f t="shared" ca="1" si="82"/>
        <v>219.15560000000005</v>
      </c>
    </row>
    <row r="234" spans="1:28" x14ac:dyDescent="0.25">
      <c r="A234" s="20">
        <f t="shared" ca="1" si="62"/>
        <v>45628</v>
      </c>
      <c r="B234" vm="693">
        <f ca="1"/>
        <v>45629</v>
      </c>
      <c r="C234" vm="694">
        <f ca="1"/>
        <v>244.82</v>
      </c>
      <c r="D234" vm="695">
        <f ca="1"/>
        <v>6657694</v>
      </c>
      <c r="E234">
        <f t="shared" ca="1" si="63"/>
        <v>1629936645.0799999</v>
      </c>
      <c r="F234">
        <f ca="1">SUM($E$2:E234)/SUM($D$2:D234)</f>
        <v>201.39946797385909</v>
      </c>
      <c r="G234">
        <f ca="1">_xlfn.STDEV.P($C$2:C234)</f>
        <v>19.444567331250965</v>
      </c>
      <c r="H234">
        <f t="shared" ca="1" si="64"/>
        <v>220.84403530511005</v>
      </c>
      <c r="I234">
        <f t="shared" ca="1" si="65"/>
        <v>181.95490064260812</v>
      </c>
      <c r="J234">
        <f t="shared" ca="1" si="74"/>
        <v>243.10750000000002</v>
      </c>
      <c r="K234">
        <f t="shared" ca="1" si="75"/>
        <v>6.666544812482857</v>
      </c>
      <c r="L234">
        <f t="shared" ca="1" si="76"/>
        <v>256.44058962496575</v>
      </c>
      <c r="M234">
        <f t="shared" ca="1" si="77"/>
        <v>229.77441037503431</v>
      </c>
      <c r="N234">
        <f t="shared" ca="1" si="66"/>
        <v>-1.4300000000000068</v>
      </c>
      <c r="O234">
        <f t="shared" ca="1" si="67"/>
        <v>0</v>
      </c>
      <c r="P234">
        <f t="shared" ca="1" si="68"/>
        <v>1.4300000000000068</v>
      </c>
      <c r="Q234">
        <f t="shared" ca="1" si="72"/>
        <v>1.4181769533984976</v>
      </c>
      <c r="R234">
        <f t="shared" ca="1" si="73"/>
        <v>0.9802153749414686</v>
      </c>
      <c r="S234">
        <f t="shared" ca="1" si="70"/>
        <v>1.4468013761599903</v>
      </c>
      <c r="T234">
        <f t="shared" ca="1" si="71"/>
        <v>59.130315613546045</v>
      </c>
      <c r="U234">
        <f>70</f>
        <v>70</v>
      </c>
      <c r="V234">
        <f>30</f>
        <v>30</v>
      </c>
      <c r="W234">
        <f t="shared" ca="1" si="69"/>
        <v>245.41507392670584</v>
      </c>
      <c r="X234">
        <f t="shared" ca="1" si="79"/>
        <v>239.52403597902213</v>
      </c>
      <c r="Y234">
        <f t="shared" ca="1" si="78"/>
        <v>5.2939181283460073</v>
      </c>
      <c r="Z234">
        <f t="shared" ca="1" si="80"/>
        <v>6.2182882781664848</v>
      </c>
      <c r="AA234">
        <f t="shared" ca="1" si="81"/>
        <v>-0.92437014982047749</v>
      </c>
      <c r="AB234">
        <f t="shared" ca="1" si="82"/>
        <v>219.55440000000007</v>
      </c>
    </row>
    <row r="235" spans="1:28" x14ac:dyDescent="0.25">
      <c r="A235" s="20">
        <f t="shared" ca="1" si="62"/>
        <v>45628</v>
      </c>
      <c r="B235" vm="696">
        <f ca="1"/>
        <v>45630</v>
      </c>
      <c r="C235" vm="697">
        <f ca="1"/>
        <v>243.4</v>
      </c>
      <c r="D235" vm="698">
        <f ca="1"/>
        <v>7346265</v>
      </c>
      <c r="E235">
        <f t="shared" ca="1" si="63"/>
        <v>1788080901</v>
      </c>
      <c r="F235">
        <f ca="1">SUM($E$2:E235)/SUM($D$2:D235)</f>
        <v>201.54537283135983</v>
      </c>
      <c r="G235">
        <f ca="1">_xlfn.STDEV.P($C$2:C235)</f>
        <v>19.587176345406757</v>
      </c>
      <c r="H235">
        <f t="shared" ca="1" si="64"/>
        <v>221.13254917676659</v>
      </c>
      <c r="I235">
        <f t="shared" ca="1" si="65"/>
        <v>181.95819648595307</v>
      </c>
      <c r="J235">
        <f t="shared" ca="1" si="74"/>
        <v>244.20299999999997</v>
      </c>
      <c r="K235">
        <f t="shared" ca="1" si="75"/>
        <v>4.3114316830833284</v>
      </c>
      <c r="L235">
        <f t="shared" ca="1" si="76"/>
        <v>252.82586336616663</v>
      </c>
      <c r="M235">
        <f t="shared" ca="1" si="77"/>
        <v>235.58013663383332</v>
      </c>
      <c r="N235">
        <f t="shared" ca="1" si="66"/>
        <v>-1.4199999999999875</v>
      </c>
      <c r="O235">
        <f t="shared" ca="1" si="67"/>
        <v>0</v>
      </c>
      <c r="P235">
        <f t="shared" ca="1" si="68"/>
        <v>1.4199999999999875</v>
      </c>
      <c r="Q235">
        <f t="shared" ca="1" si="72"/>
        <v>1.3168785995843191</v>
      </c>
      <c r="R235">
        <f t="shared" ca="1" si="73"/>
        <v>1.0116285624456485</v>
      </c>
      <c r="S235">
        <f t="shared" ca="1" si="70"/>
        <v>1.3017412205135031</v>
      </c>
      <c r="T235">
        <f t="shared" ca="1" si="71"/>
        <v>56.554629552278399</v>
      </c>
      <c r="U235">
        <f>70</f>
        <v>70</v>
      </c>
      <c r="V235">
        <f>30</f>
        <v>30</v>
      </c>
      <c r="W235">
        <f t="shared" ca="1" si="69"/>
        <v>245.10506255336651</v>
      </c>
      <c r="X235">
        <f t="shared" ca="1" si="79"/>
        <v>239.8111444250205</v>
      </c>
      <c r="Y235">
        <f t="shared" ca="1" si="78"/>
        <v>4.931685584667207</v>
      </c>
      <c r="Z235">
        <f t="shared" ca="1" si="80"/>
        <v>5.9609677394666294</v>
      </c>
      <c r="AA235">
        <f t="shared" ca="1" si="81"/>
        <v>-1.0292821547994224</v>
      </c>
      <c r="AB235">
        <f t="shared" ca="1" si="82"/>
        <v>219.88790000000009</v>
      </c>
    </row>
    <row r="236" spans="1:28" x14ac:dyDescent="0.25">
      <c r="A236" s="20">
        <f t="shared" ca="1" si="62"/>
        <v>45628</v>
      </c>
      <c r="B236" vm="699">
        <f ca="1"/>
        <v>45631</v>
      </c>
      <c r="C236" vm="700">
        <f ca="1"/>
        <v>245.48</v>
      </c>
      <c r="D236" vm="701">
        <f ca="1"/>
        <v>6572536</v>
      </c>
      <c r="E236">
        <f t="shared" ca="1" si="63"/>
        <v>1613426137.28</v>
      </c>
      <c r="F236">
        <f ca="1">SUM($E$2:E236)/SUM($D$2:D236)</f>
        <v>201.68149867753928</v>
      </c>
      <c r="G236">
        <f ca="1">_xlfn.STDEV.P($C$2:C236)</f>
        <v>19.744744069689698</v>
      </c>
      <c r="H236">
        <f t="shared" ca="1" si="64"/>
        <v>221.42624274722897</v>
      </c>
      <c r="I236">
        <f t="shared" ca="1" si="65"/>
        <v>181.93675460784959</v>
      </c>
      <c r="J236">
        <f t="shared" ca="1" si="74"/>
        <v>244.12399999999994</v>
      </c>
      <c r="K236">
        <f t="shared" ca="1" si="75"/>
        <v>4.270608732647891</v>
      </c>
      <c r="L236">
        <f t="shared" ca="1" si="76"/>
        <v>252.66521746529571</v>
      </c>
      <c r="M236">
        <f t="shared" ca="1" si="77"/>
        <v>235.58278253470417</v>
      </c>
      <c r="N236">
        <f t="shared" ca="1" si="66"/>
        <v>2.0799999999999841</v>
      </c>
      <c r="O236">
        <f t="shared" ca="1" si="67"/>
        <v>2.0799999999999841</v>
      </c>
      <c r="P236">
        <f t="shared" ca="1" si="68"/>
        <v>0</v>
      </c>
      <c r="Q236">
        <f t="shared" ca="1" si="72"/>
        <v>1.371387271042581</v>
      </c>
      <c r="R236">
        <f t="shared" ca="1" si="73"/>
        <v>0.93936937941381637</v>
      </c>
      <c r="S236">
        <f t="shared" ca="1" si="70"/>
        <v>1.459902037575838</v>
      </c>
      <c r="T236">
        <f t="shared" ca="1" si="71"/>
        <v>59.34797464595497</v>
      </c>
      <c r="U236">
        <f>70</f>
        <v>70</v>
      </c>
      <c r="V236">
        <f>30</f>
        <v>30</v>
      </c>
      <c r="W236">
        <f t="shared" ca="1" si="69"/>
        <v>245.16274523746398</v>
      </c>
      <c r="X236">
        <f t="shared" ca="1" si="79"/>
        <v>240.23105965279677</v>
      </c>
      <c r="Y236">
        <f t="shared" ca="1" si="78"/>
        <v>4.7416551235551481</v>
      </c>
      <c r="Z236">
        <f t="shared" ca="1" si="80"/>
        <v>5.7171052162843328</v>
      </c>
      <c r="AA236">
        <f t="shared" ca="1" si="81"/>
        <v>-0.9754500927291847</v>
      </c>
      <c r="AB236">
        <f t="shared" ca="1" si="82"/>
        <v>220.20650000000012</v>
      </c>
    </row>
    <row r="237" spans="1:28" x14ac:dyDescent="0.25">
      <c r="A237" s="20">
        <f t="shared" ca="1" si="62"/>
        <v>45628</v>
      </c>
      <c r="B237" vm="702">
        <f ca="1"/>
        <v>45632</v>
      </c>
      <c r="C237" vm="703">
        <f ca="1"/>
        <v>247.36</v>
      </c>
      <c r="D237" vm="704">
        <f ca="1"/>
        <v>5519738</v>
      </c>
      <c r="E237">
        <f t="shared" ca="1" si="63"/>
        <v>1365362391.6800001</v>
      </c>
      <c r="F237">
        <f ca="1">SUM($E$2:E237)/SUM($D$2:D237)</f>
        <v>201.80004890368406</v>
      </c>
      <c r="G237">
        <f ca="1">_xlfn.STDEV.P($C$2:C237)</f>
        <v>19.91551548854968</v>
      </c>
      <c r="H237">
        <f t="shared" ca="1" si="64"/>
        <v>221.71556439223374</v>
      </c>
      <c r="I237">
        <f t="shared" ca="1" si="65"/>
        <v>181.88453341513437</v>
      </c>
      <c r="J237">
        <f t="shared" ca="1" si="74"/>
        <v>244.67299999999992</v>
      </c>
      <c r="K237">
        <f t="shared" ca="1" si="75"/>
        <v>3.9135259374581768</v>
      </c>
      <c r="L237">
        <f t="shared" ca="1" si="76"/>
        <v>252.50005187491627</v>
      </c>
      <c r="M237">
        <f t="shared" ca="1" si="77"/>
        <v>236.84594812508357</v>
      </c>
      <c r="N237">
        <f t="shared" ca="1" si="66"/>
        <v>1.8800000000000239</v>
      </c>
      <c r="O237">
        <f t="shared" ca="1" si="67"/>
        <v>1.8800000000000239</v>
      </c>
      <c r="P237">
        <f t="shared" ca="1" si="68"/>
        <v>0</v>
      </c>
      <c r="Q237">
        <f t="shared" ca="1" si="72"/>
        <v>1.4077167516823983</v>
      </c>
      <c r="R237">
        <f t="shared" ca="1" si="73"/>
        <v>0.87227156659854377</v>
      </c>
      <c r="S237">
        <f t="shared" ca="1" si="70"/>
        <v>1.6138514719353325</v>
      </c>
      <c r="T237">
        <f t="shared" ca="1" si="71"/>
        <v>61.742279133420467</v>
      </c>
      <c r="U237">
        <f>70</f>
        <v>70</v>
      </c>
      <c r="V237">
        <f>30</f>
        <v>30</v>
      </c>
      <c r="W237">
        <f t="shared" ca="1" si="69"/>
        <v>245.50078443170028</v>
      </c>
      <c r="X237">
        <f t="shared" ca="1" si="79"/>
        <v>240.75912930814513</v>
      </c>
      <c r="Y237">
        <f t="shared" ca="1" si="78"/>
        <v>4.2555440201362273</v>
      </c>
      <c r="Z237">
        <f t="shared" ca="1" si="80"/>
        <v>5.4247929770547119</v>
      </c>
      <c r="AA237">
        <f t="shared" ca="1" si="81"/>
        <v>-1.1692489569184845</v>
      </c>
      <c r="AB237">
        <f t="shared" ca="1" si="82"/>
        <v>220.51140000000015</v>
      </c>
    </row>
    <row r="238" spans="1:28" x14ac:dyDescent="0.25">
      <c r="A238" s="20">
        <f t="shared" ca="1" si="62"/>
        <v>45635</v>
      </c>
      <c r="B238" vm="705">
        <f ca="1"/>
        <v>45635</v>
      </c>
      <c r="C238" vm="706">
        <f ca="1"/>
        <v>243.81</v>
      </c>
      <c r="D238" vm="707">
        <f ca="1"/>
        <v>7076466</v>
      </c>
      <c r="E238">
        <f t="shared" ca="1" si="63"/>
        <v>1725313175.46</v>
      </c>
      <c r="F238">
        <f ca="1">SUM($E$2:E238)/SUM($D$2:D238)</f>
        <v>201.93936396123246</v>
      </c>
      <c r="G238">
        <f ca="1">_xlfn.STDEV.P($C$2:C238)</f>
        <v>20.04989385465068</v>
      </c>
      <c r="H238">
        <f t="shared" ca="1" si="64"/>
        <v>221.98925781588315</v>
      </c>
      <c r="I238">
        <f t="shared" ca="1" si="65"/>
        <v>181.88947010658177</v>
      </c>
      <c r="J238">
        <f t="shared" ca="1" si="74"/>
        <v>245.01449999999994</v>
      </c>
      <c r="K238">
        <f t="shared" ca="1" si="75"/>
        <v>3.4809866644235705</v>
      </c>
      <c r="L238">
        <f t="shared" ca="1" si="76"/>
        <v>251.97647332884708</v>
      </c>
      <c r="M238">
        <f t="shared" ca="1" si="77"/>
        <v>238.0525266711528</v>
      </c>
      <c r="N238">
        <f t="shared" ca="1" si="66"/>
        <v>-3.5500000000000114</v>
      </c>
      <c r="O238">
        <f t="shared" ca="1" si="67"/>
        <v>0</v>
      </c>
      <c r="P238">
        <f t="shared" ca="1" si="68"/>
        <v>3.5500000000000114</v>
      </c>
      <c r="Q238">
        <f t="shared" ca="1" si="72"/>
        <v>1.3071655551336556</v>
      </c>
      <c r="R238">
        <f t="shared" ca="1" si="73"/>
        <v>1.0635378832700773</v>
      </c>
      <c r="S238">
        <f t="shared" ca="1" si="70"/>
        <v>1.2290728667929463</v>
      </c>
      <c r="T238">
        <f t="shared" ca="1" si="71"/>
        <v>55.13829920514268</v>
      </c>
      <c r="U238">
        <f>70</f>
        <v>70</v>
      </c>
      <c r="V238">
        <f>30</f>
        <v>30</v>
      </c>
      <c r="W238">
        <f t="shared" ca="1" si="69"/>
        <v>245.24066374990025</v>
      </c>
      <c r="X238">
        <f t="shared" ca="1" si="79"/>
        <v>240.98511972976402</v>
      </c>
      <c r="Y238">
        <f t="shared" ca="1" si="78"/>
        <v>3.7504080385956229</v>
      </c>
      <c r="Z238">
        <f t="shared" ca="1" si="80"/>
        <v>5.0899159893628942</v>
      </c>
      <c r="AA238">
        <f t="shared" ca="1" si="81"/>
        <v>-1.3395079507672714</v>
      </c>
      <c r="AB238">
        <f t="shared" ca="1" si="82"/>
        <v>220.84970000000015</v>
      </c>
    </row>
    <row r="239" spans="1:28" x14ac:dyDescent="0.25">
      <c r="A239" s="20">
        <f t="shared" ca="1" si="62"/>
        <v>45635</v>
      </c>
      <c r="B239" vm="708">
        <f ca="1"/>
        <v>45636</v>
      </c>
      <c r="C239" vm="709">
        <f ca="1"/>
        <v>242.86</v>
      </c>
      <c r="D239" vm="710">
        <f ca="1"/>
        <v>9108339</v>
      </c>
      <c r="E239">
        <f t="shared" ca="1" si="63"/>
        <v>2212051209.54</v>
      </c>
      <c r="F239">
        <f ca="1">SUM($E$2:E239)/SUM($D$2:D239)</f>
        <v>202.1132886389606</v>
      </c>
      <c r="G239">
        <f ca="1">_xlfn.STDEV.P($C$2:C239)</f>
        <v>20.172860600937867</v>
      </c>
      <c r="H239">
        <f t="shared" ca="1" si="64"/>
        <v>222.28614923989846</v>
      </c>
      <c r="I239">
        <f t="shared" ca="1" si="65"/>
        <v>181.94042803802273</v>
      </c>
      <c r="J239">
        <f t="shared" ca="1" si="74"/>
        <v>245.19299999999998</v>
      </c>
      <c r="K239">
        <f t="shared" ca="1" si="75"/>
        <v>3.2562718430422031</v>
      </c>
      <c r="L239">
        <f t="shared" ca="1" si="76"/>
        <v>251.70554368608438</v>
      </c>
      <c r="M239">
        <f t="shared" ca="1" si="77"/>
        <v>238.68045631391558</v>
      </c>
      <c r="N239">
        <f t="shared" ca="1" si="66"/>
        <v>-0.94999999999998863</v>
      </c>
      <c r="O239">
        <f t="shared" ca="1" si="67"/>
        <v>0</v>
      </c>
      <c r="P239">
        <f t="shared" ca="1" si="68"/>
        <v>0.94999999999998863</v>
      </c>
      <c r="Q239">
        <f t="shared" ca="1" si="72"/>
        <v>1.2137965869098231</v>
      </c>
      <c r="R239">
        <f t="shared" ca="1" si="73"/>
        <v>1.0554280344650711</v>
      </c>
      <c r="S239">
        <f t="shared" ca="1" si="70"/>
        <v>1.150051493112952</v>
      </c>
      <c r="T239">
        <f t="shared" ca="1" si="71"/>
        <v>53.489486033092625</v>
      </c>
      <c r="U239">
        <f>70</f>
        <v>70</v>
      </c>
      <c r="V239">
        <f>30</f>
        <v>30</v>
      </c>
      <c r="W239">
        <f t="shared" ca="1" si="69"/>
        <v>244.87440778837714</v>
      </c>
      <c r="X239">
        <f t="shared" ca="1" si="79"/>
        <v>241.12399974978152</v>
      </c>
      <c r="Y239">
        <f t="shared" ca="1" si="78"/>
        <v>3.3653538303960602</v>
      </c>
      <c r="Z239">
        <f t="shared" ca="1" si="80"/>
        <v>4.7450035575695271</v>
      </c>
      <c r="AA239">
        <f t="shared" ca="1" si="81"/>
        <v>-1.3796497271734669</v>
      </c>
      <c r="AB239">
        <f t="shared" ca="1" si="82"/>
        <v>221.18050000000014</v>
      </c>
    </row>
    <row r="240" spans="1:28" x14ac:dyDescent="0.25">
      <c r="A240" s="20">
        <f t="shared" ca="1" si="62"/>
        <v>45635</v>
      </c>
      <c r="B240" vm="711">
        <f ca="1"/>
        <v>45637</v>
      </c>
      <c r="C240" vm="712">
        <f ca="1"/>
        <v>243.53</v>
      </c>
      <c r="D240" vm="713">
        <f ca="1"/>
        <v>7884442</v>
      </c>
      <c r="E240">
        <f t="shared" ca="1" si="63"/>
        <v>1920098160.26</v>
      </c>
      <c r="F240">
        <f ca="1">SUM($E$2:E240)/SUM($D$2:D240)</f>
        <v>202.26510944962524</v>
      </c>
      <c r="G240">
        <f ca="1">_xlfn.STDEV.P($C$2:C240)</f>
        <v>20.298200873863394</v>
      </c>
      <c r="H240">
        <f t="shared" ca="1" si="64"/>
        <v>222.56331032348862</v>
      </c>
      <c r="I240">
        <f t="shared" ca="1" si="65"/>
        <v>181.96690857576186</v>
      </c>
      <c r="J240">
        <f t="shared" ca="1" si="74"/>
        <v>245.39149999999995</v>
      </c>
      <c r="K240">
        <f t="shared" ca="1" si="75"/>
        <v>3.0062185986980197</v>
      </c>
      <c r="L240">
        <f t="shared" ca="1" si="76"/>
        <v>251.40393719739598</v>
      </c>
      <c r="M240">
        <f t="shared" ca="1" si="77"/>
        <v>239.37906280260393</v>
      </c>
      <c r="N240">
        <f t="shared" ca="1" si="66"/>
        <v>0.66999999999998749</v>
      </c>
      <c r="O240">
        <f t="shared" ca="1" si="67"/>
        <v>0.66999999999998749</v>
      </c>
      <c r="P240">
        <f t="shared" ca="1" si="68"/>
        <v>0</v>
      </c>
      <c r="Q240">
        <f t="shared" ca="1" si="72"/>
        <v>1.1749539735591203</v>
      </c>
      <c r="R240">
        <f t="shared" ca="1" si="73"/>
        <v>0.98004031771756595</v>
      </c>
      <c r="S240">
        <f t="shared" ca="1" si="70"/>
        <v>1.1988833033884692</v>
      </c>
      <c r="T240">
        <f t="shared" ca="1" si="71"/>
        <v>54.522370584241351</v>
      </c>
      <c r="U240">
        <f>70</f>
        <v>70</v>
      </c>
      <c r="V240">
        <f>30</f>
        <v>30</v>
      </c>
      <c r="W240">
        <f t="shared" ca="1" si="69"/>
        <v>244.6675758209345</v>
      </c>
      <c r="X240">
        <f t="shared" ca="1" si="79"/>
        <v>241.30222199053844</v>
      </c>
      <c r="Y240">
        <f t="shared" ca="1" si="78"/>
        <v>2.8657774127993036</v>
      </c>
      <c r="Z240">
        <f t="shared" ca="1" si="80"/>
        <v>4.369158328615482</v>
      </c>
      <c r="AA240">
        <f t="shared" ca="1" si="81"/>
        <v>-1.5033809158161784</v>
      </c>
      <c r="AB240">
        <f t="shared" ca="1" si="82"/>
        <v>221.51300000000009</v>
      </c>
    </row>
    <row r="241" spans="1:28" x14ac:dyDescent="0.25">
      <c r="A241" s="20">
        <f t="shared" ca="1" si="62"/>
        <v>45635</v>
      </c>
      <c r="B241" vm="714">
        <f ca="1"/>
        <v>45638</v>
      </c>
      <c r="C241" vm="715">
        <f ca="1"/>
        <v>241.53</v>
      </c>
      <c r="D241" vm="716">
        <f ca="1"/>
        <v>6113771</v>
      </c>
      <c r="E241">
        <f t="shared" ca="1" si="63"/>
        <v>1476659109.6300001</v>
      </c>
      <c r="F241">
        <f ca="1">SUM($E$2:E241)/SUM($D$2:D241)</f>
        <v>202.37640186769718</v>
      </c>
      <c r="G241">
        <f ca="1">_xlfn.STDEV.P($C$2:C241)</f>
        <v>20.404441371738361</v>
      </c>
      <c r="H241">
        <f t="shared" ca="1" si="64"/>
        <v>222.78084323943554</v>
      </c>
      <c r="I241">
        <f t="shared" ca="1" si="65"/>
        <v>181.97196049595883</v>
      </c>
      <c r="J241">
        <f t="shared" ca="1" si="74"/>
        <v>245.41</v>
      </c>
      <c r="K241">
        <f t="shared" ca="1" si="75"/>
        <v>2.9798304437810215</v>
      </c>
      <c r="L241">
        <f t="shared" ca="1" si="76"/>
        <v>251.36966088756205</v>
      </c>
      <c r="M241">
        <f t="shared" ca="1" si="77"/>
        <v>239.45033911243794</v>
      </c>
      <c r="N241">
        <f t="shared" ca="1" si="66"/>
        <v>-2</v>
      </c>
      <c r="O241">
        <f t="shared" ca="1" si="67"/>
        <v>0</v>
      </c>
      <c r="P241">
        <f t="shared" ca="1" si="68"/>
        <v>2</v>
      </c>
      <c r="Q241">
        <f t="shared" ca="1" si="72"/>
        <v>1.0910286897334689</v>
      </c>
      <c r="R241">
        <f t="shared" ca="1" si="73"/>
        <v>1.0528945807377397</v>
      </c>
      <c r="S241">
        <f t="shared" ca="1" si="70"/>
        <v>1.0362183543285117</v>
      </c>
      <c r="T241">
        <f t="shared" ca="1" si="71"/>
        <v>50.889353399931792</v>
      </c>
      <c r="U241">
        <f>70</f>
        <v>70</v>
      </c>
      <c r="V241">
        <f>30</f>
        <v>30</v>
      </c>
      <c r="W241">
        <f t="shared" ca="1" si="69"/>
        <v>244.18487184848306</v>
      </c>
      <c r="X241">
        <f t="shared" ca="1" si="79"/>
        <v>241.31909443568375</v>
      </c>
      <c r="Y241">
        <f t="shared" ca="1" si="78"/>
        <v>2.3148753487243425</v>
      </c>
      <c r="Z241">
        <f t="shared" ca="1" si="80"/>
        <v>3.9583017326372545</v>
      </c>
      <c r="AA241">
        <f t="shared" ca="1" si="81"/>
        <v>-1.643426383912912</v>
      </c>
      <c r="AB241">
        <f t="shared" ca="1" si="82"/>
        <v>221.82500000000007</v>
      </c>
    </row>
    <row r="242" spans="1:28" x14ac:dyDescent="0.25">
      <c r="A242" s="20">
        <f t="shared" ca="1" si="62"/>
        <v>45635</v>
      </c>
      <c r="B242" vm="717">
        <f ca="1"/>
        <v>45639</v>
      </c>
      <c r="C242" vm="718">
        <f ca="1"/>
        <v>239.94</v>
      </c>
      <c r="D242" vm="719">
        <f ca="1"/>
        <v>10392749</v>
      </c>
      <c r="E242">
        <f t="shared" ca="1" si="63"/>
        <v>2493636195.0599999</v>
      </c>
      <c r="F242">
        <f ca="1">SUM($E$2:E242)/SUM($D$2:D242)</f>
        <v>202.55652196072472</v>
      </c>
      <c r="G242">
        <f ca="1">_xlfn.STDEV.P($C$2:C242)</f>
        <v>20.496117597477056</v>
      </c>
      <c r="H242">
        <f t="shared" ca="1" si="64"/>
        <v>223.05263955820178</v>
      </c>
      <c r="I242">
        <f t="shared" ca="1" si="65"/>
        <v>182.06040436324767</v>
      </c>
      <c r="J242">
        <f t="shared" ca="1" si="74"/>
        <v>245.31349999999998</v>
      </c>
      <c r="K242">
        <f t="shared" ca="1" si="75"/>
        <v>3.1280686407194818</v>
      </c>
      <c r="L242">
        <f t="shared" ca="1" si="76"/>
        <v>251.56963728143893</v>
      </c>
      <c r="M242">
        <f t="shared" ca="1" si="77"/>
        <v>239.05736271856102</v>
      </c>
      <c r="N242">
        <f t="shared" ca="1" si="66"/>
        <v>-1.5900000000000034</v>
      </c>
      <c r="O242">
        <f t="shared" ca="1" si="67"/>
        <v>0</v>
      </c>
      <c r="P242">
        <f t="shared" ca="1" si="68"/>
        <v>1.5900000000000034</v>
      </c>
      <c r="Q242">
        <f t="shared" ca="1" si="72"/>
        <v>1.0130980690382212</v>
      </c>
      <c r="R242">
        <f t="shared" ca="1" si="73"/>
        <v>1.091259253542187</v>
      </c>
      <c r="S242">
        <f t="shared" ca="1" si="70"/>
        <v>0.92837523782707221</v>
      </c>
      <c r="T242">
        <f t="shared" ca="1" si="71"/>
        <v>48.142872798614761</v>
      </c>
      <c r="U242">
        <f>70</f>
        <v>70</v>
      </c>
      <c r="V242">
        <f>30</f>
        <v>30</v>
      </c>
      <c r="W242">
        <f t="shared" ca="1" si="69"/>
        <v>243.53181464102411</v>
      </c>
      <c r="X242">
        <f t="shared" ca="1" si="79"/>
        <v>241.21693929229977</v>
      </c>
      <c r="Y242">
        <f t="shared" ca="1" si="78"/>
        <v>1.8281586278824307</v>
      </c>
      <c r="Z242">
        <f t="shared" ca="1" si="80"/>
        <v>3.53227311168629</v>
      </c>
      <c r="AA242">
        <f t="shared" ca="1" si="81"/>
        <v>-1.7041144838038593</v>
      </c>
      <c r="AB242">
        <f t="shared" ca="1" si="82"/>
        <v>222.13850000000005</v>
      </c>
    </row>
    <row r="243" spans="1:28" x14ac:dyDescent="0.25">
      <c r="A243" s="20">
        <f t="shared" ca="1" si="62"/>
        <v>45642</v>
      </c>
      <c r="B243" vm="720">
        <f ca="1"/>
        <v>45642</v>
      </c>
      <c r="C243" vm="721">
        <f ca="1"/>
        <v>239.58</v>
      </c>
      <c r="D243" vm="722">
        <f ca="1"/>
        <v>9032044</v>
      </c>
      <c r="E243">
        <f t="shared" ca="1" si="63"/>
        <v>2163897101.52</v>
      </c>
      <c r="F243">
        <f ca="1">SUM($E$2:E243)/SUM($D$2:D243)</f>
        <v>202.7101681311612</v>
      </c>
      <c r="G243">
        <f ca="1">_xlfn.STDEV.P($C$2:C243)</f>
        <v>20.582941656199559</v>
      </c>
      <c r="H243">
        <f t="shared" ca="1" si="64"/>
        <v>223.29310978736075</v>
      </c>
      <c r="I243">
        <f t="shared" ca="1" si="65"/>
        <v>182.12722647496165</v>
      </c>
      <c r="J243">
        <f t="shared" ca="1" si="74"/>
        <v>245.02699999999999</v>
      </c>
      <c r="K243">
        <f t="shared" ca="1" si="75"/>
        <v>3.3806167297823331</v>
      </c>
      <c r="L243">
        <f t="shared" ca="1" si="76"/>
        <v>251.78823345956465</v>
      </c>
      <c r="M243">
        <f t="shared" ca="1" si="77"/>
        <v>238.26576654043532</v>
      </c>
      <c r="N243">
        <f t="shared" ca="1" si="66"/>
        <v>-0.35999999999998522</v>
      </c>
      <c r="O243">
        <f t="shared" ca="1" si="67"/>
        <v>0</v>
      </c>
      <c r="P243">
        <f t="shared" ca="1" si="68"/>
        <v>0.35999999999998522</v>
      </c>
      <c r="Q243">
        <f t="shared" ca="1" si="72"/>
        <v>0.94073392124977684</v>
      </c>
      <c r="R243">
        <f t="shared" ca="1" si="73"/>
        <v>1.0390264497177439</v>
      </c>
      <c r="S243">
        <f t="shared" ca="1" si="70"/>
        <v>0.90539939720045748</v>
      </c>
      <c r="T243">
        <f t="shared" ca="1" si="71"/>
        <v>47.517565006619186</v>
      </c>
      <c r="U243">
        <f>70</f>
        <v>70</v>
      </c>
      <c r="V243">
        <f>30</f>
        <v>30</v>
      </c>
      <c r="W243">
        <f t="shared" ca="1" si="69"/>
        <v>242.92384315778963</v>
      </c>
      <c r="X243">
        <f t="shared" ca="1" si="79"/>
        <v>241.0956845299072</v>
      </c>
      <c r="Y243">
        <f t="shared" ca="1" si="78"/>
        <v>1.3286722098110886</v>
      </c>
      <c r="Z243">
        <f t="shared" ca="1" si="80"/>
        <v>3.09155293131125</v>
      </c>
      <c r="AA243">
        <f t="shared" ca="1" si="81"/>
        <v>-1.7628807215001614</v>
      </c>
      <c r="AB243">
        <f t="shared" ca="1" si="82"/>
        <v>222.44760000000005</v>
      </c>
    </row>
    <row r="244" spans="1:28" x14ac:dyDescent="0.25">
      <c r="A244" s="20">
        <f t="shared" ca="1" si="62"/>
        <v>45642</v>
      </c>
      <c r="B244" vm="723">
        <f ca="1"/>
        <v>45643</v>
      </c>
      <c r="C244" vm="724">
        <f ca="1"/>
        <v>238.36</v>
      </c>
      <c r="D244" vm="725">
        <f ca="1"/>
        <v>8083635</v>
      </c>
      <c r="E244">
        <f t="shared" ca="1" si="63"/>
        <v>1926815238.6000001</v>
      </c>
      <c r="F244">
        <f ca="1">SUM($E$2:E244)/SUM($D$2:D244)</f>
        <v>202.84208872407604</v>
      </c>
      <c r="G244">
        <f ca="1">_xlfn.STDEV.P($C$2:C244)</f>
        <v>20.659137107533493</v>
      </c>
      <c r="H244">
        <f t="shared" ca="1" si="64"/>
        <v>223.50122583160953</v>
      </c>
      <c r="I244">
        <f t="shared" ca="1" si="65"/>
        <v>182.18295161654254</v>
      </c>
      <c r="J244">
        <f t="shared" ca="1" si="74"/>
        <v>244.6935</v>
      </c>
      <c r="K244">
        <f t="shared" ca="1" si="75"/>
        <v>3.6947135420617814</v>
      </c>
      <c r="L244">
        <f t="shared" ca="1" si="76"/>
        <v>252.08292708412355</v>
      </c>
      <c r="M244">
        <f t="shared" ca="1" si="77"/>
        <v>237.30407291587645</v>
      </c>
      <c r="N244">
        <f t="shared" ca="1" si="66"/>
        <v>-1.2199999999999989</v>
      </c>
      <c r="O244">
        <f t="shared" ca="1" si="67"/>
        <v>0</v>
      </c>
      <c r="P244">
        <f t="shared" ca="1" si="68"/>
        <v>1.2199999999999989</v>
      </c>
      <c r="Q244">
        <f t="shared" ca="1" si="72"/>
        <v>0.87353864116050706</v>
      </c>
      <c r="R244">
        <f t="shared" ca="1" si="73"/>
        <v>1.0519531318807622</v>
      </c>
      <c r="S244">
        <f t="shared" ca="1" si="70"/>
        <v>0.83039692043953317</v>
      </c>
      <c r="T244">
        <f t="shared" ca="1" si="71"/>
        <v>45.367040949791914</v>
      </c>
      <c r="U244">
        <f>70</f>
        <v>70</v>
      </c>
      <c r="V244">
        <f>30</f>
        <v>30</v>
      </c>
      <c r="W244">
        <f t="shared" ca="1" si="69"/>
        <v>242.22171344120665</v>
      </c>
      <c r="X244">
        <f t="shared" ca="1" si="79"/>
        <v>240.89304123139556</v>
      </c>
      <c r="Y244">
        <f t="shared" ca="1" si="78"/>
        <v>0.28481621605362761</v>
      </c>
      <c r="Z244">
        <f t="shared" ca="1" si="80"/>
        <v>2.5302055882597254</v>
      </c>
      <c r="AA244">
        <f t="shared" ca="1" si="81"/>
        <v>-2.2453893722060978</v>
      </c>
      <c r="AB244">
        <f t="shared" ca="1" si="82"/>
        <v>222.70880000000005</v>
      </c>
    </row>
    <row r="245" spans="1:28" x14ac:dyDescent="0.25">
      <c r="A245" s="20">
        <f t="shared" ca="1" si="62"/>
        <v>45642</v>
      </c>
      <c r="B245" vm="726">
        <f ca="1"/>
        <v>45644</v>
      </c>
      <c r="C245" vm="727">
        <f ca="1"/>
        <v>230.37</v>
      </c>
      <c r="D245" vm="728">
        <f ca="1"/>
        <v>11322358</v>
      </c>
      <c r="E245">
        <f t="shared" ca="1" si="63"/>
        <v>2608331612.46</v>
      </c>
      <c r="F245">
        <f ca="1">SUM($E$2:E245)/SUM($D$2:D245)</f>
        <v>202.98403153433927</v>
      </c>
      <c r="G245">
        <f ca="1">_xlfn.STDEV.P($C$2:C245)</f>
        <v>20.685612537318377</v>
      </c>
      <c r="H245">
        <f t="shared" ca="1" si="64"/>
        <v>223.66964407165764</v>
      </c>
      <c r="I245">
        <f t="shared" ca="1" si="65"/>
        <v>182.29841899702089</v>
      </c>
      <c r="J245">
        <f t="shared" ca="1" si="74"/>
        <v>244.05749999999998</v>
      </c>
      <c r="K245">
        <f t="shared" ca="1" si="75"/>
        <v>4.8875178018251626</v>
      </c>
      <c r="L245">
        <f t="shared" ca="1" si="76"/>
        <v>253.83253560365031</v>
      </c>
      <c r="M245">
        <f t="shared" ca="1" si="77"/>
        <v>234.28246439634964</v>
      </c>
      <c r="N245">
        <f t="shared" ca="1" si="66"/>
        <v>-7.9900000000000091</v>
      </c>
      <c r="O245">
        <f t="shared" ca="1" si="67"/>
        <v>0</v>
      </c>
      <c r="P245">
        <f t="shared" ca="1" si="68"/>
        <v>7.9900000000000091</v>
      </c>
      <c r="Q245">
        <f t="shared" ca="1" si="72"/>
        <v>0.81114302393475657</v>
      </c>
      <c r="R245">
        <f t="shared" ca="1" si="73"/>
        <v>1.5475279081749942</v>
      </c>
      <c r="S245">
        <f t="shared" ca="1" si="70"/>
        <v>0.52415405218206423</v>
      </c>
      <c r="T245">
        <f t="shared" ca="1" si="71"/>
        <v>34.389834244881996</v>
      </c>
      <c r="U245">
        <f>70</f>
        <v>70</v>
      </c>
      <c r="V245">
        <f>30</f>
        <v>30</v>
      </c>
      <c r="W245">
        <f t="shared" ca="1" si="69"/>
        <v>240.39837291179023</v>
      </c>
      <c r="X245">
        <f t="shared" ca="1" si="79"/>
        <v>240.11355669573661</v>
      </c>
      <c r="Y245">
        <f t="shared" ca="1" si="78"/>
        <v>-0.32965575872563591</v>
      </c>
      <c r="Z245">
        <f t="shared" ca="1" si="80"/>
        <v>1.9582333188626535</v>
      </c>
      <c r="AA245">
        <f t="shared" ca="1" si="81"/>
        <v>-2.2878890775882894</v>
      </c>
      <c r="AB245">
        <f t="shared" ca="1" si="82"/>
        <v>222.90400000000005</v>
      </c>
    </row>
    <row r="246" spans="1:28" x14ac:dyDescent="0.25">
      <c r="A246" s="20">
        <f t="shared" ca="1" si="62"/>
        <v>45642</v>
      </c>
      <c r="B246" vm="729">
        <f ca="1"/>
        <v>45645</v>
      </c>
      <c r="C246" vm="730">
        <f ca="1"/>
        <v>232.96</v>
      </c>
      <c r="D246" vm="731">
        <f ca="1"/>
        <v>11790773</v>
      </c>
      <c r="E246">
        <f t="shared" ca="1" si="63"/>
        <v>2746778478.0799999</v>
      </c>
      <c r="F246">
        <f ca="1">SUM($E$2:E246)/SUM($D$2:D246)</f>
        <v>203.14413214560329</v>
      </c>
      <c r="G246">
        <f ca="1">_xlfn.STDEV.P($C$2:C246)</f>
        <v>20.725296796916435</v>
      </c>
      <c r="H246">
        <f t="shared" ca="1" si="64"/>
        <v>223.86942894251973</v>
      </c>
      <c r="I246">
        <f t="shared" ca="1" si="65"/>
        <v>182.41883534868686</v>
      </c>
      <c r="J246">
        <f t="shared" ca="1" si="74"/>
        <v>243.66650000000004</v>
      </c>
      <c r="K246">
        <f t="shared" ca="1" si="75"/>
        <v>5.4445707143132847</v>
      </c>
      <c r="L246">
        <f t="shared" ca="1" si="76"/>
        <v>254.55564142862661</v>
      </c>
      <c r="M246">
        <f t="shared" ca="1" si="77"/>
        <v>232.77735857137347</v>
      </c>
      <c r="N246">
        <f t="shared" ca="1" si="66"/>
        <v>2.5900000000000034</v>
      </c>
      <c r="O246">
        <f t="shared" ca="1" si="67"/>
        <v>2.5900000000000034</v>
      </c>
      <c r="P246">
        <f t="shared" ca="1" si="68"/>
        <v>0</v>
      </c>
      <c r="Q246">
        <f t="shared" ca="1" si="72"/>
        <v>0.93820423651084561</v>
      </c>
      <c r="R246">
        <f t="shared" ca="1" si="73"/>
        <v>1.4369902004482089</v>
      </c>
      <c r="S246">
        <f t="shared" ca="1" si="70"/>
        <v>0.65289536158159744</v>
      </c>
      <c r="T246">
        <f t="shared" ca="1" si="71"/>
        <v>39.500102472116865</v>
      </c>
      <c r="U246">
        <f>70</f>
        <v>70</v>
      </c>
      <c r="V246">
        <f>30</f>
        <v>30</v>
      </c>
      <c r="W246">
        <f t="shared" ca="1" si="69"/>
        <v>239.25400784843788</v>
      </c>
      <c r="X246">
        <f t="shared" ca="1" si="79"/>
        <v>239.58366360716352</v>
      </c>
      <c r="Y246">
        <f t="shared" ca="1" si="78"/>
        <v>-0.43718045966409136</v>
      </c>
      <c r="Z246">
        <f t="shared" ca="1" si="80"/>
        <v>1.4791505631573045</v>
      </c>
      <c r="AA246">
        <f t="shared" ca="1" si="81"/>
        <v>-1.9163310228213959</v>
      </c>
      <c r="AB246">
        <f t="shared" ca="1" si="82"/>
        <v>223.08170000000001</v>
      </c>
    </row>
    <row r="247" spans="1:28" x14ac:dyDescent="0.25">
      <c r="A247" s="20">
        <f t="shared" ca="1" si="62"/>
        <v>45642</v>
      </c>
      <c r="B247" vm="732">
        <f ca="1"/>
        <v>45646</v>
      </c>
      <c r="C247" vm="733">
        <f ca="1"/>
        <v>237.6</v>
      </c>
      <c r="D247" vm="734">
        <f ca="1"/>
        <v>32348414</v>
      </c>
      <c r="E247">
        <f t="shared" ca="1" si="63"/>
        <v>7685983166.3999996</v>
      </c>
      <c r="F247">
        <f ca="1">SUM($E$2:E247)/SUM($D$2:D247)</f>
        <v>203.64172722127873</v>
      </c>
      <c r="G247">
        <f ca="1">_xlfn.STDEV.P($C$2:C247)</f>
        <v>20.792021466085664</v>
      </c>
      <c r="H247">
        <f t="shared" ca="1" si="64"/>
        <v>224.43374868736439</v>
      </c>
      <c r="I247">
        <f t="shared" ca="1" si="65"/>
        <v>182.84970575519307</v>
      </c>
      <c r="J247">
        <f t="shared" ca="1" si="74"/>
        <v>243.30850000000004</v>
      </c>
      <c r="K247">
        <f t="shared" ca="1" si="75"/>
        <v>5.6020064779458574</v>
      </c>
      <c r="L247">
        <f t="shared" ca="1" si="76"/>
        <v>254.51251295589176</v>
      </c>
      <c r="M247">
        <f t="shared" ca="1" si="77"/>
        <v>232.10448704410831</v>
      </c>
      <c r="N247">
        <f t="shared" ca="1" si="66"/>
        <v>4.6399999999999864</v>
      </c>
      <c r="O247">
        <f t="shared" ca="1" si="67"/>
        <v>4.6399999999999864</v>
      </c>
      <c r="P247">
        <f t="shared" ca="1" si="68"/>
        <v>0</v>
      </c>
      <c r="Q247">
        <f t="shared" ca="1" si="72"/>
        <v>1.2026182196172128</v>
      </c>
      <c r="R247">
        <f t="shared" ca="1" si="73"/>
        <v>1.3343480432733368</v>
      </c>
      <c r="S247">
        <f t="shared" ca="1" si="70"/>
        <v>0.90127776308423035</v>
      </c>
      <c r="T247">
        <f t="shared" ca="1" si="71"/>
        <v>47.403792364466945</v>
      </c>
      <c r="U247">
        <f>70</f>
        <v>70</v>
      </c>
      <c r="V247">
        <f>30</f>
        <v>30</v>
      </c>
      <c r="W247">
        <f t="shared" ca="1" si="69"/>
        <v>238.99954510252434</v>
      </c>
      <c r="X247">
        <f t="shared" ca="1" si="79"/>
        <v>239.43672556218843</v>
      </c>
      <c r="Y247">
        <f t="shared" ca="1" si="78"/>
        <v>-0.45342140245446672</v>
      </c>
      <c r="Z247">
        <f t="shared" ca="1" si="80"/>
        <v>1.0926361700349503</v>
      </c>
      <c r="AA247">
        <f t="shared" ca="1" si="81"/>
        <v>-1.546057572489417</v>
      </c>
      <c r="AB247">
        <f t="shared" ca="1" si="82"/>
        <v>223.3297</v>
      </c>
    </row>
    <row r="248" spans="1:28" x14ac:dyDescent="0.25">
      <c r="A248" s="20">
        <f t="shared" ca="1" si="62"/>
        <v>45649</v>
      </c>
      <c r="B248" vm="735">
        <f ca="1"/>
        <v>45649</v>
      </c>
      <c r="C248" vm="736">
        <f ca="1"/>
        <v>238.39</v>
      </c>
      <c r="D248" vm="737">
        <f ca="1"/>
        <v>8611528</v>
      </c>
      <c r="E248">
        <f t="shared" ca="1" si="63"/>
        <v>2052902159.9199998</v>
      </c>
      <c r="F248">
        <f ca="1">SUM($E$2:E248)/SUM($D$2:D248)</f>
        <v>203.77480541066575</v>
      </c>
      <c r="G248">
        <f ca="1">_xlfn.STDEV.P($C$2:C248)</f>
        <v>20.86226188460839</v>
      </c>
      <c r="H248">
        <f t="shared" ca="1" si="64"/>
        <v>224.63706729527414</v>
      </c>
      <c r="I248">
        <f t="shared" ca="1" si="65"/>
        <v>182.91254352605736</v>
      </c>
      <c r="J248">
        <f t="shared" ca="1" si="74"/>
        <v>242.80050000000006</v>
      </c>
      <c r="K248">
        <f t="shared" ca="1" si="75"/>
        <v>5.5622037236294997</v>
      </c>
      <c r="L248">
        <f t="shared" ca="1" si="76"/>
        <v>253.92490744725905</v>
      </c>
      <c r="M248">
        <f t="shared" ca="1" si="77"/>
        <v>231.67609255274107</v>
      </c>
      <c r="N248">
        <f t="shared" ca="1" si="66"/>
        <v>0.78999999999999204</v>
      </c>
      <c r="O248">
        <f t="shared" ca="1" si="67"/>
        <v>0.78999999999999204</v>
      </c>
      <c r="P248">
        <f t="shared" ca="1" si="68"/>
        <v>0</v>
      </c>
      <c r="Q248">
        <f t="shared" ca="1" si="72"/>
        <v>1.1731454896445541</v>
      </c>
      <c r="R248">
        <f t="shared" ca="1" si="73"/>
        <v>1.2390374687538126</v>
      </c>
      <c r="S248">
        <f t="shared" ca="1" si="70"/>
        <v>0.9468200270202235</v>
      </c>
      <c r="T248">
        <f t="shared" ca="1" si="71"/>
        <v>48.634183636862083</v>
      </c>
      <c r="U248">
        <f>70</f>
        <v>70</v>
      </c>
      <c r="V248">
        <f>30</f>
        <v>30</v>
      </c>
      <c r="W248">
        <f t="shared" ca="1" si="69"/>
        <v>238.9057689329052</v>
      </c>
      <c r="X248">
        <f t="shared" ca="1" si="79"/>
        <v>239.35919033535967</v>
      </c>
      <c r="Y248">
        <f t="shared" ca="1" si="78"/>
        <v>-0.1482720396553816</v>
      </c>
      <c r="Z248">
        <f t="shared" ca="1" si="80"/>
        <v>0.84445452809688393</v>
      </c>
      <c r="AA248">
        <f t="shared" ca="1" si="81"/>
        <v>-0.99272656775226553</v>
      </c>
      <c r="AB248">
        <f t="shared" ca="1" si="82"/>
        <v>223.63399999999999</v>
      </c>
    </row>
    <row r="249" spans="1:28" x14ac:dyDescent="0.25">
      <c r="A249" s="20">
        <f t="shared" ca="1" si="62"/>
        <v>45649</v>
      </c>
      <c r="B249" vm="738">
        <f ca="1"/>
        <v>45650</v>
      </c>
      <c r="C249" vm="739">
        <f ca="1"/>
        <v>242.31</v>
      </c>
      <c r="D249" vm="740">
        <f ca="1"/>
        <v>3729092</v>
      </c>
      <c r="E249">
        <f t="shared" ca="1" si="63"/>
        <v>903596282.51999998</v>
      </c>
      <c r="F249">
        <f ca="1">SUM($E$2:E249)/SUM($D$2:D249)</f>
        <v>203.83860743348959</v>
      </c>
      <c r="G249">
        <f ca="1">_xlfn.STDEV.P($C$2:C249)</f>
        <v>20.957772052648295</v>
      </c>
      <c r="H249">
        <f t="shared" ca="1" si="64"/>
        <v>224.79637948613788</v>
      </c>
      <c r="I249">
        <f t="shared" ca="1" si="65"/>
        <v>182.88083538084129</v>
      </c>
      <c r="J249">
        <f t="shared" ca="1" si="74"/>
        <v>242.40150000000008</v>
      </c>
      <c r="K249">
        <f t="shared" ca="1" si="75"/>
        <v>5.275504740132253</v>
      </c>
      <c r="L249">
        <f t="shared" ca="1" si="76"/>
        <v>252.95250948026458</v>
      </c>
      <c r="M249">
        <f t="shared" ca="1" si="77"/>
        <v>231.85049051973559</v>
      </c>
      <c r="N249">
        <f t="shared" ca="1" si="66"/>
        <v>3.9200000000000159</v>
      </c>
      <c r="O249">
        <f t="shared" ca="1" si="67"/>
        <v>3.9200000000000159</v>
      </c>
      <c r="P249">
        <f t="shared" ca="1" si="68"/>
        <v>0</v>
      </c>
      <c r="Q249">
        <f t="shared" ca="1" si="72"/>
        <v>1.3693493832413728</v>
      </c>
      <c r="R249">
        <f t="shared" ca="1" si="73"/>
        <v>1.1505347924142544</v>
      </c>
      <c r="S249">
        <f t="shared" ca="1" si="70"/>
        <v>1.1901851141484936</v>
      </c>
      <c r="T249">
        <f t="shared" ca="1" si="71"/>
        <v>54.341758897910204</v>
      </c>
      <c r="U249">
        <f>70</f>
        <v>70</v>
      </c>
      <c r="V249">
        <f>30</f>
        <v>30</v>
      </c>
      <c r="W249">
        <f t="shared" ca="1" si="69"/>
        <v>239.42949678938135</v>
      </c>
      <c r="X249">
        <f t="shared" ca="1" si="79"/>
        <v>239.57776882903673</v>
      </c>
      <c r="Y249">
        <f t="shared" ca="1" si="78"/>
        <v>0.15870563250518899</v>
      </c>
      <c r="Z249">
        <f t="shared" ca="1" si="80"/>
        <v>0.70730474897854501</v>
      </c>
      <c r="AA249">
        <f t="shared" ca="1" si="81"/>
        <v>-0.54859911647335602</v>
      </c>
      <c r="AB249">
        <f t="shared" ca="1" si="82"/>
        <v>224.06569999999999</v>
      </c>
    </row>
    <row r="250" spans="1:28" x14ac:dyDescent="0.25">
      <c r="A250" s="20">
        <f t="shared" ca="1" si="62"/>
        <v>45649</v>
      </c>
      <c r="B250" vm="741">
        <f ca="1"/>
        <v>45652</v>
      </c>
      <c r="C250" vm="742">
        <f ca="1"/>
        <v>243.14</v>
      </c>
      <c r="D250" vm="743">
        <f ca="1"/>
        <v>4452168</v>
      </c>
      <c r="E250">
        <f t="shared" ca="1" si="63"/>
        <v>1082500127.52</v>
      </c>
      <c r="F250">
        <f ca="1">SUM($E$2:E250)/SUM($D$2:D250)</f>
        <v>203.91614205033815</v>
      </c>
      <c r="G250">
        <f ca="1">_xlfn.STDEV.P($C$2:C250)</f>
        <v>21.05700224362441</v>
      </c>
      <c r="H250">
        <f t="shared" ca="1" si="64"/>
        <v>224.97314429396255</v>
      </c>
      <c r="I250">
        <f t="shared" ca="1" si="65"/>
        <v>182.85913980671376</v>
      </c>
      <c r="J250">
        <f t="shared" ca="1" si="74"/>
        <v>242.06000000000009</v>
      </c>
      <c r="K250">
        <f t="shared" ca="1" si="75"/>
        <v>4.9721265174232183</v>
      </c>
      <c r="L250">
        <f t="shared" ca="1" si="76"/>
        <v>252.00425303484653</v>
      </c>
      <c r="M250">
        <f t="shared" ca="1" si="77"/>
        <v>232.11574696515365</v>
      </c>
      <c r="N250">
        <f t="shared" ca="1" si="66"/>
        <v>0.82999999999998408</v>
      </c>
      <c r="O250">
        <f t="shared" ca="1" si="67"/>
        <v>0.82999999999998408</v>
      </c>
      <c r="P250">
        <f t="shared" ca="1" si="68"/>
        <v>0</v>
      </c>
      <c r="Q250">
        <f t="shared" ca="1" si="72"/>
        <v>1.3308244272955592</v>
      </c>
      <c r="R250">
        <f t="shared" ca="1" si="73"/>
        <v>1.0683537358132362</v>
      </c>
      <c r="S250">
        <f t="shared" ca="1" si="70"/>
        <v>1.2456777026969714</v>
      </c>
      <c r="T250">
        <f t="shared" ca="1" si="71"/>
        <v>55.470012513414595</v>
      </c>
      <c r="U250">
        <f>70</f>
        <v>70</v>
      </c>
      <c r="V250">
        <f>30</f>
        <v>30</v>
      </c>
      <c r="W250">
        <f t="shared" ca="1" si="69"/>
        <v>240.00034343716882</v>
      </c>
      <c r="X250">
        <f t="shared" ca="1" si="79"/>
        <v>239.84163780466363</v>
      </c>
      <c r="Y250">
        <f t="shared" ca="1" si="78"/>
        <v>0.240255596363113</v>
      </c>
      <c r="Z250">
        <f t="shared" ca="1" si="80"/>
        <v>0.61389491845545863</v>
      </c>
      <c r="AA250">
        <f t="shared" ca="1" si="81"/>
        <v>-0.37363932209234563</v>
      </c>
      <c r="AB250">
        <f t="shared" ca="1" si="82"/>
        <v>224.54810000000001</v>
      </c>
    </row>
    <row r="251" spans="1:28" x14ac:dyDescent="0.25">
      <c r="A251" s="20">
        <f t="shared" ca="1" si="62"/>
        <v>45649</v>
      </c>
      <c r="B251" vm="744">
        <f ca="1"/>
        <v>45653</v>
      </c>
      <c r="C251" vm="745">
        <f ca="1"/>
        <v>241.17</v>
      </c>
      <c r="D251" vm="746">
        <f ca="1"/>
        <v>5730607</v>
      </c>
      <c r="E251">
        <f t="shared" ca="1" si="63"/>
        <v>1382050490.1899998</v>
      </c>
      <c r="F251">
        <f ca="1">SUM($E$2:E251)/SUM($D$2:D251)</f>
        <v>204.01050176724098</v>
      </c>
      <c r="G251">
        <f ca="1">_xlfn.STDEV.P($C$2:C251)</f>
        <v>21.139990350991017</v>
      </c>
      <c r="H251">
        <f t="shared" ca="1" si="64"/>
        <v>225.15049211823199</v>
      </c>
      <c r="I251">
        <f t="shared" ca="1" si="65"/>
        <v>182.87051141624997</v>
      </c>
      <c r="J251">
        <f t="shared" ca="1" si="74"/>
        <v>241.62900000000005</v>
      </c>
      <c r="K251">
        <f t="shared" ca="1" si="75"/>
        <v>4.6285315393250057</v>
      </c>
      <c r="L251">
        <f t="shared" ca="1" si="76"/>
        <v>250.88606307865007</v>
      </c>
      <c r="M251">
        <f t="shared" ca="1" si="77"/>
        <v>232.37193692135003</v>
      </c>
      <c r="N251">
        <f t="shared" ca="1" si="66"/>
        <v>-1.9699999999999989</v>
      </c>
      <c r="O251">
        <f t="shared" ca="1" si="67"/>
        <v>0</v>
      </c>
      <c r="P251">
        <f t="shared" ca="1" si="68"/>
        <v>1.9699999999999989</v>
      </c>
      <c r="Q251">
        <f t="shared" ca="1" si="72"/>
        <v>1.2357655396315905</v>
      </c>
      <c r="R251">
        <f t="shared" ca="1" si="73"/>
        <v>1.132757040398005</v>
      </c>
      <c r="S251">
        <f t="shared" ca="1" si="70"/>
        <v>1.0909360927012137</v>
      </c>
      <c r="T251">
        <f t="shared" ca="1" si="71"/>
        <v>52.174530656834577</v>
      </c>
      <c r="U251">
        <f>70</f>
        <v>70</v>
      </c>
      <c r="V251">
        <f>30</f>
        <v>30</v>
      </c>
      <c r="W251">
        <f t="shared" ca="1" si="69"/>
        <v>240.1802906006813</v>
      </c>
      <c r="X251">
        <f t="shared" ca="1" si="79"/>
        <v>239.94003500431819</v>
      </c>
      <c r="Y251">
        <f t="shared" ca="1" si="78"/>
        <v>0.15383171509665772</v>
      </c>
      <c r="Z251">
        <f t="shared" ca="1" si="80"/>
        <v>0.52188227778369845</v>
      </c>
      <c r="AA251">
        <f t="shared" ca="1" si="81"/>
        <v>-0.36805056268704073</v>
      </c>
      <c r="AB251">
        <f t="shared" ca="1" si="82"/>
        <v>224.9564</v>
      </c>
    </row>
    <row r="252" spans="1:28" x14ac:dyDescent="0.25">
      <c r="A252" s="20">
        <f t="shared" ca="1" si="62"/>
        <v>45656</v>
      </c>
      <c r="B252" vm="747">
        <f ca="1"/>
        <v>45656</v>
      </c>
      <c r="C252" vm="748">
        <f ca="1"/>
        <v>239.32</v>
      </c>
      <c r="D252" vm="749">
        <f ca="1"/>
        <v>5723765</v>
      </c>
      <c r="E252">
        <f t="shared" ca="1" si="63"/>
        <v>1369811439.8</v>
      </c>
      <c r="F252">
        <f ca="1">SUM($E$2:E252)/SUM($D$2:D252)</f>
        <v>204.09960444848073</v>
      </c>
      <c r="G252">
        <f ca="1">_xlfn.STDEV.P($C$2:C252)</f>
        <v>21.208788601600915</v>
      </c>
      <c r="H252">
        <f t="shared" ca="1" si="64"/>
        <v>225.30839305008163</v>
      </c>
      <c r="I252">
        <f t="shared" ca="1" si="65"/>
        <v>182.89081584687983</v>
      </c>
      <c r="J252">
        <f t="shared" ca="1" si="74"/>
        <v>241.10900000000001</v>
      </c>
      <c r="K252">
        <f t="shared" ca="1" si="75"/>
        <v>4.2395504975236022</v>
      </c>
      <c r="L252">
        <f t="shared" ca="1" si="76"/>
        <v>249.58810099504723</v>
      </c>
      <c r="M252">
        <f t="shared" ca="1" si="77"/>
        <v>232.62989900495279</v>
      </c>
      <c r="N252">
        <f t="shared" ca="1" si="66"/>
        <v>-1.8499999999999943</v>
      </c>
      <c r="O252">
        <f t="shared" ca="1" si="67"/>
        <v>0</v>
      </c>
      <c r="P252">
        <f t="shared" ca="1" si="68"/>
        <v>1.8499999999999943</v>
      </c>
      <c r="Q252">
        <f t="shared" ca="1" si="72"/>
        <v>1.1474965725150483</v>
      </c>
      <c r="R252">
        <f t="shared" ca="1" si="73"/>
        <v>1.1839886803695756</v>
      </c>
      <c r="S252">
        <f t="shared" ca="1" si="70"/>
        <v>0.9691786682934026</v>
      </c>
      <c r="T252">
        <f t="shared" ca="1" si="71"/>
        <v>49.217406419161833</v>
      </c>
      <c r="U252">
        <f>70</f>
        <v>70</v>
      </c>
      <c r="V252">
        <f>30</f>
        <v>30</v>
      </c>
      <c r="W252">
        <f t="shared" ca="1" si="69"/>
        <v>240.04793820057648</v>
      </c>
      <c r="X252">
        <f t="shared" ca="1" si="79"/>
        <v>239.89410648547982</v>
      </c>
      <c r="Y252">
        <f t="shared" ca="1" si="78"/>
        <v>0.11547874014323156</v>
      </c>
      <c r="Z252">
        <f t="shared" ca="1" si="80"/>
        <v>0.44060157025560509</v>
      </c>
      <c r="AA252">
        <f t="shared" ca="1" si="81"/>
        <v>-0.32512283011237353</v>
      </c>
      <c r="AB252">
        <f t="shared" ca="1" si="82"/>
        <v>225.34559999999999</v>
      </c>
    </row>
    <row r="253" spans="1:28" x14ac:dyDescent="0.25">
      <c r="A253" s="20">
        <f t="shared" ca="1" si="62"/>
        <v>45656</v>
      </c>
      <c r="B253" vm="750">
        <f ca="1"/>
        <v>45657</v>
      </c>
      <c r="C253" vm="751">
        <f ca="1"/>
        <v>239.71</v>
      </c>
      <c r="D253" vm="752">
        <f ca="1"/>
        <v>4870971</v>
      </c>
      <c r="E253">
        <f t="shared" ca="1" si="63"/>
        <v>1167620458.4100001</v>
      </c>
      <c r="F253">
        <f ca="1">SUM($E$2:E253)/SUM($D$2:D253)</f>
        <v>204.17591386394227</v>
      </c>
      <c r="G253">
        <f ca="1">_xlfn.STDEV.P($C$2:C253)</f>
        <v>21.278444929240006</v>
      </c>
      <c r="H253">
        <f t="shared" ca="1" si="64"/>
        <v>225.45435879318228</v>
      </c>
      <c r="I253">
        <f t="shared" ca="1" si="65"/>
        <v>182.89746893470226</v>
      </c>
      <c r="J253">
        <f t="shared" ca="1" si="74"/>
        <v>240.78199999999998</v>
      </c>
      <c r="K253">
        <f t="shared" ca="1" si="75"/>
        <v>4.0710190111904021</v>
      </c>
      <c r="L253">
        <f t="shared" ca="1" si="76"/>
        <v>248.92403802238078</v>
      </c>
      <c r="M253">
        <f t="shared" ca="1" si="77"/>
        <v>232.63996197761918</v>
      </c>
      <c r="N253">
        <f t="shared" ca="1" si="66"/>
        <v>0.39000000000001478</v>
      </c>
      <c r="O253">
        <f t="shared" ca="1" si="67"/>
        <v>0.39000000000001478</v>
      </c>
      <c r="P253">
        <f t="shared" ca="1" si="68"/>
        <v>0</v>
      </c>
      <c r="Q253">
        <f t="shared" ca="1" si="72"/>
        <v>1.0933896744782603</v>
      </c>
      <c r="R253">
        <f t="shared" ca="1" si="73"/>
        <v>1.0994180603431774</v>
      </c>
      <c r="S253">
        <f t="shared" ca="1" si="70"/>
        <v>0.9945167483759223</v>
      </c>
      <c r="T253">
        <f t="shared" ca="1" si="71"/>
        <v>49.862541850587554</v>
      </c>
      <c r="U253">
        <f>70</f>
        <v>70</v>
      </c>
      <c r="V253">
        <f>30</f>
        <v>30</v>
      </c>
      <c r="W253">
        <f t="shared" ca="1" si="69"/>
        <v>239.9959477081801</v>
      </c>
      <c r="X253">
        <f t="shared" ca="1" si="79"/>
        <v>239.88046896803687</v>
      </c>
      <c r="Y253">
        <f t="shared" ca="1" si="78"/>
        <v>0.10724801913821125</v>
      </c>
      <c r="Z253">
        <f t="shared" ca="1" si="80"/>
        <v>0.37393086003212639</v>
      </c>
      <c r="AA253">
        <f t="shared" ca="1" si="81"/>
        <v>-0.26668284089391514</v>
      </c>
      <c r="AB253">
        <f t="shared" ca="1" si="82"/>
        <v>225.7021</v>
      </c>
    </row>
    <row r="254" spans="1:28" x14ac:dyDescent="0.25">
      <c r="A254" s="20">
        <f t="shared" ca="1" si="62"/>
        <v>45656</v>
      </c>
      <c r="B254" vm="753">
        <f ca="1"/>
        <v>45659</v>
      </c>
      <c r="C254" vm="754">
        <f ca="1"/>
        <v>240</v>
      </c>
      <c r="D254" vm="755">
        <f ca="1"/>
        <v>9220914</v>
      </c>
      <c r="E254">
        <f t="shared" ca="1" si="63"/>
        <v>2213019360</v>
      </c>
      <c r="F254">
        <f ca="1">SUM($E$2:E254)/SUM($D$2:D254)</f>
        <v>204.32064990581296</v>
      </c>
      <c r="G254">
        <f ca="1">_xlfn.STDEV.P($C$2:C254)</f>
        <v>21.348304386304012</v>
      </c>
      <c r="H254">
        <f t="shared" ca="1" si="64"/>
        <v>225.66895429211698</v>
      </c>
      <c r="I254">
        <f t="shared" ca="1" si="65"/>
        <v>182.97234551950893</v>
      </c>
      <c r="J254">
        <f t="shared" ca="1" si="74"/>
        <v>240.541</v>
      </c>
      <c r="K254">
        <f t="shared" ca="1" si="75"/>
        <v>3.9605633570570684</v>
      </c>
      <c r="L254">
        <f t="shared" ca="1" si="76"/>
        <v>248.46212671411413</v>
      </c>
      <c r="M254">
        <f t="shared" ca="1" si="77"/>
        <v>232.61987328588586</v>
      </c>
      <c r="N254">
        <f t="shared" ca="1" si="66"/>
        <v>0.28999999999999204</v>
      </c>
      <c r="O254">
        <f t="shared" ca="1" si="67"/>
        <v>0.28999999999999204</v>
      </c>
      <c r="P254">
        <f t="shared" ca="1" si="68"/>
        <v>0</v>
      </c>
      <c r="Q254">
        <f t="shared" ca="1" si="72"/>
        <v>1.0360046977298125</v>
      </c>
      <c r="R254">
        <f t="shared" ca="1" si="73"/>
        <v>1.0208881988900933</v>
      </c>
      <c r="S254">
        <f t="shared" ca="1" si="70"/>
        <v>1.0148072030376625</v>
      </c>
      <c r="T254">
        <f t="shared" ca="1" si="71"/>
        <v>50.367459551845407</v>
      </c>
      <c r="U254">
        <f>70</f>
        <v>70</v>
      </c>
      <c r="V254">
        <f>30</f>
        <v>30</v>
      </c>
      <c r="W254">
        <f t="shared" ca="1" si="69"/>
        <v>239.99657113769086</v>
      </c>
      <c r="X254">
        <f t="shared" ca="1" si="79"/>
        <v>239.88932311855265</v>
      </c>
      <c r="Y254">
        <f t="shared" ca="1" si="78"/>
        <v>0.36122967055433719</v>
      </c>
      <c r="Z254">
        <f t="shared" ca="1" si="80"/>
        <v>0.37139062213656854</v>
      </c>
      <c r="AA254">
        <f t="shared" ca="1" si="81"/>
        <v>-1.0160951582231348E-2</v>
      </c>
      <c r="AB254">
        <f t="shared" ca="1" si="82"/>
        <v>226.04409999999996</v>
      </c>
    </row>
    <row r="255" spans="1:28" x14ac:dyDescent="0.25">
      <c r="A255" s="20">
        <f t="shared" ca="1" si="62"/>
        <v>45656</v>
      </c>
      <c r="B255" vm="756">
        <f ca="1"/>
        <v>45660</v>
      </c>
      <c r="C255" vm="757">
        <f ca="1"/>
        <v>243.28</v>
      </c>
      <c r="D255" vm="758">
        <f ca="1"/>
        <v>9491053</v>
      </c>
      <c r="E255">
        <f t="shared" ca="1" si="63"/>
        <v>2308983373.8400002</v>
      </c>
      <c r="F255">
        <f ca="1">SUM($E$2:E255)/SUM($D$2:D255)</f>
        <v>204.48199338251214</v>
      </c>
      <c r="G255">
        <f ca="1">_xlfn.STDEV.P($C$2:C255)</f>
        <v>21.438306782481526</v>
      </c>
      <c r="H255">
        <f t="shared" ca="1" si="64"/>
        <v>225.92030016499368</v>
      </c>
      <c r="I255">
        <f t="shared" ca="1" si="65"/>
        <v>183.04368660003061</v>
      </c>
      <c r="J255">
        <f t="shared" ca="1" si="74"/>
        <v>240.535</v>
      </c>
      <c r="K255">
        <f t="shared" ca="1" si="75"/>
        <v>3.9560925698285456</v>
      </c>
      <c r="L255">
        <f t="shared" ca="1" si="76"/>
        <v>248.44718513965708</v>
      </c>
      <c r="M255">
        <f t="shared" ca="1" si="77"/>
        <v>232.62281486034291</v>
      </c>
      <c r="N255">
        <f t="shared" ca="1" si="66"/>
        <v>3.2800000000000011</v>
      </c>
      <c r="O255">
        <f t="shared" ca="1" si="67"/>
        <v>3.2800000000000011</v>
      </c>
      <c r="P255">
        <f t="shared" ca="1" si="68"/>
        <v>0</v>
      </c>
      <c r="Q255">
        <f t="shared" ca="1" si="72"/>
        <v>1.1962900764633975</v>
      </c>
      <c r="R255">
        <f t="shared" ca="1" si="73"/>
        <v>0.94796761325508672</v>
      </c>
      <c r="S255">
        <f t="shared" ca="1" si="70"/>
        <v>1.2619524757345166</v>
      </c>
      <c r="T255">
        <f t="shared" ca="1" si="71"/>
        <v>55.790406265044396</v>
      </c>
      <c r="U255">
        <f>70</f>
        <v>70</v>
      </c>
      <c r="V255">
        <f>30</f>
        <v>30</v>
      </c>
      <c r="W255">
        <f t="shared" ca="1" si="69"/>
        <v>240.50171403958456</v>
      </c>
      <c r="X255">
        <f t="shared" ca="1" si="79"/>
        <v>240.14048436903022</v>
      </c>
      <c r="Y255">
        <f t="shared" ca="1" si="78"/>
        <v>0.36225541259770466</v>
      </c>
      <c r="Z255">
        <f t="shared" ca="1" si="80"/>
        <v>0.36956358022879576</v>
      </c>
      <c r="AA255">
        <f t="shared" ca="1" si="81"/>
        <v>-7.3081676310911003E-3</v>
      </c>
      <c r="AB255">
        <f t="shared" ca="1" si="82"/>
        <v>226.41499999999996</v>
      </c>
    </row>
    <row r="256" spans="1:28" x14ac:dyDescent="0.25">
      <c r="A256" s="20">
        <f t="shared" ca="1" si="62"/>
        <v>45663</v>
      </c>
      <c r="B256" vm="759">
        <f ca="1"/>
        <v>45663</v>
      </c>
      <c r="C256" vm="760">
        <f ca="1"/>
        <v>240.85</v>
      </c>
      <c r="D256" vm="761">
        <f ca="1"/>
        <v>9917836</v>
      </c>
      <c r="E256">
        <f t="shared" ca="1" si="63"/>
        <v>2388710800.5999999</v>
      </c>
      <c r="F256">
        <f ca="1">SUM($E$2:E256)/SUM($D$2:D256)</f>
        <v>204.63869964485988</v>
      </c>
      <c r="G256">
        <f ca="1">_xlfn.STDEV.P($C$2:C256)</f>
        <v>21.510072281165023</v>
      </c>
      <c r="H256">
        <f t="shared" ca="1" si="64"/>
        <v>226.14877192602489</v>
      </c>
      <c r="I256">
        <f t="shared" ca="1" si="65"/>
        <v>183.12862736369487</v>
      </c>
      <c r="J256">
        <f t="shared" ca="1" si="74"/>
        <v>240.30349999999999</v>
      </c>
      <c r="K256">
        <f t="shared" ca="1" si="75"/>
        <v>3.7831833921906788</v>
      </c>
      <c r="L256">
        <f t="shared" ca="1" si="76"/>
        <v>247.86986678438134</v>
      </c>
      <c r="M256">
        <f t="shared" ca="1" si="77"/>
        <v>232.73713321561863</v>
      </c>
      <c r="N256">
        <f t="shared" ca="1" si="66"/>
        <v>-2.4300000000000068</v>
      </c>
      <c r="O256">
        <f t="shared" ca="1" si="67"/>
        <v>0</v>
      </c>
      <c r="P256">
        <f t="shared" ca="1" si="68"/>
        <v>2.4300000000000068</v>
      </c>
      <c r="Q256">
        <f t="shared" ca="1" si="72"/>
        <v>1.1108407852874405</v>
      </c>
      <c r="R256">
        <f t="shared" ca="1" si="73"/>
        <v>1.0538270694511525</v>
      </c>
      <c r="S256">
        <f t="shared" ca="1" si="70"/>
        <v>1.0541015860087761</v>
      </c>
      <c r="T256">
        <f t="shared" ca="1" si="71"/>
        <v>51.316916027359142</v>
      </c>
      <c r="U256">
        <f>70</f>
        <v>70</v>
      </c>
      <c r="V256">
        <f>30</f>
        <v>30</v>
      </c>
      <c r="W256">
        <f t="shared" ca="1" si="69"/>
        <v>240.55529649503308</v>
      </c>
      <c r="X256">
        <f t="shared" ca="1" si="79"/>
        <v>240.19304108243537</v>
      </c>
      <c r="Y256">
        <f t="shared" ca="1" si="78"/>
        <v>0.54400201490977906</v>
      </c>
      <c r="Z256">
        <f t="shared" ca="1" si="80"/>
        <v>0.40445126716499241</v>
      </c>
      <c r="AA256">
        <f t="shared" ca="1" si="81"/>
        <v>0.13955074774478665</v>
      </c>
      <c r="AB256">
        <f t="shared" ca="1" si="82"/>
        <v>226.74409999999997</v>
      </c>
    </row>
    <row r="257" spans="1:28" x14ac:dyDescent="0.25">
      <c r="A257" s="20">
        <f t="shared" ca="1" si="62"/>
        <v>45663</v>
      </c>
      <c r="B257" vm="762">
        <f ca="1"/>
        <v>45664</v>
      </c>
      <c r="C257" vm="763">
        <f ca="1"/>
        <v>243.17</v>
      </c>
      <c r="D257" vm="764">
        <f ca="1"/>
        <v>8753357</v>
      </c>
      <c r="E257">
        <f t="shared" ca="1" si="63"/>
        <v>2128553821.6899998</v>
      </c>
      <c r="F257">
        <f ca="1">SUM($E$2:E257)/SUM($D$2:D257)</f>
        <v>204.78467843390695</v>
      </c>
      <c r="G257">
        <f ca="1">_xlfn.STDEV.P($C$2:C257)</f>
        <v>21.595374532862362</v>
      </c>
      <c r="H257">
        <f t="shared" ca="1" si="64"/>
        <v>226.38005296676931</v>
      </c>
      <c r="I257">
        <f t="shared" ca="1" si="65"/>
        <v>183.18930390104458</v>
      </c>
      <c r="J257">
        <f t="shared" ca="1" si="74"/>
        <v>240.09399999999999</v>
      </c>
      <c r="K257">
        <f t="shared" ca="1" si="75"/>
        <v>3.4753408011604434</v>
      </c>
      <c r="L257">
        <f t="shared" ca="1" si="76"/>
        <v>247.04468160232088</v>
      </c>
      <c r="M257">
        <f t="shared" ca="1" si="77"/>
        <v>233.14331839767911</v>
      </c>
      <c r="N257">
        <f t="shared" ca="1" si="66"/>
        <v>2.3199999999999932</v>
      </c>
      <c r="O257">
        <f t="shared" ca="1" si="67"/>
        <v>2.3199999999999932</v>
      </c>
      <c r="P257">
        <f t="shared" ca="1" si="68"/>
        <v>0</v>
      </c>
      <c r="Q257">
        <f t="shared" ca="1" si="72"/>
        <v>1.1972093006240512</v>
      </c>
      <c r="R257">
        <f t="shared" ca="1" si="73"/>
        <v>0.97855370734749869</v>
      </c>
      <c r="S257">
        <f t="shared" ca="1" si="70"/>
        <v>1.2234477184387231</v>
      </c>
      <c r="T257">
        <f t="shared" ca="1" si="71"/>
        <v>55.024802620401282</v>
      </c>
      <c r="U257">
        <f>70</f>
        <v>70</v>
      </c>
      <c r="V257">
        <f>30</f>
        <v>30</v>
      </c>
      <c r="W257">
        <f t="shared" ca="1" si="69"/>
        <v>240.9575585727203</v>
      </c>
      <c r="X257">
        <f t="shared" ca="1" si="79"/>
        <v>240.41355655781052</v>
      </c>
      <c r="Y257">
        <f t="shared" ca="1" si="78"/>
        <v>0.67700574019806936</v>
      </c>
      <c r="Z257">
        <f t="shared" ca="1" si="80"/>
        <v>0.45896216177160787</v>
      </c>
      <c r="AA257">
        <f t="shared" ca="1" si="81"/>
        <v>0.21804357842646149</v>
      </c>
      <c r="AB257">
        <f t="shared" ca="1" si="82"/>
        <v>227.07339999999988</v>
      </c>
    </row>
    <row r="258" spans="1:28" x14ac:dyDescent="0.25">
      <c r="A258" s="20">
        <f t="shared" ca="1" si="62"/>
        <v>45663</v>
      </c>
      <c r="B258" vm="765">
        <f ca="1"/>
        <v>45665</v>
      </c>
      <c r="C258" vm="766">
        <f ca="1"/>
        <v>243.13</v>
      </c>
      <c r="D258" vm="767">
        <f ca="1"/>
        <v>8675284</v>
      </c>
      <c r="E258">
        <f t="shared" ca="1" si="63"/>
        <v>2109221798.9200001</v>
      </c>
      <c r="F258">
        <f ca="1">SUM($E$2:E258)/SUM($D$2:D258)</f>
        <v>204.92811831148157</v>
      </c>
      <c r="G258">
        <f ca="1">_xlfn.STDEV.P($C$2:C258)</f>
        <v>21.678433407535064</v>
      </c>
      <c r="H258">
        <f t="shared" ca="1" si="64"/>
        <v>226.60655171901664</v>
      </c>
      <c r="I258">
        <f t="shared" ca="1" si="65"/>
        <v>183.2496849039465</v>
      </c>
      <c r="J258">
        <f t="shared" ca="1" si="74"/>
        <v>240.06</v>
      </c>
      <c r="K258">
        <f t="shared" ca="1" si="75"/>
        <v>3.4402218410720926</v>
      </c>
      <c r="L258">
        <f t="shared" ca="1" si="76"/>
        <v>246.94044368214418</v>
      </c>
      <c r="M258">
        <f t="shared" ca="1" si="77"/>
        <v>233.17955631785583</v>
      </c>
      <c r="N258">
        <f t="shared" ca="1" si="66"/>
        <v>-3.9999999999992042E-2</v>
      </c>
      <c r="O258">
        <f t="shared" ca="1" si="67"/>
        <v>0</v>
      </c>
      <c r="P258">
        <f t="shared" ca="1" si="68"/>
        <v>3.9999999999992042E-2</v>
      </c>
      <c r="Q258">
        <f t="shared" ca="1" si="72"/>
        <v>1.1116943505794761</v>
      </c>
      <c r="R258">
        <f t="shared" ca="1" si="73"/>
        <v>0.91151415682267678</v>
      </c>
      <c r="S258">
        <f t="shared" ca="1" si="70"/>
        <v>1.2196128192397804</v>
      </c>
      <c r="T258">
        <f t="shared" ca="1" si="71"/>
        <v>54.947097469796518</v>
      </c>
      <c r="U258">
        <f>70</f>
        <v>70</v>
      </c>
      <c r="V258">
        <f>30</f>
        <v>30</v>
      </c>
      <c r="W258">
        <f t="shared" ca="1" si="69"/>
        <v>241.29178033076334</v>
      </c>
      <c r="X258">
        <f t="shared" ca="1" si="79"/>
        <v>240.61477459056528</v>
      </c>
      <c r="Y258">
        <f t="shared" ca="1" si="78"/>
        <v>0.51343879288603489</v>
      </c>
      <c r="Z258">
        <f t="shared" ca="1" si="80"/>
        <v>0.46985748799449328</v>
      </c>
      <c r="AA258">
        <f t="shared" ca="1" si="81"/>
        <v>4.3581304891541606E-2</v>
      </c>
      <c r="AB258">
        <f t="shared" ca="1" si="82"/>
        <v>227.3891999999999</v>
      </c>
    </row>
    <row r="259" spans="1:28" x14ac:dyDescent="0.25">
      <c r="A259" s="20">
        <f t="shared" ref="A259:A322" ca="1" si="83">B259 - WEEKDAY(B259, 2) + 1</f>
        <v>45663</v>
      </c>
      <c r="B259" vm="768">
        <f ca="1"/>
        <v>45667</v>
      </c>
      <c r="C259" vm="769">
        <f ca="1"/>
        <v>239.87</v>
      </c>
      <c r="D259" vm="770">
        <f ca="1"/>
        <v>10256829</v>
      </c>
      <c r="E259">
        <f t="shared" ref="E259:E322" ca="1" si="84">C259*D259</f>
        <v>2460305572.23</v>
      </c>
      <c r="F259">
        <f ca="1">SUM($E$2:E259)/SUM($D$2:D259)</f>
        <v>205.08197511585664</v>
      </c>
      <c r="G259">
        <f ca="1">_xlfn.STDEV.P($C$2:C259)</f>
        <v>21.738983842592791</v>
      </c>
      <c r="H259">
        <f t="shared" ref="H259:H322" ca="1" si="85">F259 + G259</f>
        <v>226.82095895844944</v>
      </c>
      <c r="I259">
        <f t="shared" ref="I259:I322" ca="1" si="86">F259 - G259</f>
        <v>183.34299127326383</v>
      </c>
      <c r="J259">
        <f t="shared" ca="1" si="74"/>
        <v>239.91050000000001</v>
      </c>
      <c r="K259">
        <f t="shared" ca="1" si="75"/>
        <v>3.3765171638679279</v>
      </c>
      <c r="L259">
        <f t="shared" ca="1" si="76"/>
        <v>246.66353432773587</v>
      </c>
      <c r="M259">
        <f t="shared" ca="1" si="77"/>
        <v>233.15746567226415</v>
      </c>
      <c r="N259">
        <f t="shared" ca="1" si="66"/>
        <v>-3.2599999999999909</v>
      </c>
      <c r="O259">
        <f t="shared" ca="1" si="67"/>
        <v>0</v>
      </c>
      <c r="P259">
        <f t="shared" ca="1" si="68"/>
        <v>3.2599999999999909</v>
      </c>
      <c r="Q259">
        <f t="shared" ca="1" si="72"/>
        <v>1.0322876112523707</v>
      </c>
      <c r="R259">
        <f t="shared" ca="1" si="73"/>
        <v>1.0792631456210564</v>
      </c>
      <c r="S259">
        <f t="shared" ca="1" si="70"/>
        <v>0.95647443854700154</v>
      </c>
      <c r="T259">
        <f t="shared" ca="1" si="71"/>
        <v>48.887653204267693</v>
      </c>
      <c r="U259">
        <f>70</f>
        <v>70</v>
      </c>
      <c r="V259">
        <f>30</f>
        <v>30</v>
      </c>
      <c r="W259">
        <f t="shared" ca="1" si="69"/>
        <v>241.07304489526129</v>
      </c>
      <c r="X259">
        <f t="shared" ca="1" si="79"/>
        <v>240.55960610237526</v>
      </c>
      <c r="Y259">
        <f t="shared" ca="1" si="78"/>
        <v>0.72564772256592391</v>
      </c>
      <c r="Z259">
        <f t="shared" ca="1" si="80"/>
        <v>0.5210155349087795</v>
      </c>
      <c r="AA259">
        <f t="shared" ca="1" si="81"/>
        <v>0.20463218765714442</v>
      </c>
      <c r="AB259">
        <f t="shared" ca="1" si="82"/>
        <v>227.64819999999989</v>
      </c>
    </row>
    <row r="260" spans="1:28" x14ac:dyDescent="0.25">
      <c r="A260" s="20">
        <f t="shared" ca="1" si="83"/>
        <v>45670</v>
      </c>
      <c r="B260" vm="771">
        <f ca="1"/>
        <v>45670</v>
      </c>
      <c r="C260" vm="772">
        <f ca="1"/>
        <v>244.21</v>
      </c>
      <c r="D260" vm="773">
        <f ca="1"/>
        <v>10005315</v>
      </c>
      <c r="E260">
        <f t="shared" ca="1" si="84"/>
        <v>2443397976.1500001</v>
      </c>
      <c r="F260">
        <f ca="1">SUM($E$2:E260)/SUM($D$2:D260)</f>
        <v>205.2493208280161</v>
      </c>
      <c r="G260">
        <f ca="1">_xlfn.STDEV.P($C$2:C260)</f>
        <v>21.825657182348433</v>
      </c>
      <c r="H260">
        <f t="shared" ca="1" si="85"/>
        <v>227.07497801036453</v>
      </c>
      <c r="I260">
        <f t="shared" ca="1" si="86"/>
        <v>183.42366364566766</v>
      </c>
      <c r="J260">
        <f t="shared" ca="1" si="74"/>
        <v>239.94450000000001</v>
      </c>
      <c r="K260">
        <f t="shared" ca="1" si="75"/>
        <v>3.4180503445523915</v>
      </c>
      <c r="L260">
        <f t="shared" ca="1" si="76"/>
        <v>246.7806006891048</v>
      </c>
      <c r="M260">
        <f t="shared" ca="1" si="77"/>
        <v>233.10839931089521</v>
      </c>
      <c r="N260">
        <f t="shared" ref="N260:N323" ca="1" si="87">C260-C259</f>
        <v>4.3400000000000034</v>
      </c>
      <c r="O260">
        <f t="shared" ref="O260:O323" ca="1" si="88">MAX(N260,0)</f>
        <v>4.3400000000000034</v>
      </c>
      <c r="P260">
        <f t="shared" ref="P260:P323" ca="1" si="89">MAX(-N260,0)</f>
        <v>0</v>
      </c>
      <c r="Q260">
        <f t="shared" ca="1" si="72"/>
        <v>1.2685527818772016</v>
      </c>
      <c r="R260">
        <f t="shared" ca="1" si="73"/>
        <v>1.0021729209338381</v>
      </c>
      <c r="S260">
        <f t="shared" ca="1" si="70"/>
        <v>1.2658022935753912</v>
      </c>
      <c r="T260">
        <f t="shared" ca="1" si="71"/>
        <v>55.865522652374949</v>
      </c>
      <c r="U260">
        <f>70</f>
        <v>70</v>
      </c>
      <c r="V260">
        <f>30</f>
        <v>30</v>
      </c>
      <c r="W260">
        <f t="shared" ca="1" si="69"/>
        <v>241.55565337291338</v>
      </c>
      <c r="X260">
        <f t="shared" ca="1" si="79"/>
        <v>240.83000565034746</v>
      </c>
      <c r="Y260">
        <f t="shared" ca="1" si="78"/>
        <v>1.1436957703485859</v>
      </c>
      <c r="Z260">
        <f t="shared" ca="1" si="80"/>
        <v>0.64555158199674079</v>
      </c>
      <c r="AA260">
        <f t="shared" ca="1" si="81"/>
        <v>0.49814418835184515</v>
      </c>
      <c r="AB260">
        <f t="shared" ca="1" si="82"/>
        <v>227.93579999999992</v>
      </c>
    </row>
    <row r="261" spans="1:28" x14ac:dyDescent="0.25">
      <c r="A261" s="20">
        <f t="shared" ca="1" si="83"/>
        <v>45670</v>
      </c>
      <c r="B261" vm="774">
        <f ca="1"/>
        <v>45671</v>
      </c>
      <c r="C261" vm="775">
        <f ca="1"/>
        <v>247.47</v>
      </c>
      <c r="D261" vm="776">
        <f ca="1"/>
        <v>12407386</v>
      </c>
      <c r="E261">
        <f t="shared" ca="1" si="84"/>
        <v>3070455813.4200001</v>
      </c>
      <c r="F261">
        <f ca="1">SUM($E$2:E261)/SUM($D$2:D261)</f>
        <v>205.47206386625894</v>
      </c>
      <c r="G261">
        <f ca="1">_xlfn.STDEV.P($C$2:C261)</f>
        <v>21.932932509526996</v>
      </c>
      <c r="H261">
        <f t="shared" ca="1" si="85"/>
        <v>227.40499637578594</v>
      </c>
      <c r="I261">
        <f t="shared" ca="1" si="86"/>
        <v>183.53913135673193</v>
      </c>
      <c r="J261">
        <f t="shared" ca="1" si="74"/>
        <v>240.24150000000003</v>
      </c>
      <c r="K261">
        <f t="shared" ca="1" si="75"/>
        <v>3.7998161659134015</v>
      </c>
      <c r="L261">
        <f t="shared" ca="1" si="76"/>
        <v>247.84113233182683</v>
      </c>
      <c r="M261">
        <f t="shared" ca="1" si="77"/>
        <v>232.64186766817323</v>
      </c>
      <c r="N261">
        <f t="shared" ca="1" si="87"/>
        <v>3.2599999999999909</v>
      </c>
      <c r="O261">
        <f t="shared" ca="1" si="88"/>
        <v>3.2599999999999909</v>
      </c>
      <c r="P261">
        <f t="shared" ca="1" si="89"/>
        <v>0</v>
      </c>
      <c r="Q261">
        <f t="shared" ca="1" si="72"/>
        <v>1.4107990117431151</v>
      </c>
      <c r="R261">
        <f t="shared" ca="1" si="73"/>
        <v>0.9305891408671354</v>
      </c>
      <c r="S261">
        <f t="shared" ca="1" si="70"/>
        <v>1.5160278040946338</v>
      </c>
      <c r="T261">
        <f t="shared" ca="1" si="71"/>
        <v>60.254811239661976</v>
      </c>
      <c r="U261">
        <f>70</f>
        <v>70</v>
      </c>
      <c r="V261">
        <f>30</f>
        <v>30</v>
      </c>
      <c r="W261">
        <f t="shared" ca="1" si="69"/>
        <v>242.46555285400365</v>
      </c>
      <c r="X261">
        <f t="shared" ca="1" si="79"/>
        <v>241.32185708365506</v>
      </c>
      <c r="Y261">
        <f t="shared" ca="1" si="78"/>
        <v>1.8474804713709432</v>
      </c>
      <c r="Z261">
        <f t="shared" ca="1" si="80"/>
        <v>0.8859373598715814</v>
      </c>
      <c r="AA261">
        <f t="shared" ca="1" si="81"/>
        <v>0.96154311149936178</v>
      </c>
      <c r="AB261">
        <f t="shared" ca="1" si="82"/>
        <v>228.26529999999988</v>
      </c>
    </row>
    <row r="262" spans="1:28" x14ac:dyDescent="0.25">
      <c r="A262" s="20">
        <f t="shared" ca="1" si="83"/>
        <v>45670</v>
      </c>
      <c r="B262" vm="777">
        <f ca="1"/>
        <v>45672</v>
      </c>
      <c r="C262" vm="778">
        <f ca="1"/>
        <v>252.35</v>
      </c>
      <c r="D262" vm="779">
        <f ca="1"/>
        <v>18448520</v>
      </c>
      <c r="E262">
        <f t="shared" ca="1" si="84"/>
        <v>4655484022</v>
      </c>
      <c r="F262">
        <f ca="1">SUM($E$2:E262)/SUM($D$2:D262)</f>
        <v>205.83693134396879</v>
      </c>
      <c r="G262">
        <f ca="1">_xlfn.STDEV.P($C$2:C262)</f>
        <v>22.074518954709372</v>
      </c>
      <c r="H262">
        <f t="shared" ca="1" si="85"/>
        <v>227.91145029867815</v>
      </c>
      <c r="I262">
        <f t="shared" ca="1" si="86"/>
        <v>183.76241238925942</v>
      </c>
      <c r="J262">
        <f t="shared" ca="1" si="74"/>
        <v>240.86200000000002</v>
      </c>
      <c r="K262">
        <f t="shared" ca="1" si="75"/>
        <v>4.6631699180075463</v>
      </c>
      <c r="L262">
        <f t="shared" ca="1" si="76"/>
        <v>250.1883398360151</v>
      </c>
      <c r="M262">
        <f t="shared" ca="1" si="77"/>
        <v>231.53566016398494</v>
      </c>
      <c r="N262">
        <f t="shared" ca="1" si="87"/>
        <v>4.8799999999999955</v>
      </c>
      <c r="O262">
        <f t="shared" ca="1" si="88"/>
        <v>4.8799999999999955</v>
      </c>
      <c r="P262">
        <f t="shared" ca="1" si="89"/>
        <v>0</v>
      </c>
      <c r="Q262">
        <f t="shared" ca="1" si="72"/>
        <v>1.6585990823328924</v>
      </c>
      <c r="R262">
        <f t="shared" ca="1" si="73"/>
        <v>0.86411848794805424</v>
      </c>
      <c r="S262">
        <f t="shared" ca="1" si="70"/>
        <v>1.9194116379472692</v>
      </c>
      <c r="T262">
        <f t="shared" ca="1" si="71"/>
        <v>65.746522792409934</v>
      </c>
      <c r="U262">
        <f>70</f>
        <v>70</v>
      </c>
      <c r="V262">
        <f>30</f>
        <v>30</v>
      </c>
      <c r="W262">
        <f t="shared" ca="1" si="69"/>
        <v>243.9862370303108</v>
      </c>
      <c r="X262">
        <f t="shared" ca="1" si="79"/>
        <v>242.13875655893986</v>
      </c>
      <c r="Y262">
        <f t="shared" ca="1" si="78"/>
        <v>2.5309872260594091</v>
      </c>
      <c r="Z262">
        <f t="shared" ca="1" si="80"/>
        <v>1.2149473331091469</v>
      </c>
      <c r="AA262">
        <f t="shared" ca="1" si="81"/>
        <v>1.3160398929502621</v>
      </c>
      <c r="AB262">
        <f t="shared" ca="1" si="82"/>
        <v>228.64279999999988</v>
      </c>
    </row>
    <row r="263" spans="1:28" x14ac:dyDescent="0.25">
      <c r="A263" s="20">
        <f t="shared" ca="1" si="83"/>
        <v>45670</v>
      </c>
      <c r="B263" vm="780">
        <f ca="1"/>
        <v>45673</v>
      </c>
      <c r="C263" vm="781">
        <f ca="1"/>
        <v>254.27</v>
      </c>
      <c r="D263" vm="782">
        <f ca="1"/>
        <v>15292348</v>
      </c>
      <c r="E263">
        <f t="shared" ca="1" si="84"/>
        <v>3888385325.96</v>
      </c>
      <c r="F263">
        <f ca="1">SUM($E$2:E263)/SUM($D$2:D263)</f>
        <v>206.14740755376039</v>
      </c>
      <c r="G263">
        <f ca="1">_xlfn.STDEV.P($C$2:C263)</f>
        <v>22.228118663412399</v>
      </c>
      <c r="H263">
        <f t="shared" ca="1" si="85"/>
        <v>228.37552621717279</v>
      </c>
      <c r="I263">
        <f t="shared" ca="1" si="86"/>
        <v>183.91928889034799</v>
      </c>
      <c r="J263">
        <f t="shared" ca="1" si="74"/>
        <v>241.59650000000005</v>
      </c>
      <c r="K263">
        <f t="shared" ca="1" si="75"/>
        <v>5.527438994878664</v>
      </c>
      <c r="L263">
        <f t="shared" ca="1" si="76"/>
        <v>252.65137798975738</v>
      </c>
      <c r="M263">
        <f t="shared" ca="1" si="77"/>
        <v>230.54162201024272</v>
      </c>
      <c r="N263">
        <f t="shared" ca="1" si="87"/>
        <v>1.9200000000000159</v>
      </c>
      <c r="O263">
        <f t="shared" ca="1" si="88"/>
        <v>1.9200000000000159</v>
      </c>
      <c r="P263">
        <f t="shared" ca="1" si="89"/>
        <v>0</v>
      </c>
      <c r="Q263">
        <f t="shared" ca="1" si="72"/>
        <v>1.6772705764519726</v>
      </c>
      <c r="R263">
        <f t="shared" ca="1" si="73"/>
        <v>0.80239573880890747</v>
      </c>
      <c r="S263">
        <f t="shared" ca="1" si="70"/>
        <v>2.0903283695670507</v>
      </c>
      <c r="T263">
        <f t="shared" ca="1" si="71"/>
        <v>67.640979196650932</v>
      </c>
      <c r="U263">
        <f>70</f>
        <v>70</v>
      </c>
      <c r="V263">
        <f>30</f>
        <v>30</v>
      </c>
      <c r="W263">
        <f t="shared" ca="1" si="69"/>
        <v>245.568354410263</v>
      </c>
      <c r="X263">
        <f t="shared" ca="1" si="79"/>
        <v>243.03736718420359</v>
      </c>
      <c r="Y263">
        <f t="shared" ca="1" si="78"/>
        <v>3.4277405270140946</v>
      </c>
      <c r="Z263">
        <f t="shared" ca="1" si="80"/>
        <v>1.6575059718901366</v>
      </c>
      <c r="AA263">
        <f t="shared" ca="1" si="81"/>
        <v>1.770234555123958</v>
      </c>
      <c r="AB263">
        <f t="shared" ca="1" si="82"/>
        <v>229.01919999999987</v>
      </c>
    </row>
    <row r="264" spans="1:28" x14ac:dyDescent="0.25">
      <c r="A264" s="20">
        <f t="shared" ca="1" si="83"/>
        <v>45670</v>
      </c>
      <c r="B264" vm="783">
        <f ca="1"/>
        <v>45674</v>
      </c>
      <c r="C264" vm="784">
        <f ca="1"/>
        <v>259.16000000000003</v>
      </c>
      <c r="D264" vm="785">
        <f ca="1"/>
        <v>17678101</v>
      </c>
      <c r="E264">
        <f t="shared" ca="1" si="84"/>
        <v>4581456655.1600008</v>
      </c>
      <c r="F264">
        <f ca="1">SUM($E$2:E264)/SUM($D$2:D264)</f>
        <v>206.53736781068949</v>
      </c>
      <c r="G264">
        <f ca="1">_xlfn.STDEV.P($C$2:C264)</f>
        <v>22.419388829651538</v>
      </c>
      <c r="H264">
        <f t="shared" ca="1" si="85"/>
        <v>228.95675664034104</v>
      </c>
      <c r="I264">
        <f t="shared" ca="1" si="86"/>
        <v>184.11797898103794</v>
      </c>
      <c r="J264">
        <f t="shared" ca="1" si="74"/>
        <v>242.63650000000001</v>
      </c>
      <c r="K264">
        <f t="shared" ca="1" si="75"/>
        <v>6.7155305273044466</v>
      </c>
      <c r="L264">
        <f t="shared" ca="1" si="76"/>
        <v>256.06756105460892</v>
      </c>
      <c r="M264">
        <f t="shared" ca="1" si="77"/>
        <v>229.20543894539111</v>
      </c>
      <c r="N264">
        <f t="shared" ca="1" si="87"/>
        <v>4.8900000000000148</v>
      </c>
      <c r="O264">
        <f t="shared" ca="1" si="88"/>
        <v>4.8900000000000148</v>
      </c>
      <c r="P264">
        <f t="shared" ca="1" si="89"/>
        <v>0</v>
      </c>
      <c r="Q264">
        <f t="shared" ca="1" si="72"/>
        <v>1.9067512495625469</v>
      </c>
      <c r="R264">
        <f t="shared" ca="1" si="73"/>
        <v>0.74508175746541405</v>
      </c>
      <c r="S264">
        <f t="shared" ca="1" si="70"/>
        <v>2.5591168089376506</v>
      </c>
      <c r="T264">
        <f t="shared" ca="1" si="71"/>
        <v>71.903141883716742</v>
      </c>
      <c r="U264">
        <f>70</f>
        <v>70</v>
      </c>
      <c r="V264">
        <f>30</f>
        <v>30</v>
      </c>
      <c r="W264">
        <f t="shared" ca="1" si="69"/>
        <v>247.65937680868407</v>
      </c>
      <c r="X264">
        <f t="shared" ca="1" si="79"/>
        <v>244.23163628166998</v>
      </c>
      <c r="Y264">
        <f t="shared" ca="1" si="78"/>
        <v>4.3999804006735985</v>
      </c>
      <c r="Z264">
        <f t="shared" ca="1" si="80"/>
        <v>2.2060008576468291</v>
      </c>
      <c r="AA264">
        <f t="shared" ca="1" si="81"/>
        <v>2.1939795430267695</v>
      </c>
      <c r="AB264">
        <f t="shared" ca="1" si="82"/>
        <v>229.4276999999999</v>
      </c>
    </row>
    <row r="265" spans="1:28" x14ac:dyDescent="0.25">
      <c r="A265" s="20">
        <f t="shared" ca="1" si="83"/>
        <v>45677</v>
      </c>
      <c r="B265" vm="786">
        <f ca="1"/>
        <v>45678</v>
      </c>
      <c r="C265" vm="787">
        <f ca="1"/>
        <v>263.02999999999997</v>
      </c>
      <c r="D265" vm="788">
        <f ca="1"/>
        <v>13712114</v>
      </c>
      <c r="E265">
        <f t="shared" ca="1" si="84"/>
        <v>3606697345.4199996</v>
      </c>
      <c r="F265">
        <f ca="1">SUM($E$2:E265)/SUM($D$2:D265)</f>
        <v>206.8578700009231</v>
      </c>
      <c r="G265">
        <f ca="1">_xlfn.STDEV.P($C$2:C265)</f>
        <v>22.640845243623051</v>
      </c>
      <c r="H265">
        <f t="shared" ca="1" si="85"/>
        <v>229.49871524454616</v>
      </c>
      <c r="I265">
        <f t="shared" ca="1" si="86"/>
        <v>184.21702475730004</v>
      </c>
      <c r="J265">
        <f t="shared" ca="1" si="74"/>
        <v>244.26950000000002</v>
      </c>
      <c r="K265">
        <f t="shared" ca="1" si="75"/>
        <v>7.5007462611185707</v>
      </c>
      <c r="L265">
        <f t="shared" ca="1" si="76"/>
        <v>259.27099252223718</v>
      </c>
      <c r="M265">
        <f t="shared" ca="1" si="77"/>
        <v>229.26800747776289</v>
      </c>
      <c r="N265">
        <f t="shared" ca="1" si="87"/>
        <v>3.8699999999999477</v>
      </c>
      <c r="O265">
        <f t="shared" ca="1" si="88"/>
        <v>3.8699999999999477</v>
      </c>
      <c r="P265">
        <f t="shared" ca="1" si="89"/>
        <v>0</v>
      </c>
      <c r="Q265">
        <f t="shared" ca="1" si="72"/>
        <v>2.0469833031652187</v>
      </c>
      <c r="R265">
        <f t="shared" ca="1" si="73"/>
        <v>0.69186163193217021</v>
      </c>
      <c r="S265">
        <f t="shared" ca="1" si="70"/>
        <v>2.9586599526390618</v>
      </c>
      <c r="T265">
        <f t="shared" ca="1" si="71"/>
        <v>74.738926506346047</v>
      </c>
      <c r="U265">
        <f>70</f>
        <v>70</v>
      </c>
      <c r="V265">
        <f>30</f>
        <v>30</v>
      </c>
      <c r="W265">
        <f t="shared" ca="1" si="69"/>
        <v>250.02408806888653</v>
      </c>
      <c r="X265">
        <f t="shared" ca="1" si="79"/>
        <v>245.62410766821293</v>
      </c>
      <c r="Y265">
        <f t="shared" ca="1" si="78"/>
        <v>5.0964078754703621</v>
      </c>
      <c r="Z265">
        <f t="shared" ca="1" si="80"/>
        <v>2.7840822612115357</v>
      </c>
      <c r="AA265">
        <f t="shared" ca="1" si="81"/>
        <v>2.3123256142588264</v>
      </c>
      <c r="AB265">
        <f t="shared" ca="1" si="82"/>
        <v>229.86629999999985</v>
      </c>
    </row>
    <row r="266" spans="1:28" x14ac:dyDescent="0.25">
      <c r="A266" s="20">
        <f t="shared" ca="1" si="83"/>
        <v>45677</v>
      </c>
      <c r="B266" vm="789">
        <f ca="1"/>
        <v>45679</v>
      </c>
      <c r="C266" vm="790">
        <f ca="1"/>
        <v>262.83999999999997</v>
      </c>
      <c r="D266" vm="791">
        <f ca="1"/>
        <v>9021914</v>
      </c>
      <c r="E266">
        <f t="shared" ca="1" si="84"/>
        <v>2371319875.7599998</v>
      </c>
      <c r="F266">
        <f ca="1">SUM($E$2:E266)/SUM($D$2:D266)</f>
        <v>207.0660623501486</v>
      </c>
      <c r="G266">
        <f ca="1">_xlfn.STDEV.P($C$2:C266)</f>
        <v>22.854810677685961</v>
      </c>
      <c r="H266">
        <f t="shared" ca="1" si="85"/>
        <v>229.92087302783455</v>
      </c>
      <c r="I266">
        <f t="shared" ca="1" si="86"/>
        <v>184.21125167246265</v>
      </c>
      <c r="J266">
        <f t="shared" ca="1" si="74"/>
        <v>245.76349999999996</v>
      </c>
      <c r="K266">
        <f t="shared" ca="1" si="75"/>
        <v>8.0827322601626275</v>
      </c>
      <c r="L266">
        <f t="shared" ca="1" si="76"/>
        <v>261.92896452032522</v>
      </c>
      <c r="M266">
        <f t="shared" ca="1" si="77"/>
        <v>229.59803547967471</v>
      </c>
      <c r="N266">
        <f t="shared" ca="1" si="87"/>
        <v>-0.18999999999999773</v>
      </c>
      <c r="O266">
        <f t="shared" ca="1" si="88"/>
        <v>0</v>
      </c>
      <c r="P266">
        <f t="shared" ca="1" si="89"/>
        <v>0.18999999999999773</v>
      </c>
      <c r="Q266">
        <f t="shared" ca="1" si="72"/>
        <v>1.9007702100819888</v>
      </c>
      <c r="R266">
        <f t="shared" ca="1" si="73"/>
        <v>0.65601437250844363</v>
      </c>
      <c r="S266">
        <f t="shared" ca="1" si="70"/>
        <v>2.8974520829686909</v>
      </c>
      <c r="T266">
        <f t="shared" ca="1" si="71"/>
        <v>74.342211816538878</v>
      </c>
      <c r="U266">
        <f>70</f>
        <v>70</v>
      </c>
      <c r="V266">
        <f>30</f>
        <v>30</v>
      </c>
      <c r="W266">
        <f t="shared" ca="1" si="69"/>
        <v>251.99576682751936</v>
      </c>
      <c r="X266">
        <f t="shared" ca="1" si="79"/>
        <v>246.899358952049</v>
      </c>
      <c r="Y266">
        <f t="shared" ca="1" si="78"/>
        <v>5.8320543827844347</v>
      </c>
      <c r="Z266">
        <f t="shared" ca="1" si="80"/>
        <v>3.3936766855261156</v>
      </c>
      <c r="AA266">
        <f t="shared" ca="1" si="81"/>
        <v>2.4383776972583191</v>
      </c>
      <c r="AB266">
        <f t="shared" ca="1" si="82"/>
        <v>230.29289999999986</v>
      </c>
    </row>
    <row r="267" spans="1:28" x14ac:dyDescent="0.25">
      <c r="A267" s="20">
        <f t="shared" ca="1" si="83"/>
        <v>45677</v>
      </c>
      <c r="B267" vm="792">
        <f ca="1"/>
        <v>45680</v>
      </c>
      <c r="C267" vm="793">
        <f ca="1"/>
        <v>265.95</v>
      </c>
      <c r="D267" vm="794">
        <f ca="1"/>
        <v>10749681</v>
      </c>
      <c r="E267">
        <f t="shared" ca="1" si="84"/>
        <v>2858877661.9499998</v>
      </c>
      <c r="F267">
        <f ca="1">SUM($E$2:E267)/SUM($D$2:D267)</f>
        <v>207.32583231221247</v>
      </c>
      <c r="G267">
        <f ca="1">_xlfn.STDEV.P($C$2:C267)</f>
        <v>23.092108354647479</v>
      </c>
      <c r="H267">
        <f t="shared" ca="1" si="85"/>
        <v>230.41794066685995</v>
      </c>
      <c r="I267">
        <f t="shared" ca="1" si="86"/>
        <v>184.23372395756499</v>
      </c>
      <c r="J267">
        <f t="shared" ca="1" si="74"/>
        <v>247.18099999999998</v>
      </c>
      <c r="K267">
        <f t="shared" ca="1" si="75"/>
        <v>9.0086116110028129</v>
      </c>
      <c r="L267">
        <f t="shared" ca="1" si="76"/>
        <v>265.19822322200559</v>
      </c>
      <c r="M267">
        <f t="shared" ca="1" si="77"/>
        <v>229.16377677799437</v>
      </c>
      <c r="N267">
        <f t="shared" ca="1" si="87"/>
        <v>3.1100000000000136</v>
      </c>
      <c r="O267">
        <f t="shared" ca="1" si="88"/>
        <v>3.1100000000000136</v>
      </c>
      <c r="P267">
        <f t="shared" ca="1" si="89"/>
        <v>0</v>
      </c>
      <c r="Q267">
        <f t="shared" ca="1" si="72"/>
        <v>1.9871437665047047</v>
      </c>
      <c r="R267">
        <f t="shared" ca="1" si="73"/>
        <v>0.60915620304355478</v>
      </c>
      <c r="S267">
        <f t="shared" ca="1" si="70"/>
        <v>3.2621251438896102</v>
      </c>
      <c r="T267">
        <f t="shared" ca="1" si="71"/>
        <v>76.537526087575145</v>
      </c>
      <c r="U267">
        <f>70</f>
        <v>70</v>
      </c>
      <c r="V267">
        <f>30</f>
        <v>30</v>
      </c>
      <c r="W267">
        <f t="shared" ca="1" si="69"/>
        <v>254.14257193097794</v>
      </c>
      <c r="X267">
        <f t="shared" ca="1" si="79"/>
        <v>248.3105175481935</v>
      </c>
      <c r="Y267">
        <f t="shared" ca="1" si="78"/>
        <v>6.2534064397081295</v>
      </c>
      <c r="Z267">
        <f t="shared" ca="1" si="80"/>
        <v>3.9656226363625189</v>
      </c>
      <c r="AA267">
        <f t="shared" ca="1" si="81"/>
        <v>2.2877838033456106</v>
      </c>
      <c r="AB267">
        <f t="shared" ca="1" si="82"/>
        <v>230.73949999999991</v>
      </c>
    </row>
    <row r="268" spans="1:28" x14ac:dyDescent="0.25">
      <c r="A268" s="20">
        <f t="shared" ca="1" si="83"/>
        <v>45677</v>
      </c>
      <c r="B268" vm="795">
        <f ca="1"/>
        <v>45681</v>
      </c>
      <c r="C268" vm="796">
        <f ca="1"/>
        <v>264.83999999999997</v>
      </c>
      <c r="D268" vm="797">
        <f ca="1"/>
        <v>7666261</v>
      </c>
      <c r="E268">
        <f t="shared" ca="1" si="84"/>
        <v>2030332563.2399998</v>
      </c>
      <c r="F268">
        <f ca="1">SUM($E$2:E268)/SUM($D$2:D268)</f>
        <v>207.50621329028348</v>
      </c>
      <c r="G268">
        <f ca="1">_xlfn.STDEV.P($C$2:C268)</f>
        <v>23.312910130408383</v>
      </c>
      <c r="H268">
        <f t="shared" ca="1" si="85"/>
        <v>230.81912342069188</v>
      </c>
      <c r="I268">
        <f t="shared" ca="1" si="86"/>
        <v>184.19330315987509</v>
      </c>
      <c r="J268">
        <f t="shared" ca="1" si="74"/>
        <v>248.50349999999997</v>
      </c>
      <c r="K268">
        <f t="shared" ca="1" si="75"/>
        <v>9.5738818365933742</v>
      </c>
      <c r="L268">
        <f t="shared" ca="1" si="76"/>
        <v>267.65126367318675</v>
      </c>
      <c r="M268">
        <f t="shared" ca="1" si="77"/>
        <v>229.35573632681323</v>
      </c>
      <c r="N268">
        <f t="shared" ca="1" si="87"/>
        <v>-1.1100000000000136</v>
      </c>
      <c r="O268">
        <f t="shared" ca="1" si="88"/>
        <v>0</v>
      </c>
      <c r="P268">
        <f t="shared" ca="1" si="89"/>
        <v>1.1100000000000136</v>
      </c>
      <c r="Q268">
        <f t="shared" ca="1" si="72"/>
        <v>1.8452049260400829</v>
      </c>
      <c r="R268">
        <f t="shared" ca="1" si="73"/>
        <v>0.64493075996901617</v>
      </c>
      <c r="S268">
        <f t="shared" ca="1" si="70"/>
        <v>2.8610899658883233</v>
      </c>
      <c r="T268">
        <f t="shared" ca="1" si="71"/>
        <v>74.100577587294595</v>
      </c>
      <c r="U268">
        <f>70</f>
        <v>70</v>
      </c>
      <c r="V268">
        <f>30</f>
        <v>30</v>
      </c>
      <c r="W268">
        <f t="shared" ca="1" si="69"/>
        <v>255.78833009544286</v>
      </c>
      <c r="X268">
        <f t="shared" ca="1" si="79"/>
        <v>249.53492365573473</v>
      </c>
      <c r="Y268">
        <f t="shared" ca="1" si="78"/>
        <v>6.5928314821445611</v>
      </c>
      <c r="Z268">
        <f t="shared" ca="1" si="80"/>
        <v>4.4910644055189275</v>
      </c>
      <c r="AA268">
        <f t="shared" ca="1" si="81"/>
        <v>2.1017670766256336</v>
      </c>
      <c r="AB268">
        <f t="shared" ca="1" si="82"/>
        <v>231.1657999999999</v>
      </c>
    </row>
    <row r="269" spans="1:28" x14ac:dyDescent="0.25">
      <c r="A269" s="20">
        <f t="shared" ca="1" si="83"/>
        <v>45684</v>
      </c>
      <c r="B269" vm="798">
        <f ca="1"/>
        <v>45684</v>
      </c>
      <c r="C269" vm="799">
        <f ca="1"/>
        <v>265.85000000000002</v>
      </c>
      <c r="D269" vm="800">
        <f ca="1"/>
        <v>7522258</v>
      </c>
      <c r="E269">
        <f t="shared" ca="1" si="84"/>
        <v>1999792289.3000002</v>
      </c>
      <c r="F269">
        <f ca="1">SUM($E$2:E269)/SUM($D$2:D269)</f>
        <v>207.68520820797701</v>
      </c>
      <c r="G269">
        <f ca="1">_xlfn.STDEV.P($C$2:C269)</f>
        <v>23.537266686979116</v>
      </c>
      <c r="H269">
        <f t="shared" ca="1" si="85"/>
        <v>231.22247489495612</v>
      </c>
      <c r="I269">
        <f t="shared" ca="1" si="86"/>
        <v>184.1479415209979</v>
      </c>
      <c r="J269">
        <f t="shared" ca="1" si="74"/>
        <v>249.68049999999999</v>
      </c>
      <c r="K269">
        <f t="shared" ca="1" si="75"/>
        <v>10.198968201167263</v>
      </c>
      <c r="L269">
        <f t="shared" ca="1" si="76"/>
        <v>270.07843640233455</v>
      </c>
      <c r="M269">
        <f t="shared" ca="1" si="77"/>
        <v>229.28256359766547</v>
      </c>
      <c r="N269">
        <f t="shared" ca="1" si="87"/>
        <v>1.0100000000000477</v>
      </c>
      <c r="O269">
        <f t="shared" ca="1" si="88"/>
        <v>1.0100000000000477</v>
      </c>
      <c r="P269">
        <f t="shared" ca="1" si="89"/>
        <v>0</v>
      </c>
      <c r="Q269">
        <f t="shared" ca="1" si="72"/>
        <v>1.7855474313229376</v>
      </c>
      <c r="R269">
        <f t="shared" ca="1" si="73"/>
        <v>0.59886427711408641</v>
      </c>
      <c r="S269">
        <f t="shared" ca="1" si="70"/>
        <v>2.9815560880128813</v>
      </c>
      <c r="T269">
        <f t="shared" ca="1" si="71"/>
        <v>74.884191559911415</v>
      </c>
      <c r="U269">
        <f>70</f>
        <v>70</v>
      </c>
      <c r="V269">
        <f>30</f>
        <v>30</v>
      </c>
      <c r="W269">
        <f t="shared" ca="1" si="69"/>
        <v>257.33627931152859</v>
      </c>
      <c r="X269">
        <f t="shared" ca="1" si="79"/>
        <v>250.74344782938402</v>
      </c>
      <c r="Y269">
        <f t="shared" ca="1" si="78"/>
        <v>6.8865367834022493</v>
      </c>
      <c r="Z269">
        <f t="shared" ca="1" si="80"/>
        <v>4.9701588810955917</v>
      </c>
      <c r="AA269">
        <f t="shared" ca="1" si="81"/>
        <v>1.9163779023066576</v>
      </c>
      <c r="AB269">
        <f t="shared" ca="1" si="82"/>
        <v>231.57629999999989</v>
      </c>
    </row>
    <row r="270" spans="1:28" x14ac:dyDescent="0.25">
      <c r="A270" s="20">
        <f t="shared" ca="1" si="83"/>
        <v>45684</v>
      </c>
      <c r="B270" vm="801">
        <f ca="1"/>
        <v>45685</v>
      </c>
      <c r="C270" vm="802">
        <f ca="1"/>
        <v>267.14</v>
      </c>
      <c r="D270" vm="803">
        <f ca="1"/>
        <v>7375391</v>
      </c>
      <c r="E270">
        <f t="shared" ca="1" si="84"/>
        <v>1970261951.74</v>
      </c>
      <c r="F270">
        <f ca="1">SUM($E$2:E270)/SUM($D$2:D270)</f>
        <v>207.86351396334854</v>
      </c>
      <c r="G270">
        <f ca="1">_xlfn.STDEV.P($C$2:C270)</f>
        <v>23.767669006072126</v>
      </c>
      <c r="H270">
        <f t="shared" ca="1" si="85"/>
        <v>231.63118296942065</v>
      </c>
      <c r="I270">
        <f t="shared" ca="1" si="86"/>
        <v>184.09584495727643</v>
      </c>
      <c r="J270">
        <f t="shared" ca="1" si="74"/>
        <v>250.88050000000004</v>
      </c>
      <c r="K270">
        <f t="shared" ca="1" si="75"/>
        <v>10.784043024180141</v>
      </c>
      <c r="L270">
        <f t="shared" ca="1" si="76"/>
        <v>272.44858604836031</v>
      </c>
      <c r="M270">
        <f t="shared" ca="1" si="77"/>
        <v>229.31241395163977</v>
      </c>
      <c r="N270">
        <f t="shared" ca="1" si="87"/>
        <v>1.2899999999999636</v>
      </c>
      <c r="O270">
        <f t="shared" ca="1" si="88"/>
        <v>1.2899999999999636</v>
      </c>
      <c r="P270">
        <f t="shared" ca="1" si="89"/>
        <v>0</v>
      </c>
      <c r="Q270">
        <f t="shared" ca="1" si="72"/>
        <v>1.7501511862284396</v>
      </c>
      <c r="R270">
        <f t="shared" ca="1" si="73"/>
        <v>0.55608825732022304</v>
      </c>
      <c r="S270">
        <f t="shared" ca="1" si="70"/>
        <v>3.1472543489092528</v>
      </c>
      <c r="T270">
        <f t="shared" ca="1" si="71"/>
        <v>75.887661670352941</v>
      </c>
      <c r="U270">
        <f>70</f>
        <v>70</v>
      </c>
      <c r="V270">
        <f>30</f>
        <v>30</v>
      </c>
      <c r="W270">
        <f t="shared" ca="1" si="69"/>
        <v>258.84454403283189</v>
      </c>
      <c r="X270">
        <f t="shared" ca="1" si="79"/>
        <v>251.95800724942964</v>
      </c>
      <c r="Y270">
        <f t="shared" ca="1" si="78"/>
        <v>6.9934963580810177</v>
      </c>
      <c r="Z270">
        <f t="shared" ca="1" si="80"/>
        <v>5.3748263764926776</v>
      </c>
      <c r="AA270">
        <f t="shared" ca="1" si="81"/>
        <v>1.6186699815883401</v>
      </c>
      <c r="AB270">
        <f t="shared" ca="1" si="82"/>
        <v>232.04469999999989</v>
      </c>
    </row>
    <row r="271" spans="1:28" x14ac:dyDescent="0.25">
      <c r="A271" s="20">
        <f t="shared" ca="1" si="83"/>
        <v>45684</v>
      </c>
      <c r="B271" vm="804">
        <f ca="1"/>
        <v>45686</v>
      </c>
      <c r="C271" vm="805">
        <f ca="1"/>
        <v>266.58</v>
      </c>
      <c r="D271" vm="806">
        <f ca="1"/>
        <v>7684870</v>
      </c>
      <c r="E271">
        <f t="shared" ca="1" si="84"/>
        <v>2048632644.5999999</v>
      </c>
      <c r="F271">
        <f ca="1">SUM($E$2:E271)/SUM($D$2:D271)</f>
        <v>208.04642294861128</v>
      </c>
      <c r="G271">
        <f ca="1">_xlfn.STDEV.P($C$2:C271)</f>
        <v>23.987131837740211</v>
      </c>
      <c r="H271">
        <f t="shared" ca="1" si="85"/>
        <v>232.03355478635149</v>
      </c>
      <c r="I271">
        <f t="shared" ca="1" si="86"/>
        <v>184.05929111087107</v>
      </c>
      <c r="J271">
        <f t="shared" ca="1" si="74"/>
        <v>252.15100000000001</v>
      </c>
      <c r="K271">
        <f t="shared" ca="1" si="75"/>
        <v>11.07275741819106</v>
      </c>
      <c r="L271">
        <f t="shared" ca="1" si="76"/>
        <v>274.29651483638213</v>
      </c>
      <c r="M271">
        <f t="shared" ca="1" si="77"/>
        <v>230.00548516361789</v>
      </c>
      <c r="N271">
        <f t="shared" ca="1" si="87"/>
        <v>-0.56000000000000227</v>
      </c>
      <c r="O271">
        <f t="shared" ca="1" si="88"/>
        <v>0</v>
      </c>
      <c r="P271">
        <f t="shared" ca="1" si="89"/>
        <v>0.56000000000000227</v>
      </c>
      <c r="Q271">
        <f t="shared" ca="1" si="72"/>
        <v>1.6251403872121224</v>
      </c>
      <c r="R271">
        <f t="shared" ca="1" si="73"/>
        <v>0.5563676675116358</v>
      </c>
      <c r="S271">
        <f t="shared" ca="1" si="70"/>
        <v>2.9209827998822999</v>
      </c>
      <c r="T271">
        <f t="shared" ca="1" si="71"/>
        <v>74.496190087086887</v>
      </c>
      <c r="U271">
        <f>70</f>
        <v>70</v>
      </c>
      <c r="V271">
        <f>30</f>
        <v>30</v>
      </c>
      <c r="W271">
        <f t="shared" ref="W271:W334" ca="1" si="90">C271*(2/(12+1)) + W270*(1-(2/(12+1)))</f>
        <v>260.03461418162698</v>
      </c>
      <c r="X271">
        <f t="shared" ca="1" si="79"/>
        <v>253.04111782354596</v>
      </c>
      <c r="Y271">
        <f t="shared" ca="1" si="78"/>
        <v>7.1292225620819636</v>
      </c>
      <c r="Z271">
        <f t="shared" ca="1" si="80"/>
        <v>5.7257056136105344</v>
      </c>
      <c r="AA271">
        <f t="shared" ca="1" si="81"/>
        <v>1.4035169484714292</v>
      </c>
      <c r="AB271">
        <f t="shared" ca="1" si="82"/>
        <v>232.51719999999989</v>
      </c>
    </row>
    <row r="272" spans="1:28" x14ac:dyDescent="0.25">
      <c r="A272" s="20">
        <f t="shared" ca="1" si="83"/>
        <v>45684</v>
      </c>
      <c r="B272" vm="807">
        <f ca="1"/>
        <v>45687</v>
      </c>
      <c r="C272" vm="808">
        <f ca="1"/>
        <v>268.23</v>
      </c>
      <c r="D272" vm="809">
        <f ca="1"/>
        <v>8753466</v>
      </c>
      <c r="E272">
        <f t="shared" ca="1" si="84"/>
        <v>2347942185.1800003</v>
      </c>
      <c r="F272">
        <f ca="1">SUM($E$2:E272)/SUM($D$2:D272)</f>
        <v>208.25921638656618</v>
      </c>
      <c r="G272">
        <f ca="1">_xlfn.STDEV.P($C$2:C272)</f>
        <v>24.215876340044634</v>
      </c>
      <c r="H272">
        <f t="shared" ca="1" si="85"/>
        <v>232.47509272661082</v>
      </c>
      <c r="I272">
        <f t="shared" ca="1" si="86"/>
        <v>184.04334004652154</v>
      </c>
      <c r="J272">
        <f t="shared" ca="1" si="74"/>
        <v>253.59650000000002</v>
      </c>
      <c r="K272">
        <f t="shared" ca="1" si="75"/>
        <v>11.195919028589692</v>
      </c>
      <c r="L272">
        <f t="shared" ca="1" si="76"/>
        <v>275.98833805717942</v>
      </c>
      <c r="M272">
        <f t="shared" ca="1" si="77"/>
        <v>231.20466194282062</v>
      </c>
      <c r="N272">
        <f t="shared" ca="1" si="87"/>
        <v>1.6500000000000341</v>
      </c>
      <c r="O272">
        <f t="shared" ca="1" si="88"/>
        <v>1.6500000000000341</v>
      </c>
      <c r="P272">
        <f t="shared" ca="1" si="89"/>
        <v>0</v>
      </c>
      <c r="Q272">
        <f t="shared" ca="1" si="72"/>
        <v>1.6269160738398303</v>
      </c>
      <c r="R272">
        <f t="shared" ca="1" si="73"/>
        <v>0.51662711983223331</v>
      </c>
      <c r="S272">
        <f t="shared" ref="S272:S335" ca="1" si="91">IF(R272=0,NA(),Q272/R272)</f>
        <v>3.1491108603980105</v>
      </c>
      <c r="T272">
        <f t="shared" ref="T272:T335" ca="1" si="92">100-(100/(1+S272))</f>
        <v>75.898450688683852</v>
      </c>
      <c r="U272">
        <f>70</f>
        <v>70</v>
      </c>
      <c r="V272">
        <f>30</f>
        <v>30</v>
      </c>
      <c r="W272">
        <f t="shared" ca="1" si="90"/>
        <v>261.29544276906898</v>
      </c>
      <c r="X272">
        <f t="shared" ca="1" si="79"/>
        <v>254.16622020698702</v>
      </c>
      <c r="Y272">
        <f t="shared" ca="1" si="78"/>
        <v>7.0801280203495764</v>
      </c>
      <c r="Z272">
        <f t="shared" ca="1" si="80"/>
        <v>5.9965900949583428</v>
      </c>
      <c r="AA272">
        <f t="shared" ca="1" si="81"/>
        <v>1.0835379253912336</v>
      </c>
      <c r="AB272">
        <f t="shared" ca="1" si="82"/>
        <v>233.02319999999992</v>
      </c>
    </row>
    <row r="273" spans="1:28" x14ac:dyDescent="0.25">
      <c r="A273" s="20">
        <f t="shared" ca="1" si="83"/>
        <v>45684</v>
      </c>
      <c r="B273" vm="810">
        <f ca="1"/>
        <v>45688</v>
      </c>
      <c r="C273" vm="811">
        <f ca="1"/>
        <v>267.3</v>
      </c>
      <c r="D273" vm="812">
        <f ca="1"/>
        <v>7196268</v>
      </c>
      <c r="E273">
        <f t="shared" ca="1" si="84"/>
        <v>1923562436.4000001</v>
      </c>
      <c r="F273">
        <f ca="1">SUM($E$2:E273)/SUM($D$2:D273)</f>
        <v>208.43033571737149</v>
      </c>
      <c r="G273">
        <f ca="1">_xlfn.STDEV.P($C$2:C273)</f>
        <v>24.430608808100722</v>
      </c>
      <c r="H273">
        <f t="shared" ca="1" si="85"/>
        <v>232.86094452547221</v>
      </c>
      <c r="I273">
        <f t="shared" ca="1" si="86"/>
        <v>183.99972690927078</v>
      </c>
      <c r="J273">
        <f t="shared" ca="1" si="74"/>
        <v>254.97599999999997</v>
      </c>
      <c r="K273">
        <f t="shared" ca="1" si="75"/>
        <v>11.094128556180182</v>
      </c>
      <c r="L273">
        <f t="shared" ca="1" si="76"/>
        <v>277.16425711236036</v>
      </c>
      <c r="M273">
        <f t="shared" ca="1" si="77"/>
        <v>232.78774288763961</v>
      </c>
      <c r="N273">
        <f t="shared" ca="1" si="87"/>
        <v>-0.93000000000000682</v>
      </c>
      <c r="O273">
        <f t="shared" ca="1" si="88"/>
        <v>0</v>
      </c>
      <c r="P273">
        <f t="shared" ca="1" si="89"/>
        <v>0.93000000000000682</v>
      </c>
      <c r="Q273">
        <f t="shared" ref="Q273:Q336" ca="1" si="93">(Q272*13+O273)/14</f>
        <v>1.5107077828512712</v>
      </c>
      <c r="R273">
        <f t="shared" ref="R273:R336" ca="1" si="94">(R272*13+P273)/14</f>
        <v>0.54615375412993139</v>
      </c>
      <c r="S273">
        <f t="shared" ca="1" si="91"/>
        <v>2.766085138896381</v>
      </c>
      <c r="T273">
        <f t="shared" ca="1" si="92"/>
        <v>73.4472280068251</v>
      </c>
      <c r="U273">
        <f>70</f>
        <v>70</v>
      </c>
      <c r="V273">
        <f>30</f>
        <v>30</v>
      </c>
      <c r="W273">
        <f t="shared" ca="1" si="90"/>
        <v>262.21922080459683</v>
      </c>
      <c r="X273">
        <f t="shared" ca="1" si="79"/>
        <v>255.13909278424725</v>
      </c>
      <c r="Y273">
        <f t="shared" ca="1" si="78"/>
        <v>6.921890097107962</v>
      </c>
      <c r="Z273">
        <f t="shared" ca="1" si="80"/>
        <v>6.1816500953882665</v>
      </c>
      <c r="AA273">
        <f t="shared" ca="1" si="81"/>
        <v>0.74024000171969551</v>
      </c>
      <c r="AB273">
        <f t="shared" ca="1" si="82"/>
        <v>233.57159999999993</v>
      </c>
    </row>
    <row r="274" spans="1:28" x14ac:dyDescent="0.25">
      <c r="A274" s="20">
        <f t="shared" ca="1" si="83"/>
        <v>45691</v>
      </c>
      <c r="B274" vm="813">
        <f ca="1"/>
        <v>45691</v>
      </c>
      <c r="C274" vm="814">
        <f ca="1"/>
        <v>266.81</v>
      </c>
      <c r="D274" vm="815">
        <f ca="1"/>
        <v>8381361</v>
      </c>
      <c r="E274">
        <f t="shared" ca="1" si="84"/>
        <v>2236230928.4099998</v>
      </c>
      <c r="F274">
        <f ca="1">SUM($E$2:E274)/SUM($D$2:D274)</f>
        <v>208.62674057509028</v>
      </c>
      <c r="G274">
        <f ca="1">_xlfn.STDEV.P($C$2:C274)</f>
        <v>24.635827154937601</v>
      </c>
      <c r="H274">
        <f t="shared" ca="1" si="85"/>
        <v>233.26256773002788</v>
      </c>
      <c r="I274">
        <f t="shared" ca="1" si="86"/>
        <v>183.99091342015268</v>
      </c>
      <c r="J274">
        <f t="shared" ca="1" si="74"/>
        <v>256.31650000000002</v>
      </c>
      <c r="K274">
        <f t="shared" ca="1" si="75"/>
        <v>10.805306335315072</v>
      </c>
      <c r="L274">
        <f t="shared" ca="1" si="76"/>
        <v>277.92711267063015</v>
      </c>
      <c r="M274">
        <f t="shared" ca="1" si="77"/>
        <v>234.70588732936989</v>
      </c>
      <c r="N274">
        <f t="shared" ca="1" si="87"/>
        <v>-0.49000000000000909</v>
      </c>
      <c r="O274">
        <f t="shared" ca="1" si="88"/>
        <v>0</v>
      </c>
      <c r="P274">
        <f t="shared" ca="1" si="89"/>
        <v>0.49000000000000909</v>
      </c>
      <c r="Q274">
        <f t="shared" ca="1" si="93"/>
        <v>1.4028000840761803</v>
      </c>
      <c r="R274">
        <f t="shared" ca="1" si="94"/>
        <v>0.54214277169207981</v>
      </c>
      <c r="S274">
        <f t="shared" ca="1" si="91"/>
        <v>2.5875104443390549</v>
      </c>
      <c r="T274">
        <f t="shared" ca="1" si="92"/>
        <v>72.125516691443806</v>
      </c>
      <c r="U274">
        <f>70</f>
        <v>70</v>
      </c>
      <c r="V274">
        <f>30</f>
        <v>30</v>
      </c>
      <c r="W274">
        <f t="shared" ca="1" si="90"/>
        <v>262.92549452696653</v>
      </c>
      <c r="X274">
        <f t="shared" ca="1" si="79"/>
        <v>256.00360442985857</v>
      </c>
      <c r="Y274">
        <f t="shared" ca="1" si="78"/>
        <v>6.8091750279345433</v>
      </c>
      <c r="Z274">
        <f t="shared" ca="1" si="80"/>
        <v>6.3071550818975224</v>
      </c>
      <c r="AA274">
        <f t="shared" ca="1" si="81"/>
        <v>0.50201994603702094</v>
      </c>
      <c r="AB274">
        <f t="shared" ca="1" si="82"/>
        <v>234.07159999999993</v>
      </c>
    </row>
    <row r="275" spans="1:28" x14ac:dyDescent="0.25">
      <c r="A275" s="20">
        <f t="shared" ca="1" si="83"/>
        <v>45691</v>
      </c>
      <c r="B275" vm="816">
        <f ca="1"/>
        <v>45692</v>
      </c>
      <c r="C275" vm="817">
        <f ca="1"/>
        <v>267.94</v>
      </c>
      <c r="D275" vm="818">
        <f ca="1"/>
        <v>5625972</v>
      </c>
      <c r="E275">
        <f t="shared" ca="1" si="84"/>
        <v>1507422937.6800001</v>
      </c>
      <c r="F275">
        <f ca="1">SUM($E$2:E275)/SUM($D$2:D275)</f>
        <v>208.76038344651718</v>
      </c>
      <c r="G275">
        <f ca="1">_xlfn.STDEV.P($C$2:C275)</f>
        <v>24.84572017006365</v>
      </c>
      <c r="H275">
        <f t="shared" ca="1" si="85"/>
        <v>233.60610361658084</v>
      </c>
      <c r="I275">
        <f t="shared" ca="1" si="86"/>
        <v>183.91466327645352</v>
      </c>
      <c r="J275">
        <f t="shared" ca="1" si="74"/>
        <v>257.54950000000002</v>
      </c>
      <c r="K275">
        <f t="shared" ca="1" si="75"/>
        <v>10.645206222817658</v>
      </c>
      <c r="L275">
        <f t="shared" ca="1" si="76"/>
        <v>278.83991244563532</v>
      </c>
      <c r="M275">
        <f t="shared" ca="1" si="77"/>
        <v>236.2590875543647</v>
      </c>
      <c r="N275">
        <f t="shared" ca="1" si="87"/>
        <v>1.1299999999999955</v>
      </c>
      <c r="O275">
        <f t="shared" ca="1" si="88"/>
        <v>1.1299999999999955</v>
      </c>
      <c r="P275">
        <f t="shared" ca="1" si="89"/>
        <v>0</v>
      </c>
      <c r="Q275">
        <f t="shared" ca="1" si="93"/>
        <v>1.3833143637850243</v>
      </c>
      <c r="R275">
        <f t="shared" ca="1" si="94"/>
        <v>0.50341828799978838</v>
      </c>
      <c r="S275">
        <f t="shared" ca="1" si="91"/>
        <v>2.7478428908121146</v>
      </c>
      <c r="T275">
        <f t="shared" ca="1" si="92"/>
        <v>73.317985061446592</v>
      </c>
      <c r="U275">
        <f>70</f>
        <v>70</v>
      </c>
      <c r="V275">
        <f>30</f>
        <v>30</v>
      </c>
      <c r="W275">
        <f t="shared" ca="1" si="90"/>
        <v>263.69695690743322</v>
      </c>
      <c r="X275">
        <f t="shared" ca="1" si="79"/>
        <v>256.88778187949868</v>
      </c>
      <c r="Y275">
        <f t="shared" ca="1" si="78"/>
        <v>6.8419005432210724</v>
      </c>
      <c r="Z275">
        <f t="shared" ca="1" si="80"/>
        <v>6.4141041741622331</v>
      </c>
      <c r="AA275">
        <f t="shared" ca="1" si="81"/>
        <v>0.42779636905883933</v>
      </c>
      <c r="AB275">
        <f t="shared" ca="1" si="82"/>
        <v>234.69539999999989</v>
      </c>
    </row>
    <row r="276" spans="1:28" x14ac:dyDescent="0.25">
      <c r="A276" s="20">
        <f t="shared" ca="1" si="83"/>
        <v>45691</v>
      </c>
      <c r="B276" vm="819">
        <f ca="1"/>
        <v>45693</v>
      </c>
      <c r="C276" vm="820">
        <f ca="1"/>
        <v>270.43</v>
      </c>
      <c r="D276" vm="821">
        <f ca="1"/>
        <v>5704431</v>
      </c>
      <c r="E276">
        <f t="shared" ca="1" si="84"/>
        <v>1542649275.3299999</v>
      </c>
      <c r="F276">
        <f ca="1">SUM($E$2:E276)/SUM($D$2:D276)</f>
        <v>208.90095225597409</v>
      </c>
      <c r="G276">
        <f ca="1">_xlfn.STDEV.P($C$2:C276)</f>
        <v>25.072086720171868</v>
      </c>
      <c r="H276">
        <f t="shared" ca="1" si="85"/>
        <v>233.97303897614597</v>
      </c>
      <c r="I276">
        <f t="shared" ca="1" si="86"/>
        <v>183.82886553580221</v>
      </c>
      <c r="J276">
        <f t="shared" ca="1" si="74"/>
        <v>259.02850000000001</v>
      </c>
      <c r="K276">
        <f t="shared" ca="1" si="75"/>
        <v>10.250476381741073</v>
      </c>
      <c r="L276">
        <f t="shared" ca="1" si="76"/>
        <v>279.52945276348214</v>
      </c>
      <c r="M276">
        <f t="shared" ca="1" si="77"/>
        <v>238.52754723651788</v>
      </c>
      <c r="N276">
        <f t="shared" ca="1" si="87"/>
        <v>2.4900000000000091</v>
      </c>
      <c r="O276">
        <f t="shared" ca="1" si="88"/>
        <v>2.4900000000000091</v>
      </c>
      <c r="P276">
        <f t="shared" ca="1" si="89"/>
        <v>0</v>
      </c>
      <c r="Q276">
        <f t="shared" ca="1" si="93"/>
        <v>1.4623633378003802</v>
      </c>
      <c r="R276">
        <f t="shared" ca="1" si="94"/>
        <v>0.46745983885694636</v>
      </c>
      <c r="S276">
        <f t="shared" ca="1" si="91"/>
        <v>3.1283186623608485</v>
      </c>
      <c r="T276">
        <f t="shared" ca="1" si="92"/>
        <v>75.777063696237704</v>
      </c>
      <c r="U276">
        <f>70</f>
        <v>70</v>
      </c>
      <c r="V276">
        <f>30</f>
        <v>30</v>
      </c>
      <c r="W276">
        <f t="shared" ca="1" si="90"/>
        <v>264.73280969090501</v>
      </c>
      <c r="X276">
        <f t="shared" ca="1" si="79"/>
        <v>257.89090914768394</v>
      </c>
      <c r="Y276">
        <f t="shared" ca="1" si="78"/>
        <v>7.3056951715142873</v>
      </c>
      <c r="Z276">
        <f t="shared" ca="1" si="80"/>
        <v>6.5924223736326448</v>
      </c>
      <c r="AA276">
        <f t="shared" ca="1" si="81"/>
        <v>0.71327279788164244</v>
      </c>
      <c r="AB276">
        <f t="shared" ca="1" si="82"/>
        <v>235.32739999999995</v>
      </c>
    </row>
    <row r="277" spans="1:28" x14ac:dyDescent="0.25">
      <c r="A277" s="20">
        <f t="shared" ca="1" si="83"/>
        <v>45691</v>
      </c>
      <c r="B277" vm="822">
        <f ca="1"/>
        <v>45694</v>
      </c>
      <c r="C277" vm="823">
        <f ca="1"/>
        <v>276.89999999999998</v>
      </c>
      <c r="D277" vm="824">
        <f ca="1"/>
        <v>7264371</v>
      </c>
      <c r="E277">
        <f t="shared" ca="1" si="84"/>
        <v>2011504329.8999999</v>
      </c>
      <c r="F277">
        <f ca="1">SUM($E$2:E277)/SUM($D$2:D277)</f>
        <v>209.09776237770186</v>
      </c>
      <c r="G277">
        <f ca="1">_xlfn.STDEV.P($C$2:C277)</f>
        <v>25.352051317953631</v>
      </c>
      <c r="H277">
        <f t="shared" ca="1" si="85"/>
        <v>234.44981369565548</v>
      </c>
      <c r="I277">
        <f t="shared" ca="1" si="86"/>
        <v>183.74571105974823</v>
      </c>
      <c r="J277">
        <f t="shared" ca="1" si="74"/>
        <v>260.71499999999997</v>
      </c>
      <c r="K277">
        <f t="shared" ca="1" si="75"/>
        <v>10.278710496637414</v>
      </c>
      <c r="L277">
        <f t="shared" ca="1" si="76"/>
        <v>281.27242099327481</v>
      </c>
      <c r="M277">
        <f t="shared" ca="1" si="77"/>
        <v>240.15757900672514</v>
      </c>
      <c r="N277">
        <f t="shared" ca="1" si="87"/>
        <v>6.4699999999999704</v>
      </c>
      <c r="O277">
        <f t="shared" ca="1" si="88"/>
        <v>6.4699999999999704</v>
      </c>
      <c r="P277">
        <f t="shared" ca="1" si="89"/>
        <v>0</v>
      </c>
      <c r="Q277">
        <f t="shared" ca="1" si="93"/>
        <v>1.8200516708146366</v>
      </c>
      <c r="R277">
        <f t="shared" ca="1" si="94"/>
        <v>0.43406985036716444</v>
      </c>
      <c r="S277">
        <f t="shared" ca="1" si="91"/>
        <v>4.1929926007879121</v>
      </c>
      <c r="T277">
        <f t="shared" ca="1" si="92"/>
        <v>80.743280861823791</v>
      </c>
      <c r="U277">
        <f>70</f>
        <v>70</v>
      </c>
      <c r="V277">
        <f>30</f>
        <v>30</v>
      </c>
      <c r="W277">
        <f t="shared" ca="1" si="90"/>
        <v>266.60468512307347</v>
      </c>
      <c r="X277">
        <f t="shared" ca="1" si="79"/>
        <v>259.29898995155918</v>
      </c>
      <c r="Y277">
        <f t="shared" ca="1" si="78"/>
        <v>7.498061958108508</v>
      </c>
      <c r="Z277">
        <f t="shared" ca="1" si="80"/>
        <v>6.7735502905278171</v>
      </c>
      <c r="AA277">
        <f t="shared" ca="1" si="81"/>
        <v>0.72451166758069085</v>
      </c>
      <c r="AB277">
        <f t="shared" ca="1" si="82"/>
        <v>236.03039999999993</v>
      </c>
    </row>
    <row r="278" spans="1:28" x14ac:dyDescent="0.25">
      <c r="A278" s="20">
        <f t="shared" ca="1" si="83"/>
        <v>45691</v>
      </c>
      <c r="B278" vm="825">
        <f ca="1"/>
        <v>45695</v>
      </c>
      <c r="C278" vm="826">
        <f ca="1"/>
        <v>275.8</v>
      </c>
      <c r="D278" vm="827">
        <f ca="1"/>
        <v>6857875</v>
      </c>
      <c r="E278">
        <f t="shared" ca="1" si="84"/>
        <v>1891401925</v>
      </c>
      <c r="F278">
        <f ca="1">SUM($E$2:E278)/SUM($D$2:D278)</f>
        <v>209.27951953651294</v>
      </c>
      <c r="G278">
        <f ca="1">_xlfn.STDEV.P($C$2:C278)</f>
        <v>25.614382684949547</v>
      </c>
      <c r="H278">
        <f t="shared" ca="1" si="85"/>
        <v>234.8939022214625</v>
      </c>
      <c r="I278">
        <f t="shared" ca="1" si="86"/>
        <v>183.66513685156337</v>
      </c>
      <c r="J278">
        <f t="shared" ref="J278:J341" ca="1" si="95">AVERAGE(C259:C278)</f>
        <v>262.3485</v>
      </c>
      <c r="K278">
        <f t="shared" ref="K278:K341" ca="1" si="96">_xlfn.STDEV.S(C259:C278)</f>
        <v>9.9269554748674054</v>
      </c>
      <c r="L278">
        <f t="shared" ref="L278:L341" ca="1" si="97">J278 + 2*K278</f>
        <v>282.20241094973483</v>
      </c>
      <c r="M278">
        <f t="shared" ref="M278:M341" ca="1" si="98">J278-2*K278</f>
        <v>242.49458905026518</v>
      </c>
      <c r="N278">
        <f t="shared" ca="1" si="87"/>
        <v>-1.0999999999999659</v>
      </c>
      <c r="O278">
        <f t="shared" ca="1" si="88"/>
        <v>0</v>
      </c>
      <c r="P278">
        <f t="shared" ca="1" si="89"/>
        <v>1.0999999999999659</v>
      </c>
      <c r="Q278">
        <f t="shared" ca="1" si="93"/>
        <v>1.6900479800421626</v>
      </c>
      <c r="R278">
        <f t="shared" ca="1" si="94"/>
        <v>0.48163628962665023</v>
      </c>
      <c r="S278">
        <f t="shared" ca="1" si="91"/>
        <v>3.5089714301890256</v>
      </c>
      <c r="T278">
        <f t="shared" ca="1" si="92"/>
        <v>77.821992987033013</v>
      </c>
      <c r="U278">
        <f>70</f>
        <v>70</v>
      </c>
      <c r="V278">
        <f>30</f>
        <v>30</v>
      </c>
      <c r="W278">
        <f t="shared" ca="1" si="90"/>
        <v>268.01934895029291</v>
      </c>
      <c r="X278">
        <f t="shared" ca="1" si="79"/>
        <v>260.5212869921844</v>
      </c>
      <c r="Y278">
        <f t="shared" ca="1" si="78"/>
        <v>7.1836135777124355</v>
      </c>
      <c r="Z278">
        <f t="shared" ca="1" si="80"/>
        <v>6.8555629479647413</v>
      </c>
      <c r="AA278">
        <f t="shared" ca="1" si="81"/>
        <v>0.32805062974769417</v>
      </c>
      <c r="AB278">
        <f t="shared" ca="1" si="82"/>
        <v>236.74519999999993</v>
      </c>
    </row>
    <row r="279" spans="1:28" x14ac:dyDescent="0.25">
      <c r="A279" s="20">
        <f t="shared" ca="1" si="83"/>
        <v>45698</v>
      </c>
      <c r="B279" vm="828">
        <f ca="1"/>
        <v>45698</v>
      </c>
      <c r="C279" vm="829">
        <f ca="1"/>
        <v>271.04000000000002</v>
      </c>
      <c r="D279" vm="830">
        <f ca="1"/>
        <v>8627352</v>
      </c>
      <c r="E279">
        <f t="shared" ca="1" si="84"/>
        <v>2338357486.0800004</v>
      </c>
      <c r="F279">
        <f ca="1">SUM($E$2:E279)/SUM($D$2:D279)</f>
        <v>209.49051034259213</v>
      </c>
      <c r="G279">
        <f ca="1">_xlfn.STDEV.P($C$2:C279)</f>
        <v>25.828159346275779</v>
      </c>
      <c r="H279">
        <f t="shared" ca="1" si="85"/>
        <v>235.31866968886791</v>
      </c>
      <c r="I279">
        <f t="shared" ca="1" si="86"/>
        <v>183.66235099631635</v>
      </c>
      <c r="J279">
        <f t="shared" ca="1" si="95"/>
        <v>263.90699999999998</v>
      </c>
      <c r="K279">
        <f t="shared" ca="1" si="96"/>
        <v>8.5656143049434945</v>
      </c>
      <c r="L279">
        <f t="shared" ca="1" si="97"/>
        <v>281.03822860988697</v>
      </c>
      <c r="M279">
        <f t="shared" ca="1" si="98"/>
        <v>246.77577139011299</v>
      </c>
      <c r="N279">
        <f t="shared" ca="1" si="87"/>
        <v>-4.7599999999999909</v>
      </c>
      <c r="O279">
        <f t="shared" ca="1" si="88"/>
        <v>0</v>
      </c>
      <c r="P279">
        <f t="shared" ca="1" si="89"/>
        <v>4.7599999999999909</v>
      </c>
      <c r="Q279">
        <f t="shared" ca="1" si="93"/>
        <v>1.5693302671820082</v>
      </c>
      <c r="R279">
        <f t="shared" ca="1" si="94"/>
        <v>0.78723369751046035</v>
      </c>
      <c r="S279">
        <f t="shared" ca="1" si="91"/>
        <v>1.9934744563715221</v>
      </c>
      <c r="T279">
        <f t="shared" ca="1" si="92"/>
        <v>66.594002568769895</v>
      </c>
      <c r="U279">
        <f>70</f>
        <v>70</v>
      </c>
      <c r="V279">
        <f>30</f>
        <v>30</v>
      </c>
      <c r="W279">
        <f t="shared" ca="1" si="90"/>
        <v>268.48406449640169</v>
      </c>
      <c r="X279">
        <f t="shared" ca="1" si="79"/>
        <v>261.30045091868925</v>
      </c>
      <c r="Y279">
        <f t="shared" ca="1" si="78"/>
        <v>7.1704860594225011</v>
      </c>
      <c r="Z279">
        <f t="shared" ca="1" si="80"/>
        <v>6.918547570256294</v>
      </c>
      <c r="AA279">
        <f t="shared" ca="1" si="81"/>
        <v>0.25193848916620709</v>
      </c>
      <c r="AB279">
        <f t="shared" ca="1" si="82"/>
        <v>237.37699999999992</v>
      </c>
    </row>
    <row r="280" spans="1:28" x14ac:dyDescent="0.25">
      <c r="A280" s="20">
        <f t="shared" ca="1" si="83"/>
        <v>45698</v>
      </c>
      <c r="B280" vm="831">
        <f ca="1"/>
        <v>45699</v>
      </c>
      <c r="C280" vm="832">
        <f ca="1"/>
        <v>274.99</v>
      </c>
      <c r="D280" vm="833">
        <f ca="1"/>
        <v>7196376</v>
      </c>
      <c r="E280">
        <f t="shared" ca="1" si="84"/>
        <v>1978931436.24</v>
      </c>
      <c r="F280">
        <f ca="1">SUM($E$2:E280)/SUM($D$2:D280)</f>
        <v>209.67662959080707</v>
      </c>
      <c r="G280">
        <f ca="1">_xlfn.STDEV.P($C$2:C280)</f>
        <v>26.070839830932364</v>
      </c>
      <c r="H280">
        <f t="shared" ca="1" si="85"/>
        <v>235.74746942173942</v>
      </c>
      <c r="I280">
        <f t="shared" ca="1" si="86"/>
        <v>183.60578975987471</v>
      </c>
      <c r="J280">
        <f t="shared" ca="1" si="95"/>
        <v>265.44599999999997</v>
      </c>
      <c r="K280">
        <f t="shared" ca="1" si="96"/>
        <v>7.5446595961019103</v>
      </c>
      <c r="L280">
        <f t="shared" ca="1" si="97"/>
        <v>280.53531919220381</v>
      </c>
      <c r="M280">
        <f t="shared" ca="1" si="98"/>
        <v>250.35668080779615</v>
      </c>
      <c r="N280">
        <f t="shared" ca="1" si="87"/>
        <v>3.9499999999999886</v>
      </c>
      <c r="O280">
        <f t="shared" ca="1" si="88"/>
        <v>3.9499999999999886</v>
      </c>
      <c r="P280">
        <f t="shared" ca="1" si="89"/>
        <v>0</v>
      </c>
      <c r="Q280">
        <f t="shared" ca="1" si="93"/>
        <v>1.7393781052404353</v>
      </c>
      <c r="R280">
        <f t="shared" ca="1" si="94"/>
        <v>0.73100271911685599</v>
      </c>
      <c r="S280">
        <f t="shared" ca="1" si="91"/>
        <v>2.3794413615065957</v>
      </c>
      <c r="T280">
        <f t="shared" ca="1" si="92"/>
        <v>70.409310503491383</v>
      </c>
      <c r="U280">
        <f>70</f>
        <v>70</v>
      </c>
      <c r="V280">
        <f>30</f>
        <v>30</v>
      </c>
      <c r="W280">
        <f t="shared" ca="1" si="90"/>
        <v>269.4849776508014</v>
      </c>
      <c r="X280">
        <f t="shared" ca="1" si="79"/>
        <v>262.3144915913789</v>
      </c>
      <c r="Y280">
        <f t="shared" ca="1" si="78"/>
        <v>7.1151811825922096</v>
      </c>
      <c r="Z280">
        <f t="shared" ca="1" si="80"/>
        <v>6.9578742927234778</v>
      </c>
      <c r="AA280">
        <f t="shared" ca="1" si="81"/>
        <v>0.15730688986873176</v>
      </c>
      <c r="AB280">
        <f t="shared" ca="1" si="82"/>
        <v>238.03439999999998</v>
      </c>
    </row>
    <row r="281" spans="1:28" x14ac:dyDescent="0.25">
      <c r="A281" s="20">
        <f t="shared" ca="1" si="83"/>
        <v>45698</v>
      </c>
      <c r="B281" vm="834">
        <f ca="1"/>
        <v>45700</v>
      </c>
      <c r="C281" vm="835">
        <f ca="1"/>
        <v>275.45</v>
      </c>
      <c r="D281" vm="836">
        <f ca="1"/>
        <v>6683894</v>
      </c>
      <c r="E281">
        <f t="shared" ca="1" si="84"/>
        <v>1841078602.3</v>
      </c>
      <c r="F281">
        <f ca="1">SUM($E$2:E281)/SUM($D$2:D281)</f>
        <v>209.84976045863414</v>
      </c>
      <c r="G281">
        <f ca="1">_xlfn.STDEV.P($C$2:C281)</f>
        <v>26.311575649186761</v>
      </c>
      <c r="H281">
        <f t="shared" ca="1" si="85"/>
        <v>236.16133610782089</v>
      </c>
      <c r="I281">
        <f t="shared" ca="1" si="86"/>
        <v>183.53818480944739</v>
      </c>
      <c r="J281">
        <f t="shared" ca="1" si="95"/>
        <v>266.84499999999997</v>
      </c>
      <c r="K281">
        <f t="shared" ca="1" si="96"/>
        <v>6.5667235281178726</v>
      </c>
      <c r="L281">
        <f t="shared" ca="1" si="97"/>
        <v>279.97844705623572</v>
      </c>
      <c r="M281">
        <f t="shared" ca="1" si="98"/>
        <v>253.71155294376422</v>
      </c>
      <c r="N281">
        <f t="shared" ca="1" si="87"/>
        <v>0.45999999999997954</v>
      </c>
      <c r="O281">
        <f t="shared" ca="1" si="88"/>
        <v>0.45999999999997954</v>
      </c>
      <c r="P281">
        <f t="shared" ca="1" si="89"/>
        <v>0</v>
      </c>
      <c r="Q281">
        <f t="shared" ca="1" si="93"/>
        <v>1.6479939548661169</v>
      </c>
      <c r="R281">
        <f t="shared" ca="1" si="94"/>
        <v>0.67878823917993769</v>
      </c>
      <c r="S281">
        <f t="shared" ca="1" si="91"/>
        <v>2.4278469480512843</v>
      </c>
      <c r="T281">
        <f t="shared" ca="1" si="92"/>
        <v>70.827168915213804</v>
      </c>
      <c r="U281">
        <f>70</f>
        <v>70</v>
      </c>
      <c r="V281">
        <f>30</f>
        <v>30</v>
      </c>
      <c r="W281">
        <f t="shared" ca="1" si="90"/>
        <v>270.40267339683191</v>
      </c>
      <c r="X281">
        <f t="shared" ca="1" si="79"/>
        <v>263.28749221423971</v>
      </c>
      <c r="Y281">
        <f t="shared" ca="1" si="78"/>
        <v>7.0601681744478242</v>
      </c>
      <c r="Z281">
        <f t="shared" ca="1" si="80"/>
        <v>6.9783330690683476</v>
      </c>
      <c r="AA281">
        <f t="shared" ca="1" si="81"/>
        <v>8.183510537947658E-2</v>
      </c>
      <c r="AB281">
        <f t="shared" ca="1" si="82"/>
        <v>238.71359999999996</v>
      </c>
    </row>
    <row r="282" spans="1:28" x14ac:dyDescent="0.25">
      <c r="A282" s="20">
        <f t="shared" ca="1" si="83"/>
        <v>45698</v>
      </c>
      <c r="B282" vm="837">
        <f ca="1"/>
        <v>45701</v>
      </c>
      <c r="C282" vm="838">
        <f ca="1"/>
        <v>276.32</v>
      </c>
      <c r="D282" vm="839">
        <f ca="1"/>
        <v>8398667</v>
      </c>
      <c r="E282">
        <f t="shared" ca="1" si="84"/>
        <v>2320719665.4400001</v>
      </c>
      <c r="F282">
        <f ca="1">SUM($E$2:E282)/SUM($D$2:D282)</f>
        <v>210.06888871597067</v>
      </c>
      <c r="G282">
        <f ca="1">_xlfn.STDEV.P($C$2:C282)</f>
        <v>26.554006781396829</v>
      </c>
      <c r="H282">
        <f t="shared" ca="1" si="85"/>
        <v>236.62289549736749</v>
      </c>
      <c r="I282">
        <f t="shared" ca="1" si="86"/>
        <v>183.51488193457385</v>
      </c>
      <c r="J282">
        <f t="shared" ca="1" si="95"/>
        <v>268.04349999999994</v>
      </c>
      <c r="K282">
        <f t="shared" ca="1" si="96"/>
        <v>5.9394216225594141</v>
      </c>
      <c r="L282">
        <f t="shared" ca="1" si="97"/>
        <v>279.92234324511878</v>
      </c>
      <c r="M282">
        <f t="shared" ca="1" si="98"/>
        <v>256.16465675488109</v>
      </c>
      <c r="N282">
        <f t="shared" ca="1" si="87"/>
        <v>0.87000000000000455</v>
      </c>
      <c r="O282">
        <f t="shared" ca="1" si="88"/>
        <v>0.87000000000000455</v>
      </c>
      <c r="P282">
        <f t="shared" ca="1" si="89"/>
        <v>0</v>
      </c>
      <c r="Q282">
        <f t="shared" ca="1" si="93"/>
        <v>1.592422958089966</v>
      </c>
      <c r="R282">
        <f t="shared" ca="1" si="94"/>
        <v>0.63030336495279926</v>
      </c>
      <c r="S282">
        <f t="shared" ca="1" si="91"/>
        <v>2.5264389286724112</v>
      </c>
      <c r="T282">
        <f t="shared" ca="1" si="92"/>
        <v>71.642781280875113</v>
      </c>
      <c r="U282">
        <f>70</f>
        <v>70</v>
      </c>
      <c r="V282">
        <f>30</f>
        <v>30</v>
      </c>
      <c r="W282">
        <f t="shared" ca="1" si="90"/>
        <v>271.31303133578086</v>
      </c>
      <c r="X282">
        <f t="shared" ca="1" si="79"/>
        <v>264.25286316133304</v>
      </c>
      <c r="Y282">
        <f t="shared" ca="1" si="78"/>
        <v>6.9581475193552365</v>
      </c>
      <c r="Z282">
        <f t="shared" ca="1" si="80"/>
        <v>6.9742959591257252</v>
      </c>
      <c r="AA282">
        <f t="shared" ca="1" si="81"/>
        <v>-1.6148439770488743E-2</v>
      </c>
      <c r="AB282">
        <f t="shared" ca="1" si="82"/>
        <v>239.37199999999996</v>
      </c>
    </row>
    <row r="283" spans="1:28" x14ac:dyDescent="0.25">
      <c r="A283" s="20">
        <f t="shared" ca="1" si="83"/>
        <v>45698</v>
      </c>
      <c r="B283" vm="840">
        <f ca="1"/>
        <v>45702</v>
      </c>
      <c r="C283" vm="841">
        <f ca="1"/>
        <v>276.58999999999997</v>
      </c>
      <c r="D283" vm="842">
        <f ca="1"/>
        <v>5688627</v>
      </c>
      <c r="E283">
        <f t="shared" ca="1" si="84"/>
        <v>1573417341.9299998</v>
      </c>
      <c r="F283">
        <f ca="1">SUM($E$2:E283)/SUM($D$2:D283)</f>
        <v>210.21709242755489</v>
      </c>
      <c r="G283">
        <f ca="1">_xlfn.STDEV.P($C$2:C283)</f>
        <v>26.792867052808909</v>
      </c>
      <c r="H283">
        <f t="shared" ca="1" si="85"/>
        <v>237.00995948036379</v>
      </c>
      <c r="I283">
        <f t="shared" ca="1" si="86"/>
        <v>183.42422537474599</v>
      </c>
      <c r="J283">
        <f t="shared" ca="1" si="95"/>
        <v>269.15949999999998</v>
      </c>
      <c r="K283">
        <f t="shared" ca="1" si="96"/>
        <v>5.2749761536003756</v>
      </c>
      <c r="L283">
        <f t="shared" ca="1" si="97"/>
        <v>279.70945230720071</v>
      </c>
      <c r="M283">
        <f t="shared" ca="1" si="98"/>
        <v>258.60954769279925</v>
      </c>
      <c r="N283">
        <f t="shared" ca="1" si="87"/>
        <v>0.26999999999998181</v>
      </c>
      <c r="O283">
        <f t="shared" ca="1" si="88"/>
        <v>0.26999999999998181</v>
      </c>
      <c r="P283">
        <f t="shared" ca="1" si="89"/>
        <v>0</v>
      </c>
      <c r="Q283">
        <f t="shared" ca="1" si="93"/>
        <v>1.497964175369253</v>
      </c>
      <c r="R283">
        <f t="shared" ca="1" si="94"/>
        <v>0.58528169602759927</v>
      </c>
      <c r="S283">
        <f t="shared" ca="1" si="91"/>
        <v>2.5593900946094439</v>
      </c>
      <c r="T283">
        <f t="shared" ca="1" si="92"/>
        <v>71.905299126542474</v>
      </c>
      <c r="U283">
        <f>70</f>
        <v>70</v>
      </c>
      <c r="V283">
        <f>30</f>
        <v>30</v>
      </c>
      <c r="W283">
        <f t="shared" ca="1" si="90"/>
        <v>272.12487266873768</v>
      </c>
      <c r="X283">
        <f t="shared" ca="1" si="79"/>
        <v>265.16672514938244</v>
      </c>
      <c r="Y283">
        <f t="shared" ca="1" si="78"/>
        <v>7.0669558662843315</v>
      </c>
      <c r="Z283">
        <f t="shared" ca="1" si="80"/>
        <v>6.9928279405574472</v>
      </c>
      <c r="AA283">
        <f t="shared" ca="1" si="81"/>
        <v>7.4127925726884314E-2</v>
      </c>
      <c r="AB283">
        <f t="shared" ca="1" si="82"/>
        <v>240.02699999999996</v>
      </c>
    </row>
    <row r="284" spans="1:28" x14ac:dyDescent="0.25">
      <c r="A284" s="20">
        <f t="shared" ca="1" si="83"/>
        <v>45705</v>
      </c>
      <c r="B284" vm="843">
        <f ca="1"/>
        <v>45706</v>
      </c>
      <c r="C284" vm="844">
        <f ca="1"/>
        <v>279.95</v>
      </c>
      <c r="D284" vm="845">
        <f ca="1"/>
        <v>7919798</v>
      </c>
      <c r="E284">
        <f t="shared" ca="1" si="84"/>
        <v>2217147450.0999999</v>
      </c>
      <c r="F284">
        <f ca="1">SUM($E$2:E284)/SUM($D$2:D284)</f>
        <v>210.43271738084738</v>
      </c>
      <c r="G284">
        <f ca="1">_xlfn.STDEV.P($C$2:C284)</f>
        <v>27.055334105723126</v>
      </c>
      <c r="H284">
        <f t="shared" ca="1" si="85"/>
        <v>237.4880514865705</v>
      </c>
      <c r="I284">
        <f t="shared" ca="1" si="86"/>
        <v>183.37738327512426</v>
      </c>
      <c r="J284">
        <f t="shared" ca="1" si="95"/>
        <v>270.19899999999996</v>
      </c>
      <c r="K284">
        <f t="shared" ca="1" si="96"/>
        <v>5.2491391775474163</v>
      </c>
      <c r="L284">
        <f t="shared" ca="1" si="97"/>
        <v>280.6972783550948</v>
      </c>
      <c r="M284">
        <f t="shared" ca="1" si="98"/>
        <v>259.70072164490512</v>
      </c>
      <c r="N284">
        <f t="shared" ca="1" si="87"/>
        <v>3.3600000000000136</v>
      </c>
      <c r="O284">
        <f t="shared" ca="1" si="88"/>
        <v>3.3600000000000136</v>
      </c>
      <c r="P284">
        <f t="shared" ca="1" si="89"/>
        <v>0</v>
      </c>
      <c r="Q284">
        <f t="shared" ca="1" si="93"/>
        <v>1.6309667342714502</v>
      </c>
      <c r="R284">
        <f t="shared" ca="1" si="94"/>
        <v>0.54347586059705644</v>
      </c>
      <c r="S284">
        <f t="shared" ca="1" si="91"/>
        <v>3.0009920449450846</v>
      </c>
      <c r="T284">
        <f t="shared" ca="1" si="92"/>
        <v>75.006198743548723</v>
      </c>
      <c r="U284">
        <f>70</f>
        <v>70</v>
      </c>
      <c r="V284">
        <f>30</f>
        <v>30</v>
      </c>
      <c r="W284">
        <f t="shared" ca="1" si="90"/>
        <v>273.32873841200882</v>
      </c>
      <c r="X284">
        <f t="shared" ca="1" si="79"/>
        <v>266.26178254572449</v>
      </c>
      <c r="Y284">
        <f t="shared" ref="Y284:Y347" ca="1" si="99">W285-X285</f>
        <v>7.0158290057155455</v>
      </c>
      <c r="Z284">
        <f t="shared" ca="1" si="80"/>
        <v>6.9974281535890679</v>
      </c>
      <c r="AA284">
        <f t="shared" ca="1" si="81"/>
        <v>1.8400852126477574E-2</v>
      </c>
      <c r="AB284">
        <f t="shared" ca="1" si="82"/>
        <v>240.71209999999999</v>
      </c>
    </row>
    <row r="285" spans="1:28" x14ac:dyDescent="0.25">
      <c r="A285" s="20">
        <f t="shared" ca="1" si="83"/>
        <v>45705</v>
      </c>
      <c r="B285" vm="846">
        <f ca="1"/>
        <v>45707</v>
      </c>
      <c r="C285" vm="847">
        <f ca="1"/>
        <v>279.25</v>
      </c>
      <c r="D285" vm="848">
        <f ca="1"/>
        <v>7007248</v>
      </c>
      <c r="E285">
        <f t="shared" ca="1" si="84"/>
        <v>1956774004</v>
      </c>
      <c r="F285">
        <f ca="1">SUM($E$2:E285)/SUM($D$2:D285)</f>
        <v>210.62047847141974</v>
      </c>
      <c r="G285">
        <f ca="1">_xlfn.STDEV.P($C$2:C285)</f>
        <v>27.305180672230016</v>
      </c>
      <c r="H285">
        <f t="shared" ca="1" si="85"/>
        <v>237.92565914364977</v>
      </c>
      <c r="I285">
        <f t="shared" ca="1" si="86"/>
        <v>183.31529779918972</v>
      </c>
      <c r="J285">
        <f t="shared" ca="1" si="95"/>
        <v>271.01</v>
      </c>
      <c r="K285">
        <f t="shared" ca="1" si="96"/>
        <v>5.3355185216375016</v>
      </c>
      <c r="L285">
        <f t="shared" ca="1" si="97"/>
        <v>281.68103704327501</v>
      </c>
      <c r="M285">
        <f t="shared" ca="1" si="98"/>
        <v>260.33896295672497</v>
      </c>
      <c r="N285">
        <f t="shared" ca="1" si="87"/>
        <v>-0.69999999999998863</v>
      </c>
      <c r="O285">
        <f t="shared" ca="1" si="88"/>
        <v>0</v>
      </c>
      <c r="P285">
        <f t="shared" ca="1" si="89"/>
        <v>0.69999999999998863</v>
      </c>
      <c r="Q285">
        <f t="shared" ca="1" si="93"/>
        <v>1.5144691103949182</v>
      </c>
      <c r="R285">
        <f t="shared" ca="1" si="94"/>
        <v>0.55465615626869447</v>
      </c>
      <c r="S285">
        <f t="shared" ca="1" si="91"/>
        <v>2.7304647992787396</v>
      </c>
      <c r="T285">
        <f t="shared" ca="1" si="92"/>
        <v>73.193688888490698</v>
      </c>
      <c r="U285">
        <f>70</f>
        <v>70</v>
      </c>
      <c r="V285">
        <f>30</f>
        <v>30</v>
      </c>
      <c r="W285">
        <f t="shared" ca="1" si="90"/>
        <v>274.23970173323823</v>
      </c>
      <c r="X285">
        <f t="shared" ref="X285:X348" ca="1" si="100">C285*(2/(26+1)) + X284*(1-(2/(26+1)))</f>
        <v>267.22387272752269</v>
      </c>
      <c r="Y285">
        <f t="shared" ca="1" si="99"/>
        <v>5.9026574881107763</v>
      </c>
      <c r="Z285">
        <f t="shared" ca="1" si="80"/>
        <v>6.7784740204934097</v>
      </c>
      <c r="AA285">
        <f t="shared" ca="1" si="81"/>
        <v>-0.87581653238263346</v>
      </c>
      <c r="AB285">
        <f t="shared" ca="1" si="82"/>
        <v>241.3887</v>
      </c>
    </row>
    <row r="286" spans="1:28" x14ac:dyDescent="0.25">
      <c r="A286" s="20">
        <f t="shared" ca="1" si="83"/>
        <v>45705</v>
      </c>
      <c r="B286" vm="849">
        <f ca="1"/>
        <v>45708</v>
      </c>
      <c r="C286" vm="850">
        <f ca="1"/>
        <v>266.8</v>
      </c>
      <c r="D286" vm="851">
        <f ca="1"/>
        <v>13846671</v>
      </c>
      <c r="E286">
        <f t="shared" ca="1" si="84"/>
        <v>3694291822.8000002</v>
      </c>
      <c r="F286">
        <f ca="1">SUM($E$2:E286)/SUM($D$2:D286)</f>
        <v>210.92174356249063</v>
      </c>
      <c r="G286">
        <f ca="1">_xlfn.STDEV.P($C$2:C286)</f>
        <v>27.451790873379565</v>
      </c>
      <c r="H286">
        <f t="shared" ca="1" si="85"/>
        <v>238.3735344358702</v>
      </c>
      <c r="I286">
        <f t="shared" ca="1" si="86"/>
        <v>183.46995268911107</v>
      </c>
      <c r="J286">
        <f t="shared" ca="1" si="95"/>
        <v>271.20799999999997</v>
      </c>
      <c r="K286">
        <f t="shared" ca="1" si="96"/>
        <v>5.0839195405451498</v>
      </c>
      <c r="L286">
        <f t="shared" ca="1" si="97"/>
        <v>281.37583908109025</v>
      </c>
      <c r="M286">
        <f t="shared" ca="1" si="98"/>
        <v>261.04016091890969</v>
      </c>
      <c r="N286">
        <f t="shared" ca="1" si="87"/>
        <v>-12.449999999999989</v>
      </c>
      <c r="O286">
        <f t="shared" ca="1" si="88"/>
        <v>0</v>
      </c>
      <c r="P286">
        <f t="shared" ca="1" si="89"/>
        <v>12.449999999999989</v>
      </c>
      <c r="Q286">
        <f t="shared" ca="1" si="93"/>
        <v>1.4062927453667098</v>
      </c>
      <c r="R286">
        <f t="shared" ca="1" si="94"/>
        <v>1.4043235736780726</v>
      </c>
      <c r="S286">
        <f t="shared" ca="1" si="91"/>
        <v>1.001402220774148</v>
      </c>
      <c r="T286">
        <f t="shared" ca="1" si="92"/>
        <v>50.035030958784624</v>
      </c>
      <c r="U286">
        <f>70</f>
        <v>70</v>
      </c>
      <c r="V286">
        <f>30</f>
        <v>30</v>
      </c>
      <c r="W286">
        <f t="shared" ca="1" si="90"/>
        <v>273.09513223581695</v>
      </c>
      <c r="X286">
        <f t="shared" ca="1" si="100"/>
        <v>267.19247474770617</v>
      </c>
      <c r="Y286">
        <f t="shared" ca="1" si="99"/>
        <v>4.7590312849947054</v>
      </c>
      <c r="Z286">
        <f t="shared" ca="1" si="80"/>
        <v>6.3745854733936689</v>
      </c>
      <c r="AA286">
        <f t="shared" ca="1" si="81"/>
        <v>-1.6155541883989635</v>
      </c>
      <c r="AB286">
        <f t="shared" ca="1" si="82"/>
        <v>241.95480000000001</v>
      </c>
    </row>
    <row r="287" spans="1:28" x14ac:dyDescent="0.25">
      <c r="A287" s="20">
        <f t="shared" ca="1" si="83"/>
        <v>45705</v>
      </c>
      <c r="B287" vm="852">
        <f ca="1"/>
        <v>45709</v>
      </c>
      <c r="C287" vm="853">
        <f ca="1"/>
        <v>264.24</v>
      </c>
      <c r="D287" vm="854">
        <f ca="1"/>
        <v>12835566</v>
      </c>
      <c r="E287">
        <f t="shared" ca="1" si="84"/>
        <v>3391669959.8400002</v>
      </c>
      <c r="F287">
        <f ca="1">SUM($E$2:E287)/SUM($D$2:D287)</f>
        <v>211.18547557665951</v>
      </c>
      <c r="G287">
        <f ca="1">_xlfn.STDEV.P($C$2:C287)</f>
        <v>27.577897754115316</v>
      </c>
      <c r="H287">
        <f t="shared" ca="1" si="85"/>
        <v>238.76337333077484</v>
      </c>
      <c r="I287">
        <f t="shared" ca="1" si="86"/>
        <v>183.60757782254419</v>
      </c>
      <c r="J287">
        <f t="shared" ca="1" si="95"/>
        <v>271.1225</v>
      </c>
      <c r="K287">
        <f t="shared" ca="1" si="96"/>
        <v>5.1902680946880571</v>
      </c>
      <c r="L287">
        <f t="shared" ca="1" si="97"/>
        <v>281.50303618937613</v>
      </c>
      <c r="M287">
        <f t="shared" ca="1" si="98"/>
        <v>260.74196381062387</v>
      </c>
      <c r="N287">
        <f t="shared" ca="1" si="87"/>
        <v>-2.5600000000000023</v>
      </c>
      <c r="O287">
        <f t="shared" ca="1" si="88"/>
        <v>0</v>
      </c>
      <c r="P287">
        <f t="shared" ca="1" si="89"/>
        <v>2.5600000000000023</v>
      </c>
      <c r="Q287">
        <f t="shared" ca="1" si="93"/>
        <v>1.3058432635548021</v>
      </c>
      <c r="R287">
        <f t="shared" ca="1" si="94"/>
        <v>1.4868718898439248</v>
      </c>
      <c r="S287">
        <f t="shared" ca="1" si="91"/>
        <v>0.87824867258192285</v>
      </c>
      <c r="T287">
        <f t="shared" ca="1" si="92"/>
        <v>46.758913524195052</v>
      </c>
      <c r="U287">
        <f>70</f>
        <v>70</v>
      </c>
      <c r="V287">
        <f>30</f>
        <v>30</v>
      </c>
      <c r="W287">
        <f t="shared" ca="1" si="90"/>
        <v>271.73280419953744</v>
      </c>
      <c r="X287">
        <f t="shared" ca="1" si="100"/>
        <v>266.97377291454274</v>
      </c>
      <c r="Y287">
        <f t="shared" ca="1" si="99"/>
        <v>3.5774548434080202</v>
      </c>
      <c r="Z287">
        <f t="shared" ca="1" si="80"/>
        <v>5.8151593473965395</v>
      </c>
      <c r="AA287">
        <f t="shared" ca="1" si="81"/>
        <v>-2.2377045039885193</v>
      </c>
      <c r="AB287">
        <f t="shared" ca="1" si="82"/>
        <v>242.49940000000004</v>
      </c>
    </row>
    <row r="288" spans="1:28" x14ac:dyDescent="0.25">
      <c r="A288" s="20">
        <f t="shared" ca="1" si="83"/>
        <v>45712</v>
      </c>
      <c r="B288" vm="855">
        <f ca="1"/>
        <v>45712</v>
      </c>
      <c r="C288" vm="856">
        <f ca="1"/>
        <v>261.33999999999997</v>
      </c>
      <c r="D288" vm="857">
        <f ca="1"/>
        <v>10372751</v>
      </c>
      <c r="E288">
        <f t="shared" ca="1" si="84"/>
        <v>2710814746.3399997</v>
      </c>
      <c r="F288">
        <f ca="1">SUM($E$2:E288)/SUM($D$2:D288)</f>
        <v>211.38515964501576</v>
      </c>
      <c r="G288">
        <f ca="1">_xlfn.STDEV.P($C$2:C288)</f>
        <v>27.682890492539883</v>
      </c>
      <c r="H288">
        <f t="shared" ca="1" si="85"/>
        <v>239.06805013755564</v>
      </c>
      <c r="I288">
        <f t="shared" ca="1" si="86"/>
        <v>183.70226915247588</v>
      </c>
      <c r="J288">
        <f t="shared" ca="1" si="95"/>
        <v>270.94750000000005</v>
      </c>
      <c r="K288">
        <f t="shared" ca="1" si="96"/>
        <v>5.4649783309629596</v>
      </c>
      <c r="L288">
        <f t="shared" ca="1" si="97"/>
        <v>281.87745666192598</v>
      </c>
      <c r="M288">
        <f t="shared" ca="1" si="98"/>
        <v>260.01754333807412</v>
      </c>
      <c r="N288">
        <f t="shared" ca="1" si="87"/>
        <v>-2.9000000000000341</v>
      </c>
      <c r="O288">
        <f t="shared" ca="1" si="88"/>
        <v>0</v>
      </c>
      <c r="P288">
        <f t="shared" ca="1" si="89"/>
        <v>2.9000000000000341</v>
      </c>
      <c r="Q288">
        <f t="shared" ca="1" si="93"/>
        <v>1.2125687447294591</v>
      </c>
      <c r="R288">
        <f t="shared" ca="1" si="94"/>
        <v>1.5878096119979328</v>
      </c>
      <c r="S288">
        <f t="shared" ca="1" si="91"/>
        <v>0.76367389110567863</v>
      </c>
      <c r="T288">
        <f t="shared" ca="1" si="92"/>
        <v>43.300175557223781</v>
      </c>
      <c r="U288">
        <f>70</f>
        <v>70</v>
      </c>
      <c r="V288">
        <f>30</f>
        <v>30</v>
      </c>
      <c r="W288">
        <f t="shared" ca="1" si="90"/>
        <v>270.13391124576242</v>
      </c>
      <c r="X288">
        <f t="shared" ca="1" si="100"/>
        <v>266.5564564023544</v>
      </c>
      <c r="Y288">
        <f t="shared" ca="1" si="99"/>
        <v>2.2966476046332218</v>
      </c>
      <c r="Z288">
        <f t="shared" ca="1" si="80"/>
        <v>5.1114569988438765</v>
      </c>
      <c r="AA288">
        <f t="shared" ca="1" si="81"/>
        <v>-2.8148093942106547</v>
      </c>
      <c r="AB288">
        <f t="shared" ca="1" si="82"/>
        <v>243.00780000000003</v>
      </c>
    </row>
    <row r="289" spans="1:28" x14ac:dyDescent="0.25">
      <c r="A289" s="20">
        <f t="shared" ca="1" si="83"/>
        <v>45712</v>
      </c>
      <c r="B289" vm="858">
        <f ca="1"/>
        <v>45713</v>
      </c>
      <c r="C289" vm="859">
        <f ca="1"/>
        <v>257.39999999999998</v>
      </c>
      <c r="D289" vm="860">
        <f ca="1"/>
        <v>9608439</v>
      </c>
      <c r="E289">
        <f t="shared" ca="1" si="84"/>
        <v>2473212198.5999999</v>
      </c>
      <c r="F289">
        <f ca="1">SUM($E$2:E289)/SUM($D$2:D289)</f>
        <v>211.55423930565595</v>
      </c>
      <c r="G289">
        <f ca="1">_xlfn.STDEV.P($C$2:C289)</f>
        <v>27.762542843301169</v>
      </c>
      <c r="H289">
        <f t="shared" ca="1" si="85"/>
        <v>239.31678214895712</v>
      </c>
      <c r="I289">
        <f t="shared" ca="1" si="86"/>
        <v>183.79169646235479</v>
      </c>
      <c r="J289">
        <f t="shared" ca="1" si="95"/>
        <v>270.52499999999998</v>
      </c>
      <c r="K289">
        <f t="shared" ca="1" si="96"/>
        <v>6.1619968567955228</v>
      </c>
      <c r="L289">
        <f t="shared" ca="1" si="97"/>
        <v>282.84899371359103</v>
      </c>
      <c r="M289">
        <f t="shared" ca="1" si="98"/>
        <v>258.20100628640893</v>
      </c>
      <c r="N289">
        <f t="shared" ca="1" si="87"/>
        <v>-3.9399999999999977</v>
      </c>
      <c r="O289">
        <f t="shared" ca="1" si="88"/>
        <v>0</v>
      </c>
      <c r="P289">
        <f t="shared" ca="1" si="89"/>
        <v>3.9399999999999977</v>
      </c>
      <c r="Q289">
        <f t="shared" ca="1" si="93"/>
        <v>1.1259566915344978</v>
      </c>
      <c r="R289">
        <f t="shared" ca="1" si="94"/>
        <v>1.7558232111409373</v>
      </c>
      <c r="S289">
        <f t="shared" ca="1" si="91"/>
        <v>0.64126996635546751</v>
      </c>
      <c r="T289">
        <f t="shared" ca="1" si="92"/>
        <v>39.071571374662</v>
      </c>
      <c r="U289">
        <f>70</f>
        <v>70</v>
      </c>
      <c r="V289">
        <f>30</f>
        <v>30</v>
      </c>
      <c r="W289">
        <f t="shared" ca="1" si="90"/>
        <v>268.17484797718362</v>
      </c>
      <c r="X289">
        <f t="shared" ca="1" si="100"/>
        <v>265.8782003725504</v>
      </c>
      <c r="Y289">
        <f t="shared" ca="1" si="99"/>
        <v>1.3778767183608238</v>
      </c>
      <c r="Z289">
        <f t="shared" ca="1" si="80"/>
        <v>4.3647409427472654</v>
      </c>
      <c r="AA289">
        <f t="shared" ca="1" si="81"/>
        <v>-2.9868642243864416</v>
      </c>
      <c r="AB289">
        <f t="shared" ca="1" si="82"/>
        <v>243.47320000000002</v>
      </c>
    </row>
    <row r="290" spans="1:28" x14ac:dyDescent="0.25">
      <c r="A290" s="20">
        <f t="shared" ca="1" si="83"/>
        <v>45712</v>
      </c>
      <c r="B290" vm="861">
        <f ca="1"/>
        <v>45714</v>
      </c>
      <c r="C290" vm="862">
        <f ca="1"/>
        <v>258.79000000000002</v>
      </c>
      <c r="D290" vm="863">
        <f ca="1"/>
        <v>5943585</v>
      </c>
      <c r="E290">
        <f t="shared" ca="1" si="84"/>
        <v>1538140362.1500001</v>
      </c>
      <c r="F290">
        <f ca="1">SUM($E$2:E290)/SUM($D$2:D290)</f>
        <v>211.66136015181493</v>
      </c>
      <c r="G290">
        <f ca="1">_xlfn.STDEV.P($C$2:C290)</f>
        <v>27.848419468153427</v>
      </c>
      <c r="H290">
        <f t="shared" ca="1" si="85"/>
        <v>239.50977961996836</v>
      </c>
      <c r="I290">
        <f t="shared" ca="1" si="86"/>
        <v>183.81294068366151</v>
      </c>
      <c r="J290">
        <f t="shared" ca="1" si="95"/>
        <v>270.10749999999996</v>
      </c>
      <c r="K290">
        <f t="shared" ca="1" si="96"/>
        <v>6.6657007962601451</v>
      </c>
      <c r="L290">
        <f t="shared" ca="1" si="97"/>
        <v>283.43890159252027</v>
      </c>
      <c r="M290">
        <f t="shared" ca="1" si="98"/>
        <v>256.77609840747965</v>
      </c>
      <c r="N290">
        <f t="shared" ca="1" si="87"/>
        <v>1.3900000000000432</v>
      </c>
      <c r="O290">
        <f t="shared" ca="1" si="88"/>
        <v>1.3900000000000432</v>
      </c>
      <c r="P290">
        <f t="shared" ca="1" si="89"/>
        <v>0</v>
      </c>
      <c r="Q290">
        <f t="shared" ca="1" si="93"/>
        <v>1.1448169278534654</v>
      </c>
      <c r="R290">
        <f t="shared" ca="1" si="94"/>
        <v>1.6304072674880132</v>
      </c>
      <c r="S290">
        <f t="shared" ca="1" si="91"/>
        <v>0.70216623213247675</v>
      </c>
      <c r="T290">
        <f t="shared" ca="1" si="92"/>
        <v>41.251331325777848</v>
      </c>
      <c r="U290">
        <f>70</f>
        <v>70</v>
      </c>
      <c r="V290">
        <f>30</f>
        <v>30</v>
      </c>
      <c r="W290">
        <f t="shared" ca="1" si="90"/>
        <v>266.73102521146302</v>
      </c>
      <c r="X290">
        <f t="shared" ca="1" si="100"/>
        <v>265.3531484931022</v>
      </c>
      <c r="Y290">
        <f t="shared" ca="1" si="99"/>
        <v>0.66308042035984727</v>
      </c>
      <c r="Z290">
        <f t="shared" ca="1" si="80"/>
        <v>3.6244088382697819</v>
      </c>
      <c r="AA290">
        <f t="shared" ca="1" si="81"/>
        <v>-2.9613284179099346</v>
      </c>
      <c r="AB290">
        <f t="shared" ca="1" si="82"/>
        <v>243.99070000000006</v>
      </c>
    </row>
    <row r="291" spans="1:28" x14ac:dyDescent="0.25">
      <c r="A291" s="20">
        <f t="shared" ca="1" si="83"/>
        <v>45712</v>
      </c>
      <c r="B291" vm="864">
        <f ca="1"/>
        <v>45715</v>
      </c>
      <c r="C291" vm="865">
        <f ca="1"/>
        <v>259.05</v>
      </c>
      <c r="D291" vm="866">
        <f ca="1"/>
        <v>8204447</v>
      </c>
      <c r="E291">
        <f t="shared" ca="1" si="84"/>
        <v>2125361995.3500001</v>
      </c>
      <c r="F291">
        <f ca="1">SUM($E$2:E291)/SUM($D$2:D291)</f>
        <v>211.80924400429629</v>
      </c>
      <c r="G291">
        <f ca="1">_xlfn.STDEV.P($C$2:C291)</f>
        <v>27.934011956008099</v>
      </c>
      <c r="H291">
        <f t="shared" ca="1" si="85"/>
        <v>239.7432559603044</v>
      </c>
      <c r="I291">
        <f t="shared" ca="1" si="86"/>
        <v>183.87523204828818</v>
      </c>
      <c r="J291">
        <f t="shared" ca="1" si="95"/>
        <v>269.73100000000005</v>
      </c>
      <c r="K291">
        <f t="shared" ca="1" si="96"/>
        <v>7.0754943290204082</v>
      </c>
      <c r="L291">
        <f t="shared" ca="1" si="97"/>
        <v>283.88198865804088</v>
      </c>
      <c r="M291">
        <f t="shared" ca="1" si="98"/>
        <v>255.58001134195922</v>
      </c>
      <c r="N291">
        <f t="shared" ca="1" si="87"/>
        <v>0.25999999999999091</v>
      </c>
      <c r="O291">
        <f t="shared" ca="1" si="88"/>
        <v>0.25999999999999091</v>
      </c>
      <c r="P291">
        <f t="shared" ca="1" si="89"/>
        <v>0</v>
      </c>
      <c r="Q291">
        <f t="shared" ca="1" si="93"/>
        <v>1.0816157187210744</v>
      </c>
      <c r="R291">
        <f t="shared" ca="1" si="94"/>
        <v>1.5139496055245838</v>
      </c>
      <c r="S291">
        <f t="shared" ca="1" si="91"/>
        <v>0.71443310581417563</v>
      </c>
      <c r="T291">
        <f t="shared" ca="1" si="92"/>
        <v>41.671681641663994</v>
      </c>
      <c r="U291">
        <f>70</f>
        <v>70</v>
      </c>
      <c r="V291">
        <f>30</f>
        <v>30</v>
      </c>
      <c r="W291">
        <f t="shared" ca="1" si="90"/>
        <v>265.54932902508409</v>
      </c>
      <c r="X291">
        <f t="shared" ca="1" si="100"/>
        <v>264.88624860472424</v>
      </c>
      <c r="Y291">
        <f t="shared" ca="1" si="99"/>
        <v>0.54222200545473243</v>
      </c>
      <c r="Z291">
        <f t="shared" ca="1" si="80"/>
        <v>3.0079714717067723</v>
      </c>
      <c r="AA291">
        <f t="shared" ca="1" si="81"/>
        <v>-2.4657494662520398</v>
      </c>
      <c r="AB291">
        <f t="shared" ca="1" si="82"/>
        <v>244.50830000000002</v>
      </c>
    </row>
    <row r="292" spans="1:28" x14ac:dyDescent="0.25">
      <c r="A292" s="20">
        <f t="shared" ca="1" si="83"/>
        <v>45712</v>
      </c>
      <c r="B292" vm="867">
        <f ca="1"/>
        <v>45716</v>
      </c>
      <c r="C292" vm="868">
        <f ca="1"/>
        <v>264.64999999999998</v>
      </c>
      <c r="D292" vm="869">
        <f ca="1"/>
        <v>10467126</v>
      </c>
      <c r="E292">
        <f t="shared" ca="1" si="84"/>
        <v>2770124895.8999996</v>
      </c>
      <c r="F292">
        <f ca="1">SUM($E$2:E292)/SUM($D$2:D292)</f>
        <v>212.01878454002838</v>
      </c>
      <c r="G292">
        <f ca="1">_xlfn.STDEV.P($C$2:C292)</f>
        <v>28.051501636508451</v>
      </c>
      <c r="H292">
        <f t="shared" ca="1" si="85"/>
        <v>240.07028617653683</v>
      </c>
      <c r="I292">
        <f t="shared" ca="1" si="86"/>
        <v>183.96728290351993</v>
      </c>
      <c r="J292">
        <f t="shared" ca="1" si="95"/>
        <v>269.55200000000002</v>
      </c>
      <c r="K292">
        <f t="shared" ca="1" si="96"/>
        <v>7.1602430126358128</v>
      </c>
      <c r="L292">
        <f t="shared" ca="1" si="97"/>
        <v>283.87248602527166</v>
      </c>
      <c r="M292">
        <f t="shared" ca="1" si="98"/>
        <v>255.23151397472839</v>
      </c>
      <c r="N292">
        <f t="shared" ca="1" si="87"/>
        <v>5.5999999999999659</v>
      </c>
      <c r="O292">
        <f t="shared" ca="1" si="88"/>
        <v>5.5999999999999659</v>
      </c>
      <c r="P292">
        <f t="shared" ca="1" si="89"/>
        <v>0</v>
      </c>
      <c r="Q292">
        <f t="shared" ca="1" si="93"/>
        <v>1.404357453098138</v>
      </c>
      <c r="R292">
        <f t="shared" ca="1" si="94"/>
        <v>1.4058103479871136</v>
      </c>
      <c r="S292">
        <f t="shared" ca="1" si="91"/>
        <v>0.998966507188501</v>
      </c>
      <c r="T292">
        <f t="shared" ca="1" si="92"/>
        <v>49.974149321467308</v>
      </c>
      <c r="U292">
        <f>70</f>
        <v>70</v>
      </c>
      <c r="V292">
        <f>30</f>
        <v>30</v>
      </c>
      <c r="W292">
        <f t="shared" ca="1" si="90"/>
        <v>265.41097071353272</v>
      </c>
      <c r="X292">
        <f t="shared" ca="1" si="100"/>
        <v>264.86874870807799</v>
      </c>
      <c r="Y292">
        <f t="shared" ca="1" si="99"/>
        <v>0.11987171451249878</v>
      </c>
      <c r="Z292">
        <f t="shared" ca="1" si="80"/>
        <v>2.4303515202679176</v>
      </c>
      <c r="AA292">
        <f t="shared" ca="1" si="81"/>
        <v>-2.3104798057554188</v>
      </c>
      <c r="AB292">
        <f t="shared" ca="1" si="82"/>
        <v>245.10250000000005</v>
      </c>
    </row>
    <row r="293" spans="1:28" x14ac:dyDescent="0.25">
      <c r="A293" s="20">
        <f t="shared" ca="1" si="83"/>
        <v>45719</v>
      </c>
      <c r="B293" vm="870">
        <f ca="1"/>
        <v>45719</v>
      </c>
      <c r="C293" vm="871">
        <f ca="1"/>
        <v>260.62</v>
      </c>
      <c r="D293" vm="872">
        <f ca="1"/>
        <v>9058307</v>
      </c>
      <c r="E293">
        <f t="shared" ca="1" si="84"/>
        <v>2360775970.3400002</v>
      </c>
      <c r="F293">
        <f ca="1">SUM($E$2:E293)/SUM($D$2:D293)</f>
        <v>212.1850024789139</v>
      </c>
      <c r="G293">
        <f ca="1">_xlfn.STDEV.P($C$2:C293)</f>
        <v>28.142249407388409</v>
      </c>
      <c r="H293">
        <f t="shared" ca="1" si="85"/>
        <v>240.32725188630232</v>
      </c>
      <c r="I293">
        <f t="shared" ca="1" si="86"/>
        <v>184.04275307152548</v>
      </c>
      <c r="J293">
        <f t="shared" ca="1" si="95"/>
        <v>269.21799999999996</v>
      </c>
      <c r="K293">
        <f t="shared" ca="1" si="96"/>
        <v>7.421840174710538</v>
      </c>
      <c r="L293">
        <f t="shared" ca="1" si="97"/>
        <v>284.06168034942101</v>
      </c>
      <c r="M293">
        <f t="shared" ca="1" si="98"/>
        <v>254.37431965057888</v>
      </c>
      <c r="N293">
        <f t="shared" ca="1" si="87"/>
        <v>-4.0299999999999727</v>
      </c>
      <c r="O293">
        <f t="shared" ca="1" si="88"/>
        <v>0</v>
      </c>
      <c r="P293">
        <f t="shared" ca="1" si="89"/>
        <v>4.0299999999999727</v>
      </c>
      <c r="Q293">
        <f t="shared" ca="1" si="93"/>
        <v>1.304046206448271</v>
      </c>
      <c r="R293">
        <f t="shared" ca="1" si="94"/>
        <v>1.5932524659880321</v>
      </c>
      <c r="S293">
        <f t="shared" ca="1" si="91"/>
        <v>0.81848058251056022</v>
      </c>
      <c r="T293">
        <f t="shared" ca="1" si="92"/>
        <v>45.009036136123122</v>
      </c>
      <c r="U293">
        <f>70</f>
        <v>70</v>
      </c>
      <c r="V293">
        <f>30</f>
        <v>30</v>
      </c>
      <c r="W293">
        <f t="shared" ca="1" si="90"/>
        <v>264.67389829606617</v>
      </c>
      <c r="X293">
        <f t="shared" ca="1" si="100"/>
        <v>264.55402658155367</v>
      </c>
      <c r="Y293">
        <f t="shared" ca="1" si="99"/>
        <v>-1.0396320372458376</v>
      </c>
      <c r="Z293">
        <f t="shared" ca="1" si="80"/>
        <v>1.7363548087651666</v>
      </c>
      <c r="AA293">
        <f t="shared" ca="1" si="81"/>
        <v>-2.775986846011004</v>
      </c>
      <c r="AB293">
        <f t="shared" ca="1" si="82"/>
        <v>245.59650000000005</v>
      </c>
    </row>
    <row r="294" spans="1:28" x14ac:dyDescent="0.25">
      <c r="A294" s="20">
        <f t="shared" ca="1" si="83"/>
        <v>45719</v>
      </c>
      <c r="B294" vm="873">
        <f ca="1"/>
        <v>45720</v>
      </c>
      <c r="C294" vm="874">
        <f ca="1"/>
        <v>250.25</v>
      </c>
      <c r="D294" vm="875">
        <f ca="1"/>
        <v>13465630</v>
      </c>
      <c r="E294">
        <f t="shared" ca="1" si="84"/>
        <v>3369773907.5</v>
      </c>
      <c r="F294">
        <f ca="1">SUM($E$2:E294)/SUM($D$2:D294)</f>
        <v>212.37754817943559</v>
      </c>
      <c r="G294">
        <f ca="1">_xlfn.STDEV.P($C$2:C294)</f>
        <v>28.178076091381648</v>
      </c>
      <c r="H294">
        <f t="shared" ca="1" si="85"/>
        <v>240.55562427081725</v>
      </c>
      <c r="I294">
        <f t="shared" ca="1" si="86"/>
        <v>184.19947208805394</v>
      </c>
      <c r="J294">
        <f t="shared" ca="1" si="95"/>
        <v>268.39</v>
      </c>
      <c r="K294">
        <f t="shared" ca="1" si="96"/>
        <v>8.5435891631956196</v>
      </c>
      <c r="L294">
        <f t="shared" ca="1" si="97"/>
        <v>285.47717832639125</v>
      </c>
      <c r="M294">
        <f t="shared" ca="1" si="98"/>
        <v>251.30282167360875</v>
      </c>
      <c r="N294">
        <f t="shared" ca="1" si="87"/>
        <v>-10.370000000000005</v>
      </c>
      <c r="O294">
        <f t="shared" ca="1" si="88"/>
        <v>0</v>
      </c>
      <c r="P294">
        <f t="shared" ca="1" si="89"/>
        <v>10.370000000000005</v>
      </c>
      <c r="Q294">
        <f t="shared" ca="1" si="93"/>
        <v>1.2109000488448232</v>
      </c>
      <c r="R294">
        <f t="shared" ca="1" si="94"/>
        <v>2.2201630041317442</v>
      </c>
      <c r="S294">
        <f t="shared" ca="1" si="91"/>
        <v>0.54541042553692087</v>
      </c>
      <c r="T294">
        <f t="shared" ca="1" si="92"/>
        <v>35.292270359016712</v>
      </c>
      <c r="U294">
        <f>70</f>
        <v>70</v>
      </c>
      <c r="V294">
        <f>30</f>
        <v>30</v>
      </c>
      <c r="W294">
        <f t="shared" ca="1" si="90"/>
        <v>262.45483701974831</v>
      </c>
      <c r="X294">
        <f t="shared" ca="1" si="100"/>
        <v>263.49446905699415</v>
      </c>
      <c r="Y294">
        <f t="shared" ca="1" si="99"/>
        <v>-1.8341192269454609</v>
      </c>
      <c r="Z294">
        <f t="shared" ref="Z294:Z357" ca="1" si="101">Y294*(2/(9+1)) + Z293*(1-(2/(9+1)))</f>
        <v>1.0222600016230412</v>
      </c>
      <c r="AA294">
        <f t="shared" ref="AA294:AA357" ca="1" si="102">Y294-Z294</f>
        <v>-2.8563792285685023</v>
      </c>
      <c r="AB294">
        <f t="shared" ref="AB294:AB357" ca="1" si="103">AVERAGE(C195:C294)</f>
        <v>245.98970000000006</v>
      </c>
    </row>
    <row r="295" spans="1:28" x14ac:dyDescent="0.25">
      <c r="A295" s="20">
        <f t="shared" ca="1" si="83"/>
        <v>45719</v>
      </c>
      <c r="B295" vm="876">
        <f ca="1"/>
        <v>45721</v>
      </c>
      <c r="C295" vm="877">
        <f ca="1"/>
        <v>251.53</v>
      </c>
      <c r="D295" vm="878">
        <f ca="1"/>
        <v>7861424</v>
      </c>
      <c r="E295">
        <f t="shared" ca="1" si="84"/>
        <v>1977383978.72</v>
      </c>
      <c r="F295">
        <f ca="1">SUM($E$2:E295)/SUM($D$2:D295)</f>
        <v>212.49283001651204</v>
      </c>
      <c r="G295">
        <f ca="1">_xlfn.STDEV.P($C$2:C295)</f>
        <v>28.218854602943438</v>
      </c>
      <c r="H295">
        <f t="shared" ca="1" si="85"/>
        <v>240.71168461945547</v>
      </c>
      <c r="I295">
        <f t="shared" ca="1" si="86"/>
        <v>184.27397541356862</v>
      </c>
      <c r="J295">
        <f t="shared" ca="1" si="95"/>
        <v>267.56949999999995</v>
      </c>
      <c r="K295">
        <f t="shared" ca="1" si="96"/>
        <v>9.3399484248547822</v>
      </c>
      <c r="L295">
        <f t="shared" ca="1" si="97"/>
        <v>286.24939684970951</v>
      </c>
      <c r="M295">
        <f t="shared" ca="1" si="98"/>
        <v>248.88960315029038</v>
      </c>
      <c r="N295">
        <f t="shared" ca="1" si="87"/>
        <v>1.2800000000000011</v>
      </c>
      <c r="O295">
        <f t="shared" ca="1" si="88"/>
        <v>1.2800000000000011</v>
      </c>
      <c r="P295">
        <f t="shared" ca="1" si="89"/>
        <v>0</v>
      </c>
      <c r="Q295">
        <f t="shared" ca="1" si="93"/>
        <v>1.2158357596416214</v>
      </c>
      <c r="R295">
        <f t="shared" ca="1" si="94"/>
        <v>2.0615799324080482</v>
      </c>
      <c r="S295">
        <f t="shared" ca="1" si="91"/>
        <v>0.58975921356658378</v>
      </c>
      <c r="T295">
        <f t="shared" ca="1" si="92"/>
        <v>37.097392393372218</v>
      </c>
      <c r="U295">
        <f>70</f>
        <v>70</v>
      </c>
      <c r="V295">
        <f>30</f>
        <v>30</v>
      </c>
      <c r="W295">
        <f t="shared" ca="1" si="90"/>
        <v>260.77409286286394</v>
      </c>
      <c r="X295">
        <f t="shared" ca="1" si="100"/>
        <v>262.6082120898094</v>
      </c>
      <c r="Y295">
        <f t="shared" ca="1" si="99"/>
        <v>-2.8337417348075746</v>
      </c>
      <c r="Z295">
        <f t="shared" ca="1" si="101"/>
        <v>0.25105965433691801</v>
      </c>
      <c r="AA295">
        <f t="shared" ca="1" si="102"/>
        <v>-3.0848013891444928</v>
      </c>
      <c r="AB295">
        <f t="shared" ca="1" si="103"/>
        <v>246.39750000000006</v>
      </c>
    </row>
    <row r="296" spans="1:28" x14ac:dyDescent="0.25">
      <c r="A296" s="20">
        <f t="shared" ca="1" si="83"/>
        <v>45719</v>
      </c>
      <c r="B296" vm="879">
        <f ca="1"/>
        <v>45722</v>
      </c>
      <c r="C296" vm="880">
        <f ca="1"/>
        <v>246.54</v>
      </c>
      <c r="D296" vm="881">
        <f ca="1"/>
        <v>9983235</v>
      </c>
      <c r="E296">
        <f t="shared" ca="1" si="84"/>
        <v>2461266756.9000001</v>
      </c>
      <c r="F296">
        <f ca="1">SUM($E$2:E296)/SUM($D$2:D296)</f>
        <v>212.61966298506627</v>
      </c>
      <c r="G296">
        <f ca="1">_xlfn.STDEV.P($C$2:C296)</f>
        <v>28.237346458645519</v>
      </c>
      <c r="H296">
        <f t="shared" ca="1" si="85"/>
        <v>240.85700944371177</v>
      </c>
      <c r="I296">
        <f t="shared" ca="1" si="86"/>
        <v>184.38231652642077</v>
      </c>
      <c r="J296">
        <f t="shared" ca="1" si="95"/>
        <v>266.375</v>
      </c>
      <c r="K296">
        <f t="shared" ca="1" si="96"/>
        <v>10.420068946130117</v>
      </c>
      <c r="L296">
        <f t="shared" ca="1" si="97"/>
        <v>287.21513789226026</v>
      </c>
      <c r="M296">
        <f t="shared" ca="1" si="98"/>
        <v>245.53486210773977</v>
      </c>
      <c r="N296">
        <f t="shared" ca="1" si="87"/>
        <v>-4.9900000000000091</v>
      </c>
      <c r="O296">
        <f t="shared" ca="1" si="88"/>
        <v>0</v>
      </c>
      <c r="P296">
        <f t="shared" ca="1" si="89"/>
        <v>4.9900000000000091</v>
      </c>
      <c r="Q296">
        <f t="shared" ca="1" si="93"/>
        <v>1.1289903482386483</v>
      </c>
      <c r="R296">
        <f t="shared" ca="1" si="94"/>
        <v>2.2707527943789025</v>
      </c>
      <c r="S296">
        <f t="shared" ca="1" si="91"/>
        <v>0.49718769521428702</v>
      </c>
      <c r="T296">
        <f t="shared" ca="1" si="92"/>
        <v>33.208107226871533</v>
      </c>
      <c r="U296">
        <f>70</f>
        <v>70</v>
      </c>
      <c r="V296">
        <f>30</f>
        <v>30</v>
      </c>
      <c r="W296">
        <f t="shared" ca="1" si="90"/>
        <v>258.58423242242333</v>
      </c>
      <c r="X296">
        <f t="shared" ca="1" si="100"/>
        <v>261.4179741572309</v>
      </c>
      <c r="Y296">
        <f t="shared" ca="1" si="99"/>
        <v>-3.9244574690607692</v>
      </c>
      <c r="Z296">
        <f t="shared" ca="1" si="101"/>
        <v>-0.58404377034261945</v>
      </c>
      <c r="AA296">
        <f t="shared" ca="1" si="102"/>
        <v>-3.3404136987181499</v>
      </c>
      <c r="AB296">
        <f t="shared" ca="1" si="103"/>
        <v>246.72870000000006</v>
      </c>
    </row>
    <row r="297" spans="1:28" x14ac:dyDescent="0.25">
      <c r="A297" s="20">
        <f t="shared" ca="1" si="83"/>
        <v>45719</v>
      </c>
      <c r="B297" vm="882">
        <f ca="1"/>
        <v>45723</v>
      </c>
      <c r="C297" vm="883">
        <f ca="1"/>
        <v>242.28</v>
      </c>
      <c r="D297" vm="884">
        <f ca="1"/>
        <v>20498734</v>
      </c>
      <c r="E297">
        <f t="shared" ca="1" si="84"/>
        <v>4966433273.5200005</v>
      </c>
      <c r="F297">
        <f ca="1">SUM($E$2:E297)/SUM($D$2:D297)</f>
        <v>212.84481387620323</v>
      </c>
      <c r="G297">
        <f ca="1">_xlfn.STDEV.P($C$2:C297)</f>
        <v>28.239491852245873</v>
      </c>
      <c r="H297">
        <f t="shared" ca="1" si="85"/>
        <v>241.0843057284491</v>
      </c>
      <c r="I297">
        <f t="shared" ca="1" si="86"/>
        <v>184.60532202395737</v>
      </c>
      <c r="J297">
        <f t="shared" ca="1" si="95"/>
        <v>264.64400000000001</v>
      </c>
      <c r="K297">
        <f t="shared" ca="1" si="96"/>
        <v>11.408318940695494</v>
      </c>
      <c r="L297">
        <f t="shared" ca="1" si="97"/>
        <v>287.46063788139099</v>
      </c>
      <c r="M297">
        <f t="shared" ca="1" si="98"/>
        <v>241.82736211860902</v>
      </c>
      <c r="N297">
        <f t="shared" ca="1" si="87"/>
        <v>-4.2599999999999909</v>
      </c>
      <c r="O297">
        <f t="shared" ca="1" si="88"/>
        <v>0</v>
      </c>
      <c r="P297">
        <f t="shared" ca="1" si="89"/>
        <v>4.2599999999999909</v>
      </c>
      <c r="Q297">
        <f t="shared" ca="1" si="93"/>
        <v>1.0483481805073163</v>
      </c>
      <c r="R297">
        <f t="shared" ca="1" si="94"/>
        <v>2.4128418804946947</v>
      </c>
      <c r="S297">
        <f t="shared" ca="1" si="91"/>
        <v>0.43448689654391187</v>
      </c>
      <c r="T297">
        <f t="shared" ca="1" si="92"/>
        <v>30.28866262847815</v>
      </c>
      <c r="U297">
        <f>70</f>
        <v>70</v>
      </c>
      <c r="V297">
        <f>30</f>
        <v>30</v>
      </c>
      <c r="W297">
        <f t="shared" ca="1" si="90"/>
        <v>256.07588897281971</v>
      </c>
      <c r="X297">
        <f t="shared" ca="1" si="100"/>
        <v>260.00034644188048</v>
      </c>
      <c r="Y297">
        <f t="shared" ca="1" si="99"/>
        <v>-5.5367907939706242</v>
      </c>
      <c r="Z297">
        <f t="shared" ca="1" si="101"/>
        <v>-1.5745931750682205</v>
      </c>
      <c r="AA297">
        <f t="shared" ca="1" si="102"/>
        <v>-3.9621976189024037</v>
      </c>
      <c r="AB297">
        <f t="shared" ca="1" si="103"/>
        <v>247.02310000000008</v>
      </c>
    </row>
    <row r="298" spans="1:28" x14ac:dyDescent="0.25">
      <c r="A298" s="20">
        <f t="shared" ca="1" si="83"/>
        <v>45726</v>
      </c>
      <c r="B298" vm="885">
        <f ca="1"/>
        <v>45726</v>
      </c>
      <c r="C298" vm="886">
        <f ca="1"/>
        <v>232.22</v>
      </c>
      <c r="D298" vm="887">
        <f ca="1"/>
        <v>18887186</v>
      </c>
      <c r="E298">
        <f t="shared" ca="1" si="84"/>
        <v>4385982332.9200001</v>
      </c>
      <c r="F298">
        <f ca="1">SUM($E$2:E298)/SUM($D$2:D298)</f>
        <v>212.97938650056815</v>
      </c>
      <c r="G298">
        <f ca="1">_xlfn.STDEV.P($C$2:C298)</f>
        <v>28.212840685677005</v>
      </c>
      <c r="H298">
        <f t="shared" ca="1" si="85"/>
        <v>241.19222718624516</v>
      </c>
      <c r="I298">
        <f t="shared" ca="1" si="86"/>
        <v>184.76654581489115</v>
      </c>
      <c r="J298">
        <f t="shared" ca="1" si="95"/>
        <v>262.46500000000003</v>
      </c>
      <c r="K298">
        <f t="shared" ca="1" si="96"/>
        <v>13.188399408092264</v>
      </c>
      <c r="L298">
        <f t="shared" ca="1" si="97"/>
        <v>288.84179881618456</v>
      </c>
      <c r="M298">
        <f t="shared" ca="1" si="98"/>
        <v>236.0882011838155</v>
      </c>
      <c r="N298">
        <f t="shared" ca="1" si="87"/>
        <v>-10.060000000000002</v>
      </c>
      <c r="O298">
        <f t="shared" ca="1" si="88"/>
        <v>0</v>
      </c>
      <c r="P298">
        <f t="shared" ca="1" si="89"/>
        <v>10.060000000000002</v>
      </c>
      <c r="Q298">
        <f t="shared" ca="1" si="93"/>
        <v>0.97346616761393645</v>
      </c>
      <c r="R298">
        <f t="shared" ca="1" si="94"/>
        <v>2.9590674604593596</v>
      </c>
      <c r="S298">
        <f t="shared" ca="1" si="91"/>
        <v>0.3289773486484886</v>
      </c>
      <c r="T298">
        <f t="shared" ca="1" si="92"/>
        <v>24.754172746664494</v>
      </c>
      <c r="U298">
        <f>70</f>
        <v>70</v>
      </c>
      <c r="V298">
        <f>30</f>
        <v>30</v>
      </c>
      <c r="W298">
        <f t="shared" ca="1" si="90"/>
        <v>252.40575220777055</v>
      </c>
      <c r="X298">
        <f t="shared" ca="1" si="100"/>
        <v>257.94254300174117</v>
      </c>
      <c r="Y298">
        <f t="shared" ca="1" si="99"/>
        <v>-6.9826155836411203</v>
      </c>
      <c r="Z298">
        <f t="shared" ca="1" si="101"/>
        <v>-2.6561976567828007</v>
      </c>
      <c r="AA298">
        <f t="shared" ca="1" si="102"/>
        <v>-4.3264179268583192</v>
      </c>
      <c r="AB298">
        <f t="shared" ca="1" si="103"/>
        <v>247.12240000000008</v>
      </c>
    </row>
    <row r="299" spans="1:28" x14ac:dyDescent="0.25">
      <c r="A299" s="20">
        <f t="shared" ca="1" si="83"/>
        <v>45726</v>
      </c>
      <c r="B299" vm="888">
        <f ca="1"/>
        <v>45727</v>
      </c>
      <c r="C299" vm="889">
        <f ca="1"/>
        <v>229.14</v>
      </c>
      <c r="D299" vm="890">
        <f ca="1"/>
        <v>18142995</v>
      </c>
      <c r="E299">
        <f t="shared" ca="1" si="84"/>
        <v>4157285874.2999997</v>
      </c>
      <c r="F299">
        <f ca="1">SUM($E$2:E299)/SUM($D$2:D299)</f>
        <v>213.08649463129177</v>
      </c>
      <c r="G299">
        <f ca="1">_xlfn.STDEV.P($C$2:C299)</f>
        <v>28.179933782293187</v>
      </c>
      <c r="H299">
        <f t="shared" ca="1" si="85"/>
        <v>241.26642841358495</v>
      </c>
      <c r="I299">
        <f t="shared" ca="1" si="86"/>
        <v>184.90656084899859</v>
      </c>
      <c r="J299">
        <f t="shared" ca="1" si="95"/>
        <v>260.37</v>
      </c>
      <c r="K299">
        <f t="shared" ca="1" si="96"/>
        <v>14.963091785773209</v>
      </c>
      <c r="L299">
        <f t="shared" ca="1" si="97"/>
        <v>290.29618357154641</v>
      </c>
      <c r="M299">
        <f t="shared" ca="1" si="98"/>
        <v>230.4438164284536</v>
      </c>
      <c r="N299">
        <f t="shared" ca="1" si="87"/>
        <v>-3.0800000000000125</v>
      </c>
      <c r="O299">
        <f t="shared" ca="1" si="88"/>
        <v>0</v>
      </c>
      <c r="P299">
        <f t="shared" ca="1" si="89"/>
        <v>3.0800000000000125</v>
      </c>
      <c r="Q299">
        <f t="shared" ca="1" si="93"/>
        <v>0.90393286992722666</v>
      </c>
      <c r="R299">
        <f t="shared" ca="1" si="94"/>
        <v>2.9677054989979781</v>
      </c>
      <c r="S299">
        <f t="shared" ca="1" si="91"/>
        <v>0.30458981534132423</v>
      </c>
      <c r="T299">
        <f t="shared" ca="1" si="92"/>
        <v>23.347554285607643</v>
      </c>
      <c r="U299">
        <f>70</f>
        <v>70</v>
      </c>
      <c r="V299">
        <f>30</f>
        <v>30</v>
      </c>
      <c r="W299">
        <f t="shared" ca="1" si="90"/>
        <v>248.82640571426737</v>
      </c>
      <c r="X299">
        <f t="shared" ca="1" si="100"/>
        <v>255.80902129790849</v>
      </c>
      <c r="Y299">
        <f t="shared" ca="1" si="99"/>
        <v>-8.1347277056491691</v>
      </c>
      <c r="Z299">
        <f t="shared" ca="1" si="101"/>
        <v>-3.7519036665560748</v>
      </c>
      <c r="AA299">
        <f t="shared" ca="1" si="102"/>
        <v>-4.3828240390930944</v>
      </c>
      <c r="AB299">
        <f t="shared" ca="1" si="103"/>
        <v>247.1990000000001</v>
      </c>
    </row>
    <row r="300" spans="1:28" x14ac:dyDescent="0.25">
      <c r="A300" s="20">
        <f t="shared" ca="1" si="83"/>
        <v>45726</v>
      </c>
      <c r="B300" vm="891">
        <f ca="1"/>
        <v>45728</v>
      </c>
      <c r="C300" vm="892">
        <f ca="1"/>
        <v>227.9</v>
      </c>
      <c r="D300" vm="893">
        <f ca="1"/>
        <v>16054015</v>
      </c>
      <c r="E300">
        <f t="shared" ca="1" si="84"/>
        <v>3658710018.5</v>
      </c>
      <c r="F300">
        <f ca="1">SUM($E$2:E300)/SUM($D$2:D300)</f>
        <v>213.17286357134466</v>
      </c>
      <c r="G300">
        <f ca="1">_xlfn.STDEV.P($C$2:C300)</f>
        <v>28.144918233075689</v>
      </c>
      <c r="H300">
        <f t="shared" ca="1" si="85"/>
        <v>241.31778180442035</v>
      </c>
      <c r="I300">
        <f t="shared" ca="1" si="86"/>
        <v>185.02794533826898</v>
      </c>
      <c r="J300">
        <f t="shared" ca="1" si="95"/>
        <v>258.01550000000003</v>
      </c>
      <c r="K300">
        <f t="shared" ca="1" si="96"/>
        <v>16.195631794114309</v>
      </c>
      <c r="L300">
        <f t="shared" ca="1" si="97"/>
        <v>290.40676358822867</v>
      </c>
      <c r="M300">
        <f t="shared" ca="1" si="98"/>
        <v>225.62423641177142</v>
      </c>
      <c r="N300">
        <f t="shared" ca="1" si="87"/>
        <v>-1.2399999999999807</v>
      </c>
      <c r="O300">
        <f t="shared" ca="1" si="88"/>
        <v>0</v>
      </c>
      <c r="P300">
        <f t="shared" ca="1" si="89"/>
        <v>1.2399999999999807</v>
      </c>
      <c r="Q300">
        <f t="shared" ca="1" si="93"/>
        <v>0.83936623636099628</v>
      </c>
      <c r="R300">
        <f t="shared" ca="1" si="94"/>
        <v>2.8442979633552641</v>
      </c>
      <c r="S300">
        <f t="shared" ca="1" si="91"/>
        <v>0.29510488956327258</v>
      </c>
      <c r="T300">
        <f t="shared" ca="1" si="92"/>
        <v>22.786176775441419</v>
      </c>
      <c r="U300">
        <f>70</f>
        <v>70</v>
      </c>
      <c r="V300">
        <f>30</f>
        <v>30</v>
      </c>
      <c r="W300">
        <f t="shared" ca="1" si="90"/>
        <v>245.60695868130313</v>
      </c>
      <c r="X300">
        <f t="shared" ca="1" si="100"/>
        <v>253.7416863869523</v>
      </c>
      <c r="Y300">
        <f t="shared" ca="1" si="99"/>
        <v>-9.1608585396366493</v>
      </c>
      <c r="Z300">
        <f t="shared" ca="1" si="101"/>
        <v>-4.8336946411721904</v>
      </c>
      <c r="AA300">
        <f t="shared" ca="1" si="102"/>
        <v>-4.3271638984644589</v>
      </c>
      <c r="AB300">
        <f t="shared" ca="1" si="103"/>
        <v>247.25410000000011</v>
      </c>
    </row>
    <row r="301" spans="1:28" x14ac:dyDescent="0.25">
      <c r="A301" s="20">
        <f t="shared" ca="1" si="83"/>
        <v>45726</v>
      </c>
      <c r="B301" vm="894">
        <f ca="1"/>
        <v>45729</v>
      </c>
      <c r="C301" vm="895">
        <f ca="1"/>
        <v>225.19</v>
      </c>
      <c r="D301" vm="896">
        <f ca="1"/>
        <v>16467851</v>
      </c>
      <c r="E301">
        <f t="shared" ca="1" si="84"/>
        <v>3708395366.6900001</v>
      </c>
      <c r="F301">
        <f ca="1">SUM($E$2:E301)/SUM($D$2:D301)</f>
        <v>213.24430733943558</v>
      </c>
      <c r="G301">
        <f ca="1">_xlfn.STDEV.P($C$2:C301)</f>
        <v>28.105874336140115</v>
      </c>
      <c r="H301">
        <f t="shared" ca="1" si="85"/>
        <v>241.3501816755757</v>
      </c>
      <c r="I301">
        <f t="shared" ca="1" si="86"/>
        <v>185.13843300329546</v>
      </c>
      <c r="J301">
        <f t="shared" ca="1" si="95"/>
        <v>255.5025</v>
      </c>
      <c r="K301">
        <f t="shared" ca="1" si="96"/>
        <v>17.215231283892024</v>
      </c>
      <c r="L301">
        <f t="shared" ca="1" si="97"/>
        <v>289.93296256778405</v>
      </c>
      <c r="M301">
        <f t="shared" ca="1" si="98"/>
        <v>221.07203743221595</v>
      </c>
      <c r="N301">
        <f t="shared" ca="1" si="87"/>
        <v>-2.710000000000008</v>
      </c>
      <c r="O301">
        <f t="shared" ca="1" si="88"/>
        <v>0</v>
      </c>
      <c r="P301">
        <f t="shared" ca="1" si="89"/>
        <v>2.710000000000008</v>
      </c>
      <c r="Q301">
        <f t="shared" ca="1" si="93"/>
        <v>0.77941150519235369</v>
      </c>
      <c r="R301">
        <f t="shared" ca="1" si="94"/>
        <v>2.8347052516870312</v>
      </c>
      <c r="S301">
        <f t="shared" ca="1" si="91"/>
        <v>0.2749532794383116</v>
      </c>
      <c r="T301">
        <f t="shared" ca="1" si="92"/>
        <v>21.565753339561113</v>
      </c>
      <c r="U301">
        <f>70</f>
        <v>70</v>
      </c>
      <c r="V301">
        <f>30</f>
        <v>30</v>
      </c>
      <c r="W301">
        <f t="shared" ca="1" si="90"/>
        <v>242.4658881149488</v>
      </c>
      <c r="X301">
        <f t="shared" ca="1" si="100"/>
        <v>251.62674665458545</v>
      </c>
      <c r="Y301">
        <f t="shared" ca="1" si="99"/>
        <v>-9.2820623720811284</v>
      </c>
      <c r="Z301">
        <f t="shared" ca="1" si="101"/>
        <v>-5.7233681873539783</v>
      </c>
      <c r="AA301">
        <f t="shared" ca="1" si="102"/>
        <v>-3.55869418472715</v>
      </c>
      <c r="AB301">
        <f t="shared" ca="1" si="103"/>
        <v>247.26960000000011</v>
      </c>
    </row>
    <row r="302" spans="1:28" x14ac:dyDescent="0.25">
      <c r="A302" s="20">
        <f t="shared" ca="1" si="83"/>
        <v>45726</v>
      </c>
      <c r="B302" vm="897">
        <f ca="1"/>
        <v>45730</v>
      </c>
      <c r="C302" vm="898">
        <f ca="1"/>
        <v>232.44</v>
      </c>
      <c r="D302" vm="899">
        <f ca="1"/>
        <v>11962108</v>
      </c>
      <c r="E302">
        <f t="shared" ca="1" si="84"/>
        <v>2780472383.52</v>
      </c>
      <c r="F302">
        <f ca="1">SUM($E$2:E302)/SUM($D$2:D302)</f>
        <v>213.32684772069641</v>
      </c>
      <c r="G302">
        <f ca="1">_xlfn.STDEV.P($C$2:C302)</f>
        <v>28.07993853954606</v>
      </c>
      <c r="H302">
        <f t="shared" ca="1" si="85"/>
        <v>241.40678626024246</v>
      </c>
      <c r="I302">
        <f t="shared" ca="1" si="86"/>
        <v>185.24690918115036</v>
      </c>
      <c r="J302">
        <f t="shared" ca="1" si="95"/>
        <v>253.30849999999995</v>
      </c>
      <c r="K302">
        <f t="shared" ca="1" si="96"/>
        <v>17.218651843735891</v>
      </c>
      <c r="L302">
        <f t="shared" ca="1" si="97"/>
        <v>287.74580368747172</v>
      </c>
      <c r="M302">
        <f t="shared" ca="1" si="98"/>
        <v>218.87119631252818</v>
      </c>
      <c r="N302">
        <f t="shared" ca="1" si="87"/>
        <v>7.25</v>
      </c>
      <c r="O302">
        <f t="shared" ca="1" si="88"/>
        <v>7.25</v>
      </c>
      <c r="P302">
        <f t="shared" ca="1" si="89"/>
        <v>0</v>
      </c>
      <c r="Q302">
        <f t="shared" ca="1" si="93"/>
        <v>1.2415963976786142</v>
      </c>
      <c r="R302">
        <f t="shared" ca="1" si="94"/>
        <v>2.6322263051379577</v>
      </c>
      <c r="S302">
        <f t="shared" ca="1" si="91"/>
        <v>0.47169059714018047</v>
      </c>
      <c r="T302">
        <f t="shared" ca="1" si="92"/>
        <v>32.050935030554612</v>
      </c>
      <c r="U302">
        <f>70</f>
        <v>70</v>
      </c>
      <c r="V302">
        <f>30</f>
        <v>30</v>
      </c>
      <c r="W302">
        <f t="shared" ca="1" si="90"/>
        <v>240.92344378957205</v>
      </c>
      <c r="X302">
        <f t="shared" ca="1" si="100"/>
        <v>250.20550616165318</v>
      </c>
      <c r="Y302">
        <f t="shared" ca="1" si="99"/>
        <v>-9.1523837522347264</v>
      </c>
      <c r="Z302">
        <f t="shared" ca="1" si="101"/>
        <v>-6.4091713003301285</v>
      </c>
      <c r="AA302">
        <f t="shared" ca="1" si="102"/>
        <v>-2.7432124519045979</v>
      </c>
      <c r="AB302">
        <f t="shared" ca="1" si="103"/>
        <v>247.3498000000001</v>
      </c>
    </row>
    <row r="303" spans="1:28" x14ac:dyDescent="0.25">
      <c r="A303" s="20">
        <f t="shared" ca="1" si="83"/>
        <v>45733</v>
      </c>
      <c r="B303" vm="900">
        <f ca="1"/>
        <v>45733</v>
      </c>
      <c r="C303" vm="901">
        <f ca="1"/>
        <v>233.93</v>
      </c>
      <c r="D303" vm="902">
        <f ca="1"/>
        <v>9586025</v>
      </c>
      <c r="E303">
        <f t="shared" ca="1" si="84"/>
        <v>2242458828.25</v>
      </c>
      <c r="F303">
        <f ca="1">SUM($E$2:E303)/SUM($D$2:D303)</f>
        <v>213.39759883136446</v>
      </c>
      <c r="G303">
        <f ca="1">_xlfn.STDEV.P($C$2:C303)</f>
        <v>28.05742380953032</v>
      </c>
      <c r="H303">
        <f t="shared" ca="1" si="85"/>
        <v>241.45502264089478</v>
      </c>
      <c r="I303">
        <f t="shared" ca="1" si="86"/>
        <v>185.34017502183414</v>
      </c>
      <c r="J303">
        <f t="shared" ca="1" si="95"/>
        <v>251.17549999999997</v>
      </c>
      <c r="K303">
        <f t="shared" ca="1" si="96"/>
        <v>16.820510185328413</v>
      </c>
      <c r="L303">
        <f t="shared" ca="1" si="97"/>
        <v>284.8165203706568</v>
      </c>
      <c r="M303">
        <f t="shared" ca="1" si="98"/>
        <v>217.53447962934314</v>
      </c>
      <c r="N303">
        <f t="shared" ca="1" si="87"/>
        <v>1.4900000000000091</v>
      </c>
      <c r="O303">
        <f t="shared" ca="1" si="88"/>
        <v>1.4900000000000091</v>
      </c>
      <c r="P303">
        <f t="shared" ca="1" si="89"/>
        <v>0</v>
      </c>
      <c r="Q303">
        <f t="shared" ca="1" si="93"/>
        <v>1.2593395121301423</v>
      </c>
      <c r="R303">
        <f t="shared" ca="1" si="94"/>
        <v>2.4442101404852465</v>
      </c>
      <c r="S303">
        <f t="shared" ca="1" si="91"/>
        <v>0.51523373185913013</v>
      </c>
      <c r="T303">
        <f t="shared" ca="1" si="92"/>
        <v>34.003581165458826</v>
      </c>
      <c r="U303">
        <f>70</f>
        <v>70</v>
      </c>
      <c r="V303">
        <f>30</f>
        <v>30</v>
      </c>
      <c r="W303">
        <f t="shared" ca="1" si="90"/>
        <v>239.84752936040712</v>
      </c>
      <c r="X303">
        <f t="shared" ca="1" si="100"/>
        <v>248.99991311264185</v>
      </c>
      <c r="Y303">
        <f t="shared" ca="1" si="99"/>
        <v>-8.863520061446394</v>
      </c>
      <c r="Z303">
        <f t="shared" ca="1" si="101"/>
        <v>-6.900041052553382</v>
      </c>
      <c r="AA303">
        <f t="shared" ca="1" si="102"/>
        <v>-1.9634790088930121</v>
      </c>
      <c r="AB303">
        <f t="shared" ca="1" si="103"/>
        <v>247.43540000000007</v>
      </c>
    </row>
    <row r="304" spans="1:28" x14ac:dyDescent="0.25">
      <c r="A304" s="20">
        <f t="shared" ca="1" si="83"/>
        <v>45733</v>
      </c>
      <c r="B304" vm="903">
        <f ca="1"/>
        <v>45734</v>
      </c>
      <c r="C304" vm="904">
        <f ca="1"/>
        <v>234.97</v>
      </c>
      <c r="D304" vm="905">
        <f ca="1"/>
        <v>10344866</v>
      </c>
      <c r="E304">
        <f t="shared" ca="1" si="84"/>
        <v>2430733164.02</v>
      </c>
      <c r="F304">
        <f ca="1">SUM($E$2:E304)/SUM($D$2:D304)</f>
        <v>213.47724739375025</v>
      </c>
      <c r="G304">
        <f ca="1">_xlfn.STDEV.P($C$2:C304)</f>
        <v>28.037402147139719</v>
      </c>
      <c r="H304">
        <f t="shared" ca="1" si="85"/>
        <v>241.51464954088996</v>
      </c>
      <c r="I304">
        <f t="shared" ca="1" si="86"/>
        <v>185.43984524661053</v>
      </c>
      <c r="J304">
        <f t="shared" ca="1" si="95"/>
        <v>248.92649999999998</v>
      </c>
      <c r="K304">
        <f t="shared" ca="1" si="96"/>
        <v>15.743249271722116</v>
      </c>
      <c r="L304">
        <f t="shared" ca="1" si="97"/>
        <v>280.41299854344419</v>
      </c>
      <c r="M304">
        <f t="shared" ca="1" si="98"/>
        <v>217.44000145655573</v>
      </c>
      <c r="N304">
        <f t="shared" ca="1" si="87"/>
        <v>1.039999999999992</v>
      </c>
      <c r="O304">
        <f t="shared" ca="1" si="88"/>
        <v>1.039999999999992</v>
      </c>
      <c r="P304">
        <f t="shared" ca="1" si="89"/>
        <v>0</v>
      </c>
      <c r="Q304">
        <f t="shared" ca="1" si="93"/>
        <v>1.2436724041208458</v>
      </c>
      <c r="R304">
        <f t="shared" ca="1" si="94"/>
        <v>2.2696237018791576</v>
      </c>
      <c r="S304">
        <f t="shared" ca="1" si="91"/>
        <v>0.5479641418492126</v>
      </c>
      <c r="T304">
        <f t="shared" ca="1" si="92"/>
        <v>35.399020367139101</v>
      </c>
      <c r="U304">
        <f>70</f>
        <v>70</v>
      </c>
      <c r="V304">
        <f>30</f>
        <v>30</v>
      </c>
      <c r="W304">
        <f t="shared" ca="1" si="90"/>
        <v>239.09714022803681</v>
      </c>
      <c r="X304">
        <f t="shared" ca="1" si="100"/>
        <v>247.9606602894832</v>
      </c>
      <c r="Y304">
        <f t="shared" ca="1" si="99"/>
        <v>-8.2059371691028673</v>
      </c>
      <c r="Z304">
        <f t="shared" ca="1" si="101"/>
        <v>-7.1612202758632799</v>
      </c>
      <c r="AA304">
        <f t="shared" ca="1" si="102"/>
        <v>-1.0447168932395874</v>
      </c>
      <c r="AB304">
        <f t="shared" ca="1" si="103"/>
        <v>247.5551000000001</v>
      </c>
    </row>
    <row r="305" spans="1:28" x14ac:dyDescent="0.25">
      <c r="A305" s="20">
        <f t="shared" ca="1" si="83"/>
        <v>45733</v>
      </c>
      <c r="B305" vm="906">
        <f ca="1"/>
        <v>45735</v>
      </c>
      <c r="C305" vm="907">
        <f ca="1"/>
        <v>239.11</v>
      </c>
      <c r="D305" vm="908">
        <f ca="1"/>
        <v>10120588</v>
      </c>
      <c r="E305">
        <f t="shared" ca="1" si="84"/>
        <v>2419933796.6800003</v>
      </c>
      <c r="F305">
        <f ca="1">SUM($E$2:E305)/SUM($D$2:D305)</f>
        <v>213.5695023451957</v>
      </c>
      <c r="G305">
        <f ca="1">_xlfn.STDEV.P($C$2:C305)</f>
        <v>28.028551068431526</v>
      </c>
      <c r="H305">
        <f t="shared" ca="1" si="85"/>
        <v>241.59805341362721</v>
      </c>
      <c r="I305">
        <f t="shared" ca="1" si="86"/>
        <v>185.54095127676419</v>
      </c>
      <c r="J305">
        <f t="shared" ca="1" si="95"/>
        <v>246.91949999999997</v>
      </c>
      <c r="K305">
        <f t="shared" ca="1" si="96"/>
        <v>14.15224753398406</v>
      </c>
      <c r="L305">
        <f t="shared" ca="1" si="97"/>
        <v>275.22399506796808</v>
      </c>
      <c r="M305">
        <f t="shared" ca="1" si="98"/>
        <v>218.61500493203187</v>
      </c>
      <c r="N305">
        <f t="shared" ca="1" si="87"/>
        <v>4.1400000000000148</v>
      </c>
      <c r="O305">
        <f t="shared" ca="1" si="88"/>
        <v>4.1400000000000148</v>
      </c>
      <c r="P305">
        <f t="shared" ca="1" si="89"/>
        <v>0</v>
      </c>
      <c r="Q305">
        <f t="shared" ca="1" si="93"/>
        <v>1.4505529466836435</v>
      </c>
      <c r="R305">
        <f t="shared" ca="1" si="94"/>
        <v>2.1075077231735038</v>
      </c>
      <c r="S305">
        <f t="shared" ca="1" si="91"/>
        <v>0.68827882846350286</v>
      </c>
      <c r="T305">
        <f t="shared" ca="1" si="92"/>
        <v>40.768077929988806</v>
      </c>
      <c r="U305">
        <f>70</f>
        <v>70</v>
      </c>
      <c r="V305">
        <f>30</f>
        <v>30</v>
      </c>
      <c r="W305">
        <f t="shared" ca="1" si="90"/>
        <v>239.09911865449271</v>
      </c>
      <c r="X305">
        <f t="shared" ca="1" si="100"/>
        <v>247.30505582359558</v>
      </c>
      <c r="Y305">
        <f t="shared" ca="1" si="99"/>
        <v>-7.6051991518069428</v>
      </c>
      <c r="Z305">
        <f t="shared" ca="1" si="101"/>
        <v>-7.2500160510520129</v>
      </c>
      <c r="AA305">
        <f t="shared" ca="1" si="102"/>
        <v>-0.35518310075492998</v>
      </c>
      <c r="AB305">
        <f t="shared" ca="1" si="103"/>
        <v>247.70500000000007</v>
      </c>
    </row>
    <row r="306" spans="1:28" x14ac:dyDescent="0.25">
      <c r="A306" s="20">
        <f t="shared" ca="1" si="83"/>
        <v>45733</v>
      </c>
      <c r="B306" vm="909">
        <f ca="1"/>
        <v>45736</v>
      </c>
      <c r="C306" vm="910">
        <f ca="1"/>
        <v>239.01</v>
      </c>
      <c r="D306" vm="911">
        <f ca="1"/>
        <v>8328513</v>
      </c>
      <c r="E306">
        <f t="shared" ca="1" si="84"/>
        <v>1990597892.1299999</v>
      </c>
      <c r="F306">
        <f ca="1">SUM($E$2:E306)/SUM($D$2:D306)</f>
        <v>213.64462957411456</v>
      </c>
      <c r="G306">
        <f ca="1">_xlfn.STDEV.P($C$2:C306)</f>
        <v>28.019218660723325</v>
      </c>
      <c r="H306">
        <f t="shared" ca="1" si="85"/>
        <v>241.66384823483787</v>
      </c>
      <c r="I306">
        <f t="shared" ca="1" si="86"/>
        <v>185.62541091339125</v>
      </c>
      <c r="J306">
        <f t="shared" ca="1" si="95"/>
        <v>245.53000000000003</v>
      </c>
      <c r="K306">
        <f t="shared" ca="1" si="96"/>
        <v>13.44412961305534</v>
      </c>
      <c r="L306">
        <f t="shared" ca="1" si="97"/>
        <v>272.41825922611071</v>
      </c>
      <c r="M306">
        <f t="shared" ca="1" si="98"/>
        <v>218.64174077388935</v>
      </c>
      <c r="N306">
        <f t="shared" ca="1" si="87"/>
        <v>-0.10000000000002274</v>
      </c>
      <c r="O306">
        <f t="shared" ca="1" si="88"/>
        <v>0</v>
      </c>
      <c r="P306">
        <f t="shared" ca="1" si="89"/>
        <v>0.10000000000002274</v>
      </c>
      <c r="Q306">
        <f t="shared" ca="1" si="93"/>
        <v>1.3469420219205261</v>
      </c>
      <c r="R306">
        <f t="shared" ca="1" si="94"/>
        <v>1.9641143143753979</v>
      </c>
      <c r="S306">
        <f t="shared" ca="1" si="91"/>
        <v>0.68577577794847611</v>
      </c>
      <c r="T306">
        <f t="shared" ca="1" si="92"/>
        <v>40.68012999825153</v>
      </c>
      <c r="U306">
        <f>70</f>
        <v>70</v>
      </c>
      <c r="V306">
        <f>30</f>
        <v>30</v>
      </c>
      <c r="W306">
        <f t="shared" ca="1" si="90"/>
        <v>239.08540809226304</v>
      </c>
      <c r="X306">
        <f t="shared" ca="1" si="100"/>
        <v>246.69060724406998</v>
      </c>
      <c r="Y306">
        <f t="shared" ca="1" si="99"/>
        <v>-6.8388636778365708</v>
      </c>
      <c r="Z306">
        <f t="shared" ca="1" si="101"/>
        <v>-7.1677855764089244</v>
      </c>
      <c r="AA306">
        <f t="shared" ca="1" si="102"/>
        <v>0.32892189857235365</v>
      </c>
      <c r="AB306">
        <f t="shared" ca="1" si="103"/>
        <v>247.86100000000002</v>
      </c>
    </row>
    <row r="307" spans="1:28" x14ac:dyDescent="0.25">
      <c r="A307" s="20">
        <f t="shared" ca="1" si="83"/>
        <v>45733</v>
      </c>
      <c r="B307" vm="912">
        <f ca="1"/>
        <v>45737</v>
      </c>
      <c r="C307" vm="913">
        <f ca="1"/>
        <v>241.63</v>
      </c>
      <c r="D307" vm="914">
        <f ca="1"/>
        <v>19326865</v>
      </c>
      <c r="E307">
        <f t="shared" ca="1" si="84"/>
        <v>4669950389.9499998</v>
      </c>
      <c r="F307">
        <f ca="1">SUM($E$2:E307)/SUM($D$2:D307)</f>
        <v>213.83510142687041</v>
      </c>
      <c r="G307">
        <f ca="1">_xlfn.STDEV.P($C$2:C307)</f>
        <v>28.017714540988194</v>
      </c>
      <c r="H307">
        <f t="shared" ca="1" si="85"/>
        <v>241.85281596785859</v>
      </c>
      <c r="I307">
        <f t="shared" ca="1" si="86"/>
        <v>185.81738688588223</v>
      </c>
      <c r="J307">
        <f t="shared" ca="1" si="95"/>
        <v>244.39949999999999</v>
      </c>
      <c r="K307">
        <f t="shared" ca="1" si="96"/>
        <v>12.719096903972055</v>
      </c>
      <c r="L307">
        <f t="shared" ca="1" si="97"/>
        <v>269.83769380794411</v>
      </c>
      <c r="M307">
        <f t="shared" ca="1" si="98"/>
        <v>218.96130619205587</v>
      </c>
      <c r="N307">
        <f t="shared" ca="1" si="87"/>
        <v>2.6200000000000045</v>
      </c>
      <c r="O307">
        <f t="shared" ca="1" si="88"/>
        <v>2.6200000000000045</v>
      </c>
      <c r="P307">
        <f t="shared" ca="1" si="89"/>
        <v>0</v>
      </c>
      <c r="Q307">
        <f t="shared" ca="1" si="93"/>
        <v>1.437874734640489</v>
      </c>
      <c r="R307">
        <f t="shared" ca="1" si="94"/>
        <v>1.8238204347771549</v>
      </c>
      <c r="S307">
        <f t="shared" ca="1" si="91"/>
        <v>0.78838613013795789</v>
      </c>
      <c r="T307">
        <f t="shared" ca="1" si="92"/>
        <v>44.083663860507627</v>
      </c>
      <c r="U307">
        <f>70</f>
        <v>70</v>
      </c>
      <c r="V307">
        <f>30</f>
        <v>30</v>
      </c>
      <c r="W307">
        <f t="shared" ca="1" si="90"/>
        <v>239.47688377037639</v>
      </c>
      <c r="X307">
        <f t="shared" ca="1" si="100"/>
        <v>246.31574744821296</v>
      </c>
      <c r="Y307">
        <f t="shared" ca="1" si="99"/>
        <v>-5.6475881506194412</v>
      </c>
      <c r="Z307">
        <f t="shared" ca="1" si="101"/>
        <v>-6.863746091251028</v>
      </c>
      <c r="AA307">
        <f t="shared" ca="1" si="102"/>
        <v>1.2161579406315868</v>
      </c>
      <c r="AB307">
        <f t="shared" ca="1" si="103"/>
        <v>248.02750000000003</v>
      </c>
    </row>
    <row r="308" spans="1:28" x14ac:dyDescent="0.25">
      <c r="A308" s="20">
        <f t="shared" ca="1" si="83"/>
        <v>45740</v>
      </c>
      <c r="B308" vm="915">
        <f ca="1"/>
        <v>45740</v>
      </c>
      <c r="C308" vm="916">
        <f ca="1"/>
        <v>248.06</v>
      </c>
      <c r="D308" vm="917">
        <f ca="1"/>
        <v>9422650</v>
      </c>
      <c r="E308">
        <f t="shared" ca="1" si="84"/>
        <v>2337382559</v>
      </c>
      <c r="F308">
        <f ca="1">SUM($E$2:E308)/SUM($D$2:D308)</f>
        <v>213.94829319485368</v>
      </c>
      <c r="G308">
        <f ca="1">_xlfn.STDEV.P($C$2:C308)</f>
        <v>28.038818381724958</v>
      </c>
      <c r="H308">
        <f t="shared" ca="1" si="85"/>
        <v>241.98711157657863</v>
      </c>
      <c r="I308">
        <f t="shared" ca="1" si="86"/>
        <v>185.90947481312872</v>
      </c>
      <c r="J308">
        <f t="shared" ca="1" si="95"/>
        <v>243.7355</v>
      </c>
      <c r="K308">
        <f t="shared" ca="1" si="96"/>
        <v>12.120738849721906</v>
      </c>
      <c r="L308">
        <f t="shared" ca="1" si="97"/>
        <v>267.97697769944381</v>
      </c>
      <c r="M308">
        <f t="shared" ca="1" si="98"/>
        <v>219.4940223005562</v>
      </c>
      <c r="N308">
        <f t="shared" ca="1" si="87"/>
        <v>6.4300000000000068</v>
      </c>
      <c r="O308">
        <f t="shared" ca="1" si="88"/>
        <v>6.4300000000000068</v>
      </c>
      <c r="P308">
        <f t="shared" ca="1" si="89"/>
        <v>0</v>
      </c>
      <c r="Q308">
        <f t="shared" ca="1" si="93"/>
        <v>1.7944551107375974</v>
      </c>
      <c r="R308">
        <f t="shared" ca="1" si="94"/>
        <v>1.6935475465787866</v>
      </c>
      <c r="S308">
        <f t="shared" ca="1" si="91"/>
        <v>1.0595835436463883</v>
      </c>
      <c r="T308">
        <f t="shared" ca="1" si="92"/>
        <v>51.446494943849146</v>
      </c>
      <c r="U308">
        <f>70</f>
        <v>70</v>
      </c>
      <c r="V308">
        <f>30</f>
        <v>30</v>
      </c>
      <c r="W308">
        <f t="shared" ca="1" si="90"/>
        <v>240.79736319031849</v>
      </c>
      <c r="X308">
        <f t="shared" ca="1" si="100"/>
        <v>246.44495134093793</v>
      </c>
      <c r="Y308">
        <f t="shared" ca="1" si="99"/>
        <v>-4.4049923597727627</v>
      </c>
      <c r="Z308">
        <f t="shared" ca="1" si="101"/>
        <v>-6.3719953449553755</v>
      </c>
      <c r="AA308">
        <f t="shared" ca="1" si="102"/>
        <v>1.9670029851826127</v>
      </c>
      <c r="AB308">
        <f t="shared" ca="1" si="103"/>
        <v>248.28500000000003</v>
      </c>
    </row>
    <row r="309" spans="1:28" x14ac:dyDescent="0.25">
      <c r="A309" s="20">
        <f t="shared" ca="1" si="83"/>
        <v>45740</v>
      </c>
      <c r="B309" vm="918">
        <f ca="1"/>
        <v>45741</v>
      </c>
      <c r="C309" vm="919">
        <f ca="1"/>
        <v>251.13</v>
      </c>
      <c r="D309" vm="920">
        <f ca="1"/>
        <v>9287694</v>
      </c>
      <c r="E309">
        <f t="shared" ca="1" si="84"/>
        <v>2332418594.2199998</v>
      </c>
      <c r="F309">
        <f ca="1">SUM($E$2:E309)/SUM($D$2:D309)</f>
        <v>214.06910889350354</v>
      </c>
      <c r="G309">
        <f ca="1">_xlfn.STDEV.P($C$2:C309)</f>
        <v>28.071857092627582</v>
      </c>
      <c r="H309">
        <f t="shared" ca="1" si="85"/>
        <v>242.14096598613111</v>
      </c>
      <c r="I309">
        <f t="shared" ca="1" si="86"/>
        <v>185.99725180087597</v>
      </c>
      <c r="J309">
        <f t="shared" ca="1" si="95"/>
        <v>243.42200000000003</v>
      </c>
      <c r="K309">
        <f t="shared" ca="1" si="96"/>
        <v>11.826216016256335</v>
      </c>
      <c r="L309">
        <f t="shared" ca="1" si="97"/>
        <v>267.07443203251268</v>
      </c>
      <c r="M309">
        <f t="shared" ca="1" si="98"/>
        <v>219.76956796748735</v>
      </c>
      <c r="N309">
        <f t="shared" ca="1" si="87"/>
        <v>3.0699999999999932</v>
      </c>
      <c r="O309">
        <f t="shared" ca="1" si="88"/>
        <v>3.0699999999999932</v>
      </c>
      <c r="P309">
        <f t="shared" ca="1" si="89"/>
        <v>0</v>
      </c>
      <c r="Q309">
        <f t="shared" ca="1" si="93"/>
        <v>1.8855654599706255</v>
      </c>
      <c r="R309">
        <f t="shared" ca="1" si="94"/>
        <v>1.5725798646803018</v>
      </c>
      <c r="S309">
        <f t="shared" ca="1" si="91"/>
        <v>1.1990268362961345</v>
      </c>
      <c r="T309">
        <f t="shared" ca="1" si="92"/>
        <v>54.525338959286181</v>
      </c>
      <c r="U309">
        <f>70</f>
        <v>70</v>
      </c>
      <c r="V309">
        <f>30</f>
        <v>30</v>
      </c>
      <c r="W309">
        <f t="shared" ca="1" si="90"/>
        <v>242.38699962257718</v>
      </c>
      <c r="X309">
        <f t="shared" ca="1" si="100"/>
        <v>246.79199198234994</v>
      </c>
      <c r="Y309">
        <f t="shared" ca="1" si="99"/>
        <v>-3.3892265138413507</v>
      </c>
      <c r="Z309">
        <f t="shared" ca="1" si="101"/>
        <v>-5.775441578732571</v>
      </c>
      <c r="AA309">
        <f t="shared" ca="1" si="102"/>
        <v>2.3862150648912204</v>
      </c>
      <c r="AB309">
        <f t="shared" ca="1" si="103"/>
        <v>248.54130000000004</v>
      </c>
    </row>
    <row r="310" spans="1:28" x14ac:dyDescent="0.25">
      <c r="A310" s="20">
        <f t="shared" ca="1" si="83"/>
        <v>45740</v>
      </c>
      <c r="B310" vm="921">
        <f ca="1"/>
        <v>45742</v>
      </c>
      <c r="C310" vm="922">
        <f ca="1"/>
        <v>251.03</v>
      </c>
      <c r="D310" vm="923">
        <f ca="1"/>
        <v>12785225</v>
      </c>
      <c r="E310">
        <f t="shared" ca="1" si="84"/>
        <v>3209475031.75</v>
      </c>
      <c r="F310">
        <f ca="1">SUM($E$2:E310)/SUM($D$2:D310)</f>
        <v>214.2336970989287</v>
      </c>
      <c r="G310">
        <f ca="1">_xlfn.STDEV.P($C$2:C310)</f>
        <v>28.103716161751976</v>
      </c>
      <c r="H310">
        <f t="shared" ca="1" si="85"/>
        <v>242.33741326068068</v>
      </c>
      <c r="I310">
        <f t="shared" ca="1" si="86"/>
        <v>186.12998093717673</v>
      </c>
      <c r="J310">
        <f t="shared" ca="1" si="95"/>
        <v>243.03400000000002</v>
      </c>
      <c r="K310">
        <f t="shared" ca="1" si="96"/>
        <v>11.415648723987337</v>
      </c>
      <c r="L310">
        <f t="shared" ca="1" si="97"/>
        <v>265.86529744797468</v>
      </c>
      <c r="M310">
        <f t="shared" ca="1" si="98"/>
        <v>220.20270255202536</v>
      </c>
      <c r="N310">
        <f t="shared" ca="1" si="87"/>
        <v>-9.9999999999994316E-2</v>
      </c>
      <c r="O310">
        <f t="shared" ca="1" si="88"/>
        <v>0</v>
      </c>
      <c r="P310">
        <f t="shared" ca="1" si="89"/>
        <v>9.9999999999994316E-2</v>
      </c>
      <c r="Q310">
        <f t="shared" ca="1" si="93"/>
        <v>1.7508822128298664</v>
      </c>
      <c r="R310">
        <f t="shared" ca="1" si="94"/>
        <v>1.4673955886317083</v>
      </c>
      <c r="S310">
        <f t="shared" ca="1" si="91"/>
        <v>1.1931903205886689</v>
      </c>
      <c r="T310">
        <f t="shared" ca="1" si="92"/>
        <v>54.404321840541755</v>
      </c>
      <c r="U310">
        <f>70</f>
        <v>70</v>
      </c>
      <c r="V310">
        <f>30</f>
        <v>30</v>
      </c>
      <c r="W310">
        <f t="shared" ca="1" si="90"/>
        <v>243.71669198833453</v>
      </c>
      <c r="X310">
        <f t="shared" ca="1" si="100"/>
        <v>247.10591850217588</v>
      </c>
      <c r="Y310">
        <f t="shared" ca="1" si="99"/>
        <v>-2.7869116600336383</v>
      </c>
      <c r="Z310">
        <f t="shared" ca="1" si="101"/>
        <v>-5.1777355949927841</v>
      </c>
      <c r="AA310">
        <f t="shared" ca="1" si="102"/>
        <v>2.3908239349591458</v>
      </c>
      <c r="AB310">
        <f t="shared" ca="1" si="103"/>
        <v>248.82260000000002</v>
      </c>
    </row>
    <row r="311" spans="1:28" x14ac:dyDescent="0.25">
      <c r="A311" s="20">
        <f t="shared" ca="1" si="83"/>
        <v>45740</v>
      </c>
      <c r="B311" vm="924">
        <f ca="1"/>
        <v>45743</v>
      </c>
      <c r="C311" vm="925">
        <f ca="1"/>
        <v>248.12</v>
      </c>
      <c r="D311" vm="926">
        <f ca="1"/>
        <v>8022517</v>
      </c>
      <c r="E311">
        <f t="shared" ca="1" si="84"/>
        <v>1990546918.04</v>
      </c>
      <c r="F311">
        <f ca="1">SUM($E$2:E311)/SUM($D$2:D311)</f>
        <v>214.32811860418599</v>
      </c>
      <c r="G311">
        <f ca="1">_xlfn.STDEV.P($C$2:C311)</f>
        <v>28.123160329039042</v>
      </c>
      <c r="H311">
        <f t="shared" ca="1" si="85"/>
        <v>242.45127893322504</v>
      </c>
      <c r="I311">
        <f t="shared" ca="1" si="86"/>
        <v>186.20495827514694</v>
      </c>
      <c r="J311">
        <f t="shared" ca="1" si="95"/>
        <v>242.48750000000001</v>
      </c>
      <c r="K311">
        <f t="shared" ca="1" si="96"/>
        <v>10.856493509222462</v>
      </c>
      <c r="L311">
        <f t="shared" ca="1" si="97"/>
        <v>264.20048701844496</v>
      </c>
      <c r="M311">
        <f t="shared" ca="1" si="98"/>
        <v>220.77451298155509</v>
      </c>
      <c r="N311">
        <f t="shared" ca="1" si="87"/>
        <v>-2.9099999999999966</v>
      </c>
      <c r="O311">
        <f t="shared" ca="1" si="88"/>
        <v>0</v>
      </c>
      <c r="P311">
        <f t="shared" ca="1" si="89"/>
        <v>2.9099999999999966</v>
      </c>
      <c r="Q311">
        <f t="shared" ca="1" si="93"/>
        <v>1.625819197627733</v>
      </c>
      <c r="R311">
        <f t="shared" ca="1" si="94"/>
        <v>1.5704387608723003</v>
      </c>
      <c r="S311">
        <f t="shared" ca="1" si="91"/>
        <v>1.0352643083800808</v>
      </c>
      <c r="T311">
        <f t="shared" ca="1" si="92"/>
        <v>50.866332402992626</v>
      </c>
      <c r="U311">
        <f>70</f>
        <v>70</v>
      </c>
      <c r="V311">
        <f>30</f>
        <v>30</v>
      </c>
      <c r="W311">
        <f t="shared" ca="1" si="90"/>
        <v>244.39412399012923</v>
      </c>
      <c r="X311">
        <f t="shared" ca="1" si="100"/>
        <v>247.18103565016287</v>
      </c>
      <c r="Y311">
        <f t="shared" ca="1" si="99"/>
        <v>-2.7036517414089758</v>
      </c>
      <c r="Z311">
        <f t="shared" ca="1" si="101"/>
        <v>-4.6829188242760225</v>
      </c>
      <c r="AA311">
        <f t="shared" ca="1" si="102"/>
        <v>1.9792670828670467</v>
      </c>
      <c r="AB311">
        <f t="shared" ca="1" si="103"/>
        <v>249.05970000000002</v>
      </c>
    </row>
    <row r="312" spans="1:28" x14ac:dyDescent="0.25">
      <c r="A312" s="20">
        <f t="shared" ca="1" si="83"/>
        <v>45740</v>
      </c>
      <c r="B312" vm="927">
        <f ca="1"/>
        <v>45744</v>
      </c>
      <c r="C312" vm="928">
        <f ca="1"/>
        <v>242.85</v>
      </c>
      <c r="D312" vm="929">
        <f ca="1"/>
        <v>11978417</v>
      </c>
      <c r="E312">
        <f t="shared" ca="1" si="84"/>
        <v>2908958568.4499998</v>
      </c>
      <c r="F312">
        <f ca="1">SUM($E$2:E312)/SUM($D$2:D312)</f>
        <v>214.4462895169851</v>
      </c>
      <c r="G312">
        <f ca="1">_xlfn.STDEV.P($C$2:C312)</f>
        <v>28.123494706936288</v>
      </c>
      <c r="H312">
        <f t="shared" ca="1" si="85"/>
        <v>242.5697842239214</v>
      </c>
      <c r="I312">
        <f t="shared" ca="1" si="86"/>
        <v>186.3227948100488</v>
      </c>
      <c r="J312">
        <f t="shared" ca="1" si="95"/>
        <v>241.39750000000004</v>
      </c>
      <c r="K312">
        <f t="shared" ca="1" si="96"/>
        <v>9.5272423110064537</v>
      </c>
      <c r="L312">
        <f t="shared" ca="1" si="97"/>
        <v>260.45198462201296</v>
      </c>
      <c r="M312">
        <f t="shared" ca="1" si="98"/>
        <v>222.34301537798711</v>
      </c>
      <c r="N312">
        <f t="shared" ca="1" si="87"/>
        <v>-5.2700000000000102</v>
      </c>
      <c r="O312">
        <f t="shared" ca="1" si="88"/>
        <v>0</v>
      </c>
      <c r="P312">
        <f t="shared" ca="1" si="89"/>
        <v>5.2700000000000102</v>
      </c>
      <c r="Q312">
        <f t="shared" ca="1" si="93"/>
        <v>1.5096892549400376</v>
      </c>
      <c r="R312">
        <f t="shared" ca="1" si="94"/>
        <v>1.8346931350957081</v>
      </c>
      <c r="S312">
        <f t="shared" ca="1" si="91"/>
        <v>0.82285654535971409</v>
      </c>
      <c r="T312">
        <f t="shared" ca="1" si="92"/>
        <v>45.141047849014107</v>
      </c>
      <c r="U312">
        <f>70</f>
        <v>70</v>
      </c>
      <c r="V312">
        <f>30</f>
        <v>30</v>
      </c>
      <c r="W312">
        <f t="shared" ca="1" si="90"/>
        <v>244.15656645318626</v>
      </c>
      <c r="X312">
        <f t="shared" ca="1" si="100"/>
        <v>246.86021819459523</v>
      </c>
      <c r="Y312">
        <f t="shared" ca="1" si="99"/>
        <v>-2.412167169934861</v>
      </c>
      <c r="Z312">
        <f t="shared" ca="1" si="101"/>
        <v>-4.2287684934077907</v>
      </c>
      <c r="AA312">
        <f t="shared" ca="1" si="102"/>
        <v>1.8166013234729297</v>
      </c>
      <c r="AB312">
        <f t="shared" ca="1" si="103"/>
        <v>249.26899999999998</v>
      </c>
    </row>
    <row r="313" spans="1:28" x14ac:dyDescent="0.25">
      <c r="A313" s="20">
        <f t="shared" ca="1" si="83"/>
        <v>45747</v>
      </c>
      <c r="B313" vm="930">
        <f ca="1"/>
        <v>45747</v>
      </c>
      <c r="C313" vm="931">
        <f ca="1"/>
        <v>245.3</v>
      </c>
      <c r="D313" vm="932">
        <f ca="1"/>
        <v>13602996</v>
      </c>
      <c r="E313">
        <f t="shared" ca="1" si="84"/>
        <v>3336814918.8000002</v>
      </c>
      <c r="F313">
        <f ca="1">SUM($E$2:E313)/SUM($D$2:D313)</f>
        <v>214.59077904162672</v>
      </c>
      <c r="G313">
        <f ca="1">_xlfn.STDEV.P($C$2:C313)</f>
        <v>28.131719195458555</v>
      </c>
      <c r="H313">
        <f t="shared" ca="1" si="85"/>
        <v>242.72249823708526</v>
      </c>
      <c r="I313">
        <f t="shared" ca="1" si="86"/>
        <v>186.45905984616817</v>
      </c>
      <c r="J313">
        <f t="shared" ca="1" si="95"/>
        <v>240.63150000000005</v>
      </c>
      <c r="K313">
        <f t="shared" ca="1" si="96"/>
        <v>8.4560425452049266</v>
      </c>
      <c r="L313">
        <f t="shared" ca="1" si="97"/>
        <v>257.54358509040992</v>
      </c>
      <c r="M313">
        <f t="shared" ca="1" si="98"/>
        <v>223.7194149095902</v>
      </c>
      <c r="N313">
        <f t="shared" ca="1" si="87"/>
        <v>2.4500000000000171</v>
      </c>
      <c r="O313">
        <f t="shared" ca="1" si="88"/>
        <v>2.4500000000000171</v>
      </c>
      <c r="P313">
        <f t="shared" ca="1" si="89"/>
        <v>0</v>
      </c>
      <c r="Q313">
        <f t="shared" ca="1" si="93"/>
        <v>1.5768543081586075</v>
      </c>
      <c r="R313">
        <f t="shared" ca="1" si="94"/>
        <v>1.7036436254460146</v>
      </c>
      <c r="S313">
        <f t="shared" ca="1" si="91"/>
        <v>0.92557755894856619</v>
      </c>
      <c r="T313">
        <f t="shared" ca="1" si="92"/>
        <v>48.067529383441943</v>
      </c>
      <c r="U313">
        <f>70</f>
        <v>70</v>
      </c>
      <c r="V313">
        <f>30</f>
        <v>30</v>
      </c>
      <c r="W313">
        <f t="shared" ca="1" si="90"/>
        <v>244.33247930654221</v>
      </c>
      <c r="X313">
        <f t="shared" ca="1" si="100"/>
        <v>246.74464647647707</v>
      </c>
      <c r="Y313">
        <f t="shared" ca="1" si="99"/>
        <v>-2.2871331931966097</v>
      </c>
      <c r="Z313">
        <f t="shared" ca="1" si="101"/>
        <v>-3.8404414333655543</v>
      </c>
      <c r="AA313">
        <f t="shared" ca="1" si="102"/>
        <v>1.5533082401689446</v>
      </c>
      <c r="AB313">
        <f t="shared" ca="1" si="103"/>
        <v>249.49259999999998</v>
      </c>
    </row>
    <row r="314" spans="1:28" x14ac:dyDescent="0.25">
      <c r="A314" s="20">
        <f t="shared" ca="1" si="83"/>
        <v>45747</v>
      </c>
      <c r="B314" vm="933">
        <f ca="1"/>
        <v>45748</v>
      </c>
      <c r="C314" vm="934">
        <f ca="1"/>
        <v>243.66</v>
      </c>
      <c r="D314" vm="935">
        <f ca="1"/>
        <v>8054683</v>
      </c>
      <c r="E314">
        <f t="shared" ca="1" si="84"/>
        <v>1962604059.78</v>
      </c>
      <c r="F314">
        <f ca="1">SUM($E$2:E314)/SUM($D$2:D314)</f>
        <v>214.67116378423412</v>
      </c>
      <c r="G314">
        <f ca="1">_xlfn.STDEV.P($C$2:C314)</f>
        <v>28.134033961370136</v>
      </c>
      <c r="H314">
        <f t="shared" ca="1" si="85"/>
        <v>242.80519774560426</v>
      </c>
      <c r="I314">
        <f t="shared" ca="1" si="86"/>
        <v>186.53712982286399</v>
      </c>
      <c r="J314">
        <f t="shared" ca="1" si="95"/>
        <v>240.30200000000005</v>
      </c>
      <c r="K314">
        <f t="shared" ca="1" si="96"/>
        <v>8.1855884912062624</v>
      </c>
      <c r="L314">
        <f t="shared" ca="1" si="97"/>
        <v>256.6731769824126</v>
      </c>
      <c r="M314">
        <f t="shared" ca="1" si="98"/>
        <v>223.93082301758753</v>
      </c>
      <c r="N314">
        <f t="shared" ca="1" si="87"/>
        <v>-1.6400000000000148</v>
      </c>
      <c r="O314">
        <f t="shared" ca="1" si="88"/>
        <v>0</v>
      </c>
      <c r="P314">
        <f t="shared" ca="1" si="89"/>
        <v>1.6400000000000148</v>
      </c>
      <c r="Q314">
        <f t="shared" ca="1" si="93"/>
        <v>1.4642218575758499</v>
      </c>
      <c r="R314">
        <f t="shared" ca="1" si="94"/>
        <v>1.6990976521998715</v>
      </c>
      <c r="S314">
        <f t="shared" ca="1" si="91"/>
        <v>0.86176439340027278</v>
      </c>
      <c r="T314">
        <f t="shared" ca="1" si="92"/>
        <v>46.287510732030448</v>
      </c>
      <c r="U314">
        <f>70</f>
        <v>70</v>
      </c>
      <c r="V314">
        <f>30</f>
        <v>30</v>
      </c>
      <c r="W314">
        <f t="shared" ca="1" si="90"/>
        <v>244.22902095168956</v>
      </c>
      <c r="X314">
        <f t="shared" ca="1" si="100"/>
        <v>246.51615414488617</v>
      </c>
      <c r="Y314">
        <f t="shared" ca="1" si="99"/>
        <v>-1.9908002120689332</v>
      </c>
      <c r="Z314">
        <f t="shared" ca="1" si="101"/>
        <v>-3.4705131891062302</v>
      </c>
      <c r="AA314">
        <f t="shared" ca="1" si="102"/>
        <v>1.479712977037297</v>
      </c>
      <c r="AB314">
        <f t="shared" ca="1" si="103"/>
        <v>249.73140000000001</v>
      </c>
    </row>
    <row r="315" spans="1:28" x14ac:dyDescent="0.25">
      <c r="A315" s="20">
        <f t="shared" ca="1" si="83"/>
        <v>45747</v>
      </c>
      <c r="B315" vm="936">
        <f ca="1"/>
        <v>45749</v>
      </c>
      <c r="C315" vm="937">
        <f ca="1"/>
        <v>245.82</v>
      </c>
      <c r="D315" vm="938">
        <f ca="1"/>
        <v>7758750</v>
      </c>
      <c r="E315">
        <f t="shared" ca="1" si="84"/>
        <v>1907255925</v>
      </c>
      <c r="F315">
        <f ca="1">SUM($E$2:E315)/SUM($D$2:D315)</f>
        <v>214.75391417923245</v>
      </c>
      <c r="G315">
        <f ca="1">_xlfn.STDEV.P($C$2:C315)</f>
        <v>28.143315234602369</v>
      </c>
      <c r="H315">
        <f t="shared" ca="1" si="85"/>
        <v>242.89722941383482</v>
      </c>
      <c r="I315">
        <f t="shared" ca="1" si="86"/>
        <v>186.61059894463008</v>
      </c>
      <c r="J315">
        <f t="shared" ca="1" si="95"/>
        <v>240.01650000000001</v>
      </c>
      <c r="K315">
        <f t="shared" ca="1" si="96"/>
        <v>7.8667302610423855</v>
      </c>
      <c r="L315">
        <f t="shared" ca="1" si="97"/>
        <v>255.74996052208479</v>
      </c>
      <c r="M315">
        <f t="shared" ca="1" si="98"/>
        <v>224.28303947791522</v>
      </c>
      <c r="N315">
        <f t="shared" ca="1" si="87"/>
        <v>2.1599999999999966</v>
      </c>
      <c r="O315">
        <f t="shared" ca="1" si="88"/>
        <v>2.1599999999999966</v>
      </c>
      <c r="P315">
        <f t="shared" ca="1" si="89"/>
        <v>0</v>
      </c>
      <c r="Q315">
        <f t="shared" ca="1" si="93"/>
        <v>1.5139202963204319</v>
      </c>
      <c r="R315">
        <f t="shared" ca="1" si="94"/>
        <v>1.5777335341855951</v>
      </c>
      <c r="S315">
        <f t="shared" ca="1" si="91"/>
        <v>0.95955385590628095</v>
      </c>
      <c r="T315">
        <f t="shared" ca="1" si="92"/>
        <v>48.967975695799062</v>
      </c>
      <c r="U315">
        <f>70</f>
        <v>70</v>
      </c>
      <c r="V315">
        <f>30</f>
        <v>30</v>
      </c>
      <c r="W315">
        <f t="shared" ca="1" si="90"/>
        <v>244.47378695912195</v>
      </c>
      <c r="X315">
        <f t="shared" ca="1" si="100"/>
        <v>246.46458717119089</v>
      </c>
      <c r="Y315">
        <f t="shared" ca="1" si="99"/>
        <v>-3.1024390421020485</v>
      </c>
      <c r="Z315">
        <f t="shared" ca="1" si="101"/>
        <v>-3.3968983597053937</v>
      </c>
      <c r="AA315">
        <f t="shared" ca="1" si="102"/>
        <v>0.29445931760334521</v>
      </c>
      <c r="AB315">
        <f t="shared" ca="1" si="103"/>
        <v>249.97469999999998</v>
      </c>
    </row>
    <row r="316" spans="1:28" x14ac:dyDescent="0.25">
      <c r="A316" s="20">
        <f t="shared" ca="1" si="83"/>
        <v>45747</v>
      </c>
      <c r="B316" vm="939">
        <f ca="1"/>
        <v>45750</v>
      </c>
      <c r="C316" vm="940">
        <f ca="1"/>
        <v>228.69</v>
      </c>
      <c r="D316" vm="941">
        <f ca="1"/>
        <v>17188469</v>
      </c>
      <c r="E316">
        <f t="shared" ca="1" si="84"/>
        <v>3930830975.6100001</v>
      </c>
      <c r="F316">
        <f ca="1">SUM($E$2:E316)/SUM($D$2:D316)</f>
        <v>214.83545329699092</v>
      </c>
      <c r="G316">
        <f ca="1">_xlfn.STDEV.P($C$2:C316)</f>
        <v>28.10922494391863</v>
      </c>
      <c r="H316">
        <f t="shared" ca="1" si="85"/>
        <v>242.94467824090955</v>
      </c>
      <c r="I316">
        <f t="shared" ca="1" si="86"/>
        <v>186.72622835307229</v>
      </c>
      <c r="J316">
        <f t="shared" ca="1" si="95"/>
        <v>239.12400000000002</v>
      </c>
      <c r="K316">
        <f t="shared" ca="1" si="96"/>
        <v>8.0968671004349133</v>
      </c>
      <c r="L316">
        <f t="shared" ca="1" si="97"/>
        <v>255.31773420086984</v>
      </c>
      <c r="M316">
        <f t="shared" ca="1" si="98"/>
        <v>222.93026579913021</v>
      </c>
      <c r="N316">
        <f t="shared" ca="1" si="87"/>
        <v>-17.129999999999995</v>
      </c>
      <c r="O316">
        <f t="shared" ca="1" si="88"/>
        <v>0</v>
      </c>
      <c r="P316">
        <f t="shared" ca="1" si="89"/>
        <v>17.129999999999995</v>
      </c>
      <c r="Q316">
        <f t="shared" ca="1" si="93"/>
        <v>1.4057831322975438</v>
      </c>
      <c r="R316">
        <f t="shared" ca="1" si="94"/>
        <v>2.6886097103151951</v>
      </c>
      <c r="S316">
        <f t="shared" ca="1" si="91"/>
        <v>0.52286619619949926</v>
      </c>
      <c r="T316">
        <f t="shared" ca="1" si="92"/>
        <v>34.334349104627606</v>
      </c>
      <c r="U316">
        <f>70</f>
        <v>70</v>
      </c>
      <c r="V316">
        <f>30</f>
        <v>30</v>
      </c>
      <c r="W316">
        <f t="shared" ca="1" si="90"/>
        <v>242.04551204233397</v>
      </c>
      <c r="X316">
        <f t="shared" ca="1" si="100"/>
        <v>245.14795108443602</v>
      </c>
      <c r="Y316">
        <f t="shared" ca="1" si="99"/>
        <v>-5.4066297033291164</v>
      </c>
      <c r="Z316">
        <f t="shared" ca="1" si="101"/>
        <v>-3.798844628430138</v>
      </c>
      <c r="AA316">
        <f t="shared" ca="1" si="102"/>
        <v>-1.6077850748989784</v>
      </c>
      <c r="AB316">
        <f t="shared" ca="1" si="103"/>
        <v>249.791</v>
      </c>
    </row>
    <row r="317" spans="1:28" x14ac:dyDescent="0.25">
      <c r="A317" s="20">
        <f t="shared" ca="1" si="83"/>
        <v>45747</v>
      </c>
      <c r="B317" vm="942">
        <f ca="1"/>
        <v>45751</v>
      </c>
      <c r="C317" vm="413">
        <f ca="1"/>
        <v>210.28</v>
      </c>
      <c r="D317" vm="943">
        <f ca="1"/>
        <v>27170689</v>
      </c>
      <c r="E317">
        <f t="shared" ca="1" si="84"/>
        <v>5713452482.9200001</v>
      </c>
      <c r="F317">
        <f ca="1">SUM($E$2:E317)/SUM($D$2:D317)</f>
        <v>214.79370661350268</v>
      </c>
      <c r="G317">
        <f ca="1">_xlfn.STDEV.P($C$2:C317)</f>
        <v>28.06596573101768</v>
      </c>
      <c r="H317">
        <f t="shared" ca="1" si="85"/>
        <v>242.85967234452036</v>
      </c>
      <c r="I317">
        <f t="shared" ca="1" si="86"/>
        <v>186.72774088248499</v>
      </c>
      <c r="J317">
        <f t="shared" ca="1" si="95"/>
        <v>237.52399999999997</v>
      </c>
      <c r="K317">
        <f t="shared" ca="1" si="96"/>
        <v>10.301869733208628</v>
      </c>
      <c r="L317">
        <f t="shared" ca="1" si="97"/>
        <v>258.12773946641721</v>
      </c>
      <c r="M317">
        <f t="shared" ca="1" si="98"/>
        <v>216.92026053358271</v>
      </c>
      <c r="N317">
        <f t="shared" ca="1" si="87"/>
        <v>-18.409999999999997</v>
      </c>
      <c r="O317">
        <f t="shared" ca="1" si="88"/>
        <v>0</v>
      </c>
      <c r="P317">
        <f t="shared" ca="1" si="89"/>
        <v>18.409999999999997</v>
      </c>
      <c r="Q317">
        <f t="shared" ca="1" si="93"/>
        <v>1.3053700514191477</v>
      </c>
      <c r="R317">
        <f t="shared" ca="1" si="94"/>
        <v>3.811566159578395</v>
      </c>
      <c r="S317">
        <f t="shared" ca="1" si="91"/>
        <v>0.34247603131294918</v>
      </c>
      <c r="T317">
        <f t="shared" ca="1" si="92"/>
        <v>25.510774369506294</v>
      </c>
      <c r="U317">
        <f>70</f>
        <v>70</v>
      </c>
      <c r="V317">
        <f>30</f>
        <v>30</v>
      </c>
      <c r="W317">
        <f t="shared" ca="1" si="90"/>
        <v>237.1585101896672</v>
      </c>
      <c r="X317">
        <f t="shared" ca="1" si="100"/>
        <v>242.56513989299631</v>
      </c>
      <c r="Y317">
        <f t="shared" ca="1" si="99"/>
        <v>-6.8184414213465914</v>
      </c>
      <c r="Z317">
        <f t="shared" ca="1" si="101"/>
        <v>-4.4027639870134285</v>
      </c>
      <c r="AA317">
        <f t="shared" ca="1" si="102"/>
        <v>-2.4156774343331628</v>
      </c>
      <c r="AB317">
        <f t="shared" ca="1" si="103"/>
        <v>249.52999999999997</v>
      </c>
    </row>
    <row r="318" spans="1:28" x14ac:dyDescent="0.25">
      <c r="A318" s="20">
        <f t="shared" ca="1" si="83"/>
        <v>45754</v>
      </c>
      <c r="B318" vm="944">
        <f ca="1"/>
        <v>45754</v>
      </c>
      <c r="C318" vm="945">
        <f ca="1"/>
        <v>214.44</v>
      </c>
      <c r="D318" vm="946">
        <f ca="1"/>
        <v>22914370</v>
      </c>
      <c r="E318">
        <f t="shared" ca="1" si="84"/>
        <v>4913757502.8000002</v>
      </c>
      <c r="F318">
        <f ca="1">SUM($E$2:E318)/SUM($D$2:D318)</f>
        <v>214.79099394158888</v>
      </c>
      <c r="G318">
        <f ca="1">_xlfn.STDEV.P($C$2:C318)</f>
        <v>28.021679419219868</v>
      </c>
      <c r="H318">
        <f t="shared" ca="1" si="85"/>
        <v>242.81267336080876</v>
      </c>
      <c r="I318">
        <f t="shared" ca="1" si="86"/>
        <v>186.769314522369</v>
      </c>
      <c r="J318">
        <f t="shared" ca="1" si="95"/>
        <v>236.63499999999999</v>
      </c>
      <c r="K318">
        <f t="shared" ca="1" si="96"/>
        <v>11.483109105849431</v>
      </c>
      <c r="L318">
        <f t="shared" ca="1" si="97"/>
        <v>259.60121821169884</v>
      </c>
      <c r="M318">
        <f t="shared" ca="1" si="98"/>
        <v>213.66878178830112</v>
      </c>
      <c r="N318">
        <f t="shared" ca="1" si="87"/>
        <v>4.1599999999999966</v>
      </c>
      <c r="O318">
        <f t="shared" ca="1" si="88"/>
        <v>4.1599999999999966</v>
      </c>
      <c r="P318">
        <f t="shared" ca="1" si="89"/>
        <v>0</v>
      </c>
      <c r="Q318">
        <f t="shared" ca="1" si="93"/>
        <v>1.5092721906034943</v>
      </c>
      <c r="R318">
        <f t="shared" ca="1" si="94"/>
        <v>3.5393114338942238</v>
      </c>
      <c r="S318">
        <f t="shared" ca="1" si="91"/>
        <v>0.42643102162469959</v>
      </c>
      <c r="T318">
        <f t="shared" ca="1" si="92"/>
        <v>29.894962683789387</v>
      </c>
      <c r="U318">
        <f>70</f>
        <v>70</v>
      </c>
      <c r="V318">
        <f>30</f>
        <v>30</v>
      </c>
      <c r="W318">
        <f t="shared" ca="1" si="90"/>
        <v>233.66335477587222</v>
      </c>
      <c r="X318">
        <f t="shared" ca="1" si="100"/>
        <v>240.48179619721881</v>
      </c>
      <c r="Y318">
        <f t="shared" ca="1" si="99"/>
        <v>-7.65301252325375</v>
      </c>
      <c r="Z318">
        <f t="shared" ca="1" si="101"/>
        <v>-5.0528136942614932</v>
      </c>
      <c r="AA318">
        <f t="shared" ca="1" si="102"/>
        <v>-2.6001988289922568</v>
      </c>
      <c r="AB318">
        <f t="shared" ca="1" si="103"/>
        <v>249.30459999999997</v>
      </c>
    </row>
    <row r="319" spans="1:28" x14ac:dyDescent="0.25">
      <c r="A319" s="20">
        <f t="shared" ca="1" si="83"/>
        <v>45754</v>
      </c>
      <c r="B319" vm="947">
        <f ca="1"/>
        <v>45755</v>
      </c>
      <c r="C319" vm="404">
        <f ca="1"/>
        <v>216.87</v>
      </c>
      <c r="D319" vm="948">
        <f ca="1"/>
        <v>19485734</v>
      </c>
      <c r="E319">
        <f t="shared" ca="1" si="84"/>
        <v>4225871132.5799999</v>
      </c>
      <c r="F319">
        <f ca="1">SUM($E$2:E319)/SUM($D$2:D319)</f>
        <v>214.80446480825896</v>
      </c>
      <c r="G319">
        <f ca="1">_xlfn.STDEV.P($C$2:C319)</f>
        <v>27.977784653356391</v>
      </c>
      <c r="H319">
        <f t="shared" ca="1" si="85"/>
        <v>242.78224946161535</v>
      </c>
      <c r="I319">
        <f t="shared" ca="1" si="86"/>
        <v>186.82668015490256</v>
      </c>
      <c r="J319">
        <f t="shared" ca="1" si="95"/>
        <v>236.02149999999997</v>
      </c>
      <c r="K319">
        <f t="shared" ca="1" si="96"/>
        <v>12.209415381064256</v>
      </c>
      <c r="L319">
        <f t="shared" ca="1" si="97"/>
        <v>260.4403307621285</v>
      </c>
      <c r="M319">
        <f t="shared" ca="1" si="98"/>
        <v>211.60266923787145</v>
      </c>
      <c r="N319">
        <f t="shared" ca="1" si="87"/>
        <v>2.4300000000000068</v>
      </c>
      <c r="O319">
        <f t="shared" ca="1" si="88"/>
        <v>2.4300000000000068</v>
      </c>
      <c r="P319">
        <f t="shared" ca="1" si="89"/>
        <v>0</v>
      </c>
      <c r="Q319">
        <f t="shared" ca="1" si="93"/>
        <v>1.5750384627032452</v>
      </c>
      <c r="R319">
        <f t="shared" ca="1" si="94"/>
        <v>3.2865034743303503</v>
      </c>
      <c r="S319">
        <f t="shared" ca="1" si="91"/>
        <v>0.47924442344433277</v>
      </c>
      <c r="T319">
        <f t="shared" ca="1" si="92"/>
        <v>32.397919900785595</v>
      </c>
      <c r="U319">
        <f>70</f>
        <v>70</v>
      </c>
      <c r="V319">
        <f>30</f>
        <v>30</v>
      </c>
      <c r="W319">
        <f t="shared" ca="1" si="90"/>
        <v>231.07976173343033</v>
      </c>
      <c r="X319">
        <f t="shared" ca="1" si="100"/>
        <v>238.73277425668408</v>
      </c>
      <c r="Y319">
        <f t="shared" ca="1" si="99"/>
        <v>-6.8260467196396633</v>
      </c>
      <c r="Z319">
        <f t="shared" ca="1" si="101"/>
        <v>-5.407460299337127</v>
      </c>
      <c r="AA319">
        <f t="shared" ca="1" si="102"/>
        <v>-1.4185864203025362</v>
      </c>
      <c r="AB319">
        <f t="shared" ca="1" si="103"/>
        <v>249.08039999999997</v>
      </c>
    </row>
    <row r="320" spans="1:28" x14ac:dyDescent="0.25">
      <c r="A320" s="20">
        <f t="shared" ca="1" si="83"/>
        <v>45754</v>
      </c>
      <c r="B320" vm="949">
        <f ca="1"/>
        <v>45756</v>
      </c>
      <c r="C320" vm="950">
        <f ca="1"/>
        <v>234.34</v>
      </c>
      <c r="D320" vm="951">
        <f ca="1"/>
        <v>24022350</v>
      </c>
      <c r="E320">
        <f t="shared" ca="1" si="84"/>
        <v>5629397499</v>
      </c>
      <c r="F320">
        <f ca="1">SUM($E$2:E320)/SUM($D$2:D320)</f>
        <v>214.95927817359077</v>
      </c>
      <c r="G320">
        <f ca="1">_xlfn.STDEV.P($C$2:C320)</f>
        <v>27.95483252605738</v>
      </c>
      <c r="H320">
        <f t="shared" ca="1" si="85"/>
        <v>242.91411069964815</v>
      </c>
      <c r="I320">
        <f t="shared" ca="1" si="86"/>
        <v>187.0044456475334</v>
      </c>
      <c r="J320">
        <f t="shared" ca="1" si="95"/>
        <v>236.34350000000001</v>
      </c>
      <c r="K320">
        <f t="shared" ca="1" si="96"/>
        <v>12.068056257828152</v>
      </c>
      <c r="L320">
        <f t="shared" ca="1" si="97"/>
        <v>260.4796125156563</v>
      </c>
      <c r="M320">
        <f t="shared" ca="1" si="98"/>
        <v>212.20738748434371</v>
      </c>
      <c r="N320">
        <f t="shared" ca="1" si="87"/>
        <v>17.47</v>
      </c>
      <c r="O320">
        <f t="shared" ca="1" si="88"/>
        <v>17.47</v>
      </c>
      <c r="P320">
        <f t="shared" ca="1" si="89"/>
        <v>0</v>
      </c>
      <c r="Q320">
        <f t="shared" ca="1" si="93"/>
        <v>2.7103928582244419</v>
      </c>
      <c r="R320">
        <f t="shared" ca="1" si="94"/>
        <v>3.0517532261638967</v>
      </c>
      <c r="S320">
        <f t="shared" ca="1" si="91"/>
        <v>0.88814286652903773</v>
      </c>
      <c r="T320">
        <f t="shared" ca="1" si="92"/>
        <v>47.037905990753003</v>
      </c>
      <c r="U320">
        <f>70</f>
        <v>70</v>
      </c>
      <c r="V320">
        <f>30</f>
        <v>30</v>
      </c>
      <c r="W320">
        <f t="shared" ca="1" si="90"/>
        <v>231.58133685136411</v>
      </c>
      <c r="X320">
        <f t="shared" ca="1" si="100"/>
        <v>238.40738357100378</v>
      </c>
      <c r="Y320">
        <f t="shared" ca="1" si="99"/>
        <v>-6.6771014692908182</v>
      </c>
      <c r="Z320">
        <f t="shared" ca="1" si="101"/>
        <v>-5.6613885333278651</v>
      </c>
      <c r="AA320">
        <f t="shared" ca="1" si="102"/>
        <v>-1.0157129359629531</v>
      </c>
      <c r="AB320">
        <f t="shared" ca="1" si="103"/>
        <v>249.02819999999997</v>
      </c>
    </row>
    <row r="321" spans="1:28" x14ac:dyDescent="0.25">
      <c r="A321" s="20">
        <f t="shared" ca="1" si="83"/>
        <v>45754</v>
      </c>
      <c r="B321" vm="952">
        <f ca="1"/>
        <v>45757</v>
      </c>
      <c r="C321" vm="953">
        <f ca="1"/>
        <v>227.11</v>
      </c>
      <c r="D321" vm="954">
        <f ca="1"/>
        <v>18896440</v>
      </c>
      <c r="E321">
        <f t="shared" ca="1" si="84"/>
        <v>4291570488.4000001</v>
      </c>
      <c r="F321">
        <f ca="1">SUM($E$2:E321)/SUM($D$2:D321)</f>
        <v>215.03455318843041</v>
      </c>
      <c r="G321">
        <f ca="1">_xlfn.STDEV.P($C$2:C321)</f>
        <v>27.919232982166346</v>
      </c>
      <c r="H321">
        <f t="shared" ca="1" si="85"/>
        <v>242.95378617059674</v>
      </c>
      <c r="I321">
        <f t="shared" ca="1" si="86"/>
        <v>187.11532020626407</v>
      </c>
      <c r="J321">
        <f t="shared" ca="1" si="95"/>
        <v>236.43950000000004</v>
      </c>
      <c r="K321">
        <f t="shared" ca="1" si="96"/>
        <v>11.981991520171999</v>
      </c>
      <c r="L321">
        <f t="shared" ca="1" si="97"/>
        <v>260.40348304034404</v>
      </c>
      <c r="M321">
        <f t="shared" ca="1" si="98"/>
        <v>212.47551695965603</v>
      </c>
      <c r="N321">
        <f t="shared" ca="1" si="87"/>
        <v>-7.2299999999999898</v>
      </c>
      <c r="O321">
        <f t="shared" ca="1" si="88"/>
        <v>0</v>
      </c>
      <c r="P321">
        <f t="shared" ca="1" si="89"/>
        <v>7.2299999999999898</v>
      </c>
      <c r="Q321">
        <f t="shared" ca="1" si="93"/>
        <v>2.5167933683512671</v>
      </c>
      <c r="R321">
        <f t="shared" ca="1" si="94"/>
        <v>3.3501994242950461</v>
      </c>
      <c r="S321">
        <f t="shared" ca="1" si="91"/>
        <v>0.75123688163156266</v>
      </c>
      <c r="T321">
        <f t="shared" ca="1" si="92"/>
        <v>42.897502303152905</v>
      </c>
      <c r="U321">
        <f>70</f>
        <v>70</v>
      </c>
      <c r="V321">
        <f>30</f>
        <v>30</v>
      </c>
      <c r="W321">
        <f t="shared" ca="1" si="90"/>
        <v>230.89343887423118</v>
      </c>
      <c r="X321">
        <f t="shared" ca="1" si="100"/>
        <v>237.570540343522</v>
      </c>
      <c r="Y321">
        <f t="shared" ca="1" si="99"/>
        <v>-5.7591859430142165</v>
      </c>
      <c r="Z321">
        <f t="shared" ca="1" si="101"/>
        <v>-5.6809480152651357</v>
      </c>
      <c r="AA321">
        <f t="shared" ca="1" si="102"/>
        <v>-7.8237927749080782E-2</v>
      </c>
      <c r="AB321">
        <f t="shared" ca="1" si="103"/>
        <v>248.88769999999997</v>
      </c>
    </row>
    <row r="322" spans="1:28" x14ac:dyDescent="0.25">
      <c r="A322" s="20">
        <f t="shared" ca="1" si="83"/>
        <v>45754</v>
      </c>
      <c r="B322" vm="955">
        <f ca="1"/>
        <v>45758</v>
      </c>
      <c r="C322" vm="956">
        <f ca="1"/>
        <v>236.2</v>
      </c>
      <c r="D322" vm="957">
        <f ca="1"/>
        <v>20284450</v>
      </c>
      <c r="E322">
        <f t="shared" ca="1" si="84"/>
        <v>4791187090</v>
      </c>
      <c r="F322">
        <f ca="1">SUM($E$2:E322)/SUM($D$2:D322)</f>
        <v>215.174376920491</v>
      </c>
      <c r="G322">
        <f ca="1">_xlfn.STDEV.P($C$2:C322)</f>
        <v>27.900526405006801</v>
      </c>
      <c r="H322">
        <f t="shared" ca="1" si="85"/>
        <v>243.07490332549781</v>
      </c>
      <c r="I322">
        <f t="shared" ca="1" si="86"/>
        <v>187.27385051548418</v>
      </c>
      <c r="J322">
        <f t="shared" ca="1" si="95"/>
        <v>236.6275</v>
      </c>
      <c r="K322">
        <f t="shared" ca="1" si="96"/>
        <v>11.945377381626486</v>
      </c>
      <c r="L322">
        <f t="shared" ca="1" si="97"/>
        <v>260.51825476325297</v>
      </c>
      <c r="M322">
        <f t="shared" ca="1" si="98"/>
        <v>212.73674523674703</v>
      </c>
      <c r="N322">
        <f t="shared" ca="1" si="87"/>
        <v>9.089999999999975</v>
      </c>
      <c r="O322">
        <f t="shared" ca="1" si="88"/>
        <v>9.089999999999975</v>
      </c>
      <c r="P322">
        <f t="shared" ca="1" si="89"/>
        <v>0</v>
      </c>
      <c r="Q322">
        <f t="shared" ca="1" si="93"/>
        <v>2.9863081277547461</v>
      </c>
      <c r="R322">
        <f t="shared" ca="1" si="94"/>
        <v>3.1108994654168285</v>
      </c>
      <c r="S322">
        <f t="shared" ca="1" si="91"/>
        <v>0.95995005976659276</v>
      </c>
      <c r="T322">
        <f t="shared" ca="1" si="92"/>
        <v>48.978291818359473</v>
      </c>
      <c r="U322">
        <f>70</f>
        <v>70</v>
      </c>
      <c r="V322">
        <f>30</f>
        <v>30</v>
      </c>
      <c r="W322">
        <f t="shared" ca="1" si="90"/>
        <v>231.70983289358023</v>
      </c>
      <c r="X322">
        <f t="shared" ca="1" si="100"/>
        <v>237.46901883659444</v>
      </c>
      <c r="Y322">
        <f t="shared" ca="1" si="99"/>
        <v>-5.0924522863244306</v>
      </c>
      <c r="Z322">
        <f t="shared" ca="1" si="101"/>
        <v>-5.563248869476995</v>
      </c>
      <c r="AA322">
        <f t="shared" ca="1" si="102"/>
        <v>0.47079658315256445</v>
      </c>
      <c r="AB322">
        <f t="shared" ca="1" si="103"/>
        <v>248.83099999999996</v>
      </c>
    </row>
    <row r="323" spans="1:28" x14ac:dyDescent="0.25">
      <c r="A323" s="20">
        <f t="shared" ref="A323:A386" ca="1" si="104">B323 - WEEKDAY(B323, 2) + 1</f>
        <v>45761</v>
      </c>
      <c r="B323" vm="958">
        <f ca="1"/>
        <v>45761</v>
      </c>
      <c r="C323" vm="959">
        <f ca="1"/>
        <v>234.72</v>
      </c>
      <c r="D323" vm="960">
        <f ca="1"/>
        <v>13017824</v>
      </c>
      <c r="E323">
        <f t="shared" ref="E323:E386" ca="1" si="105">C323*D323</f>
        <v>3055543649.2800002</v>
      </c>
      <c r="F323">
        <f ca="1">SUM($E$2:E323)/SUM($D$2:D323)</f>
        <v>215.25689341478576</v>
      </c>
      <c r="G323">
        <f ca="1">_xlfn.STDEV.P($C$2:C323)</f>
        <v>27.878432759404049</v>
      </c>
      <c r="H323">
        <f t="shared" ref="H323:H386" ca="1" si="106">F323 + G323</f>
        <v>243.1353261741898</v>
      </c>
      <c r="I323">
        <f t="shared" ref="I323:I386" ca="1" si="107">F323 - G323</f>
        <v>187.37846065538173</v>
      </c>
      <c r="J323">
        <f t="shared" ca="1" si="95"/>
        <v>236.667</v>
      </c>
      <c r="K323">
        <f t="shared" ca="1" si="96"/>
        <v>11.937291458635876</v>
      </c>
      <c r="L323">
        <f t="shared" ca="1" si="97"/>
        <v>260.54158291727174</v>
      </c>
      <c r="M323">
        <f t="shared" ca="1" si="98"/>
        <v>212.79241708272826</v>
      </c>
      <c r="N323">
        <f t="shared" ca="1" si="87"/>
        <v>-1.4799999999999898</v>
      </c>
      <c r="O323">
        <f t="shared" ca="1" si="88"/>
        <v>0</v>
      </c>
      <c r="P323">
        <f t="shared" ca="1" si="89"/>
        <v>1.4799999999999898</v>
      </c>
      <c r="Q323">
        <f t="shared" ca="1" si="93"/>
        <v>2.7730004043436929</v>
      </c>
      <c r="R323">
        <f t="shared" ca="1" si="94"/>
        <v>2.9944066464584829</v>
      </c>
      <c r="S323">
        <f t="shared" ca="1" si="91"/>
        <v>0.92606006189017465</v>
      </c>
      <c r="T323">
        <f t="shared" ca="1" si="92"/>
        <v>48.080539138606532</v>
      </c>
      <c r="U323">
        <f>70</f>
        <v>70</v>
      </c>
      <c r="V323">
        <f>30</f>
        <v>30</v>
      </c>
      <c r="W323">
        <f t="shared" ca="1" si="90"/>
        <v>232.1729355253371</v>
      </c>
      <c r="X323">
        <f t="shared" ca="1" si="100"/>
        <v>237.26538781166153</v>
      </c>
      <c r="Y323">
        <f t="shared" ca="1" si="99"/>
        <v>-4.6388865748287174</v>
      </c>
      <c r="Z323">
        <f t="shared" ca="1" si="101"/>
        <v>-5.3783764105473395</v>
      </c>
      <c r="AA323">
        <f t="shared" ca="1" si="102"/>
        <v>0.73948983571862215</v>
      </c>
      <c r="AB323">
        <f t="shared" ca="1" si="103"/>
        <v>248.72509999999994</v>
      </c>
    </row>
    <row r="324" spans="1:28" x14ac:dyDescent="0.25">
      <c r="A324" s="20">
        <f t="shared" ca="1" si="104"/>
        <v>45761</v>
      </c>
      <c r="B324" vm="961">
        <f ca="1"/>
        <v>45762</v>
      </c>
      <c r="C324" vm="962">
        <f ca="1"/>
        <v>233.13</v>
      </c>
      <c r="D324" vm="963">
        <f ca="1"/>
        <v>10912883</v>
      </c>
      <c r="E324">
        <f t="shared" ca="1" si="105"/>
        <v>2544120413.79</v>
      </c>
      <c r="F324">
        <f ca="1">SUM($E$2:E324)/SUM($D$2:D324)</f>
        <v>215.3199249814011</v>
      </c>
      <c r="G324">
        <f ca="1">_xlfn.STDEV.P($C$2:C324)</f>
        <v>27.853031018350123</v>
      </c>
      <c r="H324">
        <f t="shared" ca="1" si="106"/>
        <v>243.17295599975122</v>
      </c>
      <c r="I324">
        <f t="shared" ca="1" si="107"/>
        <v>187.46689396305098</v>
      </c>
      <c r="J324">
        <f t="shared" ca="1" si="95"/>
        <v>236.57500000000005</v>
      </c>
      <c r="K324">
        <f t="shared" ca="1" si="96"/>
        <v>11.958130684755213</v>
      </c>
      <c r="L324">
        <f t="shared" ca="1" si="97"/>
        <v>260.49126136951048</v>
      </c>
      <c r="M324">
        <f t="shared" ca="1" si="98"/>
        <v>212.65873863048961</v>
      </c>
      <c r="N324">
        <f t="shared" ref="N324:N387" ca="1" si="108">C324-C323</f>
        <v>-1.5900000000000034</v>
      </c>
      <c r="O324">
        <f t="shared" ref="O324:O387" ca="1" si="109">MAX(N324,0)</f>
        <v>0</v>
      </c>
      <c r="P324">
        <f t="shared" ref="P324:P387" ca="1" si="110">MAX(-N324,0)</f>
        <v>1.5900000000000034</v>
      </c>
      <c r="Q324">
        <f t="shared" ca="1" si="93"/>
        <v>2.5749289468905721</v>
      </c>
      <c r="R324">
        <f t="shared" ca="1" si="94"/>
        <v>2.8940918859971632</v>
      </c>
      <c r="S324">
        <f t="shared" ca="1" si="91"/>
        <v>0.88971914103666305</v>
      </c>
      <c r="T324">
        <f t="shared" ca="1" si="92"/>
        <v>47.08208334856473</v>
      </c>
      <c r="U324">
        <f>70</f>
        <v>70</v>
      </c>
      <c r="V324">
        <f>30</f>
        <v>30</v>
      </c>
      <c r="W324">
        <f t="shared" ca="1" si="90"/>
        <v>232.32017621374678</v>
      </c>
      <c r="X324">
        <f t="shared" ca="1" si="100"/>
        <v>236.95906278857549</v>
      </c>
      <c r="Y324">
        <f t="shared" ca="1" si="99"/>
        <v>-4.511461740183023</v>
      </c>
      <c r="Z324">
        <f t="shared" ca="1" si="101"/>
        <v>-5.2049934764744767</v>
      </c>
      <c r="AA324">
        <f t="shared" ca="1" si="102"/>
        <v>0.6935317362914537</v>
      </c>
      <c r="AB324">
        <f t="shared" ca="1" si="103"/>
        <v>248.60609999999997</v>
      </c>
    </row>
    <row r="325" spans="1:28" x14ac:dyDescent="0.25">
      <c r="A325" s="20">
        <f t="shared" ca="1" si="104"/>
        <v>45761</v>
      </c>
      <c r="B325" vm="964">
        <f ca="1"/>
        <v>45763</v>
      </c>
      <c r="C325" vm="965">
        <f ca="1"/>
        <v>229.61</v>
      </c>
      <c r="D325" vm="966">
        <f ca="1"/>
        <v>9322325</v>
      </c>
      <c r="E325">
        <f t="shared" ca="1" si="105"/>
        <v>2140499043.2500002</v>
      </c>
      <c r="F325">
        <f ca="1">SUM($E$2:E325)/SUM($D$2:D325)</f>
        <v>215.36284608820762</v>
      </c>
      <c r="G325">
        <f ca="1">_xlfn.STDEV.P($C$2:C325)</f>
        <v>27.821386962745731</v>
      </c>
      <c r="H325">
        <f t="shared" ca="1" si="106"/>
        <v>243.18423305095334</v>
      </c>
      <c r="I325">
        <f t="shared" ca="1" si="107"/>
        <v>187.5414591254619</v>
      </c>
      <c r="J325">
        <f t="shared" ca="1" si="95"/>
        <v>236.1</v>
      </c>
      <c r="K325">
        <f t="shared" ca="1" si="96"/>
        <v>12.040531112608122</v>
      </c>
      <c r="L325">
        <f t="shared" ca="1" si="97"/>
        <v>260.18106222521624</v>
      </c>
      <c r="M325">
        <f t="shared" ca="1" si="98"/>
        <v>212.01893777478375</v>
      </c>
      <c r="N325">
        <f t="shared" ca="1" si="108"/>
        <v>-3.5199999999999818</v>
      </c>
      <c r="O325">
        <f t="shared" ca="1" si="109"/>
        <v>0</v>
      </c>
      <c r="P325">
        <f t="shared" ca="1" si="110"/>
        <v>3.5199999999999818</v>
      </c>
      <c r="Q325">
        <f t="shared" ca="1" si="93"/>
        <v>2.3910054506841023</v>
      </c>
      <c r="R325">
        <f t="shared" ca="1" si="94"/>
        <v>2.9387996084259358</v>
      </c>
      <c r="S325">
        <f t="shared" ca="1" si="91"/>
        <v>0.8135993498259515</v>
      </c>
      <c r="T325">
        <f t="shared" ca="1" si="92"/>
        <v>44.861030078337393</v>
      </c>
      <c r="U325">
        <f>70</f>
        <v>70</v>
      </c>
      <c r="V325">
        <f>30</f>
        <v>30</v>
      </c>
      <c r="W325">
        <f t="shared" ca="1" si="90"/>
        <v>231.9032260270165</v>
      </c>
      <c r="X325">
        <f t="shared" ca="1" si="100"/>
        <v>236.41468776719952</v>
      </c>
      <c r="Y325">
        <f t="shared" ca="1" si="99"/>
        <v>-4.1727504111565565</v>
      </c>
      <c r="Z325">
        <f t="shared" ca="1" si="101"/>
        <v>-4.9985448634108929</v>
      </c>
      <c r="AA325">
        <f t="shared" ca="1" si="102"/>
        <v>0.82579445225433634</v>
      </c>
      <c r="AB325">
        <f t="shared" ca="1" si="103"/>
        <v>248.47129999999999</v>
      </c>
    </row>
    <row r="326" spans="1:28" x14ac:dyDescent="0.25">
      <c r="A326" s="20">
        <f t="shared" ca="1" si="104"/>
        <v>45761</v>
      </c>
      <c r="B326" vm="967">
        <f ca="1"/>
        <v>45764</v>
      </c>
      <c r="C326" vm="968">
        <f ca="1"/>
        <v>231.96</v>
      </c>
      <c r="D326" vm="969">
        <f ca="1"/>
        <v>9557946</v>
      </c>
      <c r="E326">
        <f t="shared" ca="1" si="105"/>
        <v>2217061154.1599998</v>
      </c>
      <c r="F326">
        <f ca="1">SUM($E$2:E326)/SUM($D$2:D326)</f>
        <v>215.41379970472315</v>
      </c>
      <c r="G326">
        <f ca="1">_xlfn.STDEV.P($C$2:C326)</f>
        <v>27.793844644780375</v>
      </c>
      <c r="H326">
        <f t="shared" ca="1" si="106"/>
        <v>243.20764434950351</v>
      </c>
      <c r="I326">
        <f t="shared" ca="1" si="107"/>
        <v>187.61995505994278</v>
      </c>
      <c r="J326">
        <f t="shared" ca="1" si="95"/>
        <v>235.7475</v>
      </c>
      <c r="K326">
        <f t="shared" ca="1" si="96"/>
        <v>12.054044473034548</v>
      </c>
      <c r="L326">
        <f t="shared" ca="1" si="97"/>
        <v>259.85558894606908</v>
      </c>
      <c r="M326">
        <f t="shared" ca="1" si="98"/>
        <v>211.6394110539309</v>
      </c>
      <c r="N326">
        <f t="shared" ca="1" si="108"/>
        <v>2.3499999999999943</v>
      </c>
      <c r="O326">
        <f t="shared" ca="1" si="109"/>
        <v>2.3499999999999943</v>
      </c>
      <c r="P326">
        <f t="shared" ca="1" si="110"/>
        <v>0</v>
      </c>
      <c r="Q326">
        <f t="shared" ca="1" si="93"/>
        <v>2.3880764899209517</v>
      </c>
      <c r="R326">
        <f t="shared" ca="1" si="94"/>
        <v>2.7288853506812258</v>
      </c>
      <c r="S326">
        <f t="shared" ca="1" si="91"/>
        <v>0.87511059756497422</v>
      </c>
      <c r="T326">
        <f t="shared" ca="1" si="92"/>
        <v>46.669812367408952</v>
      </c>
      <c r="U326">
        <f>70</f>
        <v>70</v>
      </c>
      <c r="V326">
        <f>30</f>
        <v>30</v>
      </c>
      <c r="W326">
        <f t="shared" ca="1" si="90"/>
        <v>231.91196048439858</v>
      </c>
      <c r="X326">
        <f t="shared" ca="1" si="100"/>
        <v>236.08471089555513</v>
      </c>
      <c r="Y326">
        <f t="shared" ca="1" si="99"/>
        <v>-4.0967486529602297</v>
      </c>
      <c r="Z326">
        <f t="shared" ca="1" si="101"/>
        <v>-4.8181856213207608</v>
      </c>
      <c r="AA326">
        <f t="shared" ca="1" si="102"/>
        <v>0.72143696836053106</v>
      </c>
      <c r="AB326">
        <f t="shared" ca="1" si="103"/>
        <v>248.38309999999998</v>
      </c>
    </row>
    <row r="327" spans="1:28" x14ac:dyDescent="0.25">
      <c r="A327" s="20">
        <f t="shared" ca="1" si="104"/>
        <v>45768</v>
      </c>
      <c r="B327" vm="970">
        <f ca="1"/>
        <v>45768</v>
      </c>
      <c r="C327" vm="971">
        <f ca="1"/>
        <v>228.99</v>
      </c>
      <c r="D327" vm="972">
        <f ca="1"/>
        <v>8716177</v>
      </c>
      <c r="E327">
        <f t="shared" ca="1" si="105"/>
        <v>1995917371.23</v>
      </c>
      <c r="F327">
        <f ca="1">SUM($E$2:E327)/SUM($D$2:D327)</f>
        <v>215.45170212357525</v>
      </c>
      <c r="G327">
        <f ca="1">_xlfn.STDEV.P($C$2:C327)</f>
        <v>27.761408046050427</v>
      </c>
      <c r="H327">
        <f t="shared" ca="1" si="106"/>
        <v>243.21311016962568</v>
      </c>
      <c r="I327">
        <f t="shared" ca="1" si="107"/>
        <v>187.69029407752481</v>
      </c>
      <c r="J327">
        <f t="shared" ca="1" si="95"/>
        <v>235.11549999999997</v>
      </c>
      <c r="K327">
        <f t="shared" ca="1" si="96"/>
        <v>12.06074819840225</v>
      </c>
      <c r="L327">
        <f t="shared" ca="1" si="97"/>
        <v>259.23699639680444</v>
      </c>
      <c r="M327">
        <f t="shared" ca="1" si="98"/>
        <v>210.99400360319547</v>
      </c>
      <c r="N327">
        <f t="shared" ca="1" si="108"/>
        <v>-2.9699999999999989</v>
      </c>
      <c r="O327">
        <f t="shared" ca="1" si="109"/>
        <v>0</v>
      </c>
      <c r="P327">
        <f t="shared" ca="1" si="110"/>
        <v>2.9699999999999989</v>
      </c>
      <c r="Q327">
        <f t="shared" ca="1" si="93"/>
        <v>2.2174995977837408</v>
      </c>
      <c r="R327">
        <f t="shared" ca="1" si="94"/>
        <v>2.7461078256325666</v>
      </c>
      <c r="S327">
        <f t="shared" ca="1" si="91"/>
        <v>0.80750638306525324</v>
      </c>
      <c r="T327">
        <f t="shared" ca="1" si="92"/>
        <v>44.675160797819508</v>
      </c>
      <c r="U327">
        <f>70</f>
        <v>70</v>
      </c>
      <c r="V327">
        <f>30</f>
        <v>30</v>
      </c>
      <c r="W327">
        <f t="shared" ca="1" si="90"/>
        <v>231.46242810218342</v>
      </c>
      <c r="X327">
        <f t="shared" ca="1" si="100"/>
        <v>235.55917675514365</v>
      </c>
      <c r="Y327">
        <f t="shared" ca="1" si="99"/>
        <v>-3.464020795080387</v>
      </c>
      <c r="Z327">
        <f t="shared" ca="1" si="101"/>
        <v>-4.547352656072686</v>
      </c>
      <c r="AA327">
        <f t="shared" ca="1" si="102"/>
        <v>1.0833318609922991</v>
      </c>
      <c r="AB327">
        <f t="shared" ca="1" si="103"/>
        <v>248.22540000000001</v>
      </c>
    </row>
    <row r="328" spans="1:28" x14ac:dyDescent="0.25">
      <c r="A328" s="20">
        <f t="shared" ca="1" si="104"/>
        <v>45768</v>
      </c>
      <c r="B328" vm="973">
        <f ca="1"/>
        <v>45769</v>
      </c>
      <c r="C328" vm="974">
        <f ca="1"/>
        <v>235.59</v>
      </c>
      <c r="D328" vm="975">
        <f ca="1"/>
        <v>10701399</v>
      </c>
      <c r="E328">
        <f t="shared" ca="1" si="105"/>
        <v>2521142590.4099998</v>
      </c>
      <c r="F328">
        <f ca="1">SUM($E$2:E328)/SUM($D$2:D328)</f>
        <v>215.52049443140857</v>
      </c>
      <c r="G328">
        <f ca="1">_xlfn.STDEV.P($C$2:C328)</f>
        <v>27.741317647458271</v>
      </c>
      <c r="H328">
        <f t="shared" ca="1" si="106"/>
        <v>243.26181207886683</v>
      </c>
      <c r="I328">
        <f t="shared" ca="1" si="107"/>
        <v>187.77917678395031</v>
      </c>
      <c r="J328">
        <f t="shared" ca="1" si="95"/>
        <v>234.49200000000002</v>
      </c>
      <c r="K328">
        <f t="shared" ca="1" si="96"/>
        <v>11.672417600119473</v>
      </c>
      <c r="L328">
        <f t="shared" ca="1" si="97"/>
        <v>257.83683520023897</v>
      </c>
      <c r="M328">
        <f t="shared" ca="1" si="98"/>
        <v>211.14716479976107</v>
      </c>
      <c r="N328">
        <f t="shared" ca="1" si="108"/>
        <v>6.5999999999999943</v>
      </c>
      <c r="O328">
        <f t="shared" ca="1" si="109"/>
        <v>6.5999999999999943</v>
      </c>
      <c r="P328">
        <f t="shared" ca="1" si="110"/>
        <v>0</v>
      </c>
      <c r="Q328">
        <f t="shared" ca="1" si="93"/>
        <v>2.5305353407991875</v>
      </c>
      <c r="R328">
        <f t="shared" ca="1" si="94"/>
        <v>2.5499572666588119</v>
      </c>
      <c r="S328">
        <f t="shared" ca="1" si="91"/>
        <v>0.99238343084663816</v>
      </c>
      <c r="T328">
        <f t="shared" ca="1" si="92"/>
        <v>49.808857847454462</v>
      </c>
      <c r="U328">
        <f>70</f>
        <v>70</v>
      </c>
      <c r="V328">
        <f>30</f>
        <v>30</v>
      </c>
      <c r="W328">
        <f t="shared" ca="1" si="90"/>
        <v>232.09743916338596</v>
      </c>
      <c r="X328">
        <f t="shared" ca="1" si="100"/>
        <v>235.56145995846634</v>
      </c>
      <c r="Y328">
        <f t="shared" ca="1" si="99"/>
        <v>-2.5068235184499486</v>
      </c>
      <c r="Z328">
        <f t="shared" ca="1" si="101"/>
        <v>-4.1392468285481385</v>
      </c>
      <c r="AA328">
        <f t="shared" ca="1" si="102"/>
        <v>1.63242331009819</v>
      </c>
      <c r="AB328">
        <f t="shared" ca="1" si="103"/>
        <v>248.09579999999997</v>
      </c>
    </row>
    <row r="329" spans="1:28" x14ac:dyDescent="0.25">
      <c r="A329" s="20">
        <f t="shared" ca="1" si="104"/>
        <v>45768</v>
      </c>
      <c r="B329" vm="976">
        <f ca="1"/>
        <v>45770</v>
      </c>
      <c r="C329" vm="977">
        <f ca="1"/>
        <v>240.88</v>
      </c>
      <c r="D329" vm="978">
        <f ca="1"/>
        <v>14126766</v>
      </c>
      <c r="E329">
        <f t="shared" ca="1" si="105"/>
        <v>3402855394.0799999</v>
      </c>
      <c r="F329">
        <f ca="1">SUM($E$2:E329)/SUM($D$2:D329)</f>
        <v>215.634337367407</v>
      </c>
      <c r="G329">
        <f ca="1">_xlfn.STDEV.P($C$2:C329)</f>
        <v>27.73440036261961</v>
      </c>
      <c r="H329">
        <f t="shared" ca="1" si="106"/>
        <v>243.36873773002662</v>
      </c>
      <c r="I329">
        <f t="shared" ca="1" si="107"/>
        <v>187.89993700478738</v>
      </c>
      <c r="J329">
        <f t="shared" ca="1" si="95"/>
        <v>233.9795</v>
      </c>
      <c r="K329">
        <f t="shared" ca="1" si="96"/>
        <v>11.115166724606043</v>
      </c>
      <c r="L329">
        <f t="shared" ca="1" si="97"/>
        <v>256.20983344921211</v>
      </c>
      <c r="M329">
        <f t="shared" ca="1" si="98"/>
        <v>211.74916655078792</v>
      </c>
      <c r="N329">
        <f t="shared" ca="1" si="108"/>
        <v>5.289999999999992</v>
      </c>
      <c r="O329">
        <f t="shared" ca="1" si="109"/>
        <v>5.289999999999992</v>
      </c>
      <c r="P329">
        <f t="shared" ca="1" si="110"/>
        <v>0</v>
      </c>
      <c r="Q329">
        <f t="shared" ca="1" si="93"/>
        <v>2.7276399593135308</v>
      </c>
      <c r="R329">
        <f t="shared" ca="1" si="94"/>
        <v>2.3678174618974679</v>
      </c>
      <c r="S329">
        <f t="shared" ca="1" si="91"/>
        <v>1.1519637823465143</v>
      </c>
      <c r="T329">
        <f t="shared" ca="1" si="92"/>
        <v>53.530816447589373</v>
      </c>
      <c r="U329">
        <f>70</f>
        <v>70</v>
      </c>
      <c r="V329">
        <f>30</f>
        <v>30</v>
      </c>
      <c r="W329">
        <f t="shared" ca="1" si="90"/>
        <v>233.44860236901889</v>
      </c>
      <c r="X329">
        <f t="shared" ca="1" si="100"/>
        <v>235.95542588746883</v>
      </c>
      <c r="Y329">
        <f t="shared" ca="1" si="99"/>
        <v>-1.4283718228739701</v>
      </c>
      <c r="Z329">
        <f t="shared" ca="1" si="101"/>
        <v>-3.5970718274133051</v>
      </c>
      <c r="AA329">
        <f t="shared" ca="1" si="102"/>
        <v>2.168700004539335</v>
      </c>
      <c r="AB329">
        <f t="shared" ca="1" si="103"/>
        <v>248.00170000000003</v>
      </c>
    </row>
    <row r="330" spans="1:28" x14ac:dyDescent="0.25">
      <c r="A330" s="20">
        <f t="shared" ca="1" si="104"/>
        <v>45768</v>
      </c>
      <c r="B330" vm="979">
        <f ca="1"/>
        <v>45771</v>
      </c>
      <c r="C330" vm="980">
        <f ca="1"/>
        <v>244.64</v>
      </c>
      <c r="D330" vm="981">
        <f ca="1"/>
        <v>9055197</v>
      </c>
      <c r="E330">
        <f t="shared" ca="1" si="105"/>
        <v>2215263394.0799999</v>
      </c>
      <c r="F330">
        <f ca="1">SUM($E$2:E330)/SUM($D$2:D330)</f>
        <v>215.71756266296367</v>
      </c>
      <c r="G330">
        <f ca="1">_xlfn.STDEV.P($C$2:C330)</f>
        <v>27.738489093591387</v>
      </c>
      <c r="H330">
        <f t="shared" ca="1" si="106"/>
        <v>243.45605175655507</v>
      </c>
      <c r="I330">
        <f t="shared" ca="1" si="107"/>
        <v>187.97907356937228</v>
      </c>
      <c r="J330">
        <f t="shared" ca="1" si="95"/>
        <v>233.66000000000003</v>
      </c>
      <c r="K330">
        <f t="shared" ca="1" si="96"/>
        <v>10.682688405965386</v>
      </c>
      <c r="L330">
        <f t="shared" ca="1" si="97"/>
        <v>255.02537681193081</v>
      </c>
      <c r="M330">
        <f t="shared" ca="1" si="98"/>
        <v>212.29462318806924</v>
      </c>
      <c r="N330">
        <f t="shared" ca="1" si="108"/>
        <v>3.7599999999999909</v>
      </c>
      <c r="O330">
        <f t="shared" ca="1" si="109"/>
        <v>3.7599999999999909</v>
      </c>
      <c r="P330">
        <f t="shared" ca="1" si="110"/>
        <v>0</v>
      </c>
      <c r="Q330">
        <f t="shared" ca="1" si="93"/>
        <v>2.8013799622197064</v>
      </c>
      <c r="R330">
        <f t="shared" ca="1" si="94"/>
        <v>2.1986876431905058</v>
      </c>
      <c r="S330">
        <f t="shared" ca="1" si="91"/>
        <v>1.2741145705238224</v>
      </c>
      <c r="T330">
        <f t="shared" ca="1" si="92"/>
        <v>56.026841700870911</v>
      </c>
      <c r="U330">
        <f>70</f>
        <v>70</v>
      </c>
      <c r="V330">
        <f>30</f>
        <v>30</v>
      </c>
      <c r="W330">
        <f t="shared" ca="1" si="90"/>
        <v>235.17035585070829</v>
      </c>
      <c r="X330">
        <f t="shared" ca="1" si="100"/>
        <v>236.59872767358226</v>
      </c>
      <c r="Y330">
        <f t="shared" ca="1" si="99"/>
        <v>-0.65410486112213562</v>
      </c>
      <c r="Z330">
        <f t="shared" ca="1" si="101"/>
        <v>-3.0084784341550712</v>
      </c>
      <c r="AA330">
        <f t="shared" ca="1" si="102"/>
        <v>2.3543735730329356</v>
      </c>
      <c r="AB330">
        <f t="shared" ca="1" si="103"/>
        <v>247.94840000000005</v>
      </c>
    </row>
    <row r="331" spans="1:28" x14ac:dyDescent="0.25">
      <c r="A331" s="20">
        <f t="shared" ca="1" si="104"/>
        <v>45768</v>
      </c>
      <c r="B331" vm="982">
        <f ca="1"/>
        <v>45772</v>
      </c>
      <c r="C331" vm="983">
        <f ca="1"/>
        <v>243.55</v>
      </c>
      <c r="D331" vm="984">
        <f ca="1"/>
        <v>8588564</v>
      </c>
      <c r="E331">
        <f t="shared" ca="1" si="105"/>
        <v>2091744762.2</v>
      </c>
      <c r="F331">
        <f ca="1">SUM($E$2:E331)/SUM($D$2:D331)</f>
        <v>215.79310078030582</v>
      </c>
      <c r="G331">
        <f ca="1">_xlfn.STDEV.P($C$2:C331)</f>
        <v>27.738894795943253</v>
      </c>
      <c r="H331">
        <f t="shared" ca="1" si="106"/>
        <v>243.53199557624907</v>
      </c>
      <c r="I331">
        <f t="shared" ca="1" si="107"/>
        <v>188.05420598436257</v>
      </c>
      <c r="J331">
        <f t="shared" ca="1" si="95"/>
        <v>233.43150000000006</v>
      </c>
      <c r="K331">
        <f t="shared" ca="1" si="96"/>
        <v>10.402310105275449</v>
      </c>
      <c r="L331">
        <f t="shared" ca="1" si="97"/>
        <v>254.23612021055095</v>
      </c>
      <c r="M331">
        <f t="shared" ca="1" si="98"/>
        <v>212.62687978944916</v>
      </c>
      <c r="N331">
        <f t="shared" ca="1" si="108"/>
        <v>-1.089999999999975</v>
      </c>
      <c r="O331">
        <f t="shared" ca="1" si="109"/>
        <v>0</v>
      </c>
      <c r="P331">
        <f t="shared" ca="1" si="110"/>
        <v>1.089999999999975</v>
      </c>
      <c r="Q331">
        <f t="shared" ca="1" si="93"/>
        <v>2.6012813934897276</v>
      </c>
      <c r="R331">
        <f t="shared" ca="1" si="94"/>
        <v>2.1194956686768966</v>
      </c>
      <c r="S331">
        <f t="shared" ca="1" si="91"/>
        <v>1.2273114929805862</v>
      </c>
      <c r="T331">
        <f t="shared" ca="1" si="92"/>
        <v>55.102822252230162</v>
      </c>
      <c r="U331">
        <f>70</f>
        <v>70</v>
      </c>
      <c r="V331">
        <f>30</f>
        <v>30</v>
      </c>
      <c r="W331">
        <f t="shared" ca="1" si="90"/>
        <v>236.45953187367627</v>
      </c>
      <c r="X331">
        <f t="shared" ca="1" si="100"/>
        <v>237.1136367347984</v>
      </c>
      <c r="Y331">
        <f t="shared" ca="1" si="99"/>
        <v>-6.6356046517455525E-2</v>
      </c>
      <c r="Z331">
        <f t="shared" ca="1" si="101"/>
        <v>-2.4200539566275481</v>
      </c>
      <c r="AA331">
        <f t="shared" ca="1" si="102"/>
        <v>2.3536979101100926</v>
      </c>
      <c r="AB331">
        <f t="shared" ca="1" si="103"/>
        <v>247.886</v>
      </c>
    </row>
    <row r="332" spans="1:28" x14ac:dyDescent="0.25">
      <c r="A332" s="20">
        <f t="shared" ca="1" si="104"/>
        <v>45775</v>
      </c>
      <c r="B332" vm="985">
        <f ca="1"/>
        <v>45775</v>
      </c>
      <c r="C332" vm="986">
        <f ca="1"/>
        <v>243.22</v>
      </c>
      <c r="D332" vm="987">
        <f ca="1"/>
        <v>7394297</v>
      </c>
      <c r="E332">
        <f t="shared" ca="1" si="105"/>
        <v>1798440916.3399999</v>
      </c>
      <c r="F332">
        <f ca="1">SUM($E$2:E332)/SUM($D$2:D332)</f>
        <v>215.85703808975833</v>
      </c>
      <c r="G332">
        <f ca="1">_xlfn.STDEV.P($C$2:C332)</f>
        <v>27.738051101039073</v>
      </c>
      <c r="H332">
        <f t="shared" ca="1" si="106"/>
        <v>243.59508919079741</v>
      </c>
      <c r="I332">
        <f t="shared" ca="1" si="107"/>
        <v>188.11898698871926</v>
      </c>
      <c r="J332">
        <f t="shared" ca="1" si="95"/>
        <v>233.45000000000005</v>
      </c>
      <c r="K332">
        <f t="shared" ca="1" si="96"/>
        <v>10.420255578237487</v>
      </c>
      <c r="L332">
        <f t="shared" ca="1" si="97"/>
        <v>254.29051115647502</v>
      </c>
      <c r="M332">
        <f t="shared" ca="1" si="98"/>
        <v>212.60948884352507</v>
      </c>
      <c r="N332">
        <f t="shared" ca="1" si="108"/>
        <v>-0.33000000000001251</v>
      </c>
      <c r="O332">
        <f t="shared" ca="1" si="109"/>
        <v>0</v>
      </c>
      <c r="P332">
        <f t="shared" ca="1" si="110"/>
        <v>0.33000000000001251</v>
      </c>
      <c r="Q332">
        <f t="shared" ca="1" si="93"/>
        <v>2.4154755796690326</v>
      </c>
      <c r="R332">
        <f t="shared" ca="1" si="94"/>
        <v>1.9916745494856907</v>
      </c>
      <c r="S332">
        <f t="shared" ca="1" si="91"/>
        <v>1.2127862859385234</v>
      </c>
      <c r="T332">
        <f t="shared" ca="1" si="92"/>
        <v>54.808107481746099</v>
      </c>
      <c r="U332">
        <f>70</f>
        <v>70</v>
      </c>
      <c r="V332">
        <f>30</f>
        <v>30</v>
      </c>
      <c r="W332">
        <f t="shared" ca="1" si="90"/>
        <v>237.4996038931107</v>
      </c>
      <c r="X332">
        <f t="shared" ca="1" si="100"/>
        <v>237.56595993962816</v>
      </c>
      <c r="Y332">
        <f t="shared" ca="1" si="99"/>
        <v>0.50656802243511834</v>
      </c>
      <c r="Z332">
        <f t="shared" ca="1" si="101"/>
        <v>-1.8347295608150147</v>
      </c>
      <c r="AA332">
        <f t="shared" ca="1" si="102"/>
        <v>2.341297583250133</v>
      </c>
      <c r="AB332">
        <f t="shared" ca="1" si="103"/>
        <v>247.82100000000003</v>
      </c>
    </row>
    <row r="333" spans="1:28" x14ac:dyDescent="0.25">
      <c r="A333" s="20">
        <f t="shared" ca="1" si="104"/>
        <v>45775</v>
      </c>
      <c r="B333" vm="988">
        <f ca="1"/>
        <v>45776</v>
      </c>
      <c r="C333" vm="989">
        <f ca="1"/>
        <v>244.62</v>
      </c>
      <c r="D333" vm="990">
        <f ca="1"/>
        <v>7216788</v>
      </c>
      <c r="E333">
        <f t="shared" ca="1" si="105"/>
        <v>1765370680.5599999</v>
      </c>
      <c r="F333">
        <f ca="1">SUM($E$2:E333)/SUM($D$2:D333)</f>
        <v>215.92233179484555</v>
      </c>
      <c r="G333">
        <f ca="1">_xlfn.STDEV.P($C$2:C333)</f>
        <v>27.741227252045263</v>
      </c>
      <c r="H333">
        <f t="shared" ca="1" si="106"/>
        <v>243.66355904689081</v>
      </c>
      <c r="I333">
        <f t="shared" ca="1" si="107"/>
        <v>188.18110454280028</v>
      </c>
      <c r="J333">
        <f t="shared" ca="1" si="95"/>
        <v>233.416</v>
      </c>
      <c r="K333">
        <f t="shared" ca="1" si="96"/>
        <v>10.380589375824171</v>
      </c>
      <c r="L333">
        <f t="shared" ca="1" si="97"/>
        <v>254.17717875164834</v>
      </c>
      <c r="M333">
        <f t="shared" ca="1" si="98"/>
        <v>212.65482124835165</v>
      </c>
      <c r="N333">
        <f t="shared" ca="1" si="108"/>
        <v>1.4000000000000057</v>
      </c>
      <c r="O333">
        <f t="shared" ca="1" si="109"/>
        <v>1.4000000000000057</v>
      </c>
      <c r="P333">
        <f t="shared" ca="1" si="110"/>
        <v>0</v>
      </c>
      <c r="Q333">
        <f t="shared" ca="1" si="93"/>
        <v>2.3429416096926734</v>
      </c>
      <c r="R333">
        <f t="shared" ca="1" si="94"/>
        <v>1.8494120816652841</v>
      </c>
      <c r="S333">
        <f t="shared" ca="1" si="91"/>
        <v>1.2668575234909223</v>
      </c>
      <c r="T333">
        <f t="shared" ca="1" si="92"/>
        <v>55.886067402241636</v>
      </c>
      <c r="U333">
        <f>70</f>
        <v>70</v>
      </c>
      <c r="V333">
        <f>30</f>
        <v>30</v>
      </c>
      <c r="W333">
        <f t="shared" ca="1" si="90"/>
        <v>238.59504944801674</v>
      </c>
      <c r="X333">
        <f t="shared" ca="1" si="100"/>
        <v>238.08848142558162</v>
      </c>
      <c r="Y333">
        <f t="shared" ca="1" si="99"/>
        <v>0.94966730127333676</v>
      </c>
      <c r="Z333">
        <f t="shared" ca="1" si="101"/>
        <v>-1.2778501883973445</v>
      </c>
      <c r="AA333">
        <f t="shared" ca="1" si="102"/>
        <v>2.2275174896706815</v>
      </c>
      <c r="AB333">
        <f t="shared" ca="1" si="103"/>
        <v>247.80470000000003</v>
      </c>
    </row>
    <row r="334" spans="1:28" x14ac:dyDescent="0.25">
      <c r="A334" s="20">
        <f t="shared" ca="1" si="104"/>
        <v>45775</v>
      </c>
      <c r="B334" vm="991">
        <f ca="1"/>
        <v>45777</v>
      </c>
      <c r="C334" vm="989">
        <f ca="1"/>
        <v>244.62</v>
      </c>
      <c r="D334" vm="992">
        <f ca="1"/>
        <v>12991699</v>
      </c>
      <c r="E334">
        <f t="shared" ca="1" si="105"/>
        <v>3178029409.3800001</v>
      </c>
      <c r="F334">
        <f ca="1">SUM($E$2:E334)/SUM($D$2:D334)</f>
        <v>216.03912972815223</v>
      </c>
      <c r="G334">
        <f ca="1">_xlfn.STDEV.P($C$2:C334)</f>
        <v>27.744114864588649</v>
      </c>
      <c r="H334">
        <f t="shared" ca="1" si="106"/>
        <v>243.78324459274089</v>
      </c>
      <c r="I334">
        <f t="shared" ca="1" si="107"/>
        <v>188.29501486356358</v>
      </c>
      <c r="J334">
        <f t="shared" ca="1" si="95"/>
        <v>233.464</v>
      </c>
      <c r="K334">
        <f t="shared" ca="1" si="96"/>
        <v>10.432540388005616</v>
      </c>
      <c r="L334">
        <f t="shared" ca="1" si="97"/>
        <v>254.32908077601124</v>
      </c>
      <c r="M334">
        <f t="shared" ca="1" si="98"/>
        <v>212.59891922398876</v>
      </c>
      <c r="N334">
        <f t="shared" ca="1" si="108"/>
        <v>0</v>
      </c>
      <c r="O334">
        <f t="shared" ca="1" si="109"/>
        <v>0</v>
      </c>
      <c r="P334">
        <f t="shared" ca="1" si="110"/>
        <v>0</v>
      </c>
      <c r="Q334">
        <f t="shared" ca="1" si="93"/>
        <v>2.1755886375717681</v>
      </c>
      <c r="R334">
        <f t="shared" ca="1" si="94"/>
        <v>1.7173112186891923</v>
      </c>
      <c r="S334">
        <f t="shared" ca="1" si="91"/>
        <v>1.2668575234909225</v>
      </c>
      <c r="T334">
        <f t="shared" ca="1" si="92"/>
        <v>55.886067402241636</v>
      </c>
      <c r="U334">
        <f>70</f>
        <v>70</v>
      </c>
      <c r="V334">
        <f>30</f>
        <v>30</v>
      </c>
      <c r="W334">
        <f t="shared" ca="1" si="90"/>
        <v>239.52196491755262</v>
      </c>
      <c r="X334">
        <f t="shared" ca="1" si="100"/>
        <v>238.57229761627929</v>
      </c>
      <c r="Y334">
        <f t="shared" ca="1" si="99"/>
        <v>1.4670850576135592</v>
      </c>
      <c r="Z334">
        <f t="shared" ca="1" si="101"/>
        <v>-0.72886313919516366</v>
      </c>
      <c r="AA334">
        <f t="shared" ca="1" si="102"/>
        <v>2.1959481968087227</v>
      </c>
      <c r="AB334">
        <f t="shared" ca="1" si="103"/>
        <v>247.80269999999996</v>
      </c>
    </row>
    <row r="335" spans="1:28" x14ac:dyDescent="0.25">
      <c r="A335" s="20">
        <f t="shared" ca="1" si="104"/>
        <v>45775</v>
      </c>
      <c r="B335" vm="993">
        <f ca="1"/>
        <v>45778</v>
      </c>
      <c r="C335" vm="994">
        <f ca="1"/>
        <v>246.89</v>
      </c>
      <c r="D335" vm="995">
        <f ca="1"/>
        <v>8689579</v>
      </c>
      <c r="E335">
        <f t="shared" ca="1" si="105"/>
        <v>2145370159.3099999</v>
      </c>
      <c r="F335">
        <f ca="1">SUM($E$2:E335)/SUM($D$2:D335)</f>
        <v>216.1228842222651</v>
      </c>
      <c r="G335">
        <f ca="1">_xlfn.STDEV.P($C$2:C335)</f>
        <v>27.753990348692817</v>
      </c>
      <c r="H335">
        <f t="shared" ca="1" si="106"/>
        <v>243.87687457095791</v>
      </c>
      <c r="I335">
        <f t="shared" ca="1" si="107"/>
        <v>188.36889387357229</v>
      </c>
      <c r="J335">
        <f t="shared" ca="1" si="95"/>
        <v>233.51750000000001</v>
      </c>
      <c r="K335">
        <f t="shared" ca="1" si="96"/>
        <v>10.501753174439115</v>
      </c>
      <c r="L335">
        <f t="shared" ca="1" si="97"/>
        <v>254.52100634887825</v>
      </c>
      <c r="M335">
        <f t="shared" ca="1" si="98"/>
        <v>212.51399365112178</v>
      </c>
      <c r="N335">
        <f t="shared" ca="1" si="108"/>
        <v>2.2699999999999818</v>
      </c>
      <c r="O335">
        <f t="shared" ca="1" si="109"/>
        <v>2.2699999999999818</v>
      </c>
      <c r="P335">
        <f t="shared" ca="1" si="110"/>
        <v>0</v>
      </c>
      <c r="Q335">
        <f t="shared" ca="1" si="93"/>
        <v>2.1823323063166407</v>
      </c>
      <c r="R335">
        <f t="shared" ca="1" si="94"/>
        <v>1.5946461316399643</v>
      </c>
      <c r="S335">
        <f t="shared" ca="1" si="91"/>
        <v>1.3685370459415274</v>
      </c>
      <c r="T335">
        <f t="shared" ca="1" si="92"/>
        <v>57.779845507863456</v>
      </c>
      <c r="U335">
        <f>70</f>
        <v>70</v>
      </c>
      <c r="V335">
        <f>30</f>
        <v>30</v>
      </c>
      <c r="W335">
        <f t="shared" ref="W335:W398" ca="1" si="111">C335*(2/(12+1)) + W334*(1-(2/(12+1)))</f>
        <v>240.65550877639066</v>
      </c>
      <c r="X335">
        <f t="shared" ca="1" si="100"/>
        <v>239.1884237187771</v>
      </c>
      <c r="Y335">
        <f t="shared" ca="1" si="99"/>
        <v>2.3040695099301161</v>
      </c>
      <c r="Z335">
        <f t="shared" ca="1" si="101"/>
        <v>-0.12227660937010776</v>
      </c>
      <c r="AA335">
        <f t="shared" ca="1" si="102"/>
        <v>2.4263461193002236</v>
      </c>
      <c r="AB335">
        <f t="shared" ca="1" si="103"/>
        <v>247.83759999999995</v>
      </c>
    </row>
    <row r="336" spans="1:28" x14ac:dyDescent="0.25">
      <c r="A336" s="20">
        <f t="shared" ca="1" si="104"/>
        <v>45775</v>
      </c>
      <c r="B336" vm="996">
        <f ca="1"/>
        <v>45779</v>
      </c>
      <c r="C336" vm="997">
        <f ca="1"/>
        <v>252.51</v>
      </c>
      <c r="D336" vm="998">
        <f ca="1"/>
        <v>7165044</v>
      </c>
      <c r="E336">
        <f t="shared" ca="1" si="105"/>
        <v>1809245260.4399998</v>
      </c>
      <c r="F336">
        <f ca="1">SUM($E$2:E336)/SUM($D$2:D336)</f>
        <v>216.2041555525679</v>
      </c>
      <c r="G336">
        <f ca="1">_xlfn.STDEV.P($C$2:C336)</f>
        <v>27.783751158692873</v>
      </c>
      <c r="H336">
        <f t="shared" ca="1" si="106"/>
        <v>243.98790671126076</v>
      </c>
      <c r="I336">
        <f t="shared" ca="1" si="107"/>
        <v>188.42040439387503</v>
      </c>
      <c r="J336">
        <f t="shared" ca="1" si="95"/>
        <v>234.70850000000004</v>
      </c>
      <c r="K336">
        <f t="shared" ca="1" si="96"/>
        <v>11.249538598725303</v>
      </c>
      <c r="L336">
        <f t="shared" ca="1" si="97"/>
        <v>257.20757719745063</v>
      </c>
      <c r="M336">
        <f t="shared" ca="1" si="98"/>
        <v>212.20942280254943</v>
      </c>
      <c r="N336">
        <f t="shared" ca="1" si="108"/>
        <v>5.6200000000000045</v>
      </c>
      <c r="O336">
        <f t="shared" ca="1" si="109"/>
        <v>5.6200000000000045</v>
      </c>
      <c r="P336">
        <f t="shared" ca="1" si="110"/>
        <v>0</v>
      </c>
      <c r="Q336">
        <f t="shared" ca="1" si="93"/>
        <v>2.4278799987225952</v>
      </c>
      <c r="R336">
        <f t="shared" ca="1" si="94"/>
        <v>1.4807428365228239</v>
      </c>
      <c r="S336">
        <f t="shared" ref="S336:S399" ca="1" si="112">IF(R336=0,NA(),Q336/R336)</f>
        <v>1.6396364978701501</v>
      </c>
      <c r="T336">
        <f t="shared" ref="T336:T399" ca="1" si="113">100-(100/(1+S336))</f>
        <v>62.115995865079434</v>
      </c>
      <c r="U336">
        <f>70</f>
        <v>70</v>
      </c>
      <c r="V336">
        <f>30</f>
        <v>30</v>
      </c>
      <c r="W336">
        <f t="shared" ca="1" si="111"/>
        <v>242.47927665694596</v>
      </c>
      <c r="X336">
        <f t="shared" ca="1" si="100"/>
        <v>240.17520714701584</v>
      </c>
      <c r="Y336">
        <f t="shared" ca="1" si="99"/>
        <v>2.9375579610621116</v>
      </c>
      <c r="Z336">
        <f t="shared" ca="1" si="101"/>
        <v>0.48969030471633612</v>
      </c>
      <c r="AA336">
        <f t="shared" ca="1" si="102"/>
        <v>2.4478676563457755</v>
      </c>
      <c r="AB336">
        <f t="shared" ca="1" si="103"/>
        <v>247.90789999999993</v>
      </c>
    </row>
    <row r="337" spans="1:28" x14ac:dyDescent="0.25">
      <c r="A337" s="20">
        <f t="shared" ca="1" si="104"/>
        <v>45782</v>
      </c>
      <c r="B337" vm="999">
        <f ca="1"/>
        <v>45782</v>
      </c>
      <c r="C337" vm="1000">
        <f ca="1"/>
        <v>252.56</v>
      </c>
      <c r="D337" vm="1001">
        <f ca="1"/>
        <v>5450744</v>
      </c>
      <c r="E337">
        <f t="shared" ca="1" si="105"/>
        <v>1376639904.6400001</v>
      </c>
      <c r="F337">
        <f ca="1">SUM($E$2:E337)/SUM($D$2:D337)</f>
        <v>216.26582408304839</v>
      </c>
      <c r="G337">
        <f ca="1">_xlfn.STDEV.P($C$2:C337)</f>
        <v>27.813075551876903</v>
      </c>
      <c r="H337">
        <f t="shared" ca="1" si="106"/>
        <v>244.07889963492528</v>
      </c>
      <c r="I337">
        <f t="shared" ca="1" si="107"/>
        <v>188.45274853117149</v>
      </c>
      <c r="J337">
        <f t="shared" ca="1" si="95"/>
        <v>236.82250000000005</v>
      </c>
      <c r="K337">
        <f t="shared" ca="1" si="96"/>
        <v>10.354339987606517</v>
      </c>
      <c r="L337">
        <f t="shared" ca="1" si="97"/>
        <v>257.53117997521309</v>
      </c>
      <c r="M337">
        <f t="shared" ca="1" si="98"/>
        <v>216.113820024787</v>
      </c>
      <c r="N337">
        <f t="shared" ca="1" si="108"/>
        <v>5.0000000000011369E-2</v>
      </c>
      <c r="O337">
        <f t="shared" ca="1" si="109"/>
        <v>5.0000000000011369E-2</v>
      </c>
      <c r="P337">
        <f t="shared" ca="1" si="110"/>
        <v>0</v>
      </c>
      <c r="Q337">
        <f t="shared" ref="Q337:Q400" ca="1" si="114">(Q336*13+O337)/14</f>
        <v>2.258031427385268</v>
      </c>
      <c r="R337">
        <f t="shared" ref="R337:R400" ca="1" si="115">(R336*13+P337)/14</f>
        <v>1.3749754910569079</v>
      </c>
      <c r="S337">
        <f t="shared" ca="1" si="112"/>
        <v>1.6422339467662641</v>
      </c>
      <c r="T337">
        <f t="shared" ca="1" si="113"/>
        <v>62.153237747025983</v>
      </c>
      <c r="U337">
        <f>70</f>
        <v>70</v>
      </c>
      <c r="V337">
        <f>30</f>
        <v>30</v>
      </c>
      <c r="W337">
        <f t="shared" ca="1" si="111"/>
        <v>244.03015717126198</v>
      </c>
      <c r="X337">
        <f t="shared" ca="1" si="100"/>
        <v>241.09259921019986</v>
      </c>
      <c r="Y337">
        <f t="shared" ca="1" si="99"/>
        <v>3.1363587935892951</v>
      </c>
      <c r="Z337">
        <f t="shared" ca="1" si="101"/>
        <v>1.0190240024909281</v>
      </c>
      <c r="AA337">
        <f t="shared" ca="1" si="102"/>
        <v>2.1173347910983669</v>
      </c>
      <c r="AB337">
        <f t="shared" ca="1" si="103"/>
        <v>247.95989999999998</v>
      </c>
    </row>
    <row r="338" spans="1:28" x14ac:dyDescent="0.25">
      <c r="A338" s="20">
        <f t="shared" ca="1" si="104"/>
        <v>45782</v>
      </c>
      <c r="B338" vm="1002">
        <f ca="1"/>
        <v>45783</v>
      </c>
      <c r="C338" vm="1003">
        <f ca="1"/>
        <v>249.25</v>
      </c>
      <c r="D338" vm="1004">
        <f ca="1"/>
        <v>6369934</v>
      </c>
      <c r="E338">
        <f t="shared" ca="1" si="105"/>
        <v>1587706049.5</v>
      </c>
      <c r="F338">
        <f ca="1">SUM($E$2:E338)/SUM($D$2:D338)</f>
        <v>216.33107912905027</v>
      </c>
      <c r="G338">
        <f ca="1">_xlfn.STDEV.P($C$2:C338)</f>
        <v>27.829598685959706</v>
      </c>
      <c r="H338">
        <f t="shared" ca="1" si="106"/>
        <v>244.16067781500996</v>
      </c>
      <c r="I338">
        <f t="shared" ca="1" si="107"/>
        <v>188.50148044309057</v>
      </c>
      <c r="J338">
        <f t="shared" ca="1" si="95"/>
        <v>238.56300000000002</v>
      </c>
      <c r="K338">
        <f t="shared" ca="1" si="96"/>
        <v>9.2620175703614454</v>
      </c>
      <c r="L338">
        <f t="shared" ca="1" si="97"/>
        <v>257.08703514072289</v>
      </c>
      <c r="M338">
        <f t="shared" ca="1" si="98"/>
        <v>220.03896485927712</v>
      </c>
      <c r="N338">
        <f t="shared" ca="1" si="108"/>
        <v>-3.3100000000000023</v>
      </c>
      <c r="O338">
        <f t="shared" ca="1" si="109"/>
        <v>0</v>
      </c>
      <c r="P338">
        <f t="shared" ca="1" si="110"/>
        <v>3.3100000000000023</v>
      </c>
      <c r="Q338">
        <f t="shared" ca="1" si="114"/>
        <v>2.0967434682863204</v>
      </c>
      <c r="R338">
        <f t="shared" ca="1" si="115"/>
        <v>1.5131915274099861</v>
      </c>
      <c r="S338">
        <f t="shared" ca="1" si="112"/>
        <v>1.3856431458317477</v>
      </c>
      <c r="T338">
        <f t="shared" ca="1" si="113"/>
        <v>58.082582395140541</v>
      </c>
      <c r="U338">
        <f>70</f>
        <v>70</v>
      </c>
      <c r="V338">
        <f>30</f>
        <v>30</v>
      </c>
      <c r="W338">
        <f t="shared" ca="1" si="111"/>
        <v>244.83320991414473</v>
      </c>
      <c r="X338">
        <f t="shared" ca="1" si="100"/>
        <v>241.69685112055544</v>
      </c>
      <c r="Y338">
        <f t="shared" ca="1" si="99"/>
        <v>3.2675405422235713</v>
      </c>
      <c r="Z338">
        <f t="shared" ca="1" si="101"/>
        <v>1.4687273104374567</v>
      </c>
      <c r="AA338">
        <f t="shared" ca="1" si="102"/>
        <v>1.7988132317861145</v>
      </c>
      <c r="AB338">
        <f t="shared" ca="1" si="103"/>
        <v>248.01429999999999</v>
      </c>
    </row>
    <row r="339" spans="1:28" x14ac:dyDescent="0.25">
      <c r="A339" s="20">
        <f t="shared" ca="1" si="104"/>
        <v>45782</v>
      </c>
      <c r="B339" vm="1005">
        <f ca="1"/>
        <v>45784</v>
      </c>
      <c r="C339" vm="1006">
        <f ca="1"/>
        <v>249.39</v>
      </c>
      <c r="D339" vm="1007">
        <f ca="1"/>
        <v>8724267</v>
      </c>
      <c r="E339">
        <f t="shared" ca="1" si="105"/>
        <v>2175744947.1300001</v>
      </c>
      <c r="F339">
        <f ca="1">SUM($E$2:E339)/SUM($D$2:D339)</f>
        <v>216.42041296551804</v>
      </c>
      <c r="G339">
        <f ca="1">_xlfn.STDEV.P($C$2:C339)</f>
        <v>27.846162239142092</v>
      </c>
      <c r="H339">
        <f t="shared" ca="1" si="106"/>
        <v>244.26657520466014</v>
      </c>
      <c r="I339">
        <f t="shared" ca="1" si="107"/>
        <v>188.57425072637594</v>
      </c>
      <c r="J339">
        <f t="shared" ca="1" si="95"/>
        <v>240.18900000000002</v>
      </c>
      <c r="K339">
        <f t="shared" ca="1" si="96"/>
        <v>8.0252056212384879</v>
      </c>
      <c r="L339">
        <f t="shared" ca="1" si="97"/>
        <v>256.23941124247699</v>
      </c>
      <c r="M339">
        <f t="shared" ca="1" si="98"/>
        <v>224.13858875752305</v>
      </c>
      <c r="N339">
        <f t="shared" ca="1" si="108"/>
        <v>0.13999999999998636</v>
      </c>
      <c r="O339">
        <f t="shared" ca="1" si="109"/>
        <v>0.13999999999998636</v>
      </c>
      <c r="P339">
        <f t="shared" ca="1" si="110"/>
        <v>0</v>
      </c>
      <c r="Q339">
        <f t="shared" ca="1" si="114"/>
        <v>1.9569760776944396</v>
      </c>
      <c r="R339">
        <f t="shared" ca="1" si="115"/>
        <v>1.405106418309273</v>
      </c>
      <c r="S339">
        <f t="shared" ca="1" si="112"/>
        <v>1.3927600445019792</v>
      </c>
      <c r="T339">
        <f t="shared" ca="1" si="113"/>
        <v>58.207259340619061</v>
      </c>
      <c r="U339">
        <f>70</f>
        <v>70</v>
      </c>
      <c r="V339">
        <f>30</f>
        <v>30</v>
      </c>
      <c r="W339">
        <f t="shared" ca="1" si="111"/>
        <v>245.53425454273787</v>
      </c>
      <c r="X339">
        <f t="shared" ca="1" si="100"/>
        <v>242.2667140005143</v>
      </c>
      <c r="Y339">
        <f t="shared" ca="1" si="99"/>
        <v>3.6585514217264858</v>
      </c>
      <c r="Z339">
        <f t="shared" ca="1" si="101"/>
        <v>1.9066921326952626</v>
      </c>
      <c r="AA339">
        <f t="shared" ca="1" si="102"/>
        <v>1.7518592890312232</v>
      </c>
      <c r="AB339">
        <f t="shared" ca="1" si="103"/>
        <v>248.0796</v>
      </c>
    </row>
    <row r="340" spans="1:28" x14ac:dyDescent="0.25">
      <c r="A340" s="20">
        <f t="shared" ca="1" si="104"/>
        <v>45782</v>
      </c>
      <c r="B340" vm="1008">
        <f ca="1"/>
        <v>45785</v>
      </c>
      <c r="C340" vm="1009">
        <f ca="1"/>
        <v>253.47</v>
      </c>
      <c r="D340" vm="1010">
        <f ca="1"/>
        <v>8320118</v>
      </c>
      <c r="E340">
        <f t="shared" ca="1" si="105"/>
        <v>2108900309.46</v>
      </c>
      <c r="F340">
        <f ca="1">SUM($E$2:E340)/SUM($D$2:D340)</f>
        <v>216.51564727767874</v>
      </c>
      <c r="G340">
        <f ca="1">_xlfn.STDEV.P($C$2:C340)</f>
        <v>27.877326879798328</v>
      </c>
      <c r="H340">
        <f t="shared" ca="1" si="106"/>
        <v>244.39297415747706</v>
      </c>
      <c r="I340">
        <f t="shared" ca="1" si="107"/>
        <v>188.63832039788042</v>
      </c>
      <c r="J340">
        <f t="shared" ca="1" si="95"/>
        <v>241.1455</v>
      </c>
      <c r="K340">
        <f t="shared" ca="1" si="96"/>
        <v>8.4216228433591933</v>
      </c>
      <c r="L340">
        <f t="shared" ca="1" si="97"/>
        <v>257.9887456867184</v>
      </c>
      <c r="M340">
        <f t="shared" ca="1" si="98"/>
        <v>224.30225431328162</v>
      </c>
      <c r="N340">
        <f t="shared" ca="1" si="108"/>
        <v>4.0800000000000125</v>
      </c>
      <c r="O340">
        <f t="shared" ca="1" si="109"/>
        <v>4.0800000000000125</v>
      </c>
      <c r="P340">
        <f t="shared" ca="1" si="110"/>
        <v>0</v>
      </c>
      <c r="Q340">
        <f t="shared" ca="1" si="114"/>
        <v>2.1086206435734089</v>
      </c>
      <c r="R340">
        <f t="shared" ca="1" si="115"/>
        <v>1.3047416741443247</v>
      </c>
      <c r="S340">
        <f t="shared" ca="1" si="112"/>
        <v>1.6161211719984985</v>
      </c>
      <c r="T340">
        <f t="shared" ca="1" si="113"/>
        <v>61.775470849613463</v>
      </c>
      <c r="U340">
        <f>70</f>
        <v>70</v>
      </c>
      <c r="V340">
        <f>30</f>
        <v>30</v>
      </c>
      <c r="W340">
        <f t="shared" ca="1" si="111"/>
        <v>246.75513845923973</v>
      </c>
      <c r="X340">
        <f t="shared" ca="1" si="100"/>
        <v>243.09658703751325</v>
      </c>
      <c r="Y340">
        <f t="shared" ca="1" si="99"/>
        <v>3.8920949720865963</v>
      </c>
      <c r="Z340">
        <f t="shared" ca="1" si="101"/>
        <v>2.3037727005735293</v>
      </c>
      <c r="AA340">
        <f t="shared" ca="1" si="102"/>
        <v>1.5883222715130669</v>
      </c>
      <c r="AB340">
        <f t="shared" ca="1" si="103"/>
        <v>248.17899999999997</v>
      </c>
    </row>
    <row r="341" spans="1:28" x14ac:dyDescent="0.25">
      <c r="A341" s="20">
        <f t="shared" ca="1" si="104"/>
        <v>45782</v>
      </c>
      <c r="B341" vm="1011">
        <f ca="1"/>
        <v>45786</v>
      </c>
      <c r="C341" vm="1012">
        <f ca="1"/>
        <v>253.08</v>
      </c>
      <c r="D341" vm="1013">
        <f ca="1"/>
        <v>5087639</v>
      </c>
      <c r="E341">
        <f t="shared" ca="1" si="105"/>
        <v>1287579678.1200001</v>
      </c>
      <c r="F341">
        <f ca="1">SUM($E$2:E341)/SUM($D$2:D341)</f>
        <v>216.57302888143727</v>
      </c>
      <c r="G341">
        <f ca="1">_xlfn.STDEV.P($C$2:C341)</f>
        <v>27.906347479259644</v>
      </c>
      <c r="H341">
        <f t="shared" ca="1" si="106"/>
        <v>244.4793763606969</v>
      </c>
      <c r="I341">
        <f t="shared" ca="1" si="107"/>
        <v>188.66668140217763</v>
      </c>
      <c r="J341">
        <f t="shared" ca="1" si="95"/>
        <v>242.44399999999996</v>
      </c>
      <c r="K341">
        <f t="shared" ca="1" si="96"/>
        <v>8.1410780354291745</v>
      </c>
      <c r="L341">
        <f t="shared" ca="1" si="97"/>
        <v>258.72615607085834</v>
      </c>
      <c r="M341">
        <f t="shared" ca="1" si="98"/>
        <v>226.16184392914161</v>
      </c>
      <c r="N341">
        <f t="shared" ca="1" si="108"/>
        <v>-0.38999999999998636</v>
      </c>
      <c r="O341">
        <f t="shared" ca="1" si="109"/>
        <v>0</v>
      </c>
      <c r="P341">
        <f t="shared" ca="1" si="110"/>
        <v>0.38999999999998636</v>
      </c>
      <c r="Q341">
        <f t="shared" ca="1" si="114"/>
        <v>1.9580048833181656</v>
      </c>
      <c r="R341">
        <f t="shared" ca="1" si="115"/>
        <v>1.239402983134015</v>
      </c>
      <c r="S341">
        <f t="shared" ca="1" si="112"/>
        <v>1.5797968134359808</v>
      </c>
      <c r="T341">
        <f t="shared" ca="1" si="113"/>
        <v>61.237257337793217</v>
      </c>
      <c r="U341">
        <f>70</f>
        <v>70</v>
      </c>
      <c r="V341">
        <f>30</f>
        <v>30</v>
      </c>
      <c r="W341">
        <f t="shared" ca="1" si="111"/>
        <v>247.72819408089515</v>
      </c>
      <c r="X341">
        <f t="shared" ca="1" si="100"/>
        <v>243.83609910880855</v>
      </c>
      <c r="Y341">
        <f t="shared" ca="1" si="99"/>
        <v>4.5867277255358374</v>
      </c>
      <c r="Z341">
        <f t="shared" ca="1" si="101"/>
        <v>2.7603637055659913</v>
      </c>
      <c r="AA341">
        <f t="shared" ca="1" si="102"/>
        <v>1.8263640199698461</v>
      </c>
      <c r="AB341">
        <f t="shared" ca="1" si="103"/>
        <v>248.29450000000006</v>
      </c>
    </row>
    <row r="342" spans="1:28" x14ac:dyDescent="0.25">
      <c r="A342" s="20">
        <f t="shared" ca="1" si="104"/>
        <v>45789</v>
      </c>
      <c r="B342" vm="1014">
        <f ca="1"/>
        <v>45789</v>
      </c>
      <c r="C342" vm="1015">
        <f ca="1"/>
        <v>260.05</v>
      </c>
      <c r="D342" vm="1016">
        <f ca="1"/>
        <v>9603892</v>
      </c>
      <c r="E342">
        <f t="shared" ca="1" si="105"/>
        <v>2497492114.5999999</v>
      </c>
      <c r="F342">
        <f ca="1">SUM($E$2:E342)/SUM($D$2:D342)</f>
        <v>216.70144525302544</v>
      </c>
      <c r="G342">
        <f ca="1">_xlfn.STDEV.P($C$2:C342)</f>
        <v>27.963829419296939</v>
      </c>
      <c r="H342">
        <f t="shared" ca="1" si="106"/>
        <v>244.66527467232237</v>
      </c>
      <c r="I342">
        <f t="shared" ca="1" si="107"/>
        <v>188.73761583372851</v>
      </c>
      <c r="J342">
        <f t="shared" ref="J342:J405" ca="1" si="116">AVERAGE(C323:C342)</f>
        <v>243.63649999999998</v>
      </c>
      <c r="K342">
        <f t="shared" ref="K342:K405" ca="1" si="117">_xlfn.STDEV.S(C323:C342)</f>
        <v>8.8905877344052939</v>
      </c>
      <c r="L342">
        <f t="shared" ref="L342:L405" ca="1" si="118">J342 + 2*K342</f>
        <v>261.41767546881056</v>
      </c>
      <c r="M342">
        <f t="shared" ref="M342:M405" ca="1" si="119">J342-2*K342</f>
        <v>225.85532453118941</v>
      </c>
      <c r="N342">
        <f t="shared" ca="1" si="108"/>
        <v>6.9699999999999989</v>
      </c>
      <c r="O342">
        <f t="shared" ca="1" si="109"/>
        <v>6.9699999999999989</v>
      </c>
      <c r="P342">
        <f t="shared" ca="1" si="110"/>
        <v>0</v>
      </c>
      <c r="Q342">
        <f t="shared" ca="1" si="114"/>
        <v>2.3160045345097253</v>
      </c>
      <c r="R342">
        <f t="shared" ca="1" si="115"/>
        <v>1.1508741986244426</v>
      </c>
      <c r="S342">
        <f t="shared" ca="1" si="112"/>
        <v>2.0123872246661532</v>
      </c>
      <c r="T342">
        <f t="shared" ca="1" si="113"/>
        <v>66.803736524582263</v>
      </c>
      <c r="U342">
        <f>70</f>
        <v>70</v>
      </c>
      <c r="V342">
        <f>30</f>
        <v>30</v>
      </c>
      <c r="W342">
        <f t="shared" ca="1" si="111"/>
        <v>249.62385652998822</v>
      </c>
      <c r="X342">
        <f t="shared" ca="1" si="100"/>
        <v>245.03712880445238</v>
      </c>
      <c r="Y342">
        <f t="shared" ca="1" si="99"/>
        <v>5.3148106209671653</v>
      </c>
      <c r="Z342">
        <f t="shared" ca="1" si="101"/>
        <v>3.2712530886462261</v>
      </c>
      <c r="AA342">
        <f t="shared" ca="1" si="102"/>
        <v>2.0435575323209392</v>
      </c>
      <c r="AB342">
        <f t="shared" ca="1" si="103"/>
        <v>248.49560000000002</v>
      </c>
    </row>
    <row r="343" spans="1:28" x14ac:dyDescent="0.25">
      <c r="A343" s="20">
        <f t="shared" ca="1" si="104"/>
        <v>45789</v>
      </c>
      <c r="B343" vm="1017">
        <f ca="1"/>
        <v>45790</v>
      </c>
      <c r="C343" vm="1018">
        <f ca="1"/>
        <v>263.01</v>
      </c>
      <c r="D343" vm="1019">
        <f ca="1"/>
        <v>8588961</v>
      </c>
      <c r="E343">
        <f t="shared" ca="1" si="105"/>
        <v>2258982632.6100001</v>
      </c>
      <c r="F343">
        <f ca="1">SUM($E$2:E343)/SUM($D$2:D343)</f>
        <v>216.82344811477827</v>
      </c>
      <c r="G343">
        <f ca="1">_xlfn.STDEV.P($C$2:C343)</f>
        <v>28.034051381108885</v>
      </c>
      <c r="H343">
        <f t="shared" ca="1" si="106"/>
        <v>244.85749949588717</v>
      </c>
      <c r="I343">
        <f t="shared" ca="1" si="107"/>
        <v>188.78939673366938</v>
      </c>
      <c r="J343">
        <f t="shared" ca="1" si="116"/>
        <v>245.05099999999999</v>
      </c>
      <c r="K343">
        <f t="shared" ca="1" si="117"/>
        <v>9.6180225016426952</v>
      </c>
      <c r="L343">
        <f t="shared" ca="1" si="118"/>
        <v>264.28704500328536</v>
      </c>
      <c r="M343">
        <f t="shared" ca="1" si="119"/>
        <v>225.81495499671459</v>
      </c>
      <c r="N343">
        <f t="shared" ca="1" si="108"/>
        <v>2.9599999999999795</v>
      </c>
      <c r="O343">
        <f t="shared" ca="1" si="109"/>
        <v>2.9599999999999795</v>
      </c>
      <c r="P343">
        <f t="shared" ca="1" si="110"/>
        <v>0</v>
      </c>
      <c r="Q343">
        <f t="shared" ca="1" si="114"/>
        <v>2.3620042106161718</v>
      </c>
      <c r="R343">
        <f t="shared" ca="1" si="115"/>
        <v>1.0686688987226967</v>
      </c>
      <c r="S343">
        <f t="shared" ca="1" si="112"/>
        <v>2.2102301409157747</v>
      </c>
      <c r="T343">
        <f t="shared" ca="1" si="113"/>
        <v>68.849585353568074</v>
      </c>
      <c r="U343">
        <f>70</f>
        <v>70</v>
      </c>
      <c r="V343">
        <f>30</f>
        <v>30</v>
      </c>
      <c r="W343">
        <f t="shared" ca="1" si="111"/>
        <v>251.68326321768234</v>
      </c>
      <c r="X343">
        <f t="shared" ca="1" si="100"/>
        <v>246.36845259671517</v>
      </c>
      <c r="Y343">
        <f t="shared" ca="1" si="99"/>
        <v>6.0344788652969612</v>
      </c>
      <c r="Z343">
        <f t="shared" ca="1" si="101"/>
        <v>3.8238982439763736</v>
      </c>
      <c r="AA343">
        <f t="shared" ca="1" si="102"/>
        <v>2.2105806213205876</v>
      </c>
      <c r="AB343">
        <f t="shared" ca="1" si="103"/>
        <v>248.72989999999999</v>
      </c>
    </row>
    <row r="344" spans="1:28" x14ac:dyDescent="0.25">
      <c r="A344" s="20">
        <f t="shared" ca="1" si="104"/>
        <v>45789</v>
      </c>
      <c r="B344" vm="1020">
        <f ca="1"/>
        <v>45791</v>
      </c>
      <c r="C344" vm="1021">
        <f ca="1"/>
        <v>265.64</v>
      </c>
      <c r="D344" vm="1022">
        <f ca="1"/>
        <v>8643060</v>
      </c>
      <c r="E344">
        <f t="shared" ca="1" si="105"/>
        <v>2295942458.4000001</v>
      </c>
      <c r="F344">
        <f ca="1">SUM($E$2:E344)/SUM($D$2:D344)</f>
        <v>216.95252632292349</v>
      </c>
      <c r="G344">
        <f ca="1">_xlfn.STDEV.P($C$2:C344)</f>
        <v>28.115929127546224</v>
      </c>
      <c r="H344">
        <f t="shared" ca="1" si="106"/>
        <v>245.06845545046971</v>
      </c>
      <c r="I344">
        <f t="shared" ca="1" si="107"/>
        <v>188.83659719537727</v>
      </c>
      <c r="J344">
        <f t="shared" ca="1" si="116"/>
        <v>246.67650000000003</v>
      </c>
      <c r="K344">
        <f t="shared" ca="1" si="117"/>
        <v>10.225284592616477</v>
      </c>
      <c r="L344">
        <f t="shared" ca="1" si="118"/>
        <v>267.12706918523298</v>
      </c>
      <c r="M344">
        <f t="shared" ca="1" si="119"/>
        <v>226.22593081476708</v>
      </c>
      <c r="N344">
        <f t="shared" ca="1" si="108"/>
        <v>2.6299999999999955</v>
      </c>
      <c r="O344">
        <f t="shared" ca="1" si="109"/>
        <v>2.6299999999999955</v>
      </c>
      <c r="P344">
        <f t="shared" ca="1" si="110"/>
        <v>0</v>
      </c>
      <c r="Q344">
        <f t="shared" ca="1" si="114"/>
        <v>2.3811467670007311</v>
      </c>
      <c r="R344">
        <f t="shared" ca="1" si="115"/>
        <v>0.99233540595678971</v>
      </c>
      <c r="S344">
        <f t="shared" ca="1" si="112"/>
        <v>2.399538253605773</v>
      </c>
      <c r="T344">
        <f t="shared" ca="1" si="113"/>
        <v>70.584240405609961</v>
      </c>
      <c r="U344">
        <f>70</f>
        <v>70</v>
      </c>
      <c r="V344">
        <f>30</f>
        <v>30</v>
      </c>
      <c r="W344">
        <f t="shared" ca="1" si="111"/>
        <v>253.83045349188507</v>
      </c>
      <c r="X344">
        <f t="shared" ca="1" si="100"/>
        <v>247.79597462658811</v>
      </c>
      <c r="Y344">
        <f t="shared" ca="1" si="99"/>
        <v>6.6771308645262764</v>
      </c>
      <c r="Z344">
        <f t="shared" ca="1" si="101"/>
        <v>4.3945447680863543</v>
      </c>
      <c r="AA344">
        <f t="shared" ca="1" si="102"/>
        <v>2.2825860964399221</v>
      </c>
      <c r="AB344">
        <f t="shared" ca="1" si="103"/>
        <v>249.00269999999998</v>
      </c>
    </row>
    <row r="345" spans="1:28" x14ac:dyDescent="0.25">
      <c r="A345" s="20">
        <f t="shared" ca="1" si="104"/>
        <v>45789</v>
      </c>
      <c r="B345" vm="1023">
        <f ca="1"/>
        <v>45792</v>
      </c>
      <c r="C345" vm="1024">
        <f ca="1"/>
        <v>267.49</v>
      </c>
      <c r="D345" vm="1025">
        <f ca="1"/>
        <v>9214641</v>
      </c>
      <c r="E345">
        <f t="shared" ca="1" si="105"/>
        <v>2464824321.0900002</v>
      </c>
      <c r="F345">
        <f ca="1">SUM($E$2:E345)/SUM($D$2:D345)</f>
        <v>217.09459151718812</v>
      </c>
      <c r="G345">
        <f ca="1">_xlfn.STDEV.P($C$2:C345)</f>
        <v>28.205792127589998</v>
      </c>
      <c r="H345">
        <f t="shared" ca="1" si="106"/>
        <v>245.30038364477812</v>
      </c>
      <c r="I345">
        <f t="shared" ca="1" si="107"/>
        <v>188.88879938959812</v>
      </c>
      <c r="J345">
        <f t="shared" ca="1" si="116"/>
        <v>248.57049999999995</v>
      </c>
      <c r="K345">
        <f t="shared" ca="1" si="117"/>
        <v>10.404361673937773</v>
      </c>
      <c r="L345">
        <f t="shared" ca="1" si="118"/>
        <v>269.3792233478755</v>
      </c>
      <c r="M345">
        <f t="shared" ca="1" si="119"/>
        <v>227.76177665212441</v>
      </c>
      <c r="N345">
        <f t="shared" ca="1" si="108"/>
        <v>1.8500000000000227</v>
      </c>
      <c r="O345">
        <f t="shared" ca="1" si="109"/>
        <v>1.8500000000000227</v>
      </c>
      <c r="P345">
        <f t="shared" ca="1" si="110"/>
        <v>0</v>
      </c>
      <c r="Q345">
        <f t="shared" ca="1" si="114"/>
        <v>2.3432077122149662</v>
      </c>
      <c r="R345">
        <f t="shared" ca="1" si="115"/>
        <v>0.92145430553130481</v>
      </c>
      <c r="S345">
        <f t="shared" ca="1" si="112"/>
        <v>2.5429451011831641</v>
      </c>
      <c r="T345">
        <f t="shared" ca="1" si="113"/>
        <v>71.774894291586662</v>
      </c>
      <c r="U345">
        <f>70</f>
        <v>70</v>
      </c>
      <c r="V345">
        <f>30</f>
        <v>30</v>
      </c>
      <c r="W345">
        <f t="shared" ca="1" si="111"/>
        <v>255.93192218544121</v>
      </c>
      <c r="X345">
        <f t="shared" ca="1" si="100"/>
        <v>249.25479132091493</v>
      </c>
      <c r="Y345">
        <f t="shared" ca="1" si="99"/>
        <v>7.1101245292839792</v>
      </c>
      <c r="Z345">
        <f t="shared" ca="1" si="101"/>
        <v>4.93766072032588</v>
      </c>
      <c r="AA345">
        <f t="shared" ca="1" si="102"/>
        <v>2.1724638089580992</v>
      </c>
      <c r="AB345">
        <f t="shared" ca="1" si="103"/>
        <v>249.37389999999999</v>
      </c>
    </row>
    <row r="346" spans="1:28" x14ac:dyDescent="0.25">
      <c r="A346" s="20">
        <f t="shared" ca="1" si="104"/>
        <v>45789</v>
      </c>
      <c r="B346" vm="1026">
        <f ca="1"/>
        <v>45793</v>
      </c>
      <c r="C346" vm="1027">
        <f ca="1"/>
        <v>267.56</v>
      </c>
      <c r="D346" vm="1028">
        <f ca="1"/>
        <v>8932912</v>
      </c>
      <c r="E346">
        <f t="shared" ca="1" si="105"/>
        <v>2390089934.7199998</v>
      </c>
      <c r="F346">
        <f ca="1">SUM($E$2:E346)/SUM($D$2:D346)</f>
        <v>217.23174305661425</v>
      </c>
      <c r="G346">
        <f ca="1">_xlfn.STDEV.P($C$2:C346)</f>
        <v>28.29445903921378</v>
      </c>
      <c r="H346">
        <f t="shared" ca="1" si="106"/>
        <v>245.52620209582804</v>
      </c>
      <c r="I346">
        <f t="shared" ca="1" si="107"/>
        <v>188.93728401740046</v>
      </c>
      <c r="J346">
        <f t="shared" ca="1" si="116"/>
        <v>250.35050000000001</v>
      </c>
      <c r="K346">
        <f t="shared" ca="1" si="117"/>
        <v>10.458158474808579</v>
      </c>
      <c r="L346">
        <f t="shared" ca="1" si="118"/>
        <v>271.26681694961718</v>
      </c>
      <c r="M346">
        <f t="shared" ca="1" si="119"/>
        <v>229.43418305038284</v>
      </c>
      <c r="N346">
        <f t="shared" ca="1" si="108"/>
        <v>6.9999999999993179E-2</v>
      </c>
      <c r="O346">
        <f t="shared" ca="1" si="109"/>
        <v>6.9999999999993179E-2</v>
      </c>
      <c r="P346">
        <f t="shared" ca="1" si="110"/>
        <v>0</v>
      </c>
      <c r="Q346">
        <f t="shared" ca="1" si="114"/>
        <v>2.1808357327710395</v>
      </c>
      <c r="R346">
        <f t="shared" ca="1" si="115"/>
        <v>0.85563614085049733</v>
      </c>
      <c r="S346">
        <f t="shared" ca="1" si="112"/>
        <v>2.5487887066145913</v>
      </c>
      <c r="T346">
        <f t="shared" ca="1" si="113"/>
        <v>71.821371102311645</v>
      </c>
      <c r="U346">
        <f>70</f>
        <v>70</v>
      </c>
      <c r="V346">
        <f>30</f>
        <v>30</v>
      </c>
      <c r="W346">
        <f t="shared" ca="1" si="111"/>
        <v>257.72085723383486</v>
      </c>
      <c r="X346">
        <f t="shared" ca="1" si="100"/>
        <v>250.61073270455088</v>
      </c>
      <c r="Y346">
        <f t="shared" ca="1" si="99"/>
        <v>7.154548346068168</v>
      </c>
      <c r="Z346">
        <f t="shared" ca="1" si="101"/>
        <v>5.381038245474338</v>
      </c>
      <c r="AA346">
        <f t="shared" ca="1" si="102"/>
        <v>1.7735101005938301</v>
      </c>
      <c r="AB346">
        <f t="shared" ca="1" si="103"/>
        <v>249.71990000000002</v>
      </c>
    </row>
    <row r="347" spans="1:28" x14ac:dyDescent="0.25">
      <c r="A347" s="20">
        <f t="shared" ca="1" si="104"/>
        <v>45796</v>
      </c>
      <c r="B347" vm="1029">
        <f ca="1"/>
        <v>45796</v>
      </c>
      <c r="C347" vm="1030">
        <f ca="1"/>
        <v>264.88</v>
      </c>
      <c r="D347" vm="1031">
        <f ca="1"/>
        <v>12145045</v>
      </c>
      <c r="E347">
        <f t="shared" ca="1" si="105"/>
        <v>3216979519.5999999</v>
      </c>
      <c r="F347">
        <f ca="1">SUM($E$2:E347)/SUM($D$2:D347)</f>
        <v>217.40715462394857</v>
      </c>
      <c r="G347">
        <f ca="1">_xlfn.STDEV.P($C$2:C347)</f>
        <v>28.368306314352058</v>
      </c>
      <c r="H347">
        <f t="shared" ca="1" si="106"/>
        <v>245.77546093830063</v>
      </c>
      <c r="I347">
        <f t="shared" ca="1" si="107"/>
        <v>189.03884830959652</v>
      </c>
      <c r="J347">
        <f t="shared" ca="1" si="116"/>
        <v>252.14499999999998</v>
      </c>
      <c r="K347">
        <f t="shared" ca="1" si="117"/>
        <v>9.6477957668005558</v>
      </c>
      <c r="L347">
        <f t="shared" ca="1" si="118"/>
        <v>271.44059153360109</v>
      </c>
      <c r="M347">
        <f t="shared" ca="1" si="119"/>
        <v>232.84940846639887</v>
      </c>
      <c r="N347">
        <f t="shared" ca="1" si="108"/>
        <v>-2.6800000000000068</v>
      </c>
      <c r="O347">
        <f t="shared" ca="1" si="109"/>
        <v>0</v>
      </c>
      <c r="P347">
        <f t="shared" ca="1" si="110"/>
        <v>2.6800000000000068</v>
      </c>
      <c r="Q347">
        <f t="shared" ca="1" si="114"/>
        <v>2.0250617518588223</v>
      </c>
      <c r="R347">
        <f t="shared" ca="1" si="115"/>
        <v>0.98594784507546229</v>
      </c>
      <c r="S347">
        <f t="shared" ca="1" si="112"/>
        <v>2.0539238074036548</v>
      </c>
      <c r="T347">
        <f t="shared" ca="1" si="113"/>
        <v>67.255240698026228</v>
      </c>
      <c r="U347">
        <f>70</f>
        <v>70</v>
      </c>
      <c r="V347">
        <f>30</f>
        <v>30</v>
      </c>
      <c r="W347">
        <f t="shared" ca="1" si="111"/>
        <v>258.82226381324489</v>
      </c>
      <c r="X347">
        <f t="shared" ca="1" si="100"/>
        <v>251.66771546717672</v>
      </c>
      <c r="Y347">
        <f t="shared" ca="1" si="99"/>
        <v>7.171637680060627</v>
      </c>
      <c r="Z347">
        <f t="shared" ca="1" si="101"/>
        <v>5.7391581323915961</v>
      </c>
      <c r="AA347">
        <f t="shared" ca="1" si="102"/>
        <v>1.4324795476690309</v>
      </c>
      <c r="AB347">
        <f t="shared" ca="1" si="103"/>
        <v>249.99270000000004</v>
      </c>
    </row>
    <row r="348" spans="1:28" x14ac:dyDescent="0.25">
      <c r="A348" s="20">
        <f t="shared" ca="1" si="104"/>
        <v>45796</v>
      </c>
      <c r="B348" vm="1032">
        <f ca="1"/>
        <v>45797</v>
      </c>
      <c r="C348" vm="1033">
        <f ca="1"/>
        <v>265.68</v>
      </c>
      <c r="D348" vm="1034">
        <f ca="1"/>
        <v>8436337</v>
      </c>
      <c r="E348">
        <f t="shared" ca="1" si="105"/>
        <v>2241366014.1599998</v>
      </c>
      <c r="F348">
        <f ca="1">SUM($E$2:E348)/SUM($D$2:D348)</f>
        <v>217.53028344962172</v>
      </c>
      <c r="G348">
        <f ca="1">_xlfn.STDEV.P($C$2:C348)</f>
        <v>28.444740500921409</v>
      </c>
      <c r="H348">
        <f t="shared" ca="1" si="106"/>
        <v>245.97502395054312</v>
      </c>
      <c r="I348">
        <f t="shared" ca="1" si="107"/>
        <v>189.08554294870032</v>
      </c>
      <c r="J348">
        <f t="shared" ca="1" si="116"/>
        <v>253.64950000000005</v>
      </c>
      <c r="K348">
        <f t="shared" ca="1" si="117"/>
        <v>9.2690120264982099</v>
      </c>
      <c r="L348">
        <f t="shared" ca="1" si="118"/>
        <v>272.18752405299648</v>
      </c>
      <c r="M348">
        <f t="shared" ca="1" si="119"/>
        <v>235.11147594700361</v>
      </c>
      <c r="N348">
        <f t="shared" ca="1" si="108"/>
        <v>0.80000000000001137</v>
      </c>
      <c r="O348">
        <f t="shared" ca="1" si="109"/>
        <v>0.80000000000001137</v>
      </c>
      <c r="P348">
        <f t="shared" ca="1" si="110"/>
        <v>0</v>
      </c>
      <c r="Q348">
        <f t="shared" ca="1" si="114"/>
        <v>1.9375573410117644</v>
      </c>
      <c r="R348">
        <f t="shared" ca="1" si="115"/>
        <v>0.91552299899864364</v>
      </c>
      <c r="S348">
        <f t="shared" ca="1" si="112"/>
        <v>2.1163393416997436</v>
      </c>
      <c r="T348">
        <f t="shared" ca="1" si="113"/>
        <v>67.911068393002068</v>
      </c>
      <c r="U348">
        <f>70</f>
        <v>70</v>
      </c>
      <c r="V348">
        <f>30</f>
        <v>30</v>
      </c>
      <c r="W348">
        <f t="shared" ca="1" si="111"/>
        <v>259.87730014966871</v>
      </c>
      <c r="X348">
        <f t="shared" ca="1" si="100"/>
        <v>252.70566246960809</v>
      </c>
      <c r="Y348">
        <f t="shared" ref="Y348:Y411" ca="1" si="120">W349-X349</f>
        <v>6.7331562445270094</v>
      </c>
      <c r="Z348">
        <f t="shared" ca="1" si="101"/>
        <v>5.9379577548186795</v>
      </c>
      <c r="AA348">
        <f t="shared" ca="1" si="102"/>
        <v>0.79519848970832996</v>
      </c>
      <c r="AB348">
        <f t="shared" ca="1" si="103"/>
        <v>250.26560000000006</v>
      </c>
    </row>
    <row r="349" spans="1:28" x14ac:dyDescent="0.25">
      <c r="A349" s="20">
        <f t="shared" ca="1" si="104"/>
        <v>45796</v>
      </c>
      <c r="B349" vm="1035">
        <f ca="1"/>
        <v>45798</v>
      </c>
      <c r="C349" vm="1036">
        <f ca="1"/>
        <v>261.04000000000002</v>
      </c>
      <c r="D349" vm="1037">
        <f ca="1"/>
        <v>7464045</v>
      </c>
      <c r="E349">
        <f t="shared" ca="1" si="105"/>
        <v>1948414306.8000002</v>
      </c>
      <c r="F349">
        <f ca="1">SUM($E$2:E349)/SUM($D$2:D349)</f>
        <v>217.62825149574957</v>
      </c>
      <c r="G349">
        <f ca="1">_xlfn.STDEV.P($C$2:C349)</f>
        <v>28.498556068352887</v>
      </c>
      <c r="H349">
        <f t="shared" ca="1" si="106"/>
        <v>246.12680756410245</v>
      </c>
      <c r="I349">
        <f t="shared" ca="1" si="107"/>
        <v>189.12969542739668</v>
      </c>
      <c r="J349">
        <f t="shared" ca="1" si="116"/>
        <v>254.65750000000003</v>
      </c>
      <c r="K349">
        <f t="shared" ca="1" si="117"/>
        <v>8.8959339470048739</v>
      </c>
      <c r="L349">
        <f t="shared" ca="1" si="118"/>
        <v>272.44936789400975</v>
      </c>
      <c r="M349">
        <f t="shared" ca="1" si="119"/>
        <v>236.86563210599027</v>
      </c>
      <c r="N349">
        <f t="shared" ca="1" si="108"/>
        <v>-4.6399999999999864</v>
      </c>
      <c r="O349">
        <f t="shared" ca="1" si="109"/>
        <v>0</v>
      </c>
      <c r="P349">
        <f t="shared" ca="1" si="110"/>
        <v>4.6399999999999864</v>
      </c>
      <c r="Q349">
        <f t="shared" ca="1" si="114"/>
        <v>1.7991603880823526</v>
      </c>
      <c r="R349">
        <f t="shared" ca="1" si="115"/>
        <v>1.1815570704987395</v>
      </c>
      <c r="S349">
        <f t="shared" ca="1" si="112"/>
        <v>1.522702908732898</v>
      </c>
      <c r="T349">
        <f t="shared" ca="1" si="113"/>
        <v>60.359977524968272</v>
      </c>
      <c r="U349">
        <f>70</f>
        <v>70</v>
      </c>
      <c r="V349">
        <f>30</f>
        <v>30</v>
      </c>
      <c r="W349">
        <f t="shared" ca="1" si="111"/>
        <v>260.05617704971968</v>
      </c>
      <c r="X349">
        <f t="shared" ref="X349:X412" ca="1" si="121">C349*(2/(26+1)) + X348*(1-(2/(26+1)))</f>
        <v>253.32302080519267</v>
      </c>
      <c r="Y349">
        <f t="shared" ca="1" si="120"/>
        <v>6.2833698634732968</v>
      </c>
      <c r="Z349">
        <f t="shared" ca="1" si="101"/>
        <v>6.0070401765496033</v>
      </c>
      <c r="AA349">
        <f t="shared" ca="1" si="102"/>
        <v>0.27632968692369353</v>
      </c>
      <c r="AB349">
        <f t="shared" ca="1" si="103"/>
        <v>250.45290000000006</v>
      </c>
    </row>
    <row r="350" spans="1:28" x14ac:dyDescent="0.25">
      <c r="A350" s="20">
        <f t="shared" ca="1" si="104"/>
        <v>45796</v>
      </c>
      <c r="B350" vm="1038">
        <f ca="1"/>
        <v>45799</v>
      </c>
      <c r="C350" vm="1039">
        <f ca="1"/>
        <v>260.67</v>
      </c>
      <c r="D350" vm="1040">
        <f ca="1"/>
        <v>6514113</v>
      </c>
      <c r="E350">
        <f t="shared" ca="1" si="105"/>
        <v>1698033835.71</v>
      </c>
      <c r="F350">
        <f ca="1">SUM($E$2:E350)/SUM($D$2:D350)</f>
        <v>217.71266589867778</v>
      </c>
      <c r="G350">
        <f ca="1">_xlfn.STDEV.P($C$2:C350)</f>
        <v>28.549828990838016</v>
      </c>
      <c r="H350">
        <f t="shared" ca="1" si="106"/>
        <v>246.26249488951581</v>
      </c>
      <c r="I350">
        <f t="shared" ca="1" si="107"/>
        <v>189.16283690783976</v>
      </c>
      <c r="J350">
        <f t="shared" ca="1" si="116"/>
        <v>255.459</v>
      </c>
      <c r="K350">
        <f t="shared" ca="1" si="117"/>
        <v>8.6650142891733868</v>
      </c>
      <c r="L350">
        <f t="shared" ca="1" si="118"/>
        <v>272.7890285783468</v>
      </c>
      <c r="M350">
        <f t="shared" ca="1" si="119"/>
        <v>238.12897142165323</v>
      </c>
      <c r="N350">
        <f t="shared" ca="1" si="108"/>
        <v>-0.37000000000000455</v>
      </c>
      <c r="O350">
        <f t="shared" ca="1" si="109"/>
        <v>0</v>
      </c>
      <c r="P350">
        <f t="shared" ca="1" si="110"/>
        <v>0.37000000000000455</v>
      </c>
      <c r="Q350">
        <f t="shared" ca="1" si="114"/>
        <v>1.670648931790756</v>
      </c>
      <c r="R350">
        <f t="shared" ca="1" si="115"/>
        <v>1.1235887083202585</v>
      </c>
      <c r="S350">
        <f t="shared" ca="1" si="112"/>
        <v>1.4868865443551325</v>
      </c>
      <c r="T350">
        <f t="shared" ca="1" si="113"/>
        <v>59.789078344975039</v>
      </c>
      <c r="U350">
        <f>70</f>
        <v>70</v>
      </c>
      <c r="V350">
        <f>30</f>
        <v>30</v>
      </c>
      <c r="W350">
        <f t="shared" ca="1" si="111"/>
        <v>260.15061134976281</v>
      </c>
      <c r="X350">
        <f t="shared" ca="1" si="121"/>
        <v>253.86724148628952</v>
      </c>
      <c r="Y350">
        <f t="shared" ca="1" si="120"/>
        <v>5.8625586548019157</v>
      </c>
      <c r="Z350">
        <f t="shared" ca="1" si="101"/>
        <v>5.9781438722000662</v>
      </c>
      <c r="AA350">
        <f t="shared" ca="1" si="102"/>
        <v>-0.11558521739815042</v>
      </c>
      <c r="AB350">
        <f t="shared" ca="1" si="103"/>
        <v>250.62820000000002</v>
      </c>
    </row>
    <row r="351" spans="1:28" x14ac:dyDescent="0.25">
      <c r="A351" s="20">
        <f t="shared" ca="1" si="104"/>
        <v>45796</v>
      </c>
      <c r="B351" vm="1041">
        <f ca="1"/>
        <v>45800</v>
      </c>
      <c r="C351" vm="1042">
        <f ca="1"/>
        <v>260.70999999999998</v>
      </c>
      <c r="D351" vm="1043">
        <f ca="1"/>
        <v>6671841</v>
      </c>
      <c r="E351">
        <f t="shared" ca="1" si="105"/>
        <v>1739415667.1099999</v>
      </c>
      <c r="F351">
        <f ca="1">SUM($E$2:E351)/SUM($D$2:D351)</f>
        <v>217.79886189234327</v>
      </c>
      <c r="G351">
        <f ca="1">_xlfn.STDEV.P($C$2:C351)</f>
        <v>28.600365037615759</v>
      </c>
      <c r="H351">
        <f t="shared" ca="1" si="106"/>
        <v>246.39922692995901</v>
      </c>
      <c r="I351">
        <f t="shared" ca="1" si="107"/>
        <v>189.19849685472752</v>
      </c>
      <c r="J351">
        <f t="shared" ca="1" si="116"/>
        <v>256.31700000000001</v>
      </c>
      <c r="K351">
        <f t="shared" ca="1" si="117"/>
        <v>8.2640388367151836</v>
      </c>
      <c r="L351">
        <f t="shared" ca="1" si="118"/>
        <v>272.84507767343035</v>
      </c>
      <c r="M351">
        <f t="shared" ca="1" si="119"/>
        <v>239.78892232656963</v>
      </c>
      <c r="N351">
        <f t="shared" ca="1" si="108"/>
        <v>3.999999999996362E-2</v>
      </c>
      <c r="O351">
        <f t="shared" ca="1" si="109"/>
        <v>3.999999999996362E-2</v>
      </c>
      <c r="P351">
        <f t="shared" ca="1" si="110"/>
        <v>0</v>
      </c>
      <c r="Q351">
        <f t="shared" ca="1" si="114"/>
        <v>1.5541740080914137</v>
      </c>
      <c r="R351">
        <f t="shared" ca="1" si="115"/>
        <v>1.0433323720116685</v>
      </c>
      <c r="S351">
        <f t="shared" ca="1" si="112"/>
        <v>1.489625022460275</v>
      </c>
      <c r="T351">
        <f t="shared" ca="1" si="113"/>
        <v>59.833308591516762</v>
      </c>
      <c r="U351">
        <f>70</f>
        <v>70</v>
      </c>
      <c r="V351">
        <f>30</f>
        <v>30</v>
      </c>
      <c r="W351">
        <f t="shared" ca="1" si="111"/>
        <v>260.23667114210701</v>
      </c>
      <c r="X351">
        <f t="shared" ca="1" si="121"/>
        <v>254.3741124873051</v>
      </c>
      <c r="Y351">
        <f t="shared" ca="1" si="120"/>
        <v>5.8314096035089449</v>
      </c>
      <c r="Z351">
        <f t="shared" ca="1" si="101"/>
        <v>5.9487970184618426</v>
      </c>
      <c r="AA351">
        <f t="shared" ca="1" si="102"/>
        <v>-0.11738741495289773</v>
      </c>
      <c r="AB351">
        <f t="shared" ca="1" si="103"/>
        <v>250.8236</v>
      </c>
    </row>
    <row r="352" spans="1:28" x14ac:dyDescent="0.25">
      <c r="A352" s="20">
        <f t="shared" ca="1" si="104"/>
        <v>45803</v>
      </c>
      <c r="B352" vm="1044">
        <f ca="1"/>
        <v>45804</v>
      </c>
      <c r="C352" vm="1045">
        <f ca="1"/>
        <v>265.29000000000002</v>
      </c>
      <c r="D352" vm="1046">
        <f ca="1"/>
        <v>7506555</v>
      </c>
      <c r="E352">
        <f t="shared" ca="1" si="105"/>
        <v>1991413975.95</v>
      </c>
      <c r="F352">
        <f ca="1">SUM($E$2:E352)/SUM($D$2:D352)</f>
        <v>217.90573653326535</v>
      </c>
      <c r="G352">
        <f ca="1">_xlfn.STDEV.P($C$2:C352)</f>
        <v>28.670418524629746</v>
      </c>
      <c r="H352">
        <f t="shared" ca="1" si="106"/>
        <v>246.57615505789511</v>
      </c>
      <c r="I352">
        <f t="shared" ca="1" si="107"/>
        <v>189.2353180086356</v>
      </c>
      <c r="J352">
        <f t="shared" ca="1" si="116"/>
        <v>257.42050000000006</v>
      </c>
      <c r="K352">
        <f t="shared" ca="1" si="117"/>
        <v>7.8881039513541182</v>
      </c>
      <c r="L352">
        <f t="shared" ca="1" si="118"/>
        <v>273.19670790270828</v>
      </c>
      <c r="M352">
        <f t="shared" ca="1" si="119"/>
        <v>241.64429209729184</v>
      </c>
      <c r="N352">
        <f t="shared" ca="1" si="108"/>
        <v>4.5800000000000409</v>
      </c>
      <c r="O352">
        <f t="shared" ca="1" si="109"/>
        <v>4.5800000000000409</v>
      </c>
      <c r="P352">
        <f t="shared" ca="1" si="110"/>
        <v>0</v>
      </c>
      <c r="Q352">
        <f t="shared" ca="1" si="114"/>
        <v>1.770304436084887</v>
      </c>
      <c r="R352">
        <f t="shared" ca="1" si="115"/>
        <v>0.9688086311536922</v>
      </c>
      <c r="S352">
        <f t="shared" ca="1" si="112"/>
        <v>1.8273004380408386</v>
      </c>
      <c r="T352">
        <f t="shared" ca="1" si="113"/>
        <v>64.63057174451032</v>
      </c>
      <c r="U352">
        <f>70</f>
        <v>70</v>
      </c>
      <c r="V352">
        <f>30</f>
        <v>30</v>
      </c>
      <c r="W352">
        <f t="shared" ca="1" si="111"/>
        <v>261.01410635101365</v>
      </c>
      <c r="X352">
        <f t="shared" ca="1" si="121"/>
        <v>255.18269674750471</v>
      </c>
      <c r="Y352">
        <f t="shared" ca="1" si="120"/>
        <v>5.5969605222564667</v>
      </c>
      <c r="Z352">
        <f t="shared" ca="1" si="101"/>
        <v>5.878429719220768</v>
      </c>
      <c r="AA352">
        <f t="shared" ca="1" si="102"/>
        <v>-0.28146919696430128</v>
      </c>
      <c r="AB352">
        <f t="shared" ca="1" si="103"/>
        <v>251.08330000000007</v>
      </c>
    </row>
    <row r="353" spans="1:28" x14ac:dyDescent="0.25">
      <c r="A353" s="20">
        <f t="shared" ca="1" si="104"/>
        <v>45803</v>
      </c>
      <c r="B353" vm="1047">
        <f ca="1"/>
        <v>45805</v>
      </c>
      <c r="C353" vm="1048">
        <f ca="1"/>
        <v>263.49</v>
      </c>
      <c r="D353" vm="1049">
        <f ca="1"/>
        <v>5535408</v>
      </c>
      <c r="E353">
        <f t="shared" ca="1" si="105"/>
        <v>1458524653.9200001</v>
      </c>
      <c r="F353">
        <f ca="1">SUM($E$2:E353)/SUM($D$2:D353)</f>
        <v>217.98125721386521</v>
      </c>
      <c r="G353">
        <f ca="1">_xlfn.STDEV.P($C$2:C353)</f>
        <v>28.731078510522117</v>
      </c>
      <c r="H353">
        <f t="shared" ca="1" si="106"/>
        <v>246.71233572438732</v>
      </c>
      <c r="I353">
        <f t="shared" ca="1" si="107"/>
        <v>189.2501787033431</v>
      </c>
      <c r="J353">
        <f t="shared" ca="1" si="116"/>
        <v>258.36399999999998</v>
      </c>
      <c r="K353">
        <f t="shared" ca="1" si="117"/>
        <v>7.389194386684558</v>
      </c>
      <c r="L353">
        <f t="shared" ca="1" si="118"/>
        <v>273.14238877336908</v>
      </c>
      <c r="M353">
        <f t="shared" ca="1" si="119"/>
        <v>243.58561122663087</v>
      </c>
      <c r="N353">
        <f t="shared" ca="1" si="108"/>
        <v>-1.8000000000000114</v>
      </c>
      <c r="O353">
        <f t="shared" ca="1" si="109"/>
        <v>0</v>
      </c>
      <c r="P353">
        <f t="shared" ca="1" si="110"/>
        <v>1.8000000000000114</v>
      </c>
      <c r="Q353">
        <f t="shared" ca="1" si="114"/>
        <v>1.6438541192216807</v>
      </c>
      <c r="R353">
        <f t="shared" ca="1" si="115"/>
        <v>1.0281794432141436</v>
      </c>
      <c r="S353">
        <f t="shared" ca="1" si="112"/>
        <v>1.5988008027887675</v>
      </c>
      <c r="T353">
        <f t="shared" ca="1" si="113"/>
        <v>61.520713748937503</v>
      </c>
      <c r="U353">
        <f>70</f>
        <v>70</v>
      </c>
      <c r="V353">
        <f>30</f>
        <v>30</v>
      </c>
      <c r="W353">
        <f t="shared" ca="1" si="111"/>
        <v>261.39501306624231</v>
      </c>
      <c r="X353">
        <f t="shared" ca="1" si="121"/>
        <v>255.79805254398585</v>
      </c>
      <c r="Y353">
        <f t="shared" ca="1" si="120"/>
        <v>5.4196917489417729</v>
      </c>
      <c r="Z353">
        <f t="shared" ca="1" si="101"/>
        <v>5.7866821251649689</v>
      </c>
      <c r="AA353">
        <f t="shared" ca="1" si="102"/>
        <v>-0.36699037622319608</v>
      </c>
      <c r="AB353">
        <f t="shared" ca="1" si="103"/>
        <v>251.32110000000003</v>
      </c>
    </row>
    <row r="354" spans="1:28" x14ac:dyDescent="0.25">
      <c r="A354" s="20">
        <f t="shared" ca="1" si="104"/>
        <v>45803</v>
      </c>
      <c r="B354" vm="1050">
        <f ca="1"/>
        <v>45806</v>
      </c>
      <c r="C354" vm="1051">
        <f ca="1"/>
        <v>264.37</v>
      </c>
      <c r="D354" vm="1052">
        <f ca="1"/>
        <v>5081992</v>
      </c>
      <c r="E354">
        <f t="shared" ca="1" si="105"/>
        <v>1343526225.04</v>
      </c>
      <c r="F354">
        <f ca="1">SUM($E$2:E354)/SUM($D$2:D354)</f>
        <v>218.05170832165356</v>
      </c>
      <c r="G354">
        <f ca="1">_xlfn.STDEV.P($C$2:C354)</f>
        <v>28.794636578754432</v>
      </c>
      <c r="H354">
        <f t="shared" ca="1" si="106"/>
        <v>246.84634490040798</v>
      </c>
      <c r="I354">
        <f t="shared" ca="1" si="107"/>
        <v>189.25707174289914</v>
      </c>
      <c r="J354">
        <f t="shared" ca="1" si="116"/>
        <v>259.35149999999999</v>
      </c>
      <c r="K354">
        <f t="shared" ca="1" si="117"/>
        <v>6.747611877741015</v>
      </c>
      <c r="L354">
        <f t="shared" ca="1" si="118"/>
        <v>272.846723755482</v>
      </c>
      <c r="M354">
        <f t="shared" ca="1" si="119"/>
        <v>245.85627624451797</v>
      </c>
      <c r="N354">
        <f t="shared" ca="1" si="108"/>
        <v>0.87999999999999545</v>
      </c>
      <c r="O354">
        <f t="shared" ca="1" si="109"/>
        <v>0.87999999999999545</v>
      </c>
      <c r="P354">
        <f t="shared" ca="1" si="110"/>
        <v>0</v>
      </c>
      <c r="Q354">
        <f t="shared" ca="1" si="114"/>
        <v>1.5892931107058459</v>
      </c>
      <c r="R354">
        <f t="shared" ca="1" si="115"/>
        <v>0.95473805441313331</v>
      </c>
      <c r="S354">
        <f t="shared" ca="1" si="112"/>
        <v>1.664637858897084</v>
      </c>
      <c r="T354">
        <f t="shared" ca="1" si="113"/>
        <v>62.471448168423592</v>
      </c>
      <c r="U354">
        <f>70</f>
        <v>70</v>
      </c>
      <c r="V354">
        <f>30</f>
        <v>30</v>
      </c>
      <c r="W354">
        <f t="shared" ca="1" si="111"/>
        <v>261.8527033637435</v>
      </c>
      <c r="X354">
        <f t="shared" ca="1" si="121"/>
        <v>256.43301161480173</v>
      </c>
      <c r="Y354">
        <f t="shared" ca="1" si="120"/>
        <v>5.189527419433773</v>
      </c>
      <c r="Z354">
        <f t="shared" ca="1" si="101"/>
        <v>5.6672511840187303</v>
      </c>
      <c r="AA354">
        <f t="shared" ca="1" si="102"/>
        <v>-0.47772376458495724</v>
      </c>
      <c r="AB354">
        <f t="shared" ca="1" si="103"/>
        <v>251.56480000000008</v>
      </c>
    </row>
    <row r="355" spans="1:28" x14ac:dyDescent="0.25">
      <c r="A355" s="20">
        <f t="shared" ca="1" si="104"/>
        <v>45803</v>
      </c>
      <c r="B355" vm="1053">
        <f ca="1"/>
        <v>45807</v>
      </c>
      <c r="C355" vm="1054">
        <f ca="1"/>
        <v>264</v>
      </c>
      <c r="D355" vm="1055">
        <f ca="1"/>
        <v>10977662</v>
      </c>
      <c r="E355">
        <f t="shared" ca="1" si="105"/>
        <v>2898102768</v>
      </c>
      <c r="F355">
        <f ca="1">SUM($E$2:E355)/SUM($D$2:D355)</f>
        <v>218.20195264201556</v>
      </c>
      <c r="G355">
        <f ca="1">_xlfn.STDEV.P($C$2:C355)</f>
        <v>28.855459137906873</v>
      </c>
      <c r="H355">
        <f t="shared" ca="1" si="106"/>
        <v>247.05741177992243</v>
      </c>
      <c r="I355">
        <f t="shared" ca="1" si="107"/>
        <v>189.34649350410868</v>
      </c>
      <c r="J355">
        <f t="shared" ca="1" si="116"/>
        <v>260.20699999999999</v>
      </c>
      <c r="K355">
        <f t="shared" ca="1" si="117"/>
        <v>6.1419910195481853</v>
      </c>
      <c r="L355">
        <f t="shared" ca="1" si="118"/>
        <v>272.49098203909637</v>
      </c>
      <c r="M355">
        <f t="shared" ca="1" si="119"/>
        <v>247.92301796090362</v>
      </c>
      <c r="N355">
        <f t="shared" ca="1" si="108"/>
        <v>-0.37000000000000455</v>
      </c>
      <c r="O355">
        <f t="shared" ca="1" si="109"/>
        <v>0</v>
      </c>
      <c r="P355">
        <f t="shared" ca="1" si="110"/>
        <v>0.37000000000000455</v>
      </c>
      <c r="Q355">
        <f t="shared" ca="1" si="114"/>
        <v>1.4757721742268568</v>
      </c>
      <c r="R355">
        <f t="shared" ca="1" si="115"/>
        <v>0.91297105052648131</v>
      </c>
      <c r="S355">
        <f t="shared" ca="1" si="112"/>
        <v>1.616450131004511</v>
      </c>
      <c r="T355">
        <f t="shared" ca="1" si="113"/>
        <v>61.780276713469071</v>
      </c>
      <c r="U355">
        <f>70</f>
        <v>70</v>
      </c>
      <c r="V355">
        <f>30</f>
        <v>30</v>
      </c>
      <c r="W355">
        <f t="shared" ca="1" si="111"/>
        <v>262.18305669239834</v>
      </c>
      <c r="X355">
        <f t="shared" ca="1" si="121"/>
        <v>256.99352927296457</v>
      </c>
      <c r="Y355">
        <f t="shared" ca="1" si="120"/>
        <v>5.0027089000821547</v>
      </c>
      <c r="Z355">
        <f t="shared" ca="1" si="101"/>
        <v>5.5343427272314152</v>
      </c>
      <c r="AA355">
        <f t="shared" ca="1" si="102"/>
        <v>-0.53163382714926044</v>
      </c>
      <c r="AB355">
        <f t="shared" ca="1" si="103"/>
        <v>251.77200000000008</v>
      </c>
    </row>
    <row r="356" spans="1:28" x14ac:dyDescent="0.25">
      <c r="A356" s="20">
        <f t="shared" ca="1" si="104"/>
        <v>45810</v>
      </c>
      <c r="B356" vm="1056">
        <f ca="1"/>
        <v>45810</v>
      </c>
      <c r="C356" vm="1057">
        <f ca="1"/>
        <v>264.66000000000003</v>
      </c>
      <c r="D356" vm="1058">
        <f ca="1"/>
        <v>6011165</v>
      </c>
      <c r="E356">
        <f t="shared" ca="1" si="105"/>
        <v>1590914928.9000001</v>
      </c>
      <c r="F356">
        <f ca="1">SUM($E$2:E356)/SUM($D$2:D356)</f>
        <v>218.2849877062923</v>
      </c>
      <c r="G356">
        <f ca="1">_xlfn.STDEV.P($C$2:C356)</f>
        <v>28.918178276632549</v>
      </c>
      <c r="H356">
        <f t="shared" ca="1" si="106"/>
        <v>247.20316598292484</v>
      </c>
      <c r="I356">
        <f t="shared" ca="1" si="107"/>
        <v>189.36680942965975</v>
      </c>
      <c r="J356">
        <f t="shared" ca="1" si="116"/>
        <v>260.81449999999995</v>
      </c>
      <c r="K356">
        <f t="shared" ca="1" si="117"/>
        <v>5.9381075090868567</v>
      </c>
      <c r="L356">
        <f t="shared" ca="1" si="118"/>
        <v>272.69071501817365</v>
      </c>
      <c r="M356">
        <f t="shared" ca="1" si="119"/>
        <v>248.93828498182623</v>
      </c>
      <c r="N356">
        <f t="shared" ca="1" si="108"/>
        <v>0.66000000000002501</v>
      </c>
      <c r="O356">
        <f t="shared" ca="1" si="109"/>
        <v>0.66000000000002501</v>
      </c>
      <c r="P356">
        <f t="shared" ca="1" si="110"/>
        <v>0</v>
      </c>
      <c r="Q356">
        <f t="shared" ca="1" si="114"/>
        <v>1.4175027332106545</v>
      </c>
      <c r="R356">
        <f t="shared" ca="1" si="115"/>
        <v>0.84775883263173257</v>
      </c>
      <c r="S356">
        <f t="shared" ca="1" si="112"/>
        <v>1.6720589378116444</v>
      </c>
      <c r="T356">
        <f t="shared" ca="1" si="113"/>
        <v>62.575675788836556</v>
      </c>
      <c r="U356">
        <f>70</f>
        <v>70</v>
      </c>
      <c r="V356">
        <f>30</f>
        <v>30</v>
      </c>
      <c r="W356">
        <f t="shared" ca="1" si="111"/>
        <v>262.56412489356785</v>
      </c>
      <c r="X356">
        <f t="shared" ca="1" si="121"/>
        <v>257.5614159934857</v>
      </c>
      <c r="Y356">
        <f t="shared" ca="1" si="120"/>
        <v>4.9277632350621161</v>
      </c>
      <c r="Z356">
        <f t="shared" ca="1" si="101"/>
        <v>5.4130268287975554</v>
      </c>
      <c r="AA356">
        <f t="shared" ca="1" si="102"/>
        <v>-0.48526359373543926</v>
      </c>
      <c r="AB356">
        <f t="shared" ca="1" si="103"/>
        <v>252.01010000000008</v>
      </c>
    </row>
    <row r="357" spans="1:28" x14ac:dyDescent="0.25">
      <c r="A357" s="20">
        <f t="shared" ca="1" si="104"/>
        <v>45810</v>
      </c>
      <c r="B357" vm="1059">
        <f ca="1"/>
        <v>45811</v>
      </c>
      <c r="C357" vm="1060">
        <f ca="1"/>
        <v>266.27</v>
      </c>
      <c r="D357" vm="1061">
        <f ca="1"/>
        <v>6998383</v>
      </c>
      <c r="E357">
        <f t="shared" ca="1" si="105"/>
        <v>1863459441.4099998</v>
      </c>
      <c r="F357">
        <f ca="1">SUM($E$2:E357)/SUM($D$2:D357)</f>
        <v>218.38462971665658</v>
      </c>
      <c r="G357">
        <f ca="1">_xlfn.STDEV.P($C$2:C357)</f>
        <v>28.987111242444719</v>
      </c>
      <c r="H357">
        <f t="shared" ca="1" si="106"/>
        <v>247.37174095910129</v>
      </c>
      <c r="I357">
        <f t="shared" ca="1" si="107"/>
        <v>189.39751847421186</v>
      </c>
      <c r="J357">
        <f t="shared" ca="1" si="116"/>
        <v>261.5</v>
      </c>
      <c r="K357">
        <f t="shared" ca="1" si="117"/>
        <v>5.7224801395346443</v>
      </c>
      <c r="L357">
        <f t="shared" ca="1" si="118"/>
        <v>272.94496027906928</v>
      </c>
      <c r="M357">
        <f t="shared" ca="1" si="119"/>
        <v>250.05503972093072</v>
      </c>
      <c r="N357">
        <f t="shared" ca="1" si="108"/>
        <v>1.6099999999999568</v>
      </c>
      <c r="O357">
        <f t="shared" ca="1" si="109"/>
        <v>1.6099999999999568</v>
      </c>
      <c r="P357">
        <f t="shared" ca="1" si="110"/>
        <v>0</v>
      </c>
      <c r="Q357">
        <f t="shared" ca="1" si="114"/>
        <v>1.4312525379813188</v>
      </c>
      <c r="R357">
        <f t="shared" ca="1" si="115"/>
        <v>0.78720463030089449</v>
      </c>
      <c r="S357">
        <f t="shared" ca="1" si="112"/>
        <v>1.8181454769063652</v>
      </c>
      <c r="T357">
        <f t="shared" ca="1" si="113"/>
        <v>64.515671451505213</v>
      </c>
      <c r="U357">
        <f>70</f>
        <v>70</v>
      </c>
      <c r="V357">
        <f>30</f>
        <v>30</v>
      </c>
      <c r="W357">
        <f t="shared" ca="1" si="111"/>
        <v>263.13425952532663</v>
      </c>
      <c r="X357">
        <f t="shared" ca="1" si="121"/>
        <v>258.20649629026451</v>
      </c>
      <c r="Y357">
        <f t="shared" ca="1" si="120"/>
        <v>4.6493555119260463</v>
      </c>
      <c r="Z357">
        <f t="shared" ca="1" si="101"/>
        <v>5.2602925654232537</v>
      </c>
      <c r="AA357">
        <f t="shared" ca="1" si="102"/>
        <v>-0.61093705349720739</v>
      </c>
      <c r="AB357">
        <f t="shared" ca="1" si="103"/>
        <v>252.24110000000007</v>
      </c>
    </row>
    <row r="358" spans="1:28" x14ac:dyDescent="0.25">
      <c r="A358" s="20">
        <f t="shared" ca="1" si="104"/>
        <v>45810</v>
      </c>
      <c r="B358" vm="1062">
        <f ca="1"/>
        <v>45812</v>
      </c>
      <c r="C358" vm="1063">
        <f ca="1"/>
        <v>264.22000000000003</v>
      </c>
      <c r="D358" vm="1064">
        <f ca="1"/>
        <v>5915710</v>
      </c>
      <c r="E358">
        <f t="shared" ca="1" si="105"/>
        <v>1563048896.2</v>
      </c>
      <c r="F358">
        <f ca="1">SUM($E$2:E358)/SUM($D$2:D358)</f>
        <v>218.46494258649227</v>
      </c>
      <c r="G358">
        <f ca="1">_xlfn.STDEV.P($C$2:C358)</f>
        <v>29.045736494185377</v>
      </c>
      <c r="H358">
        <f t="shared" ca="1" si="106"/>
        <v>247.51067908067765</v>
      </c>
      <c r="I358">
        <f t="shared" ca="1" si="107"/>
        <v>189.41920609230689</v>
      </c>
      <c r="J358">
        <f t="shared" ca="1" si="116"/>
        <v>262.24850000000004</v>
      </c>
      <c r="K358">
        <f t="shared" ca="1" si="117"/>
        <v>4.9647157919398426</v>
      </c>
      <c r="L358">
        <f t="shared" ca="1" si="118"/>
        <v>272.17793158387974</v>
      </c>
      <c r="M358">
        <f t="shared" ca="1" si="119"/>
        <v>252.31906841612036</v>
      </c>
      <c r="N358">
        <f t="shared" ca="1" si="108"/>
        <v>-2.0499999999999545</v>
      </c>
      <c r="O358">
        <f t="shared" ca="1" si="109"/>
        <v>0</v>
      </c>
      <c r="P358">
        <f t="shared" ca="1" si="110"/>
        <v>2.0499999999999545</v>
      </c>
      <c r="Q358">
        <f t="shared" ca="1" si="114"/>
        <v>1.329020213839796</v>
      </c>
      <c r="R358">
        <f t="shared" ca="1" si="115"/>
        <v>0.87740429956511312</v>
      </c>
      <c r="S358">
        <f t="shared" ca="1" si="112"/>
        <v>1.5147181458975378</v>
      </c>
      <c r="T358">
        <f t="shared" ca="1" si="113"/>
        <v>60.234112056200793</v>
      </c>
      <c r="U358">
        <f>70</f>
        <v>70</v>
      </c>
      <c r="V358">
        <f>30</f>
        <v>30</v>
      </c>
      <c r="W358">
        <f t="shared" ca="1" si="111"/>
        <v>263.30129652143023</v>
      </c>
      <c r="X358">
        <f t="shared" ca="1" si="121"/>
        <v>258.65194100950418</v>
      </c>
      <c r="Y358">
        <f t="shared" ca="1" si="120"/>
        <v>4.1971630734356609</v>
      </c>
      <c r="Z358">
        <f t="shared" ref="Z358:Z421" ca="1" si="122">Y358*(2/(9+1)) + Z357*(1-(2/(9+1)))</f>
        <v>5.0476666670257355</v>
      </c>
      <c r="AA358">
        <f t="shared" ref="AA358:AA421" ca="1" si="123">Y358-Z358</f>
        <v>-0.85050359359007466</v>
      </c>
      <c r="AB358">
        <f t="shared" ref="AB358:AB421" ca="1" si="124">AVERAGE(C259:C358)</f>
        <v>252.45200000000008</v>
      </c>
    </row>
    <row r="359" spans="1:28" x14ac:dyDescent="0.25">
      <c r="A359" s="20">
        <f t="shared" ca="1" si="104"/>
        <v>45810</v>
      </c>
      <c r="B359" vm="1065">
        <f ca="1"/>
        <v>45813</v>
      </c>
      <c r="C359" vm="1066">
        <f ca="1"/>
        <v>261.95</v>
      </c>
      <c r="D359" vm="1067">
        <f ca="1"/>
        <v>8179258</v>
      </c>
      <c r="E359">
        <f t="shared" ca="1" si="105"/>
        <v>2142556633.0999999</v>
      </c>
      <c r="F359">
        <f ca="1">SUM($E$2:E359)/SUM($D$2:D359)</f>
        <v>218.57003723626036</v>
      </c>
      <c r="G359">
        <f ca="1">_xlfn.STDEV.P($C$2:C359)</f>
        <v>29.093776484072297</v>
      </c>
      <c r="H359">
        <f t="shared" ca="1" si="106"/>
        <v>247.66381372033266</v>
      </c>
      <c r="I359">
        <f t="shared" ca="1" si="107"/>
        <v>189.47626075218807</v>
      </c>
      <c r="J359">
        <f t="shared" ca="1" si="116"/>
        <v>262.87649999999996</v>
      </c>
      <c r="K359">
        <f t="shared" ca="1" si="117"/>
        <v>3.9415469511882071</v>
      </c>
      <c r="L359">
        <f t="shared" ca="1" si="118"/>
        <v>270.75959390237637</v>
      </c>
      <c r="M359">
        <f t="shared" ca="1" si="119"/>
        <v>254.99340609762356</v>
      </c>
      <c r="N359">
        <f t="shared" ca="1" si="108"/>
        <v>-2.2700000000000387</v>
      </c>
      <c r="O359">
        <f t="shared" ca="1" si="109"/>
        <v>0</v>
      </c>
      <c r="P359">
        <f t="shared" ca="1" si="110"/>
        <v>2.2700000000000387</v>
      </c>
      <c r="Q359">
        <f t="shared" ca="1" si="114"/>
        <v>1.2340901985655248</v>
      </c>
      <c r="R359">
        <f t="shared" ca="1" si="115"/>
        <v>0.97687542102475067</v>
      </c>
      <c r="S359">
        <f t="shared" ca="1" si="112"/>
        <v>1.2633035615441666</v>
      </c>
      <c r="T359">
        <f t="shared" ca="1" si="113"/>
        <v>55.816797313846052</v>
      </c>
      <c r="U359">
        <f>70</f>
        <v>70</v>
      </c>
      <c r="V359">
        <f>30</f>
        <v>30</v>
      </c>
      <c r="W359">
        <f t="shared" ca="1" si="111"/>
        <v>263.09340474890251</v>
      </c>
      <c r="X359">
        <f t="shared" ca="1" si="121"/>
        <v>258.89624167546685</v>
      </c>
      <c r="Y359">
        <f t="shared" ca="1" si="120"/>
        <v>4.0965887917302553</v>
      </c>
      <c r="Z359">
        <f t="shared" ca="1" si="122"/>
        <v>4.8574510919666398</v>
      </c>
      <c r="AA359">
        <f t="shared" ca="1" si="123"/>
        <v>-0.76086230023638457</v>
      </c>
      <c r="AB359">
        <f t="shared" ca="1" si="124"/>
        <v>252.67280000000005</v>
      </c>
    </row>
    <row r="360" spans="1:28" x14ac:dyDescent="0.25">
      <c r="A360" s="20">
        <f t="shared" ca="1" si="104"/>
        <v>45810</v>
      </c>
      <c r="B360" vm="1068">
        <f ca="1"/>
        <v>45814</v>
      </c>
      <c r="C360" vm="1069">
        <f ca="1"/>
        <v>265.73</v>
      </c>
      <c r="D360" vm="1070">
        <f ca="1"/>
        <v>7738134</v>
      </c>
      <c r="E360">
        <f t="shared" ca="1" si="105"/>
        <v>2056254347.8200002</v>
      </c>
      <c r="F360">
        <f ca="1">SUM($E$2:E360)/SUM($D$2:D360)</f>
        <v>218.67762044411742</v>
      </c>
      <c r="G360">
        <f ca="1">_xlfn.STDEV.P($C$2:C360)</f>
        <v>29.157105058000919</v>
      </c>
      <c r="H360">
        <f t="shared" ca="1" si="106"/>
        <v>247.83472550211835</v>
      </c>
      <c r="I360">
        <f t="shared" ca="1" si="107"/>
        <v>189.5205153861165</v>
      </c>
      <c r="J360">
        <f t="shared" ca="1" si="116"/>
        <v>263.48949999999996</v>
      </c>
      <c r="K360">
        <f t="shared" ca="1" si="117"/>
        <v>3.3033069156448911</v>
      </c>
      <c r="L360">
        <f t="shared" ca="1" si="118"/>
        <v>270.09611383128976</v>
      </c>
      <c r="M360">
        <f t="shared" ca="1" si="119"/>
        <v>256.88288616871017</v>
      </c>
      <c r="N360">
        <f t="shared" ca="1" si="108"/>
        <v>3.7800000000000296</v>
      </c>
      <c r="O360">
        <f t="shared" ca="1" si="109"/>
        <v>3.7800000000000296</v>
      </c>
      <c r="P360">
        <f t="shared" ca="1" si="110"/>
        <v>0</v>
      </c>
      <c r="Q360">
        <f t="shared" ca="1" si="114"/>
        <v>1.4159408986679893</v>
      </c>
      <c r="R360">
        <f t="shared" ca="1" si="115"/>
        <v>0.90709860523726848</v>
      </c>
      <c r="S360">
        <f t="shared" ca="1" si="112"/>
        <v>1.5609558767843368</v>
      </c>
      <c r="T360">
        <f t="shared" ca="1" si="113"/>
        <v>60.952080078175747</v>
      </c>
      <c r="U360">
        <f>70</f>
        <v>70</v>
      </c>
      <c r="V360">
        <f>30</f>
        <v>30</v>
      </c>
      <c r="W360">
        <f t="shared" ca="1" si="111"/>
        <v>263.49903478753288</v>
      </c>
      <c r="X360">
        <f t="shared" ca="1" si="121"/>
        <v>259.40244599580262</v>
      </c>
      <c r="Y360">
        <f t="shared" ca="1" si="120"/>
        <v>4.0516763055881029</v>
      </c>
      <c r="Z360">
        <f t="shared" ca="1" si="122"/>
        <v>4.6962961346909324</v>
      </c>
      <c r="AA360">
        <f t="shared" ca="1" si="123"/>
        <v>-0.64461982910282956</v>
      </c>
      <c r="AB360">
        <f t="shared" ca="1" si="124"/>
        <v>252.88800000000006</v>
      </c>
    </row>
    <row r="361" spans="1:28" x14ac:dyDescent="0.25">
      <c r="A361" s="20">
        <f t="shared" ca="1" si="104"/>
        <v>45817</v>
      </c>
      <c r="B361" vm="1071">
        <f ca="1"/>
        <v>45817</v>
      </c>
      <c r="C361" vm="1072">
        <f ca="1"/>
        <v>266.74</v>
      </c>
      <c r="D361" vm="1073">
        <f ca="1"/>
        <v>8285364</v>
      </c>
      <c r="E361">
        <f t="shared" ca="1" si="105"/>
        <v>2210037993.3600001</v>
      </c>
      <c r="F361">
        <f ca="1">SUM($E$2:E361)/SUM($D$2:D361)</f>
        <v>218.79472995098311</v>
      </c>
      <c r="G361">
        <f ca="1">_xlfn.STDEV.P($C$2:C361)</f>
        <v>29.223875406223481</v>
      </c>
      <c r="H361">
        <f t="shared" ca="1" si="106"/>
        <v>248.01860535720658</v>
      </c>
      <c r="I361">
        <f t="shared" ca="1" si="107"/>
        <v>189.57085454475964</v>
      </c>
      <c r="J361">
        <f t="shared" ca="1" si="116"/>
        <v>264.17249999999996</v>
      </c>
      <c r="K361">
        <f t="shared" ca="1" si="117"/>
        <v>2.2964867332056316</v>
      </c>
      <c r="L361">
        <f t="shared" ca="1" si="118"/>
        <v>268.76547346641121</v>
      </c>
      <c r="M361">
        <f t="shared" ca="1" si="119"/>
        <v>259.57952653358871</v>
      </c>
      <c r="N361">
        <f t="shared" ca="1" si="108"/>
        <v>1.0099999999999909</v>
      </c>
      <c r="O361">
        <f t="shared" ca="1" si="109"/>
        <v>1.0099999999999909</v>
      </c>
      <c r="P361">
        <f t="shared" ca="1" si="110"/>
        <v>0</v>
      </c>
      <c r="Q361">
        <f t="shared" ca="1" si="114"/>
        <v>1.3869451201917038</v>
      </c>
      <c r="R361">
        <f t="shared" ca="1" si="115"/>
        <v>0.8423058477203208</v>
      </c>
      <c r="S361">
        <f t="shared" ca="1" si="112"/>
        <v>1.6466051184916206</v>
      </c>
      <c r="T361">
        <f t="shared" ca="1" si="113"/>
        <v>62.215746013144191</v>
      </c>
      <c r="U361">
        <f>70</f>
        <v>70</v>
      </c>
      <c r="V361">
        <f>30</f>
        <v>30</v>
      </c>
      <c r="W361">
        <f t="shared" ca="1" si="111"/>
        <v>263.99764482022016</v>
      </c>
      <c r="X361">
        <f t="shared" ca="1" si="121"/>
        <v>259.94596851463206</v>
      </c>
      <c r="Y361">
        <f t="shared" ca="1" si="120"/>
        <v>4.1186915793446701</v>
      </c>
      <c r="Z361">
        <f t="shared" ca="1" si="122"/>
        <v>4.5807752236216803</v>
      </c>
      <c r="AA361">
        <f t="shared" ca="1" si="123"/>
        <v>-0.46208364427701021</v>
      </c>
      <c r="AB361">
        <f t="shared" ca="1" si="124"/>
        <v>253.08070000000006</v>
      </c>
    </row>
    <row r="362" spans="1:28" x14ac:dyDescent="0.25">
      <c r="A362" s="20">
        <f t="shared" ca="1" si="104"/>
        <v>45817</v>
      </c>
      <c r="B362" vm="1074">
        <f ca="1"/>
        <v>45818</v>
      </c>
      <c r="C362" vm="1075">
        <f ca="1"/>
        <v>268.60000000000002</v>
      </c>
      <c r="D362" vm="1076">
        <f ca="1"/>
        <v>7538135</v>
      </c>
      <c r="E362">
        <f t="shared" ca="1" si="105"/>
        <v>2024743061.0000002</v>
      </c>
      <c r="F362">
        <f ca="1">SUM($E$2:E362)/SUM($D$2:D362)</f>
        <v>218.90489727336956</v>
      </c>
      <c r="G362">
        <f ca="1">_xlfn.STDEV.P($C$2:C362)</f>
        <v>29.298012345641911</v>
      </c>
      <c r="H362">
        <f t="shared" ca="1" si="106"/>
        <v>248.20290961901148</v>
      </c>
      <c r="I362">
        <f t="shared" ca="1" si="107"/>
        <v>189.60688492772763</v>
      </c>
      <c r="J362">
        <f t="shared" ca="1" si="116"/>
        <v>264.60000000000002</v>
      </c>
      <c r="K362">
        <f t="shared" ca="1" si="117"/>
        <v>2.2844531765368896</v>
      </c>
      <c r="L362">
        <f t="shared" ca="1" si="118"/>
        <v>269.16890635307379</v>
      </c>
      <c r="M362">
        <f t="shared" ca="1" si="119"/>
        <v>260.03109364692625</v>
      </c>
      <c r="N362">
        <f t="shared" ca="1" si="108"/>
        <v>1.8600000000000136</v>
      </c>
      <c r="O362">
        <f t="shared" ca="1" si="109"/>
        <v>1.8600000000000136</v>
      </c>
      <c r="P362">
        <f t="shared" ca="1" si="110"/>
        <v>0</v>
      </c>
      <c r="Q362">
        <f t="shared" ca="1" si="114"/>
        <v>1.4207347544637261</v>
      </c>
      <c r="R362">
        <f t="shared" ca="1" si="115"/>
        <v>0.78214114431172643</v>
      </c>
      <c r="S362">
        <f t="shared" ca="1" si="112"/>
        <v>1.8164685041776614</v>
      </c>
      <c r="T362">
        <f t="shared" ca="1" si="113"/>
        <v>64.494543485336266</v>
      </c>
      <c r="U362">
        <f>70</f>
        <v>70</v>
      </c>
      <c r="V362">
        <f>30</f>
        <v>30</v>
      </c>
      <c r="W362">
        <f t="shared" ca="1" si="111"/>
        <v>264.70569946326322</v>
      </c>
      <c r="X362">
        <f t="shared" ca="1" si="121"/>
        <v>260.58700788391855</v>
      </c>
      <c r="Y362">
        <f t="shared" ca="1" si="120"/>
        <v>4.088362331383621</v>
      </c>
      <c r="Z362">
        <f t="shared" ca="1" si="122"/>
        <v>4.4822926451740681</v>
      </c>
      <c r="AA362">
        <f t="shared" ca="1" si="123"/>
        <v>-0.39393031379044707</v>
      </c>
      <c r="AB362">
        <f t="shared" ca="1" si="124"/>
        <v>253.24320000000003</v>
      </c>
    </row>
    <row r="363" spans="1:28" x14ac:dyDescent="0.25">
      <c r="A363" s="20">
        <f t="shared" ca="1" si="104"/>
        <v>45817</v>
      </c>
      <c r="B363" vm="1077">
        <f ca="1"/>
        <v>45819</v>
      </c>
      <c r="C363" vm="1078">
        <f ca="1"/>
        <v>268.14999999999998</v>
      </c>
      <c r="D363" vm="1079">
        <f ca="1"/>
        <v>7434064</v>
      </c>
      <c r="E363">
        <f t="shared" ca="1" si="105"/>
        <v>1993444261.5999999</v>
      </c>
      <c r="F363">
        <f ca="1">SUM($E$2:E363)/SUM($D$2:D363)</f>
        <v>219.01208784306371</v>
      </c>
      <c r="G363">
        <f ca="1">_xlfn.STDEV.P($C$2:C363)</f>
        <v>29.368861156584334</v>
      </c>
      <c r="H363">
        <f t="shared" ca="1" si="106"/>
        <v>248.38094899964804</v>
      </c>
      <c r="I363">
        <f t="shared" ca="1" si="107"/>
        <v>189.64322668647938</v>
      </c>
      <c r="J363">
        <f t="shared" ca="1" si="116"/>
        <v>264.85699999999997</v>
      </c>
      <c r="K363">
        <f t="shared" ca="1" si="117"/>
        <v>2.3831560233394176</v>
      </c>
      <c r="L363">
        <f t="shared" ca="1" si="118"/>
        <v>269.62331204667879</v>
      </c>
      <c r="M363">
        <f t="shared" ca="1" si="119"/>
        <v>260.09068795332115</v>
      </c>
      <c r="N363">
        <f t="shared" ca="1" si="108"/>
        <v>-0.45000000000004547</v>
      </c>
      <c r="O363">
        <f t="shared" ca="1" si="109"/>
        <v>0</v>
      </c>
      <c r="P363">
        <f t="shared" ca="1" si="110"/>
        <v>0.45000000000004547</v>
      </c>
      <c r="Q363">
        <f t="shared" ca="1" si="114"/>
        <v>1.3192537005734599</v>
      </c>
      <c r="R363">
        <f t="shared" ca="1" si="115"/>
        <v>0.75841677686089215</v>
      </c>
      <c r="S363">
        <f t="shared" ca="1" si="112"/>
        <v>1.7394838047147205</v>
      </c>
      <c r="T363">
        <f t="shared" ca="1" si="113"/>
        <v>63.496772702982405</v>
      </c>
      <c r="U363">
        <f>70</f>
        <v>70</v>
      </c>
      <c r="V363">
        <f>30</f>
        <v>30</v>
      </c>
      <c r="W363">
        <f t="shared" ca="1" si="111"/>
        <v>265.23559185353042</v>
      </c>
      <c r="X363">
        <f t="shared" ca="1" si="121"/>
        <v>261.1472295221468</v>
      </c>
      <c r="Y363">
        <f t="shared" ca="1" si="120"/>
        <v>4.0251885635350959</v>
      </c>
      <c r="Z363">
        <f t="shared" ca="1" si="122"/>
        <v>4.390871828846274</v>
      </c>
      <c r="AA363">
        <f t="shared" ca="1" si="123"/>
        <v>-0.36568326531117812</v>
      </c>
      <c r="AB363">
        <f t="shared" ca="1" si="124"/>
        <v>253.38200000000003</v>
      </c>
    </row>
    <row r="364" spans="1:28" x14ac:dyDescent="0.25">
      <c r="A364" s="20">
        <f t="shared" ca="1" si="104"/>
        <v>45817</v>
      </c>
      <c r="B364" vm="1080">
        <f ca="1"/>
        <v>45820</v>
      </c>
      <c r="C364" vm="1081">
        <f ca="1"/>
        <v>268.24</v>
      </c>
      <c r="D364" vm="1082">
        <f ca="1"/>
        <v>6618026</v>
      </c>
      <c r="E364">
        <f t="shared" ca="1" si="105"/>
        <v>1775219294.24</v>
      </c>
      <c r="F364">
        <f ca="1">SUM($E$2:E364)/SUM($D$2:D364)</f>
        <v>219.10729429615614</v>
      </c>
      <c r="G364">
        <f ca="1">_xlfn.STDEV.P($C$2:C364)</f>
        <v>29.438949442476776</v>
      </c>
      <c r="H364">
        <f t="shared" ca="1" si="106"/>
        <v>248.54624373863291</v>
      </c>
      <c r="I364">
        <f t="shared" ca="1" si="107"/>
        <v>189.66834485367937</v>
      </c>
      <c r="J364">
        <f t="shared" ca="1" si="116"/>
        <v>264.98699999999997</v>
      </c>
      <c r="K364">
        <f t="shared" ca="1" si="117"/>
        <v>2.4963427986598825</v>
      </c>
      <c r="L364">
        <f t="shared" ca="1" si="118"/>
        <v>269.97968559731976</v>
      </c>
      <c r="M364">
        <f t="shared" ca="1" si="119"/>
        <v>259.99431440268017</v>
      </c>
      <c r="N364">
        <f t="shared" ca="1" si="108"/>
        <v>9.0000000000031832E-2</v>
      </c>
      <c r="O364">
        <f t="shared" ca="1" si="109"/>
        <v>9.0000000000031832E-2</v>
      </c>
      <c r="P364">
        <f t="shared" ca="1" si="110"/>
        <v>0</v>
      </c>
      <c r="Q364">
        <f t="shared" ca="1" si="114"/>
        <v>1.2314498648182151</v>
      </c>
      <c r="R364">
        <f t="shared" ca="1" si="115"/>
        <v>0.70424414994225704</v>
      </c>
      <c r="S364">
        <f t="shared" ca="1" si="112"/>
        <v>1.7486121324815904</v>
      </c>
      <c r="T364">
        <f t="shared" ca="1" si="113"/>
        <v>63.618002402647193</v>
      </c>
      <c r="U364">
        <f>70</f>
        <v>70</v>
      </c>
      <c r="V364">
        <f>30</f>
        <v>30</v>
      </c>
      <c r="W364">
        <f t="shared" ca="1" si="111"/>
        <v>265.69780849144882</v>
      </c>
      <c r="X364">
        <f t="shared" ca="1" si="121"/>
        <v>261.67261992791373</v>
      </c>
      <c r="Y364">
        <f t="shared" ca="1" si="120"/>
        <v>3.6673722090835668</v>
      </c>
      <c r="Z364">
        <f t="shared" ca="1" si="122"/>
        <v>4.2461719048937328</v>
      </c>
      <c r="AA364">
        <f t="shared" ca="1" si="123"/>
        <v>-0.57879969581016599</v>
      </c>
      <c r="AB364">
        <f t="shared" ca="1" si="124"/>
        <v>253.47280000000006</v>
      </c>
    </row>
    <row r="365" spans="1:28" x14ac:dyDescent="0.25">
      <c r="A365" s="20">
        <f t="shared" ca="1" si="104"/>
        <v>45817</v>
      </c>
      <c r="B365" vm="1083">
        <f ca="1"/>
        <v>45821</v>
      </c>
      <c r="C365" vm="1084">
        <f ca="1"/>
        <v>264.95</v>
      </c>
      <c r="D365" vm="1085">
        <f ca="1"/>
        <v>7098265</v>
      </c>
      <c r="E365">
        <f t="shared" ca="1" si="105"/>
        <v>1880685311.75</v>
      </c>
      <c r="F365">
        <f ca="1">SUM($E$2:E365)/SUM($D$2:D365)</f>
        <v>219.20219053775003</v>
      </c>
      <c r="G365">
        <f ca="1">_xlfn.STDEV.P($C$2:C365)</f>
        <v>29.493568268912679</v>
      </c>
      <c r="H365">
        <f t="shared" ca="1" si="106"/>
        <v>248.6957588066627</v>
      </c>
      <c r="I365">
        <f t="shared" ca="1" si="107"/>
        <v>189.70862226883736</v>
      </c>
      <c r="J365">
        <f t="shared" ca="1" si="116"/>
        <v>264.86</v>
      </c>
      <c r="K365">
        <f t="shared" ca="1" si="117"/>
        <v>2.4259192506195082</v>
      </c>
      <c r="L365">
        <f t="shared" ca="1" si="118"/>
        <v>269.71183850123901</v>
      </c>
      <c r="M365">
        <f t="shared" ca="1" si="119"/>
        <v>260.00816149876101</v>
      </c>
      <c r="N365">
        <f t="shared" ca="1" si="108"/>
        <v>-3.2900000000000205</v>
      </c>
      <c r="O365">
        <f t="shared" ca="1" si="109"/>
        <v>0</v>
      </c>
      <c r="P365">
        <f t="shared" ca="1" si="110"/>
        <v>3.2900000000000205</v>
      </c>
      <c r="Q365">
        <f t="shared" ca="1" si="114"/>
        <v>1.1434891601883426</v>
      </c>
      <c r="R365">
        <f t="shared" ca="1" si="115"/>
        <v>0.8889409963749545</v>
      </c>
      <c r="S365">
        <f t="shared" ca="1" si="112"/>
        <v>1.2863498981950652</v>
      </c>
      <c r="T365">
        <f t="shared" ca="1" si="113"/>
        <v>56.262162637947966</v>
      </c>
      <c r="U365">
        <f>70</f>
        <v>70</v>
      </c>
      <c r="V365">
        <f>30</f>
        <v>30</v>
      </c>
      <c r="W365">
        <f t="shared" ca="1" si="111"/>
        <v>265.58276103122591</v>
      </c>
      <c r="X365">
        <f t="shared" ca="1" si="121"/>
        <v>261.91538882214235</v>
      </c>
      <c r="Y365">
        <f t="shared" ca="1" si="120"/>
        <v>3.7768052965180345</v>
      </c>
      <c r="Z365">
        <f t="shared" ca="1" si="122"/>
        <v>4.1522985832185935</v>
      </c>
      <c r="AA365">
        <f t="shared" ca="1" si="123"/>
        <v>-0.37549328670055893</v>
      </c>
      <c r="AB365">
        <f t="shared" ca="1" si="124"/>
        <v>253.49200000000008</v>
      </c>
    </row>
    <row r="366" spans="1:28" x14ac:dyDescent="0.25">
      <c r="A366" s="20">
        <f t="shared" ca="1" si="104"/>
        <v>45824</v>
      </c>
      <c r="B366" vm="1086">
        <f ca="1"/>
        <v>45824</v>
      </c>
      <c r="C366" vm="1087">
        <f ca="1"/>
        <v>270.36</v>
      </c>
      <c r="D366" vm="1088">
        <f ca="1"/>
        <v>8566019</v>
      </c>
      <c r="E366">
        <f t="shared" ca="1" si="105"/>
        <v>2315908896.8400002</v>
      </c>
      <c r="F366">
        <f ca="1">SUM($E$2:E366)/SUM($D$2:D366)</f>
        <v>219.32966816954936</v>
      </c>
      <c r="G366">
        <f ca="1">_xlfn.STDEV.P($C$2:C366)</f>
        <v>29.571167890242585</v>
      </c>
      <c r="H366">
        <f t="shared" ca="1" si="106"/>
        <v>248.90083605979194</v>
      </c>
      <c r="I366">
        <f t="shared" ca="1" si="107"/>
        <v>189.75850027930679</v>
      </c>
      <c r="J366">
        <f t="shared" ca="1" si="116"/>
        <v>264.99999999999994</v>
      </c>
      <c r="K366">
        <f t="shared" ca="1" si="117"/>
        <v>2.6594874852517227</v>
      </c>
      <c r="L366">
        <f t="shared" ca="1" si="118"/>
        <v>270.3189749705034</v>
      </c>
      <c r="M366">
        <f t="shared" ca="1" si="119"/>
        <v>259.68102502949648</v>
      </c>
      <c r="N366">
        <f t="shared" ca="1" si="108"/>
        <v>5.410000000000025</v>
      </c>
      <c r="O366">
        <f t="shared" ca="1" si="109"/>
        <v>5.410000000000025</v>
      </c>
      <c r="P366">
        <f t="shared" ca="1" si="110"/>
        <v>0</v>
      </c>
      <c r="Q366">
        <f t="shared" ca="1" si="114"/>
        <v>1.4482399344606056</v>
      </c>
      <c r="R366">
        <f t="shared" ca="1" si="115"/>
        <v>0.82544521091960055</v>
      </c>
      <c r="S366">
        <f t="shared" ca="1" si="112"/>
        <v>1.7544955319895437</v>
      </c>
      <c r="T366">
        <f t="shared" ca="1" si="113"/>
        <v>63.695711668927252</v>
      </c>
      <c r="U366">
        <f>70</f>
        <v>70</v>
      </c>
      <c r="V366">
        <f>30</f>
        <v>30</v>
      </c>
      <c r="W366">
        <f t="shared" ca="1" si="111"/>
        <v>266.31772087257576</v>
      </c>
      <c r="X366">
        <f t="shared" ca="1" si="121"/>
        <v>262.54091557605773</v>
      </c>
      <c r="Y366">
        <f t="shared" ca="1" si="120"/>
        <v>3.752494407225754</v>
      </c>
      <c r="Z366">
        <f t="shared" ca="1" si="122"/>
        <v>4.0723377480200256</v>
      </c>
      <c r="AA366">
        <f t="shared" ca="1" si="123"/>
        <v>-0.31984334079427157</v>
      </c>
      <c r="AB366">
        <f t="shared" ca="1" si="124"/>
        <v>253.56720000000004</v>
      </c>
    </row>
    <row r="367" spans="1:28" x14ac:dyDescent="0.25">
      <c r="A367" s="20">
        <f t="shared" ca="1" si="104"/>
        <v>45824</v>
      </c>
      <c r="B367" vm="1089">
        <f ca="1"/>
        <v>45825</v>
      </c>
      <c r="C367" vm="1090">
        <f ca="1"/>
        <v>269.52</v>
      </c>
      <c r="D367" vm="1091">
        <f ca="1"/>
        <v>6739262</v>
      </c>
      <c r="E367">
        <f t="shared" ca="1" si="105"/>
        <v>1816365894.2399998</v>
      </c>
      <c r="F367">
        <f ca="1">SUM($E$2:E367)/SUM($D$2:D367)</f>
        <v>219.42787118933174</v>
      </c>
      <c r="G367">
        <f ca="1">_xlfn.STDEV.P($C$2:C367)</f>
        <v>29.64364632110647</v>
      </c>
      <c r="H367">
        <f t="shared" ca="1" si="106"/>
        <v>249.07151751043821</v>
      </c>
      <c r="I367">
        <f t="shared" ca="1" si="107"/>
        <v>189.78422486822527</v>
      </c>
      <c r="J367">
        <f t="shared" ca="1" si="116"/>
        <v>265.23199999999997</v>
      </c>
      <c r="K367">
        <f t="shared" ca="1" si="117"/>
        <v>2.8444231678663305</v>
      </c>
      <c r="L367">
        <f t="shared" ca="1" si="118"/>
        <v>270.92084633573262</v>
      </c>
      <c r="M367">
        <f t="shared" ca="1" si="119"/>
        <v>259.54315366426732</v>
      </c>
      <c r="N367">
        <f t="shared" ca="1" si="108"/>
        <v>-0.84000000000003183</v>
      </c>
      <c r="O367">
        <f t="shared" ca="1" si="109"/>
        <v>0</v>
      </c>
      <c r="P367">
        <f t="shared" ca="1" si="110"/>
        <v>0.84000000000003183</v>
      </c>
      <c r="Q367">
        <f t="shared" ca="1" si="114"/>
        <v>1.3447942248562765</v>
      </c>
      <c r="R367">
        <f t="shared" ca="1" si="115"/>
        <v>0.82648483871105982</v>
      </c>
      <c r="S367">
        <f t="shared" ca="1" si="112"/>
        <v>1.6271250988143273</v>
      </c>
      <c r="T367">
        <f t="shared" ca="1" si="113"/>
        <v>61.935577394037331</v>
      </c>
      <c r="U367">
        <f>70</f>
        <v>70</v>
      </c>
      <c r="V367">
        <f>30</f>
        <v>30</v>
      </c>
      <c r="W367">
        <f t="shared" ca="1" si="111"/>
        <v>266.81037919987182</v>
      </c>
      <c r="X367">
        <f t="shared" ca="1" si="121"/>
        <v>263.05788479264606</v>
      </c>
      <c r="Y367">
        <f t="shared" ca="1" si="120"/>
        <v>4.0448719793503187</v>
      </c>
      <c r="Z367">
        <f t="shared" ca="1" si="122"/>
        <v>4.066844594286084</v>
      </c>
      <c r="AA367">
        <f t="shared" ca="1" si="123"/>
        <v>-2.19726149357653E-2</v>
      </c>
      <c r="AB367">
        <f t="shared" ca="1" si="124"/>
        <v>253.60290000000003</v>
      </c>
    </row>
    <row r="368" spans="1:28" x14ac:dyDescent="0.25">
      <c r="A368" s="20">
        <f t="shared" ca="1" si="104"/>
        <v>45824</v>
      </c>
      <c r="B368" vm="1092">
        <f ca="1"/>
        <v>45826</v>
      </c>
      <c r="C368" vm="1093">
        <f ca="1"/>
        <v>273.95999999999998</v>
      </c>
      <c r="D368" vm="1094">
        <f ca="1"/>
        <v>9586440</v>
      </c>
      <c r="E368">
        <f t="shared" ca="1" si="105"/>
        <v>2626301102.3999996</v>
      </c>
      <c r="F368">
        <f ca="1">SUM($E$2:E368)/SUM($D$2:D368)</f>
        <v>219.57922563472914</v>
      </c>
      <c r="G368">
        <f ca="1">_xlfn.STDEV.P($C$2:C368)</f>
        <v>29.735887956739163</v>
      </c>
      <c r="H368">
        <f t="shared" ca="1" si="106"/>
        <v>249.3151135914683</v>
      </c>
      <c r="I368">
        <f t="shared" ca="1" si="107"/>
        <v>189.84333767798998</v>
      </c>
      <c r="J368">
        <f t="shared" ca="1" si="116"/>
        <v>265.64599999999996</v>
      </c>
      <c r="K368">
        <f t="shared" ca="1" si="117"/>
        <v>3.4509608120515893</v>
      </c>
      <c r="L368">
        <f t="shared" ca="1" si="118"/>
        <v>272.54792162410314</v>
      </c>
      <c r="M368">
        <f t="shared" ca="1" si="119"/>
        <v>258.74407837589678</v>
      </c>
      <c r="N368">
        <f t="shared" ca="1" si="108"/>
        <v>4.4399999999999977</v>
      </c>
      <c r="O368">
        <f t="shared" ca="1" si="109"/>
        <v>4.4399999999999977</v>
      </c>
      <c r="P368">
        <f t="shared" ca="1" si="110"/>
        <v>0</v>
      </c>
      <c r="Q368">
        <f t="shared" ca="1" si="114"/>
        <v>1.5658803516522568</v>
      </c>
      <c r="R368">
        <f t="shared" ca="1" si="115"/>
        <v>0.7674502073745556</v>
      </c>
      <c r="S368">
        <f t="shared" ca="1" si="112"/>
        <v>2.040367357524246</v>
      </c>
      <c r="T368">
        <f t="shared" ca="1" si="113"/>
        <v>67.109237720066346</v>
      </c>
      <c r="U368">
        <f>70</f>
        <v>70</v>
      </c>
      <c r="V368">
        <f>30</f>
        <v>30</v>
      </c>
      <c r="W368">
        <f t="shared" ca="1" si="111"/>
        <v>267.91032086143002</v>
      </c>
      <c r="X368">
        <f t="shared" ca="1" si="121"/>
        <v>263.8654488820797</v>
      </c>
      <c r="Y368">
        <f t="shared" ca="1" si="120"/>
        <v>4.3108102825322021</v>
      </c>
      <c r="Z368">
        <f t="shared" ca="1" si="122"/>
        <v>4.1156377319353084</v>
      </c>
      <c r="AA368">
        <f t="shared" ca="1" si="123"/>
        <v>0.19517255059689376</v>
      </c>
      <c r="AB368">
        <f t="shared" ca="1" si="124"/>
        <v>253.69410000000008</v>
      </c>
    </row>
    <row r="369" spans="1:28" x14ac:dyDescent="0.25">
      <c r="A369" s="20">
        <f t="shared" ca="1" si="104"/>
        <v>45824</v>
      </c>
      <c r="B369" vm="1095">
        <f ca="1"/>
        <v>45828</v>
      </c>
      <c r="C369" vm="1096">
        <f ca="1"/>
        <v>275</v>
      </c>
      <c r="D369" vm="1097">
        <f ca="1"/>
        <v>13969674</v>
      </c>
      <c r="E369">
        <f t="shared" ca="1" si="105"/>
        <v>3841660350</v>
      </c>
      <c r="F369">
        <f ca="1">SUM($E$2:E369)/SUM($D$2:D369)</f>
        <v>219.80247551924668</v>
      </c>
      <c r="G369">
        <f ca="1">_xlfn.STDEV.P($C$2:C369)</f>
        <v>29.831750771997402</v>
      </c>
      <c r="H369">
        <f t="shared" ca="1" si="106"/>
        <v>249.63422629124409</v>
      </c>
      <c r="I369">
        <f t="shared" ca="1" si="107"/>
        <v>189.97072474724928</v>
      </c>
      <c r="J369">
        <f t="shared" ca="1" si="116"/>
        <v>266.34399999999999</v>
      </c>
      <c r="K369">
        <f t="shared" ca="1" si="117"/>
        <v>3.8580843351127103</v>
      </c>
      <c r="L369">
        <f t="shared" ca="1" si="118"/>
        <v>274.06016867022544</v>
      </c>
      <c r="M369">
        <f t="shared" ca="1" si="119"/>
        <v>258.62783132977455</v>
      </c>
      <c r="N369">
        <f t="shared" ca="1" si="108"/>
        <v>1.0400000000000205</v>
      </c>
      <c r="O369">
        <f t="shared" ca="1" si="109"/>
        <v>1.0400000000000205</v>
      </c>
      <c r="P369">
        <f t="shared" ca="1" si="110"/>
        <v>0</v>
      </c>
      <c r="Q369">
        <f t="shared" ca="1" si="114"/>
        <v>1.5283174693913828</v>
      </c>
      <c r="R369">
        <f t="shared" ca="1" si="115"/>
        <v>0.71263233541923021</v>
      </c>
      <c r="S369">
        <f t="shared" ca="1" si="112"/>
        <v>2.1446086480096334</v>
      </c>
      <c r="T369">
        <f t="shared" ca="1" si="113"/>
        <v>68.199540485492662</v>
      </c>
      <c r="U369">
        <f>70</f>
        <v>70</v>
      </c>
      <c r="V369">
        <f>30</f>
        <v>30</v>
      </c>
      <c r="W369">
        <f t="shared" ca="1" si="111"/>
        <v>269.0010407289023</v>
      </c>
      <c r="X369">
        <f t="shared" ca="1" si="121"/>
        <v>264.69023044637009</v>
      </c>
      <c r="Y369">
        <f t="shared" ca="1" si="120"/>
        <v>4.7308951607228096</v>
      </c>
      <c r="Z369">
        <f t="shared" ca="1" si="122"/>
        <v>4.2386892176928086</v>
      </c>
      <c r="AA369">
        <f t="shared" ca="1" si="123"/>
        <v>0.49220594303000098</v>
      </c>
      <c r="AB369">
        <f t="shared" ca="1" si="124"/>
        <v>253.78560000000007</v>
      </c>
    </row>
    <row r="370" spans="1:28" x14ac:dyDescent="0.25">
      <c r="A370" s="20">
        <f t="shared" ca="1" si="104"/>
        <v>45831</v>
      </c>
      <c r="B370" vm="1098">
        <f ca="1"/>
        <v>45831</v>
      </c>
      <c r="C370" vm="1099">
        <f ca="1"/>
        <v>278.27</v>
      </c>
      <c r="D370" vm="1100">
        <f ca="1"/>
        <v>8094559</v>
      </c>
      <c r="E370">
        <f t="shared" ca="1" si="105"/>
        <v>2252472932.9299998</v>
      </c>
      <c r="F370">
        <f ca="1">SUM($E$2:E370)/SUM($D$2:D370)</f>
        <v>219.93862869044105</v>
      </c>
      <c r="G370">
        <f ca="1">_xlfn.STDEV.P($C$2:C370)</f>
        <v>29.942649585359156</v>
      </c>
      <c r="H370">
        <f t="shared" ca="1" si="106"/>
        <v>249.88127827580021</v>
      </c>
      <c r="I370">
        <f t="shared" ca="1" si="107"/>
        <v>189.99597910508189</v>
      </c>
      <c r="J370">
        <f t="shared" ca="1" si="116"/>
        <v>267.22399999999999</v>
      </c>
      <c r="K370">
        <f t="shared" ca="1" si="117"/>
        <v>4.4565662968135786</v>
      </c>
      <c r="L370">
        <f t="shared" ca="1" si="118"/>
        <v>276.13713259362714</v>
      </c>
      <c r="M370">
        <f t="shared" ca="1" si="119"/>
        <v>258.31086740637284</v>
      </c>
      <c r="N370">
        <f t="shared" ca="1" si="108"/>
        <v>3.2699999999999818</v>
      </c>
      <c r="O370">
        <f t="shared" ca="1" si="109"/>
        <v>3.2699999999999818</v>
      </c>
      <c r="P370">
        <f t="shared" ca="1" si="110"/>
        <v>0</v>
      </c>
      <c r="Q370">
        <f t="shared" ca="1" si="114"/>
        <v>1.652723364434854</v>
      </c>
      <c r="R370">
        <f t="shared" ca="1" si="115"/>
        <v>0.66173002574642814</v>
      </c>
      <c r="S370">
        <f t="shared" ca="1" si="112"/>
        <v>2.4975795265910601</v>
      </c>
      <c r="T370">
        <f t="shared" ca="1" si="113"/>
        <v>71.408798787924724</v>
      </c>
      <c r="U370">
        <f>70</f>
        <v>70</v>
      </c>
      <c r="V370">
        <f>30</f>
        <v>30</v>
      </c>
      <c r="W370">
        <f t="shared" ca="1" si="111"/>
        <v>270.42703446291733</v>
      </c>
      <c r="X370">
        <f t="shared" ca="1" si="121"/>
        <v>265.69613930219452</v>
      </c>
      <c r="Y370">
        <f t="shared" ca="1" si="120"/>
        <v>5.2446266731431024</v>
      </c>
      <c r="Z370">
        <f t="shared" ca="1" si="122"/>
        <v>4.439876708782867</v>
      </c>
      <c r="AA370">
        <f t="shared" ca="1" si="123"/>
        <v>0.80474996436023538</v>
      </c>
      <c r="AB370">
        <f t="shared" ca="1" si="124"/>
        <v>253.8969000000001</v>
      </c>
    </row>
    <row r="371" spans="1:28" x14ac:dyDescent="0.25">
      <c r="A371" s="20">
        <f t="shared" ca="1" si="104"/>
        <v>45831</v>
      </c>
      <c r="B371" vm="1101">
        <f ca="1"/>
        <v>45832</v>
      </c>
      <c r="C371" vm="1102">
        <f ca="1"/>
        <v>281.26</v>
      </c>
      <c r="D371" vm="1103">
        <f ca="1"/>
        <v>9267941</v>
      </c>
      <c r="E371">
        <f t="shared" ca="1" si="105"/>
        <v>2606701085.6599998</v>
      </c>
      <c r="F371">
        <f ca="1">SUM($E$2:E371)/SUM($D$2:D371)</f>
        <v>220.1016928731087</v>
      </c>
      <c r="G371">
        <f ca="1">_xlfn.STDEV.P($C$2:C371)</f>
        <v>30.067597410297385</v>
      </c>
      <c r="H371">
        <f t="shared" ca="1" si="106"/>
        <v>250.1692902834061</v>
      </c>
      <c r="I371">
        <f t="shared" ca="1" si="107"/>
        <v>190.03409546281131</v>
      </c>
      <c r="J371">
        <f t="shared" ca="1" si="116"/>
        <v>268.25150000000002</v>
      </c>
      <c r="K371">
        <f t="shared" ca="1" si="117"/>
        <v>5.1851034349932572</v>
      </c>
      <c r="L371">
        <f t="shared" ca="1" si="118"/>
        <v>278.62170686998655</v>
      </c>
      <c r="M371">
        <f t="shared" ca="1" si="119"/>
        <v>257.88129313001349</v>
      </c>
      <c r="N371">
        <f t="shared" ca="1" si="108"/>
        <v>2.9900000000000091</v>
      </c>
      <c r="O371">
        <f t="shared" ca="1" si="109"/>
        <v>2.9900000000000091</v>
      </c>
      <c r="P371">
        <f t="shared" ca="1" si="110"/>
        <v>0</v>
      </c>
      <c r="Q371">
        <f t="shared" ca="1" si="114"/>
        <v>1.7482431241180794</v>
      </c>
      <c r="R371">
        <f t="shared" ca="1" si="115"/>
        <v>0.61446359533596895</v>
      </c>
      <c r="S371">
        <f t="shared" ca="1" si="112"/>
        <v>2.8451532969373008</v>
      </c>
      <c r="T371">
        <f t="shared" ca="1" si="113"/>
        <v>73.993234527307166</v>
      </c>
      <c r="U371">
        <f>70</f>
        <v>70</v>
      </c>
      <c r="V371">
        <f>30</f>
        <v>30</v>
      </c>
      <c r="W371">
        <f t="shared" ca="1" si="111"/>
        <v>272.09364454554543</v>
      </c>
      <c r="X371">
        <f t="shared" ca="1" si="121"/>
        <v>266.84901787240233</v>
      </c>
      <c r="Y371">
        <f t="shared" ca="1" si="120"/>
        <v>5.8107168703596699</v>
      </c>
      <c r="Z371">
        <f t="shared" ca="1" si="122"/>
        <v>4.7140447410982276</v>
      </c>
      <c r="AA371">
        <f t="shared" ca="1" si="123"/>
        <v>1.0966721292614423</v>
      </c>
      <c r="AB371">
        <f t="shared" ca="1" si="124"/>
        <v>254.04370000000006</v>
      </c>
    </row>
    <row r="372" spans="1:28" x14ac:dyDescent="0.25">
      <c r="A372" s="20">
        <f t="shared" ca="1" si="104"/>
        <v>45831</v>
      </c>
      <c r="B372" vm="1104">
        <f ca="1"/>
        <v>45833</v>
      </c>
      <c r="C372" vm="1105">
        <f ca="1"/>
        <v>284.06</v>
      </c>
      <c r="D372" vm="1106">
        <f ca="1"/>
        <v>6826901</v>
      </c>
      <c r="E372">
        <f t="shared" ca="1" si="105"/>
        <v>1939249498.0599999</v>
      </c>
      <c r="F372">
        <f ca="1">SUM($E$2:E372)/SUM($D$2:D372)</f>
        <v>220.22672861244502</v>
      </c>
      <c r="G372">
        <f ca="1">_xlfn.STDEV.P($C$2:C372)</f>
        <v>30.20590524635119</v>
      </c>
      <c r="H372">
        <f t="shared" ca="1" si="106"/>
        <v>250.43263385879621</v>
      </c>
      <c r="I372">
        <f t="shared" ca="1" si="107"/>
        <v>190.02082336609382</v>
      </c>
      <c r="J372">
        <f t="shared" ca="1" si="116"/>
        <v>269.19</v>
      </c>
      <c r="K372">
        <f t="shared" ca="1" si="117"/>
        <v>6.2168836329195587</v>
      </c>
      <c r="L372">
        <f t="shared" ca="1" si="118"/>
        <v>281.62376726583909</v>
      </c>
      <c r="M372">
        <f t="shared" ca="1" si="119"/>
        <v>256.7562327341609</v>
      </c>
      <c r="N372">
        <f t="shared" ca="1" si="108"/>
        <v>2.8000000000000114</v>
      </c>
      <c r="O372">
        <f t="shared" ca="1" si="109"/>
        <v>2.8000000000000114</v>
      </c>
      <c r="P372">
        <f t="shared" ca="1" si="110"/>
        <v>0</v>
      </c>
      <c r="Q372">
        <f t="shared" ca="1" si="114"/>
        <v>1.823368615252503</v>
      </c>
      <c r="R372">
        <f t="shared" ca="1" si="115"/>
        <v>0.57057333852625691</v>
      </c>
      <c r="S372">
        <f t="shared" ca="1" si="112"/>
        <v>3.1956779122594674</v>
      </c>
      <c r="T372">
        <f t="shared" ca="1" si="113"/>
        <v>76.165949319463436</v>
      </c>
      <c r="U372">
        <f>70</f>
        <v>70</v>
      </c>
      <c r="V372">
        <f>30</f>
        <v>30</v>
      </c>
      <c r="W372">
        <f t="shared" ca="1" si="111"/>
        <v>273.93462230776925</v>
      </c>
      <c r="X372">
        <f t="shared" ca="1" si="121"/>
        <v>268.12390543740958</v>
      </c>
      <c r="Y372">
        <f t="shared" ca="1" si="120"/>
        <v>6.5621468895992621</v>
      </c>
      <c r="Z372">
        <f t="shared" ca="1" si="122"/>
        <v>5.0836651707984348</v>
      </c>
      <c r="AA372">
        <f t="shared" ca="1" si="123"/>
        <v>1.4784817188008272</v>
      </c>
      <c r="AB372">
        <f t="shared" ca="1" si="124"/>
        <v>254.20200000000008</v>
      </c>
    </row>
    <row r="373" spans="1:28" x14ac:dyDescent="0.25">
      <c r="A373" s="20">
        <f t="shared" ca="1" si="104"/>
        <v>45831</v>
      </c>
      <c r="B373" vm="1107">
        <f ca="1"/>
        <v>45834</v>
      </c>
      <c r="C373" vm="1108">
        <f ca="1"/>
        <v>288.75</v>
      </c>
      <c r="D373" vm="1109">
        <f ca="1"/>
        <v>8942062</v>
      </c>
      <c r="E373">
        <f t="shared" ca="1" si="105"/>
        <v>2582020402.5</v>
      </c>
      <c r="F373">
        <f ca="1">SUM($E$2:E373)/SUM($D$2:D373)</f>
        <v>220.4017449974242</v>
      </c>
      <c r="G373">
        <f ca="1">_xlfn.STDEV.P($C$2:C373)</f>
        <v>30.369015044797358</v>
      </c>
      <c r="H373">
        <f t="shared" ca="1" si="106"/>
        <v>250.77076004222155</v>
      </c>
      <c r="I373">
        <f t="shared" ca="1" si="107"/>
        <v>190.03272995262685</v>
      </c>
      <c r="J373">
        <f t="shared" ca="1" si="116"/>
        <v>270.45300000000003</v>
      </c>
      <c r="K373">
        <f t="shared" ca="1" si="117"/>
        <v>7.4429175801739946</v>
      </c>
      <c r="L373">
        <f t="shared" ca="1" si="118"/>
        <v>285.33883516034803</v>
      </c>
      <c r="M373">
        <f t="shared" ca="1" si="119"/>
        <v>255.56716483965204</v>
      </c>
      <c r="N373">
        <f t="shared" ca="1" si="108"/>
        <v>4.6899999999999977</v>
      </c>
      <c r="O373">
        <f t="shared" ca="1" si="109"/>
        <v>4.6899999999999977</v>
      </c>
      <c r="P373">
        <f t="shared" ca="1" si="110"/>
        <v>0</v>
      </c>
      <c r="Q373">
        <f t="shared" ca="1" si="114"/>
        <v>2.0281279998773241</v>
      </c>
      <c r="R373">
        <f t="shared" ca="1" si="115"/>
        <v>0.52981810006009566</v>
      </c>
      <c r="S373">
        <f t="shared" ca="1" si="112"/>
        <v>3.8279703914367587</v>
      </c>
      <c r="T373">
        <f t="shared" ca="1" si="113"/>
        <v>79.287362619835591</v>
      </c>
      <c r="U373">
        <f>70</f>
        <v>70</v>
      </c>
      <c r="V373">
        <f>30</f>
        <v>30</v>
      </c>
      <c r="W373">
        <f t="shared" ca="1" si="111"/>
        <v>276.21391118349703</v>
      </c>
      <c r="X373">
        <f t="shared" ca="1" si="121"/>
        <v>269.65176429389777</v>
      </c>
      <c r="Y373">
        <f t="shared" ca="1" si="120"/>
        <v>6.94526560108784</v>
      </c>
      <c r="Z373">
        <f t="shared" ca="1" si="122"/>
        <v>5.4559852568563159</v>
      </c>
      <c r="AA373">
        <f t="shared" ca="1" si="123"/>
        <v>1.4892803442315241</v>
      </c>
      <c r="AB373">
        <f t="shared" ca="1" si="124"/>
        <v>254.41650000000004</v>
      </c>
    </row>
    <row r="374" spans="1:28" x14ac:dyDescent="0.25">
      <c r="A374" s="20">
        <f t="shared" ca="1" si="104"/>
        <v>45831</v>
      </c>
      <c r="B374" vm="1110">
        <f ca="1"/>
        <v>45835</v>
      </c>
      <c r="C374" vm="1111">
        <f ca="1"/>
        <v>287.11</v>
      </c>
      <c r="D374" vm="1112">
        <f ca="1"/>
        <v>17868633</v>
      </c>
      <c r="E374">
        <f t="shared" ca="1" si="105"/>
        <v>5130263220.6300001</v>
      </c>
      <c r="F374">
        <f ca="1">SUM($E$2:E374)/SUM($D$2:D374)</f>
        <v>220.74048222992442</v>
      </c>
      <c r="G374">
        <f ca="1">_xlfn.STDEV.P($C$2:C374)</f>
        <v>30.519706296126806</v>
      </c>
      <c r="H374">
        <f t="shared" ca="1" si="106"/>
        <v>251.26018852605122</v>
      </c>
      <c r="I374">
        <f t="shared" ca="1" si="107"/>
        <v>190.22077593379763</v>
      </c>
      <c r="J374">
        <f t="shared" ca="1" si="116"/>
        <v>271.59000000000003</v>
      </c>
      <c r="K374">
        <f t="shared" ca="1" si="117"/>
        <v>8.1664938041139497</v>
      </c>
      <c r="L374">
        <f t="shared" ca="1" si="118"/>
        <v>287.92298760822791</v>
      </c>
      <c r="M374">
        <f t="shared" ca="1" si="119"/>
        <v>255.25701239177212</v>
      </c>
      <c r="N374">
        <f t="shared" ca="1" si="108"/>
        <v>-1.6399999999999864</v>
      </c>
      <c r="O374">
        <f t="shared" ca="1" si="109"/>
        <v>0</v>
      </c>
      <c r="P374">
        <f t="shared" ca="1" si="110"/>
        <v>1.6399999999999864</v>
      </c>
      <c r="Q374">
        <f t="shared" ca="1" si="114"/>
        <v>1.8832617141718011</v>
      </c>
      <c r="R374">
        <f t="shared" ca="1" si="115"/>
        <v>0.60911680719865935</v>
      </c>
      <c r="S374">
        <f t="shared" ca="1" si="112"/>
        <v>3.0917907565758367</v>
      </c>
      <c r="T374">
        <f t="shared" ca="1" si="113"/>
        <v>75.560822644879394</v>
      </c>
      <c r="U374">
        <f>70</f>
        <v>70</v>
      </c>
      <c r="V374">
        <f>30</f>
        <v>30</v>
      </c>
      <c r="W374">
        <f t="shared" ca="1" si="111"/>
        <v>277.89023253988211</v>
      </c>
      <c r="X374">
        <f t="shared" ca="1" si="121"/>
        <v>270.94496693879427</v>
      </c>
      <c r="Y374">
        <f t="shared" ca="1" si="120"/>
        <v>7.3896433311591068</v>
      </c>
      <c r="Z374">
        <f t="shared" ca="1" si="122"/>
        <v>5.842716871716874</v>
      </c>
      <c r="AA374">
        <f t="shared" ca="1" si="123"/>
        <v>1.5469264594422327</v>
      </c>
      <c r="AB374">
        <f t="shared" ca="1" si="124"/>
        <v>254.61950000000004</v>
      </c>
    </row>
    <row r="375" spans="1:28" x14ac:dyDescent="0.25">
      <c r="A375" s="20">
        <f t="shared" ca="1" si="104"/>
        <v>45838</v>
      </c>
      <c r="B375" vm="1113">
        <f ca="1"/>
        <v>45838</v>
      </c>
      <c r="C375" vm="1114">
        <f ca="1"/>
        <v>289.91000000000003</v>
      </c>
      <c r="D375" vm="1115">
        <f ca="1"/>
        <v>12689156</v>
      </c>
      <c r="E375">
        <f t="shared" ca="1" si="105"/>
        <v>3678713215.9600005</v>
      </c>
      <c r="F375">
        <f ca="1">SUM($E$2:E375)/SUM($D$2:D375)</f>
        <v>220.98901076769204</v>
      </c>
      <c r="G375">
        <f ca="1">_xlfn.STDEV.P($C$2:C375)</f>
        <v>30.684207363281718</v>
      </c>
      <c r="H375">
        <f t="shared" ca="1" si="106"/>
        <v>251.67321813097377</v>
      </c>
      <c r="I375">
        <f t="shared" ca="1" si="107"/>
        <v>190.30480340441031</v>
      </c>
      <c r="J375">
        <f t="shared" ca="1" si="116"/>
        <v>272.88549999999998</v>
      </c>
      <c r="K375">
        <f t="shared" ca="1" si="117"/>
        <v>8.9194898809764975</v>
      </c>
      <c r="L375">
        <f t="shared" ca="1" si="118"/>
        <v>290.72447976195298</v>
      </c>
      <c r="M375">
        <f t="shared" ca="1" si="119"/>
        <v>255.04652023804698</v>
      </c>
      <c r="N375">
        <f t="shared" ca="1" si="108"/>
        <v>2.8000000000000114</v>
      </c>
      <c r="O375">
        <f t="shared" ca="1" si="109"/>
        <v>2.8000000000000114</v>
      </c>
      <c r="P375">
        <f t="shared" ca="1" si="110"/>
        <v>0</v>
      </c>
      <c r="Q375">
        <f t="shared" ca="1" si="114"/>
        <v>1.9487430203023877</v>
      </c>
      <c r="R375">
        <f t="shared" ca="1" si="115"/>
        <v>0.56560846382732655</v>
      </c>
      <c r="S375">
        <f t="shared" ca="1" si="112"/>
        <v>3.4453922544152653</v>
      </c>
      <c r="T375">
        <f t="shared" ca="1" si="113"/>
        <v>77.504797264925784</v>
      </c>
      <c r="U375">
        <f>70</f>
        <v>70</v>
      </c>
      <c r="V375">
        <f>30</f>
        <v>30</v>
      </c>
      <c r="W375">
        <f t="shared" ca="1" si="111"/>
        <v>279.73942753374638</v>
      </c>
      <c r="X375">
        <f t="shared" ca="1" si="121"/>
        <v>272.34978420258727</v>
      </c>
      <c r="Y375">
        <f t="shared" ca="1" si="120"/>
        <v>7.693476101657609</v>
      </c>
      <c r="Z375">
        <f t="shared" ca="1" si="122"/>
        <v>6.212868717705021</v>
      </c>
      <c r="AA375">
        <f t="shared" ca="1" si="123"/>
        <v>1.480607383952588</v>
      </c>
      <c r="AB375">
        <f t="shared" ca="1" si="124"/>
        <v>254.83920000000006</v>
      </c>
    </row>
    <row r="376" spans="1:28" x14ac:dyDescent="0.25">
      <c r="A376" s="20">
        <f t="shared" ca="1" si="104"/>
        <v>45838</v>
      </c>
      <c r="B376" vm="1116">
        <f ca="1"/>
        <v>45839</v>
      </c>
      <c r="C376" vm="1117">
        <f ca="1"/>
        <v>290.41000000000003</v>
      </c>
      <c r="D376" vm="1118">
        <f ca="1"/>
        <v>9338260</v>
      </c>
      <c r="E376">
        <f t="shared" ca="1" si="105"/>
        <v>2711924086.6000004</v>
      </c>
      <c r="F376">
        <f ca="1">SUM($E$2:E376)/SUM($D$2:D376)</f>
        <v>221.17208983556762</v>
      </c>
      <c r="G376">
        <f ca="1">_xlfn.STDEV.P($C$2:C376)</f>
        <v>30.848839275880621</v>
      </c>
      <c r="H376">
        <f t="shared" ca="1" si="106"/>
        <v>252.02092911144825</v>
      </c>
      <c r="I376">
        <f t="shared" ca="1" si="107"/>
        <v>190.32325055968698</v>
      </c>
      <c r="J376">
        <f t="shared" ca="1" si="116"/>
        <v>274.173</v>
      </c>
      <c r="K376">
        <f t="shared" ca="1" si="117"/>
        <v>9.5086797467532715</v>
      </c>
      <c r="L376">
        <f t="shared" ca="1" si="118"/>
        <v>293.19035949350655</v>
      </c>
      <c r="M376">
        <f t="shared" ca="1" si="119"/>
        <v>255.15564050649346</v>
      </c>
      <c r="N376">
        <f t="shared" ca="1" si="108"/>
        <v>0.5</v>
      </c>
      <c r="O376">
        <f t="shared" ca="1" si="109"/>
        <v>0.5</v>
      </c>
      <c r="P376">
        <f t="shared" ca="1" si="110"/>
        <v>0</v>
      </c>
      <c r="Q376">
        <f t="shared" ca="1" si="114"/>
        <v>1.8452613759950742</v>
      </c>
      <c r="R376">
        <f t="shared" ca="1" si="115"/>
        <v>0.52520785926823177</v>
      </c>
      <c r="S376">
        <f t="shared" ca="1" si="112"/>
        <v>3.5133925424613093</v>
      </c>
      <c r="T376">
        <f t="shared" ca="1" si="113"/>
        <v>77.843717545235592</v>
      </c>
      <c r="U376">
        <f>70</f>
        <v>70</v>
      </c>
      <c r="V376">
        <f>30</f>
        <v>30</v>
      </c>
      <c r="W376">
        <f t="shared" ca="1" si="111"/>
        <v>281.38105406701618</v>
      </c>
      <c r="X376">
        <f t="shared" ca="1" si="121"/>
        <v>273.68757796535857</v>
      </c>
      <c r="Y376">
        <f t="shared" ca="1" si="120"/>
        <v>7.970684385077675</v>
      </c>
      <c r="Z376">
        <f t="shared" ca="1" si="122"/>
        <v>6.5644318511795525</v>
      </c>
      <c r="AA376">
        <f t="shared" ca="1" si="123"/>
        <v>1.4062525338981224</v>
      </c>
      <c r="AB376">
        <f t="shared" ca="1" si="124"/>
        <v>255.0390000000001</v>
      </c>
    </row>
    <row r="377" spans="1:28" x14ac:dyDescent="0.25">
      <c r="A377" s="20">
        <f t="shared" ca="1" si="104"/>
        <v>45838</v>
      </c>
      <c r="B377" vm="1119">
        <f ca="1"/>
        <v>45840</v>
      </c>
      <c r="C377" vm="1120">
        <f ca="1"/>
        <v>292</v>
      </c>
      <c r="D377" vm="1121">
        <f ca="1"/>
        <v>8158692</v>
      </c>
      <c r="E377">
        <f t="shared" ca="1" si="105"/>
        <v>2382338064</v>
      </c>
      <c r="F377">
        <f ca="1">SUM($E$2:E377)/SUM($D$2:D377)</f>
        <v>221.33490970031079</v>
      </c>
      <c r="G377">
        <f ca="1">_xlfn.STDEV.P($C$2:C377)</f>
        <v>31.02010515529555</v>
      </c>
      <c r="H377">
        <f t="shared" ca="1" si="106"/>
        <v>252.35501485560633</v>
      </c>
      <c r="I377">
        <f t="shared" ca="1" si="107"/>
        <v>190.31480454501525</v>
      </c>
      <c r="J377">
        <f t="shared" ca="1" si="116"/>
        <v>275.45949999999999</v>
      </c>
      <c r="K377">
        <f t="shared" ca="1" si="117"/>
        <v>10.105047449040923</v>
      </c>
      <c r="L377">
        <f t="shared" ca="1" si="118"/>
        <v>295.66959489808181</v>
      </c>
      <c r="M377">
        <f t="shared" ca="1" si="119"/>
        <v>255.24940510191814</v>
      </c>
      <c r="N377">
        <f t="shared" ca="1" si="108"/>
        <v>1.589999999999975</v>
      </c>
      <c r="O377">
        <f t="shared" ca="1" si="109"/>
        <v>1.589999999999975</v>
      </c>
      <c r="P377">
        <f t="shared" ca="1" si="110"/>
        <v>0</v>
      </c>
      <c r="Q377">
        <f t="shared" ca="1" si="114"/>
        <v>1.8270284205668528</v>
      </c>
      <c r="R377">
        <f t="shared" ca="1" si="115"/>
        <v>0.48769301217764383</v>
      </c>
      <c r="S377">
        <f t="shared" ca="1" si="112"/>
        <v>3.7462673750620636</v>
      </c>
      <c r="T377">
        <f t="shared" ca="1" si="113"/>
        <v>78.930811920663785</v>
      </c>
      <c r="U377">
        <f>70</f>
        <v>70</v>
      </c>
      <c r="V377">
        <f>30</f>
        <v>30</v>
      </c>
      <c r="W377">
        <f t="shared" ca="1" si="111"/>
        <v>283.01473805670599</v>
      </c>
      <c r="X377">
        <f t="shared" ca="1" si="121"/>
        <v>275.04405367162832</v>
      </c>
      <c r="Y377">
        <f t="shared" ca="1" si="120"/>
        <v>8.4161246711182116</v>
      </c>
      <c r="Z377">
        <f t="shared" ca="1" si="122"/>
        <v>6.9347704151672849</v>
      </c>
      <c r="AA377">
        <f t="shared" ca="1" si="123"/>
        <v>1.4813542559509267</v>
      </c>
      <c r="AB377">
        <f t="shared" ca="1" si="124"/>
        <v>255.19000000000011</v>
      </c>
    </row>
    <row r="378" spans="1:28" x14ac:dyDescent="0.25">
      <c r="A378" s="20">
        <f t="shared" ca="1" si="104"/>
        <v>45838</v>
      </c>
      <c r="B378" vm="1122">
        <f ca="1"/>
        <v>45841</v>
      </c>
      <c r="C378" vm="1123">
        <f ca="1"/>
        <v>296</v>
      </c>
      <c r="D378" vm="1124">
        <f ca="1"/>
        <v>6541646</v>
      </c>
      <c r="E378">
        <f t="shared" ca="1" si="105"/>
        <v>1936327216</v>
      </c>
      <c r="F378">
        <f ca="1">SUM($E$2:E378)/SUM($D$2:D378)</f>
        <v>221.47227824827436</v>
      </c>
      <c r="G378">
        <f ca="1">_xlfn.STDEV.P($C$2:C378)</f>
        <v>31.212890165479422</v>
      </c>
      <c r="H378">
        <f t="shared" ca="1" si="106"/>
        <v>252.68516841375379</v>
      </c>
      <c r="I378">
        <f t="shared" ca="1" si="107"/>
        <v>190.25938808279494</v>
      </c>
      <c r="J378">
        <f t="shared" ca="1" si="116"/>
        <v>277.04849999999999</v>
      </c>
      <c r="K378">
        <f t="shared" ca="1" si="117"/>
        <v>10.72433301815132</v>
      </c>
      <c r="L378">
        <f t="shared" ca="1" si="118"/>
        <v>298.49716603630264</v>
      </c>
      <c r="M378">
        <f t="shared" ca="1" si="119"/>
        <v>255.59983396369734</v>
      </c>
      <c r="N378">
        <f t="shared" ca="1" si="108"/>
        <v>4</v>
      </c>
      <c r="O378">
        <f t="shared" ca="1" si="109"/>
        <v>4</v>
      </c>
      <c r="P378">
        <f t="shared" ca="1" si="110"/>
        <v>0</v>
      </c>
      <c r="Q378">
        <f t="shared" ca="1" si="114"/>
        <v>1.982240676240649</v>
      </c>
      <c r="R378">
        <f t="shared" ca="1" si="115"/>
        <v>0.45285779702209783</v>
      </c>
      <c r="S378">
        <f t="shared" ca="1" si="112"/>
        <v>4.3771812901874867</v>
      </c>
      <c r="T378">
        <f t="shared" ca="1" si="113"/>
        <v>81.40289594057684</v>
      </c>
      <c r="U378">
        <f>70</f>
        <v>70</v>
      </c>
      <c r="V378">
        <f>30</f>
        <v>30</v>
      </c>
      <c r="W378">
        <f t="shared" ca="1" si="111"/>
        <v>285.01247066336663</v>
      </c>
      <c r="X378">
        <f t="shared" ca="1" si="121"/>
        <v>276.59634599224842</v>
      </c>
      <c r="Y378">
        <f t="shared" ca="1" si="120"/>
        <v>8.3477246140716943</v>
      </c>
      <c r="Z378">
        <f t="shared" ca="1" si="122"/>
        <v>7.2173612549481669</v>
      </c>
      <c r="AA378">
        <f t="shared" ca="1" si="123"/>
        <v>1.1303633591235274</v>
      </c>
      <c r="AB378">
        <f t="shared" ca="1" si="124"/>
        <v>255.39200000000008</v>
      </c>
    </row>
    <row r="379" spans="1:28" x14ac:dyDescent="0.25">
      <c r="A379" s="20">
        <f t="shared" ca="1" si="104"/>
        <v>45845</v>
      </c>
      <c r="B379" vm="1125">
        <f ca="1"/>
        <v>45845</v>
      </c>
      <c r="C379" vm="1126">
        <f ca="1"/>
        <v>291.97000000000003</v>
      </c>
      <c r="D379" vm="1127">
        <f ca="1"/>
        <v>8825732</v>
      </c>
      <c r="E379">
        <f t="shared" ca="1" si="105"/>
        <v>2576848972.0400004</v>
      </c>
      <c r="F379">
        <f ca="1">SUM($E$2:E379)/SUM($D$2:D379)</f>
        <v>221.64683306222247</v>
      </c>
      <c r="G379">
        <f ca="1">_xlfn.STDEV.P($C$2:C379)</f>
        <v>31.377886050721308</v>
      </c>
      <c r="H379">
        <f t="shared" ca="1" si="106"/>
        <v>253.02471911294379</v>
      </c>
      <c r="I379">
        <f t="shared" ca="1" si="107"/>
        <v>190.26894701150115</v>
      </c>
      <c r="J379">
        <f t="shared" ca="1" si="116"/>
        <v>278.54949999999997</v>
      </c>
      <c r="K379">
        <f t="shared" ca="1" si="117"/>
        <v>10.60000371151872</v>
      </c>
      <c r="L379">
        <f t="shared" ca="1" si="118"/>
        <v>299.74950742303741</v>
      </c>
      <c r="M379">
        <f t="shared" ca="1" si="119"/>
        <v>257.34949257696252</v>
      </c>
      <c r="N379">
        <f t="shared" ca="1" si="108"/>
        <v>-4.0299999999999727</v>
      </c>
      <c r="O379">
        <f t="shared" ca="1" si="109"/>
        <v>0</v>
      </c>
      <c r="P379">
        <f t="shared" ca="1" si="110"/>
        <v>4.0299999999999727</v>
      </c>
      <c r="Q379">
        <f t="shared" ca="1" si="114"/>
        <v>1.8406520565091742</v>
      </c>
      <c r="R379">
        <f t="shared" ca="1" si="115"/>
        <v>0.70836795437766031</v>
      </c>
      <c r="S379">
        <f t="shared" ca="1" si="112"/>
        <v>2.598440605809571</v>
      </c>
      <c r="T379">
        <f t="shared" ca="1" si="113"/>
        <v>72.210184645384146</v>
      </c>
      <c r="U379">
        <f>70</f>
        <v>70</v>
      </c>
      <c r="V379">
        <f>30</f>
        <v>30</v>
      </c>
      <c r="W379">
        <f t="shared" ca="1" si="111"/>
        <v>286.08285979207949</v>
      </c>
      <c r="X379">
        <f t="shared" ca="1" si="121"/>
        <v>277.73513517800779</v>
      </c>
      <c r="Y379">
        <f t="shared" ca="1" si="120"/>
        <v>7.4658986478492011</v>
      </c>
      <c r="Z379">
        <f t="shared" ca="1" si="122"/>
        <v>7.2670687335283741</v>
      </c>
      <c r="AA379">
        <f t="shared" ca="1" si="123"/>
        <v>0.19882991432082697</v>
      </c>
      <c r="AB379">
        <f t="shared" ca="1" si="124"/>
        <v>255.60130000000004</v>
      </c>
    </row>
    <row r="380" spans="1:28" x14ac:dyDescent="0.25">
      <c r="A380" s="20">
        <f t="shared" ca="1" si="104"/>
        <v>45845</v>
      </c>
      <c r="B380" vm="1128">
        <f ca="1"/>
        <v>45846</v>
      </c>
      <c r="C380" vm="1129">
        <f ca="1"/>
        <v>282.77999999999997</v>
      </c>
      <c r="D380" vm="1130">
        <f ca="1"/>
        <v>15440856</v>
      </c>
      <c r="E380">
        <f t="shared" ca="1" si="105"/>
        <v>4366365259.6799994</v>
      </c>
      <c r="F380">
        <f ca="1">SUM($E$2:E380)/SUM($D$2:D380)</f>
        <v>221.91051296337389</v>
      </c>
      <c r="G380">
        <f ca="1">_xlfn.STDEV.P($C$2:C380)</f>
        <v>31.490079817494816</v>
      </c>
      <c r="H380">
        <f t="shared" ca="1" si="106"/>
        <v>253.40059278086869</v>
      </c>
      <c r="I380">
        <f t="shared" ca="1" si="107"/>
        <v>190.42043314587909</v>
      </c>
      <c r="J380">
        <f t="shared" ca="1" si="116"/>
        <v>279.40199999999999</v>
      </c>
      <c r="K380">
        <f t="shared" ca="1" si="117"/>
        <v>10.192525434691944</v>
      </c>
      <c r="L380">
        <f t="shared" ca="1" si="118"/>
        <v>299.78705086938385</v>
      </c>
      <c r="M380">
        <f t="shared" ca="1" si="119"/>
        <v>259.01694913061613</v>
      </c>
      <c r="N380">
        <f t="shared" ca="1" si="108"/>
        <v>-9.1900000000000546</v>
      </c>
      <c r="O380">
        <f t="shared" ca="1" si="109"/>
        <v>0</v>
      </c>
      <c r="P380">
        <f t="shared" ca="1" si="110"/>
        <v>9.1900000000000546</v>
      </c>
      <c r="Q380">
        <f t="shared" ca="1" si="114"/>
        <v>1.7091769096156617</v>
      </c>
      <c r="R380">
        <f t="shared" ca="1" si="115"/>
        <v>1.3141988147792598</v>
      </c>
      <c r="S380">
        <f t="shared" ca="1" si="112"/>
        <v>1.3005466831917245</v>
      </c>
      <c r="T380">
        <f t="shared" ca="1" si="113"/>
        <v>56.532070950517571</v>
      </c>
      <c r="U380">
        <f>70</f>
        <v>70</v>
      </c>
      <c r="V380">
        <f>30</f>
        <v>30</v>
      </c>
      <c r="W380">
        <f t="shared" ca="1" si="111"/>
        <v>285.57472751637494</v>
      </c>
      <c r="X380">
        <f t="shared" ca="1" si="121"/>
        <v>278.10882886852573</v>
      </c>
      <c r="Y380">
        <f t="shared" ca="1" si="120"/>
        <v>6.7202412823148165</v>
      </c>
      <c r="Z380">
        <f t="shared" ca="1" si="122"/>
        <v>7.1577032432856633</v>
      </c>
      <c r="AA380">
        <f t="shared" ca="1" si="123"/>
        <v>-0.43746196097084677</v>
      </c>
      <c r="AB380">
        <f t="shared" ca="1" si="124"/>
        <v>255.67920000000001</v>
      </c>
    </row>
    <row r="381" spans="1:28" x14ac:dyDescent="0.25">
      <c r="A381" s="20">
        <f t="shared" ca="1" si="104"/>
        <v>45845</v>
      </c>
      <c r="B381" vm="1131">
        <f ca="1"/>
        <v>45847</v>
      </c>
      <c r="C381" vm="1132">
        <f ca="1"/>
        <v>283.16000000000003</v>
      </c>
      <c r="D381" vm="1133">
        <f ca="1"/>
        <v>11273801</v>
      </c>
      <c r="E381">
        <f t="shared" ca="1" si="105"/>
        <v>3192289491.1600003</v>
      </c>
      <c r="F381">
        <f ca="1">SUM($E$2:E381)/SUM($D$2:D381)</f>
        <v>222.10279382194679</v>
      </c>
      <c r="G381">
        <f ca="1">_xlfn.STDEV.P($C$2:C381)</f>
        <v>31.602398589002878</v>
      </c>
      <c r="H381">
        <f t="shared" ca="1" si="106"/>
        <v>253.70519241094968</v>
      </c>
      <c r="I381">
        <f t="shared" ca="1" si="107"/>
        <v>190.5003952329439</v>
      </c>
      <c r="J381">
        <f t="shared" ca="1" si="116"/>
        <v>280.22300000000001</v>
      </c>
      <c r="K381">
        <f t="shared" ca="1" si="117"/>
        <v>9.7715468257805114</v>
      </c>
      <c r="L381">
        <f t="shared" ca="1" si="118"/>
        <v>299.76609365156105</v>
      </c>
      <c r="M381">
        <f t="shared" ca="1" si="119"/>
        <v>260.67990634843898</v>
      </c>
      <c r="N381">
        <f t="shared" ca="1" si="108"/>
        <v>0.3800000000000523</v>
      </c>
      <c r="O381">
        <f t="shared" ca="1" si="109"/>
        <v>0.3800000000000523</v>
      </c>
      <c r="P381">
        <f t="shared" ca="1" si="110"/>
        <v>0</v>
      </c>
      <c r="Q381">
        <f t="shared" ca="1" si="114"/>
        <v>1.6142357017859754</v>
      </c>
      <c r="R381">
        <f t="shared" ca="1" si="115"/>
        <v>1.2203274708664555</v>
      </c>
      <c r="S381">
        <f t="shared" ca="1" si="112"/>
        <v>1.3227889565084014</v>
      </c>
      <c r="T381">
        <f t="shared" ca="1" si="113"/>
        <v>56.948305734017595</v>
      </c>
      <c r="U381">
        <f>70</f>
        <v>70</v>
      </c>
      <c r="V381">
        <f>30</f>
        <v>30</v>
      </c>
      <c r="W381">
        <f t="shared" ca="1" si="111"/>
        <v>285.20323097539421</v>
      </c>
      <c r="X381">
        <f t="shared" ca="1" si="121"/>
        <v>278.48298969307939</v>
      </c>
      <c r="Y381">
        <f t="shared" ca="1" si="120"/>
        <v>6.4607064086645778</v>
      </c>
      <c r="Z381">
        <f t="shared" ca="1" si="122"/>
        <v>7.0183038763614469</v>
      </c>
      <c r="AA381">
        <f t="shared" ca="1" si="123"/>
        <v>-0.55759746769686913</v>
      </c>
      <c r="AB381">
        <f t="shared" ca="1" si="124"/>
        <v>255.75630000000001</v>
      </c>
    </row>
    <row r="382" spans="1:28" x14ac:dyDescent="0.25">
      <c r="A382" s="20">
        <f t="shared" ca="1" si="104"/>
        <v>45845</v>
      </c>
      <c r="B382" vm="1134">
        <f ca="1"/>
        <v>45848</v>
      </c>
      <c r="C382" vm="1135">
        <f ca="1"/>
        <v>288.19</v>
      </c>
      <c r="D382" vm="1136">
        <f ca="1"/>
        <v>8413847</v>
      </c>
      <c r="E382">
        <f t="shared" ca="1" si="105"/>
        <v>2424786566.9299998</v>
      </c>
      <c r="F382">
        <f ca="1">SUM($E$2:E382)/SUM($D$2:D382)</f>
        <v>222.25726907211327</v>
      </c>
      <c r="G382">
        <f ca="1">_xlfn.STDEV.P($C$2:C382)</f>
        <v>31.739136050827501</v>
      </c>
      <c r="H382">
        <f t="shared" ca="1" si="106"/>
        <v>253.99640512294079</v>
      </c>
      <c r="I382">
        <f t="shared" ca="1" si="107"/>
        <v>190.51813302128576</v>
      </c>
      <c r="J382">
        <f t="shared" ca="1" si="116"/>
        <v>281.20249999999999</v>
      </c>
      <c r="K382">
        <f t="shared" ca="1" si="117"/>
        <v>9.5238481138002715</v>
      </c>
      <c r="L382">
        <f t="shared" ca="1" si="118"/>
        <v>300.25019622760055</v>
      </c>
      <c r="M382">
        <f t="shared" ca="1" si="119"/>
        <v>262.15480377239942</v>
      </c>
      <c r="N382">
        <f t="shared" ca="1" si="108"/>
        <v>5.0299999999999727</v>
      </c>
      <c r="O382">
        <f t="shared" ca="1" si="109"/>
        <v>5.0299999999999727</v>
      </c>
      <c r="P382">
        <f t="shared" ca="1" si="110"/>
        <v>0</v>
      </c>
      <c r="Q382">
        <f t="shared" ca="1" si="114"/>
        <v>1.8582188659441179</v>
      </c>
      <c r="R382">
        <f t="shared" ca="1" si="115"/>
        <v>1.1331612229474231</v>
      </c>
      <c r="S382">
        <f t="shared" ca="1" si="112"/>
        <v>1.6398539133829295</v>
      </c>
      <c r="T382">
        <f t="shared" ca="1" si="113"/>
        <v>62.119115950680907</v>
      </c>
      <c r="U382">
        <f>70</f>
        <v>70</v>
      </c>
      <c r="V382">
        <f>30</f>
        <v>30</v>
      </c>
      <c r="W382">
        <f t="shared" ca="1" si="111"/>
        <v>285.6627339022566</v>
      </c>
      <c r="X382">
        <f t="shared" ca="1" si="121"/>
        <v>279.20202749359203</v>
      </c>
      <c r="Y382">
        <f t="shared" ca="1" si="120"/>
        <v>6.0776439702358971</v>
      </c>
      <c r="Z382">
        <f t="shared" ca="1" si="122"/>
        <v>6.8301718951363366</v>
      </c>
      <c r="AA382">
        <f t="shared" ca="1" si="123"/>
        <v>-0.75252792490043952</v>
      </c>
      <c r="AB382">
        <f t="shared" ca="1" si="124"/>
        <v>255.875</v>
      </c>
    </row>
    <row r="383" spans="1:28" x14ac:dyDescent="0.25">
      <c r="A383" s="20">
        <f t="shared" ca="1" si="104"/>
        <v>45845</v>
      </c>
      <c r="B383" vm="1137">
        <f ca="1"/>
        <v>45849</v>
      </c>
      <c r="C383" vm="1138">
        <f ca="1"/>
        <v>286.86</v>
      </c>
      <c r="D383" vm="1139">
        <f ca="1"/>
        <v>7384674</v>
      </c>
      <c r="E383">
        <f t="shared" ca="1" si="105"/>
        <v>2118367583.6400001</v>
      </c>
      <c r="F383">
        <f ca="1">SUM($E$2:E383)/SUM($D$2:D383)</f>
        <v>222.38953228040305</v>
      </c>
      <c r="G383">
        <f ca="1">_xlfn.STDEV.P($C$2:C383)</f>
        <v>31.866589455357676</v>
      </c>
      <c r="H383">
        <f t="shared" ca="1" si="106"/>
        <v>254.25612173576073</v>
      </c>
      <c r="I383">
        <f t="shared" ca="1" si="107"/>
        <v>190.52294282504536</v>
      </c>
      <c r="J383">
        <f t="shared" ca="1" si="116"/>
        <v>282.13799999999998</v>
      </c>
      <c r="K383">
        <f t="shared" ca="1" si="117"/>
        <v>9.0829693730398038</v>
      </c>
      <c r="L383">
        <f t="shared" ca="1" si="118"/>
        <v>300.30393874607961</v>
      </c>
      <c r="M383">
        <f t="shared" ca="1" si="119"/>
        <v>263.97206125392034</v>
      </c>
      <c r="N383">
        <f t="shared" ca="1" si="108"/>
        <v>-1.3299999999999841</v>
      </c>
      <c r="O383">
        <f t="shared" ca="1" si="109"/>
        <v>0</v>
      </c>
      <c r="P383">
        <f t="shared" ca="1" si="110"/>
        <v>1.3299999999999841</v>
      </c>
      <c r="Q383">
        <f t="shared" ca="1" si="114"/>
        <v>1.7254889469481094</v>
      </c>
      <c r="R383">
        <f t="shared" ca="1" si="115"/>
        <v>1.1472211355940345</v>
      </c>
      <c r="S383">
        <f t="shared" ca="1" si="112"/>
        <v>1.504059586606767</v>
      </c>
      <c r="T383">
        <f t="shared" ca="1" si="113"/>
        <v>60.064848083144348</v>
      </c>
      <c r="U383">
        <f>70</f>
        <v>70</v>
      </c>
      <c r="V383">
        <f>30</f>
        <v>30</v>
      </c>
      <c r="W383">
        <f t="shared" ca="1" si="111"/>
        <v>285.84692868652479</v>
      </c>
      <c r="X383">
        <f t="shared" ca="1" si="121"/>
        <v>279.76928471628889</v>
      </c>
      <c r="Y383">
        <f t="shared" ca="1" si="120"/>
        <v>5.8550435530027585</v>
      </c>
      <c r="Z383">
        <f t="shared" ca="1" si="122"/>
        <v>6.6351462267096206</v>
      </c>
      <c r="AA383">
        <f t="shared" ca="1" si="123"/>
        <v>-0.78010267370686215</v>
      </c>
      <c r="AB383">
        <f t="shared" ca="1" si="124"/>
        <v>255.9777</v>
      </c>
    </row>
    <row r="384" spans="1:28" x14ac:dyDescent="0.25">
      <c r="A384" s="20">
        <f t="shared" ca="1" si="104"/>
        <v>45852</v>
      </c>
      <c r="B384" vm="1140">
        <f ca="1"/>
        <v>45852</v>
      </c>
      <c r="C384" vm="1141">
        <f ca="1"/>
        <v>288.7</v>
      </c>
      <c r="D384" vm="1142">
        <f ca="1"/>
        <v>9079941</v>
      </c>
      <c r="E384">
        <f t="shared" ca="1" si="105"/>
        <v>2621378966.6999998</v>
      </c>
      <c r="F384">
        <f ca="1">SUM($E$2:E384)/SUM($D$2:D384)</f>
        <v>222.55603835320701</v>
      </c>
      <c r="G384">
        <f ca="1">_xlfn.STDEV.P($C$2:C384)</f>
        <v>32.001717947948706</v>
      </c>
      <c r="H384">
        <f t="shared" ca="1" si="106"/>
        <v>254.55775630115573</v>
      </c>
      <c r="I384">
        <f t="shared" ca="1" si="107"/>
        <v>190.5543204052583</v>
      </c>
      <c r="J384">
        <f t="shared" ca="1" si="116"/>
        <v>283.16099999999994</v>
      </c>
      <c r="K384">
        <f t="shared" ca="1" si="117"/>
        <v>8.5731563308786303</v>
      </c>
      <c r="L384">
        <f t="shared" ca="1" si="118"/>
        <v>300.30731266175718</v>
      </c>
      <c r="M384">
        <f t="shared" ca="1" si="119"/>
        <v>266.01468733824271</v>
      </c>
      <c r="N384">
        <f t="shared" ca="1" si="108"/>
        <v>1.839999999999975</v>
      </c>
      <c r="O384">
        <f t="shared" ca="1" si="109"/>
        <v>1.839999999999975</v>
      </c>
      <c r="P384">
        <f t="shared" ca="1" si="110"/>
        <v>0</v>
      </c>
      <c r="Q384">
        <f t="shared" ca="1" si="114"/>
        <v>1.7336683078803856</v>
      </c>
      <c r="R384">
        <f t="shared" ca="1" si="115"/>
        <v>1.0652767687658893</v>
      </c>
      <c r="S384">
        <f t="shared" ca="1" si="112"/>
        <v>1.6274346336199748</v>
      </c>
      <c r="T384">
        <f t="shared" ca="1" si="113"/>
        <v>61.940061716312243</v>
      </c>
      <c r="U384">
        <f>70</f>
        <v>70</v>
      </c>
      <c r="V384">
        <f>30</f>
        <v>30</v>
      </c>
      <c r="W384">
        <f t="shared" ca="1" si="111"/>
        <v>286.28586273475173</v>
      </c>
      <c r="X384">
        <f t="shared" ca="1" si="121"/>
        <v>280.43081918174897</v>
      </c>
      <c r="Y384">
        <f t="shared" ca="1" si="120"/>
        <v>5.4424074021448519</v>
      </c>
      <c r="Z384">
        <f t="shared" ca="1" si="122"/>
        <v>6.3965984617966667</v>
      </c>
      <c r="AA384">
        <f t="shared" ca="1" si="123"/>
        <v>-0.95419105965181483</v>
      </c>
      <c r="AB384">
        <f t="shared" ca="1" si="124"/>
        <v>256.06520000000006</v>
      </c>
    </row>
    <row r="385" spans="1:28" x14ac:dyDescent="0.25">
      <c r="A385" s="20">
        <f t="shared" ca="1" si="104"/>
        <v>45852</v>
      </c>
      <c r="B385" vm="1143">
        <f ca="1"/>
        <v>45853</v>
      </c>
      <c r="C385" vm="1144">
        <f ca="1"/>
        <v>286.55</v>
      </c>
      <c r="D385" vm="1145">
        <f ca="1"/>
        <v>12526110</v>
      </c>
      <c r="E385">
        <f t="shared" ca="1" si="105"/>
        <v>3589356820.5</v>
      </c>
      <c r="F385">
        <f ca="1">SUM($E$2:E385)/SUM($D$2:D385)</f>
        <v>222.77694987631415</v>
      </c>
      <c r="G385">
        <f ca="1">_xlfn.STDEV.P($C$2:C385)</f>
        <v>32.123443523725641</v>
      </c>
      <c r="H385">
        <f t="shared" ca="1" si="106"/>
        <v>254.90039340003977</v>
      </c>
      <c r="I385">
        <f t="shared" ca="1" si="107"/>
        <v>190.65350635258852</v>
      </c>
      <c r="J385">
        <f t="shared" ca="1" si="116"/>
        <v>284.24099999999993</v>
      </c>
      <c r="K385">
        <f t="shared" ca="1" si="117"/>
        <v>7.4445245862841762</v>
      </c>
      <c r="L385">
        <f t="shared" ca="1" si="118"/>
        <v>299.13004917256831</v>
      </c>
      <c r="M385">
        <f t="shared" ca="1" si="119"/>
        <v>269.35195082743155</v>
      </c>
      <c r="N385">
        <f t="shared" ca="1" si="108"/>
        <v>-2.1499999999999773</v>
      </c>
      <c r="O385">
        <f t="shared" ca="1" si="109"/>
        <v>0</v>
      </c>
      <c r="P385">
        <f t="shared" ca="1" si="110"/>
        <v>2.1499999999999773</v>
      </c>
      <c r="Q385">
        <f t="shared" ca="1" si="114"/>
        <v>1.609834857317501</v>
      </c>
      <c r="R385">
        <f t="shared" ca="1" si="115"/>
        <v>1.1427569995683242</v>
      </c>
      <c r="S385">
        <f t="shared" ca="1" si="112"/>
        <v>1.4087289405583296</v>
      </c>
      <c r="T385">
        <f t="shared" ca="1" si="113"/>
        <v>58.484328262846979</v>
      </c>
      <c r="U385">
        <f>70</f>
        <v>70</v>
      </c>
      <c r="V385">
        <f>30</f>
        <v>30</v>
      </c>
      <c r="W385">
        <f t="shared" ca="1" si="111"/>
        <v>286.32649923709761</v>
      </c>
      <c r="X385">
        <f t="shared" ca="1" si="121"/>
        <v>280.88409183495276</v>
      </c>
      <c r="Y385">
        <f t="shared" ca="1" si="120"/>
        <v>4.9988616155508794</v>
      </c>
      <c r="Z385">
        <f t="shared" ca="1" si="122"/>
        <v>6.1170510925475101</v>
      </c>
      <c r="AA385">
        <f t="shared" ca="1" si="123"/>
        <v>-1.1181894769966307</v>
      </c>
      <c r="AB385">
        <f t="shared" ca="1" si="124"/>
        <v>256.13819999999998</v>
      </c>
    </row>
    <row r="386" spans="1:28" x14ac:dyDescent="0.25">
      <c r="A386" s="20">
        <f t="shared" ca="1" si="104"/>
        <v>45852</v>
      </c>
      <c r="B386" vm="1146">
        <f ca="1"/>
        <v>45854</v>
      </c>
      <c r="C386" vm="1147">
        <f ca="1"/>
        <v>285.82</v>
      </c>
      <c r="D386" vm="1148">
        <f ca="1"/>
        <v>9979768</v>
      </c>
      <c r="E386">
        <f t="shared" ca="1" si="105"/>
        <v>2852417289.7599998</v>
      </c>
      <c r="F386">
        <f ca="1">SUM($E$2:E386)/SUM($D$2:D386)</f>
        <v>222.94986301895111</v>
      </c>
      <c r="G386">
        <f ca="1">_xlfn.STDEV.P($C$2:C386)</f>
        <v>32.23954589041319</v>
      </c>
      <c r="H386">
        <f t="shared" ca="1" si="106"/>
        <v>255.18940890936429</v>
      </c>
      <c r="I386">
        <f t="shared" ca="1" si="107"/>
        <v>190.71031712853792</v>
      </c>
      <c r="J386">
        <f t="shared" ca="1" si="116"/>
        <v>285.0139999999999</v>
      </c>
      <c r="K386">
        <f t="shared" ca="1" si="117"/>
        <v>6.6919373325785116</v>
      </c>
      <c r="L386">
        <f t="shared" ca="1" si="118"/>
        <v>298.39787466515691</v>
      </c>
      <c r="M386">
        <f t="shared" ca="1" si="119"/>
        <v>271.63012533484289</v>
      </c>
      <c r="N386">
        <f t="shared" ca="1" si="108"/>
        <v>-0.73000000000001819</v>
      </c>
      <c r="O386">
        <f t="shared" ca="1" si="109"/>
        <v>0</v>
      </c>
      <c r="P386">
        <f t="shared" ca="1" si="110"/>
        <v>0.73000000000001819</v>
      </c>
      <c r="Q386">
        <f t="shared" ca="1" si="114"/>
        <v>1.4948466532233939</v>
      </c>
      <c r="R386">
        <f t="shared" ca="1" si="115"/>
        <v>1.1132743567420167</v>
      </c>
      <c r="S386">
        <f t="shared" ca="1" si="112"/>
        <v>1.3427477639905798</v>
      </c>
      <c r="T386">
        <f t="shared" ca="1" si="113"/>
        <v>57.315080378238235</v>
      </c>
      <c r="U386">
        <f>70</f>
        <v>70</v>
      </c>
      <c r="V386">
        <f>30</f>
        <v>30</v>
      </c>
      <c r="W386">
        <f t="shared" ca="1" si="111"/>
        <v>286.24857627754415</v>
      </c>
      <c r="X386">
        <f t="shared" ca="1" si="121"/>
        <v>281.24971466199327</v>
      </c>
      <c r="Y386">
        <f t="shared" ca="1" si="120"/>
        <v>4.9198572344239437</v>
      </c>
      <c r="Z386">
        <f t="shared" ca="1" si="122"/>
        <v>5.8776123209227977</v>
      </c>
      <c r="AA386">
        <f t="shared" ca="1" si="123"/>
        <v>-0.95775508649885399</v>
      </c>
      <c r="AB386">
        <f t="shared" ca="1" si="124"/>
        <v>256.32839999999999</v>
      </c>
    </row>
    <row r="387" spans="1:28" x14ac:dyDescent="0.25">
      <c r="A387" s="20">
        <f t="shared" ref="A387:A450" ca="1" si="125">B387 - WEEKDAY(B387, 2) + 1</f>
        <v>45852</v>
      </c>
      <c r="B387" vm="1149">
        <f ca="1"/>
        <v>45855</v>
      </c>
      <c r="C387" vm="1150">
        <f ca="1"/>
        <v>289.89999999999998</v>
      </c>
      <c r="D387" vm="1151">
        <f ca="1"/>
        <v>8509504</v>
      </c>
      <c r="E387">
        <f t="shared" ref="E387:E450" ca="1" si="126">C387*D387</f>
        <v>2466905209.5999999</v>
      </c>
      <c r="F387">
        <f ca="1">SUM($E$2:E387)/SUM($D$2:D387)</f>
        <v>223.10607399992102</v>
      </c>
      <c r="G387">
        <f ca="1">_xlfn.STDEV.P($C$2:C387)</f>
        <v>32.374826558626822</v>
      </c>
      <c r="H387">
        <f t="shared" ref="H387:H450" ca="1" si="127">F387 + G387</f>
        <v>255.48090055854783</v>
      </c>
      <c r="I387">
        <f t="shared" ref="I387:I450" ca="1" si="128">F387 - G387</f>
        <v>190.73124744129422</v>
      </c>
      <c r="J387">
        <f t="shared" ca="1" si="116"/>
        <v>286.0329999999999</v>
      </c>
      <c r="K387">
        <f t="shared" ca="1" si="117"/>
        <v>5.6842359112493659</v>
      </c>
      <c r="L387">
        <f t="shared" ca="1" si="118"/>
        <v>297.40147182249865</v>
      </c>
      <c r="M387">
        <f t="shared" ca="1" si="119"/>
        <v>274.66452817750115</v>
      </c>
      <c r="N387">
        <f t="shared" ca="1" si="108"/>
        <v>4.0799999999999841</v>
      </c>
      <c r="O387">
        <f t="shared" ca="1" si="109"/>
        <v>4.0799999999999841</v>
      </c>
      <c r="P387">
        <f t="shared" ca="1" si="110"/>
        <v>0</v>
      </c>
      <c r="Q387">
        <f t="shared" ca="1" si="114"/>
        <v>1.679500463707436</v>
      </c>
      <c r="R387">
        <f t="shared" ca="1" si="115"/>
        <v>1.0337547598318726</v>
      </c>
      <c r="S387">
        <f t="shared" ca="1" si="112"/>
        <v>1.6246604407225036</v>
      </c>
      <c r="T387">
        <f t="shared" ca="1" si="113"/>
        <v>61.899833422843642</v>
      </c>
      <c r="U387">
        <f>70</f>
        <v>70</v>
      </c>
      <c r="V387">
        <f>30</f>
        <v>30</v>
      </c>
      <c r="W387">
        <f t="shared" ca="1" si="111"/>
        <v>286.81033377330658</v>
      </c>
      <c r="X387">
        <f t="shared" ca="1" si="121"/>
        <v>281.89047653888264</v>
      </c>
      <c r="Y387">
        <f t="shared" ca="1" si="120"/>
        <v>4.9111802151999768</v>
      </c>
      <c r="Z387">
        <f t="shared" ca="1" si="122"/>
        <v>5.6843258997782335</v>
      </c>
      <c r="AA387">
        <f t="shared" ca="1" si="123"/>
        <v>-0.77314568457825672</v>
      </c>
      <c r="AB387">
        <f t="shared" ca="1" si="124"/>
        <v>256.58499999999998</v>
      </c>
    </row>
    <row r="388" spans="1:28" x14ac:dyDescent="0.25">
      <c r="A388" s="20">
        <f t="shared" ca="1" si="125"/>
        <v>45852</v>
      </c>
      <c r="B388" vm="1152">
        <f ca="1"/>
        <v>45856</v>
      </c>
      <c r="C388" vm="1153">
        <f ca="1"/>
        <v>291.27</v>
      </c>
      <c r="D388" vm="1154">
        <f ca="1"/>
        <v>12217018</v>
      </c>
      <c r="E388">
        <f t="shared" ca="1" si="126"/>
        <v>3558450832.8599997</v>
      </c>
      <c r="F388">
        <f ca="1">SUM($E$2:E388)/SUM($D$2:D388)</f>
        <v>223.33364833228921</v>
      </c>
      <c r="G388">
        <f ca="1">_xlfn.STDEV.P($C$2:C388)</f>
        <v>32.515223075908324</v>
      </c>
      <c r="H388">
        <f t="shared" ca="1" si="127"/>
        <v>255.84887140819754</v>
      </c>
      <c r="I388">
        <f t="shared" ca="1" si="128"/>
        <v>190.81842525638089</v>
      </c>
      <c r="J388">
        <f t="shared" ca="1" si="116"/>
        <v>286.89849999999996</v>
      </c>
      <c r="K388">
        <f t="shared" ca="1" si="117"/>
        <v>5.0293206352977347</v>
      </c>
      <c r="L388">
        <f t="shared" ca="1" si="118"/>
        <v>296.9571412705954</v>
      </c>
      <c r="M388">
        <f t="shared" ca="1" si="119"/>
        <v>276.83985872940451</v>
      </c>
      <c r="N388">
        <f t="shared" ref="N388:N451" ca="1" si="129">C388-C387</f>
        <v>1.3700000000000045</v>
      </c>
      <c r="O388">
        <f t="shared" ref="O388:O451" ca="1" si="130">MAX(N388,0)</f>
        <v>1.3700000000000045</v>
      </c>
      <c r="P388">
        <f t="shared" ref="P388:P451" ca="1" si="131">MAX(-N388,0)</f>
        <v>0</v>
      </c>
      <c r="Q388">
        <f t="shared" ca="1" si="114"/>
        <v>1.6573932877283337</v>
      </c>
      <c r="R388">
        <f t="shared" ca="1" si="115"/>
        <v>0.95991513412959595</v>
      </c>
      <c r="S388">
        <f t="shared" ca="1" si="112"/>
        <v>1.7266039765392145</v>
      </c>
      <c r="T388">
        <f t="shared" ca="1" si="113"/>
        <v>63.324340146042559</v>
      </c>
      <c r="U388">
        <f>70</f>
        <v>70</v>
      </c>
      <c r="V388">
        <f>30</f>
        <v>30</v>
      </c>
      <c r="W388">
        <f t="shared" ca="1" si="111"/>
        <v>287.49643626972096</v>
      </c>
      <c r="X388">
        <f t="shared" ca="1" si="121"/>
        <v>282.58525605452098</v>
      </c>
      <c r="Y388">
        <f t="shared" ca="1" si="120"/>
        <v>4.8244824911333239</v>
      </c>
      <c r="Z388">
        <f t="shared" ca="1" si="122"/>
        <v>5.5123572180492522</v>
      </c>
      <c r="AA388">
        <f t="shared" ca="1" si="123"/>
        <v>-0.68787472691592821</v>
      </c>
      <c r="AB388">
        <f t="shared" ca="1" si="124"/>
        <v>256.8843</v>
      </c>
    </row>
    <row r="389" spans="1:28" x14ac:dyDescent="0.25">
      <c r="A389" s="20">
        <f t="shared" ca="1" si="125"/>
        <v>45859</v>
      </c>
      <c r="B389" vm="1155">
        <f ca="1"/>
        <v>45859</v>
      </c>
      <c r="C389" vm="1156">
        <f ca="1"/>
        <v>290.97000000000003</v>
      </c>
      <c r="D389" vm="1157">
        <f ca="1"/>
        <v>7898141</v>
      </c>
      <c r="E389">
        <f t="shared" ca="1" si="126"/>
        <v>2298122086.77</v>
      </c>
      <c r="F389">
        <f ca="1">SUM($E$2:E389)/SUM($D$2:D389)</f>
        <v>223.47931901650449</v>
      </c>
      <c r="G389">
        <f ca="1">_xlfn.STDEV.P($C$2:C389)</f>
        <v>32.651774795027826</v>
      </c>
      <c r="H389">
        <f t="shared" ca="1" si="127"/>
        <v>256.13109381153231</v>
      </c>
      <c r="I389">
        <f t="shared" ca="1" si="128"/>
        <v>190.82754422147667</v>
      </c>
      <c r="J389">
        <f t="shared" ca="1" si="116"/>
        <v>287.697</v>
      </c>
      <c r="K389">
        <f t="shared" ca="1" si="117"/>
        <v>4.2478354859609997</v>
      </c>
      <c r="L389">
        <f t="shared" ca="1" si="118"/>
        <v>296.19267097192198</v>
      </c>
      <c r="M389">
        <f t="shared" ca="1" si="119"/>
        <v>279.20132902807802</v>
      </c>
      <c r="N389">
        <f t="shared" ca="1" si="129"/>
        <v>-0.29999999999995453</v>
      </c>
      <c r="O389">
        <f t="shared" ca="1" si="130"/>
        <v>0</v>
      </c>
      <c r="P389">
        <f t="shared" ca="1" si="131"/>
        <v>0.29999999999995453</v>
      </c>
      <c r="Q389">
        <f t="shared" ca="1" si="114"/>
        <v>1.5390080528905956</v>
      </c>
      <c r="R389">
        <f t="shared" ca="1" si="115"/>
        <v>0.91277833883462145</v>
      </c>
      <c r="S389">
        <f t="shared" ca="1" si="112"/>
        <v>1.6860698675819863</v>
      </c>
      <c r="T389">
        <f t="shared" ca="1" si="113"/>
        <v>62.770886488511003</v>
      </c>
      <c r="U389">
        <f>70</f>
        <v>70</v>
      </c>
      <c r="V389">
        <f>30</f>
        <v>30</v>
      </c>
      <c r="W389">
        <f t="shared" ca="1" si="111"/>
        <v>288.03083068976389</v>
      </c>
      <c r="X389">
        <f t="shared" ca="1" si="121"/>
        <v>283.20634819863056</v>
      </c>
      <c r="Y389">
        <f t="shared" ca="1" si="120"/>
        <v>4.7382722230910304</v>
      </c>
      <c r="Z389">
        <f t="shared" ca="1" si="122"/>
        <v>5.3575402190576078</v>
      </c>
      <c r="AA389">
        <f t="shared" ca="1" si="123"/>
        <v>-0.61926799596657744</v>
      </c>
      <c r="AB389">
        <f t="shared" ca="1" si="124"/>
        <v>257.22000000000003</v>
      </c>
    </row>
    <row r="390" spans="1:28" x14ac:dyDescent="0.25">
      <c r="A390" s="20">
        <f t="shared" ca="1" si="125"/>
        <v>45859</v>
      </c>
      <c r="B390" vm="1158">
        <f ca="1"/>
        <v>45860</v>
      </c>
      <c r="C390" vm="1159">
        <f ca="1"/>
        <v>291.43</v>
      </c>
      <c r="D390" vm="1160">
        <f ca="1"/>
        <v>6717461</v>
      </c>
      <c r="E390">
        <f t="shared" ca="1" si="126"/>
        <v>1957669659.23</v>
      </c>
      <c r="F390">
        <f ca="1">SUM($E$2:E390)/SUM($D$2:D390)</f>
        <v>223.60356182752483</v>
      </c>
      <c r="G390">
        <f ca="1">_xlfn.STDEV.P($C$2:C390)</f>
        <v>32.788572100879655</v>
      </c>
      <c r="H390">
        <f t="shared" ca="1" si="127"/>
        <v>256.39213392840446</v>
      </c>
      <c r="I390">
        <f t="shared" ca="1" si="128"/>
        <v>190.81498972664517</v>
      </c>
      <c r="J390">
        <f t="shared" ca="1" si="116"/>
        <v>288.35499999999996</v>
      </c>
      <c r="K390">
        <f t="shared" ca="1" si="117"/>
        <v>3.693847658785594</v>
      </c>
      <c r="L390">
        <f t="shared" ca="1" si="118"/>
        <v>295.74269531757113</v>
      </c>
      <c r="M390">
        <f t="shared" ca="1" si="119"/>
        <v>280.96730468242879</v>
      </c>
      <c r="N390">
        <f t="shared" ca="1" si="129"/>
        <v>0.45999999999997954</v>
      </c>
      <c r="O390">
        <f t="shared" ca="1" si="130"/>
        <v>0.45999999999997954</v>
      </c>
      <c r="P390">
        <f t="shared" ca="1" si="131"/>
        <v>0</v>
      </c>
      <c r="Q390">
        <f t="shared" ca="1" si="114"/>
        <v>1.4619360491126945</v>
      </c>
      <c r="R390">
        <f t="shared" ca="1" si="115"/>
        <v>0.84757988606071988</v>
      </c>
      <c r="S390">
        <f t="shared" ca="1" si="112"/>
        <v>1.7248357035786981</v>
      </c>
      <c r="T390">
        <f t="shared" ca="1" si="113"/>
        <v>63.300539599997272</v>
      </c>
      <c r="U390">
        <f>70</f>
        <v>70</v>
      </c>
      <c r="V390">
        <f>30</f>
        <v>30</v>
      </c>
      <c r="W390">
        <f t="shared" ca="1" si="111"/>
        <v>288.55377981441563</v>
      </c>
      <c r="X390">
        <f t="shared" ca="1" si="121"/>
        <v>283.8155075913246</v>
      </c>
      <c r="Y390">
        <f t="shared" ca="1" si="120"/>
        <v>5.0419163467263388</v>
      </c>
      <c r="Z390">
        <f t="shared" ca="1" si="122"/>
        <v>5.2944154445913547</v>
      </c>
      <c r="AA390">
        <f t="shared" ca="1" si="123"/>
        <v>-0.2524990978650159</v>
      </c>
      <c r="AB390">
        <f t="shared" ca="1" si="124"/>
        <v>257.54640000000001</v>
      </c>
    </row>
    <row r="391" spans="1:28" x14ac:dyDescent="0.25">
      <c r="A391" s="20">
        <f t="shared" ca="1" si="125"/>
        <v>45859</v>
      </c>
      <c r="B391" vm="1161">
        <f ca="1"/>
        <v>45861</v>
      </c>
      <c r="C391" vm="1162">
        <f ca="1"/>
        <v>296.76</v>
      </c>
      <c r="D391" vm="1163">
        <f ca="1"/>
        <v>7083510</v>
      </c>
      <c r="E391">
        <f t="shared" ca="1" si="126"/>
        <v>2102102427.5999999</v>
      </c>
      <c r="F391">
        <f ca="1">SUM($E$2:E391)/SUM($D$2:D391)</f>
        <v>223.74434048696517</v>
      </c>
      <c r="G391">
        <f ca="1">_xlfn.STDEV.P($C$2:C391)</f>
        <v>32.952174429334377</v>
      </c>
      <c r="H391">
        <f t="shared" ca="1" si="127"/>
        <v>256.69651491629952</v>
      </c>
      <c r="I391">
        <f t="shared" ca="1" si="128"/>
        <v>190.79216605763079</v>
      </c>
      <c r="J391">
        <f t="shared" ca="1" si="116"/>
        <v>289.13</v>
      </c>
      <c r="K391">
        <f t="shared" ca="1" si="117"/>
        <v>3.7524602455904641</v>
      </c>
      <c r="L391">
        <f t="shared" ca="1" si="118"/>
        <v>296.63492049118094</v>
      </c>
      <c r="M391">
        <f t="shared" ca="1" si="119"/>
        <v>281.62507950881906</v>
      </c>
      <c r="N391">
        <f t="shared" ca="1" si="129"/>
        <v>5.3299999999999841</v>
      </c>
      <c r="O391">
        <f t="shared" ca="1" si="130"/>
        <v>5.3299999999999841</v>
      </c>
      <c r="P391">
        <f t="shared" ca="1" si="131"/>
        <v>0</v>
      </c>
      <c r="Q391">
        <f t="shared" ca="1" si="114"/>
        <v>1.7382263313189295</v>
      </c>
      <c r="R391">
        <f t="shared" ca="1" si="115"/>
        <v>0.78703846562781121</v>
      </c>
      <c r="S391">
        <f t="shared" ca="1" si="112"/>
        <v>2.2085659179724679</v>
      </c>
      <c r="T391">
        <f t="shared" ca="1" si="113"/>
        <v>68.833428217927576</v>
      </c>
      <c r="U391">
        <f>70</f>
        <v>70</v>
      </c>
      <c r="V391">
        <f>30</f>
        <v>30</v>
      </c>
      <c r="W391">
        <f t="shared" ca="1" si="111"/>
        <v>289.81627522758248</v>
      </c>
      <c r="X391">
        <f t="shared" ca="1" si="121"/>
        <v>284.77435888085614</v>
      </c>
      <c r="Y391">
        <f t="shared" ca="1" si="120"/>
        <v>5.2056042914921932</v>
      </c>
      <c r="Z391">
        <f t="shared" ca="1" si="122"/>
        <v>5.2766532139715228</v>
      </c>
      <c r="AA391">
        <f t="shared" ca="1" si="123"/>
        <v>-7.104892247932959E-2</v>
      </c>
      <c r="AB391">
        <f t="shared" ca="1" si="124"/>
        <v>257.92349999999999</v>
      </c>
    </row>
    <row r="392" spans="1:28" x14ac:dyDescent="0.25">
      <c r="A392" s="20">
        <f t="shared" ca="1" si="125"/>
        <v>45859</v>
      </c>
      <c r="B392" vm="1164">
        <f ca="1"/>
        <v>45862</v>
      </c>
      <c r="C392" vm="1165">
        <f ca="1"/>
        <v>296.55</v>
      </c>
      <c r="D392" vm="1166">
        <f ca="1"/>
        <v>7001242</v>
      </c>
      <c r="E392">
        <f t="shared" ca="1" si="126"/>
        <v>2076218315.1000001</v>
      </c>
      <c r="F392">
        <f ca="1">SUM($E$2:E392)/SUM($D$2:D392)</f>
        <v>223.88255407678932</v>
      </c>
      <c r="G392">
        <f ca="1">_xlfn.STDEV.P($C$2:C392)</f>
        <v>33.111925663885607</v>
      </c>
      <c r="H392">
        <f t="shared" ca="1" si="127"/>
        <v>256.99447974067493</v>
      </c>
      <c r="I392">
        <f t="shared" ca="1" si="128"/>
        <v>190.7706284129037</v>
      </c>
      <c r="J392">
        <f t="shared" ca="1" si="116"/>
        <v>289.75450000000012</v>
      </c>
      <c r="K392">
        <f t="shared" ca="1" si="117"/>
        <v>3.9006726477959113</v>
      </c>
      <c r="L392">
        <f t="shared" ca="1" si="118"/>
        <v>297.55584529559195</v>
      </c>
      <c r="M392">
        <f t="shared" ca="1" si="119"/>
        <v>281.95315470440829</v>
      </c>
      <c r="N392">
        <f t="shared" ca="1" si="129"/>
        <v>-0.20999999999997954</v>
      </c>
      <c r="O392">
        <f t="shared" ca="1" si="130"/>
        <v>0</v>
      </c>
      <c r="P392">
        <f t="shared" ca="1" si="131"/>
        <v>0.20999999999997954</v>
      </c>
      <c r="Q392">
        <f t="shared" ca="1" si="114"/>
        <v>1.6140673076532916</v>
      </c>
      <c r="R392">
        <f t="shared" ca="1" si="115"/>
        <v>0.74582143236868037</v>
      </c>
      <c r="S392">
        <f t="shared" ca="1" si="112"/>
        <v>2.1641471236983882</v>
      </c>
      <c r="T392">
        <f t="shared" ca="1" si="113"/>
        <v>68.395906988321144</v>
      </c>
      <c r="U392">
        <f>70</f>
        <v>70</v>
      </c>
      <c r="V392">
        <f>30</f>
        <v>30</v>
      </c>
      <c r="W392">
        <f t="shared" ca="1" si="111"/>
        <v>290.85223288487748</v>
      </c>
      <c r="X392">
        <f t="shared" ca="1" si="121"/>
        <v>285.64662859338529</v>
      </c>
      <c r="Y392">
        <f t="shared" ca="1" si="120"/>
        <v>5.4396549115623429</v>
      </c>
      <c r="Z392">
        <f t="shared" ca="1" si="122"/>
        <v>5.309253553489687</v>
      </c>
      <c r="AA392">
        <f t="shared" ca="1" si="123"/>
        <v>0.13040135807265596</v>
      </c>
      <c r="AB392">
        <f t="shared" ca="1" si="124"/>
        <v>258.24250000000001</v>
      </c>
    </row>
    <row r="393" spans="1:28" x14ac:dyDescent="0.25">
      <c r="A393" s="20">
        <f t="shared" ca="1" si="125"/>
        <v>45859</v>
      </c>
      <c r="B393" vm="1167">
        <f ca="1"/>
        <v>45863</v>
      </c>
      <c r="C393" vm="1168">
        <f ca="1"/>
        <v>298.62</v>
      </c>
      <c r="D393" vm="1169">
        <f ca="1"/>
        <v>5918875</v>
      </c>
      <c r="E393">
        <f t="shared" ca="1" si="126"/>
        <v>1767494452.5</v>
      </c>
      <c r="F393">
        <f ca="1">SUM($E$2:E393)/SUM($D$2:D393)</f>
        <v>224.00230848102674</v>
      </c>
      <c r="G393">
        <f ca="1">_xlfn.STDEV.P($C$2:C393)</f>
        <v>33.280658459114804</v>
      </c>
      <c r="H393">
        <f t="shared" ca="1" si="127"/>
        <v>257.28296694014153</v>
      </c>
      <c r="I393">
        <f t="shared" ca="1" si="128"/>
        <v>190.72165002191196</v>
      </c>
      <c r="J393">
        <f t="shared" ca="1" si="116"/>
        <v>290.2480000000001</v>
      </c>
      <c r="K393">
        <f t="shared" ca="1" si="117"/>
        <v>4.3637678070314667</v>
      </c>
      <c r="L393">
        <f t="shared" ca="1" si="118"/>
        <v>298.97553561406306</v>
      </c>
      <c r="M393">
        <f t="shared" ca="1" si="119"/>
        <v>281.52046438593715</v>
      </c>
      <c r="N393">
        <f t="shared" ca="1" si="129"/>
        <v>2.0699999999999932</v>
      </c>
      <c r="O393">
        <f t="shared" ca="1" si="130"/>
        <v>2.0699999999999932</v>
      </c>
      <c r="P393">
        <f t="shared" ca="1" si="131"/>
        <v>0</v>
      </c>
      <c r="Q393">
        <f t="shared" ca="1" si="114"/>
        <v>1.646633928535199</v>
      </c>
      <c r="R393">
        <f t="shared" ca="1" si="115"/>
        <v>0.69254847291377464</v>
      </c>
      <c r="S393">
        <f t="shared" ca="1" si="112"/>
        <v>2.3776442991885887</v>
      </c>
      <c r="T393">
        <f t="shared" ca="1" si="113"/>
        <v>70.393566893937589</v>
      </c>
      <c r="U393">
        <f>70</f>
        <v>70</v>
      </c>
      <c r="V393">
        <f>30</f>
        <v>30</v>
      </c>
      <c r="W393">
        <f t="shared" ca="1" si="111"/>
        <v>292.04727397951171</v>
      </c>
      <c r="X393">
        <f t="shared" ca="1" si="121"/>
        <v>286.60761906794937</v>
      </c>
      <c r="Y393">
        <f t="shared" ca="1" si="120"/>
        <v>5.5339150280098011</v>
      </c>
      <c r="Z393">
        <f t="shared" ca="1" si="122"/>
        <v>5.3541858483937101</v>
      </c>
      <c r="AA393">
        <f t="shared" ca="1" si="123"/>
        <v>0.17972917961609092</v>
      </c>
      <c r="AB393">
        <f t="shared" ca="1" si="124"/>
        <v>258.6225</v>
      </c>
    </row>
    <row r="394" spans="1:28" x14ac:dyDescent="0.25">
      <c r="A394" s="20">
        <f t="shared" ca="1" si="125"/>
        <v>45866</v>
      </c>
      <c r="B394" vm="1170">
        <f ca="1"/>
        <v>45866</v>
      </c>
      <c r="C394" vm="1171">
        <f ca="1"/>
        <v>298.27999999999997</v>
      </c>
      <c r="D394" vm="1172">
        <f ca="1"/>
        <v>5840417</v>
      </c>
      <c r="E394">
        <f t="shared" ca="1" si="126"/>
        <v>1742079582.7599998</v>
      </c>
      <c r="F394">
        <f ca="1">SUM($E$2:E394)/SUM($D$2:D394)</f>
        <v>224.11956316751278</v>
      </c>
      <c r="G394">
        <f ca="1">_xlfn.STDEV.P($C$2:C394)</f>
        <v>33.444721014428907</v>
      </c>
      <c r="H394">
        <f t="shared" ca="1" si="127"/>
        <v>257.56428418194167</v>
      </c>
      <c r="I394">
        <f t="shared" ca="1" si="128"/>
        <v>190.67484215308389</v>
      </c>
      <c r="J394">
        <f t="shared" ca="1" si="116"/>
        <v>290.80650000000003</v>
      </c>
      <c r="K394">
        <f t="shared" ca="1" si="117"/>
        <v>4.6466425626750265</v>
      </c>
      <c r="L394">
        <f t="shared" ca="1" si="118"/>
        <v>300.09978512535008</v>
      </c>
      <c r="M394">
        <f t="shared" ca="1" si="119"/>
        <v>281.51321487464998</v>
      </c>
      <c r="N394">
        <f t="shared" ca="1" si="129"/>
        <v>-0.34000000000003183</v>
      </c>
      <c r="O394">
        <f t="shared" ca="1" si="130"/>
        <v>0</v>
      </c>
      <c r="P394">
        <f t="shared" ca="1" si="131"/>
        <v>0.34000000000003183</v>
      </c>
      <c r="Q394">
        <f t="shared" ca="1" si="114"/>
        <v>1.5290172193541134</v>
      </c>
      <c r="R394">
        <f t="shared" ca="1" si="115"/>
        <v>0.66736643913422156</v>
      </c>
      <c r="S394">
        <f t="shared" ca="1" si="112"/>
        <v>2.2911209340069849</v>
      </c>
      <c r="T394">
        <f t="shared" ca="1" si="113"/>
        <v>69.615215604293027</v>
      </c>
      <c r="U394">
        <f>70</f>
        <v>70</v>
      </c>
      <c r="V394">
        <f>30</f>
        <v>30</v>
      </c>
      <c r="W394">
        <f t="shared" ca="1" si="111"/>
        <v>293.00615490574069</v>
      </c>
      <c r="X394">
        <f t="shared" ca="1" si="121"/>
        <v>287.47223987773089</v>
      </c>
      <c r="Y394">
        <f t="shared" ca="1" si="120"/>
        <v>5.4457836089528655</v>
      </c>
      <c r="Z394">
        <f t="shared" ca="1" si="122"/>
        <v>5.372505400505541</v>
      </c>
      <c r="AA394">
        <f t="shared" ca="1" si="123"/>
        <v>7.3278208447324467E-2</v>
      </c>
      <c r="AB394">
        <f t="shared" ca="1" si="124"/>
        <v>259.10279999999995</v>
      </c>
    </row>
    <row r="395" spans="1:28" x14ac:dyDescent="0.25">
      <c r="A395" s="20">
        <f t="shared" ca="1" si="125"/>
        <v>45866</v>
      </c>
      <c r="B395" vm="1173">
        <f ca="1"/>
        <v>45867</v>
      </c>
      <c r="C395" vm="1174">
        <f ca="1"/>
        <v>297.04000000000002</v>
      </c>
      <c r="D395" vm="1175">
        <f ca="1"/>
        <v>7635719</v>
      </c>
      <c r="E395">
        <f t="shared" ca="1" si="126"/>
        <v>2268113971.7600002</v>
      </c>
      <c r="F395">
        <f ca="1">SUM($E$2:E395)/SUM($D$2:D395)</f>
        <v>224.26974996626933</v>
      </c>
      <c r="G395">
        <f ca="1">_xlfn.STDEV.P($C$2:C395)</f>
        <v>33.599314343115026</v>
      </c>
      <c r="H395">
        <f t="shared" ca="1" si="127"/>
        <v>257.86906430938438</v>
      </c>
      <c r="I395">
        <f t="shared" ca="1" si="128"/>
        <v>190.6704356231543</v>
      </c>
      <c r="J395">
        <f t="shared" ca="1" si="116"/>
        <v>291.16300000000007</v>
      </c>
      <c r="K395">
        <f t="shared" ca="1" si="117"/>
        <v>4.8435818629561629</v>
      </c>
      <c r="L395">
        <f t="shared" ca="1" si="118"/>
        <v>300.85016372591241</v>
      </c>
      <c r="M395">
        <f t="shared" ca="1" si="119"/>
        <v>281.47583627408773</v>
      </c>
      <c r="N395">
        <f t="shared" ca="1" si="129"/>
        <v>-1.2399999999999523</v>
      </c>
      <c r="O395">
        <f t="shared" ca="1" si="130"/>
        <v>0</v>
      </c>
      <c r="P395">
        <f t="shared" ca="1" si="131"/>
        <v>1.2399999999999523</v>
      </c>
      <c r="Q395">
        <f t="shared" ca="1" si="114"/>
        <v>1.4198017036859625</v>
      </c>
      <c r="R395">
        <f t="shared" ca="1" si="115"/>
        <v>0.70826883633891657</v>
      </c>
      <c r="S395">
        <f t="shared" ca="1" si="112"/>
        <v>2.0046084633978833</v>
      </c>
      <c r="T395">
        <f t="shared" ca="1" si="113"/>
        <v>66.717793277161007</v>
      </c>
      <c r="U395">
        <f>70</f>
        <v>70</v>
      </c>
      <c r="V395">
        <f>30</f>
        <v>30</v>
      </c>
      <c r="W395">
        <f t="shared" ca="1" si="111"/>
        <v>293.62674645870368</v>
      </c>
      <c r="X395">
        <f t="shared" ca="1" si="121"/>
        <v>288.18096284975081</v>
      </c>
      <c r="Y395">
        <f t="shared" ca="1" si="120"/>
        <v>5.5212842509001803</v>
      </c>
      <c r="Z395">
        <f t="shared" ca="1" si="122"/>
        <v>5.4022611705844694</v>
      </c>
      <c r="AA395">
        <f t="shared" ca="1" si="123"/>
        <v>0.11902308031571085</v>
      </c>
      <c r="AB395">
        <f t="shared" ca="1" si="124"/>
        <v>259.55789999999996</v>
      </c>
    </row>
    <row r="396" spans="1:28" x14ac:dyDescent="0.25">
      <c r="A396" s="20">
        <f t="shared" ca="1" si="125"/>
        <v>45866</v>
      </c>
      <c r="B396" vm="1176">
        <f ca="1"/>
        <v>45868</v>
      </c>
      <c r="C396" vm="1177">
        <f ca="1"/>
        <v>299.63</v>
      </c>
      <c r="D396" vm="1178">
        <f ca="1"/>
        <v>8061742</v>
      </c>
      <c r="E396">
        <f t="shared" ca="1" si="126"/>
        <v>2415539755.46</v>
      </c>
      <c r="F396">
        <f ca="1">SUM($E$2:E396)/SUM($D$2:D396)</f>
        <v>224.43326603400055</v>
      </c>
      <c r="G396">
        <f ca="1">_xlfn.STDEV.P($C$2:C396)</f>
        <v>33.765641209993895</v>
      </c>
      <c r="H396">
        <f t="shared" ca="1" si="127"/>
        <v>258.19890724399443</v>
      </c>
      <c r="I396">
        <f t="shared" ca="1" si="128"/>
        <v>190.66762482400665</v>
      </c>
      <c r="J396">
        <f t="shared" ca="1" si="116"/>
        <v>291.62399999999997</v>
      </c>
      <c r="K396">
        <f t="shared" ca="1" si="117"/>
        <v>5.1942178378816974</v>
      </c>
      <c r="L396">
        <f t="shared" ca="1" si="118"/>
        <v>302.01243567576336</v>
      </c>
      <c r="M396">
        <f t="shared" ca="1" si="119"/>
        <v>281.23556432423658</v>
      </c>
      <c r="N396">
        <f t="shared" ca="1" si="129"/>
        <v>2.589999999999975</v>
      </c>
      <c r="O396">
        <f t="shared" ca="1" si="130"/>
        <v>2.589999999999975</v>
      </c>
      <c r="P396">
        <f t="shared" ca="1" si="131"/>
        <v>0</v>
      </c>
      <c r="Q396">
        <f t="shared" ca="1" si="114"/>
        <v>1.5033872962798205</v>
      </c>
      <c r="R396">
        <f t="shared" ca="1" si="115"/>
        <v>0.65767820517185105</v>
      </c>
      <c r="S396">
        <f t="shared" ca="1" si="112"/>
        <v>2.2859010447016197</v>
      </c>
      <c r="T396">
        <f t="shared" ca="1" si="113"/>
        <v>69.56694719664614</v>
      </c>
      <c r="U396">
        <f>70</f>
        <v>70</v>
      </c>
      <c r="V396">
        <f>30</f>
        <v>30</v>
      </c>
      <c r="W396">
        <f t="shared" ca="1" si="111"/>
        <v>294.55032392659541</v>
      </c>
      <c r="X396">
        <f t="shared" ca="1" si="121"/>
        <v>289.02903967569523</v>
      </c>
      <c r="Y396">
        <f t="shared" ca="1" si="120"/>
        <v>5.2470892068316175</v>
      </c>
      <c r="Z396">
        <f t="shared" ca="1" si="122"/>
        <v>5.3712267778338987</v>
      </c>
      <c r="AA396">
        <f t="shared" ca="1" si="123"/>
        <v>-0.12413757100228118</v>
      </c>
      <c r="AB396">
        <f t="shared" ca="1" si="124"/>
        <v>260.08879999999999</v>
      </c>
    </row>
    <row r="397" spans="1:28" x14ac:dyDescent="0.25">
      <c r="A397" s="20">
        <f t="shared" ca="1" si="125"/>
        <v>45866</v>
      </c>
      <c r="B397" vm="1179">
        <f ca="1"/>
        <v>45869</v>
      </c>
      <c r="C397" vm="1180">
        <f ca="1"/>
        <v>296.24</v>
      </c>
      <c r="D397" vm="1181">
        <f ca="1"/>
        <v>14749652</v>
      </c>
      <c r="E397">
        <f t="shared" ca="1" si="126"/>
        <v>4369436908.4800005</v>
      </c>
      <c r="F397">
        <f ca="1">SUM($E$2:E397)/SUM($D$2:D397)</f>
        <v>224.71719878985635</v>
      </c>
      <c r="G397">
        <f ca="1">_xlfn.STDEV.P($C$2:C397)</f>
        <v>33.910963300850121</v>
      </c>
      <c r="H397">
        <f t="shared" ca="1" si="127"/>
        <v>258.6281620907065</v>
      </c>
      <c r="I397">
        <f t="shared" ca="1" si="128"/>
        <v>190.80623548900624</v>
      </c>
      <c r="J397">
        <f t="shared" ca="1" si="116"/>
        <v>291.83599999999996</v>
      </c>
      <c r="K397">
        <f t="shared" ca="1" si="117"/>
        <v>5.2959034813911146</v>
      </c>
      <c r="L397">
        <f t="shared" ca="1" si="118"/>
        <v>302.4278069627822</v>
      </c>
      <c r="M397">
        <f t="shared" ca="1" si="119"/>
        <v>281.24419303721771</v>
      </c>
      <c r="N397">
        <f t="shared" ca="1" si="129"/>
        <v>-3.3899999999999864</v>
      </c>
      <c r="O397">
        <f t="shared" ca="1" si="130"/>
        <v>0</v>
      </c>
      <c r="P397">
        <f t="shared" ca="1" si="131"/>
        <v>3.3899999999999864</v>
      </c>
      <c r="Q397">
        <f t="shared" ca="1" si="114"/>
        <v>1.3960024894026903</v>
      </c>
      <c r="R397">
        <f t="shared" ca="1" si="115"/>
        <v>0.852844047659575</v>
      </c>
      <c r="S397">
        <f t="shared" ca="1" si="112"/>
        <v>1.6368789736337879</v>
      </c>
      <c r="T397">
        <f t="shared" ca="1" si="113"/>
        <v>62.076378552105638</v>
      </c>
      <c r="U397">
        <f>70</f>
        <v>70</v>
      </c>
      <c r="V397">
        <f>30</f>
        <v>30</v>
      </c>
      <c r="W397">
        <f t="shared" ca="1" si="111"/>
        <v>294.81027409173458</v>
      </c>
      <c r="X397">
        <f t="shared" ca="1" si="121"/>
        <v>289.56318488490297</v>
      </c>
      <c r="Y397">
        <f t="shared" ca="1" si="120"/>
        <v>4.4244339534237156</v>
      </c>
      <c r="Z397">
        <f t="shared" ca="1" si="122"/>
        <v>5.1818682129518621</v>
      </c>
      <c r="AA397">
        <f t="shared" ca="1" si="123"/>
        <v>-0.75743425952814647</v>
      </c>
      <c r="AB397">
        <f t="shared" ca="1" si="124"/>
        <v>260.6284</v>
      </c>
    </row>
    <row r="398" spans="1:28" x14ac:dyDescent="0.25">
      <c r="A398" s="20">
        <f t="shared" ca="1" si="125"/>
        <v>45866</v>
      </c>
      <c r="B398" vm="1182">
        <f ca="1"/>
        <v>45870</v>
      </c>
      <c r="C398" vm="1183">
        <f ca="1"/>
        <v>289.37</v>
      </c>
      <c r="D398" vm="1184">
        <f ca="1"/>
        <v>12007111</v>
      </c>
      <c r="E398">
        <f t="shared" ca="1" si="126"/>
        <v>3474497710.0700002</v>
      </c>
      <c r="F398">
        <f ca="1">SUM($E$2:E398)/SUM($D$2:D398)</f>
        <v>224.92464175799196</v>
      </c>
      <c r="G398">
        <f ca="1">_xlfn.STDEV.P($C$2:C398)</f>
        <v>34.019803260937351</v>
      </c>
      <c r="H398">
        <f t="shared" ca="1" si="127"/>
        <v>258.94444501892929</v>
      </c>
      <c r="I398">
        <f t="shared" ca="1" si="128"/>
        <v>190.90483849705461</v>
      </c>
      <c r="J398">
        <f t="shared" ca="1" si="116"/>
        <v>291.50449999999995</v>
      </c>
      <c r="K398">
        <f t="shared" ca="1" si="117"/>
        <v>5.228614061106442</v>
      </c>
      <c r="L398">
        <f t="shared" ca="1" si="118"/>
        <v>301.96172812221283</v>
      </c>
      <c r="M398">
        <f t="shared" ca="1" si="119"/>
        <v>281.04727187778707</v>
      </c>
      <c r="N398">
        <f t="shared" ca="1" si="129"/>
        <v>-6.8700000000000045</v>
      </c>
      <c r="O398">
        <f t="shared" ca="1" si="130"/>
        <v>0</v>
      </c>
      <c r="P398">
        <f t="shared" ca="1" si="131"/>
        <v>6.8700000000000045</v>
      </c>
      <c r="Q398">
        <f t="shared" ca="1" si="114"/>
        <v>1.2962880258739269</v>
      </c>
      <c r="R398">
        <f t="shared" ca="1" si="115"/>
        <v>1.282640901398177</v>
      </c>
      <c r="S398">
        <f t="shared" ca="1" si="112"/>
        <v>1.010639863784847</v>
      </c>
      <c r="T398">
        <f t="shared" ca="1" si="113"/>
        <v>50.264588999166129</v>
      </c>
      <c r="U398">
        <f>70</f>
        <v>70</v>
      </c>
      <c r="V398">
        <f>30</f>
        <v>30</v>
      </c>
      <c r="W398">
        <f t="shared" ca="1" si="111"/>
        <v>293.97330884685238</v>
      </c>
      <c r="X398">
        <f t="shared" ca="1" si="121"/>
        <v>289.54887489342866</v>
      </c>
      <c r="Y398">
        <f t="shared" ca="1" si="120"/>
        <v>4.1195680545607729</v>
      </c>
      <c r="Z398">
        <f t="shared" ca="1" si="122"/>
        <v>4.9694081812736446</v>
      </c>
      <c r="AA398">
        <f t="shared" ca="1" si="123"/>
        <v>-0.84984012671287168</v>
      </c>
      <c r="AB398">
        <f t="shared" ca="1" si="124"/>
        <v>261.19989999999996</v>
      </c>
    </row>
    <row r="399" spans="1:28" x14ac:dyDescent="0.25">
      <c r="A399" s="20">
        <f t="shared" ca="1" si="125"/>
        <v>45873</v>
      </c>
      <c r="B399" vm="1185">
        <f ca="1"/>
        <v>45873</v>
      </c>
      <c r="C399" vm="1186">
        <f ca="1"/>
        <v>294.26</v>
      </c>
      <c r="D399" vm="1187">
        <f ca="1"/>
        <v>6649542</v>
      </c>
      <c r="E399">
        <f t="shared" ca="1" si="126"/>
        <v>1956694228.9199998</v>
      </c>
      <c r="F399">
        <f ca="1">SUM($E$2:E399)/SUM($D$2:D399)</f>
        <v>225.04762567677747</v>
      </c>
      <c r="G399">
        <f ca="1">_xlfn.STDEV.P($C$2:C399)</f>
        <v>34.150790055106341</v>
      </c>
      <c r="H399">
        <f t="shared" ca="1" si="127"/>
        <v>259.19841573188381</v>
      </c>
      <c r="I399">
        <f t="shared" ca="1" si="128"/>
        <v>190.89683562167113</v>
      </c>
      <c r="J399">
        <f t="shared" ca="1" si="116"/>
        <v>291.61899999999997</v>
      </c>
      <c r="K399">
        <f t="shared" ca="1" si="117"/>
        <v>5.2642967241598368</v>
      </c>
      <c r="L399">
        <f t="shared" ca="1" si="118"/>
        <v>302.14759344831964</v>
      </c>
      <c r="M399">
        <f t="shared" ca="1" si="119"/>
        <v>281.0904065516803</v>
      </c>
      <c r="N399">
        <f t="shared" ca="1" si="129"/>
        <v>4.8899999999999864</v>
      </c>
      <c r="O399">
        <f t="shared" ca="1" si="130"/>
        <v>4.8899999999999864</v>
      </c>
      <c r="P399">
        <f t="shared" ca="1" si="131"/>
        <v>0</v>
      </c>
      <c r="Q399">
        <f t="shared" ca="1" si="114"/>
        <v>1.5529817383115028</v>
      </c>
      <c r="R399">
        <f t="shared" ca="1" si="115"/>
        <v>1.1910236941554502</v>
      </c>
      <c r="S399">
        <f t="shared" ca="1" si="112"/>
        <v>1.3039049902468276</v>
      </c>
      <c r="T399">
        <f t="shared" ca="1" si="113"/>
        <v>56.595432353620389</v>
      </c>
      <c r="U399">
        <f>70</f>
        <v>70</v>
      </c>
      <c r="V399">
        <f>30</f>
        <v>30</v>
      </c>
      <c r="W399">
        <f t="shared" ref="W399:W462" ca="1" si="132">C399*(2/(12+1)) + W398*(1-(2/(12+1)))</f>
        <v>294.01741517810586</v>
      </c>
      <c r="X399">
        <f t="shared" ca="1" si="121"/>
        <v>289.89784712354509</v>
      </c>
      <c r="Y399">
        <f t="shared" ca="1" si="120"/>
        <v>3.6032250505563752</v>
      </c>
      <c r="Z399">
        <f t="shared" ca="1" si="122"/>
        <v>4.6961715551301904</v>
      </c>
      <c r="AA399">
        <f t="shared" ca="1" si="123"/>
        <v>-1.0929465045738151</v>
      </c>
      <c r="AB399">
        <f t="shared" ca="1" si="124"/>
        <v>261.85109999999997</v>
      </c>
    </row>
    <row r="400" spans="1:28" x14ac:dyDescent="0.25">
      <c r="A400" s="20">
        <f t="shared" ca="1" si="125"/>
        <v>45873</v>
      </c>
      <c r="B400" vm="1188">
        <f ca="1"/>
        <v>45874</v>
      </c>
      <c r="C400" vm="1189">
        <f ca="1"/>
        <v>291.37</v>
      </c>
      <c r="D400" vm="1190">
        <f ca="1"/>
        <v>7182333</v>
      </c>
      <c r="E400">
        <f t="shared" ca="1" si="126"/>
        <v>2092716366.21</v>
      </c>
      <c r="F400">
        <f ca="1">SUM($E$2:E400)/SUM($D$2:D400)</f>
        <v>225.17444813707917</v>
      </c>
      <c r="G400">
        <f ca="1">_xlfn.STDEV.P($C$2:C400)</f>
        <v>34.265613487528505</v>
      </c>
      <c r="H400">
        <f t="shared" ca="1" si="127"/>
        <v>259.44006162460767</v>
      </c>
      <c r="I400">
        <f t="shared" ca="1" si="128"/>
        <v>190.90883464955067</v>
      </c>
      <c r="J400">
        <f t="shared" ca="1" si="116"/>
        <v>292.04849999999999</v>
      </c>
      <c r="K400">
        <f t="shared" ca="1" si="117"/>
        <v>4.8383786703703446</v>
      </c>
      <c r="L400">
        <f t="shared" ca="1" si="118"/>
        <v>301.72525734074065</v>
      </c>
      <c r="M400">
        <f t="shared" ca="1" si="119"/>
        <v>282.37174265925933</v>
      </c>
      <c r="N400">
        <f t="shared" ca="1" si="129"/>
        <v>-2.8899999999999864</v>
      </c>
      <c r="O400">
        <f t="shared" ca="1" si="130"/>
        <v>0</v>
      </c>
      <c r="P400">
        <f t="shared" ca="1" si="131"/>
        <v>2.8899999999999864</v>
      </c>
      <c r="Q400">
        <f t="shared" ca="1" si="114"/>
        <v>1.4420544712892525</v>
      </c>
      <c r="R400">
        <f t="shared" ca="1" si="115"/>
        <v>1.3123791445729169</v>
      </c>
      <c r="S400">
        <f t="shared" ref="S400:S463" ca="1" si="133">IF(R400=0,NA(),Q400/R400)</f>
        <v>1.0988093473235856</v>
      </c>
      <c r="T400">
        <f t="shared" ref="T400:T463" ca="1" si="134">100-(100/(1+S400))</f>
        <v>52.35393813758234</v>
      </c>
      <c r="U400">
        <f>70</f>
        <v>70</v>
      </c>
      <c r="V400">
        <f>30</f>
        <v>30</v>
      </c>
      <c r="W400">
        <f t="shared" ca="1" si="132"/>
        <v>293.61012053532033</v>
      </c>
      <c r="X400">
        <f t="shared" ca="1" si="121"/>
        <v>290.00689548476396</v>
      </c>
      <c r="Y400">
        <f t="shared" ca="1" si="120"/>
        <v>3.1560249756178109</v>
      </c>
      <c r="Z400">
        <f t="shared" ca="1" si="122"/>
        <v>4.3881422392277152</v>
      </c>
      <c r="AA400">
        <f t="shared" ca="1" si="123"/>
        <v>-1.2321172636099043</v>
      </c>
      <c r="AB400">
        <f t="shared" ca="1" si="124"/>
        <v>262.48579999999993</v>
      </c>
    </row>
    <row r="401" spans="1:28" x14ac:dyDescent="0.25">
      <c r="A401" s="20">
        <f t="shared" ca="1" si="125"/>
        <v>45873</v>
      </c>
      <c r="B401" vm="1191">
        <f ca="1"/>
        <v>45875</v>
      </c>
      <c r="C401" vm="1192">
        <f ca="1"/>
        <v>291.35000000000002</v>
      </c>
      <c r="D401" vm="1193">
        <f ca="1"/>
        <v>6330155</v>
      </c>
      <c r="E401">
        <f t="shared" ca="1" si="126"/>
        <v>1844290659.2500002</v>
      </c>
      <c r="F401">
        <f ca="1">SUM($E$2:E401)/SUM($D$2:D401)</f>
        <v>225.28578812617914</v>
      </c>
      <c r="G401">
        <f ca="1">_xlfn.STDEV.P($C$2:C401)</f>
        <v>34.378605312524776</v>
      </c>
      <c r="H401">
        <f t="shared" ca="1" si="127"/>
        <v>259.66439343870394</v>
      </c>
      <c r="I401">
        <f t="shared" ca="1" si="128"/>
        <v>190.90718281365437</v>
      </c>
      <c r="J401">
        <f t="shared" ca="1" si="116"/>
        <v>292.45799999999997</v>
      </c>
      <c r="K401">
        <f t="shared" ca="1" si="117"/>
        <v>4.3704565581087502</v>
      </c>
      <c r="L401">
        <f t="shared" ca="1" si="118"/>
        <v>301.19891311621745</v>
      </c>
      <c r="M401">
        <f t="shared" ca="1" si="119"/>
        <v>283.71708688378249</v>
      </c>
      <c r="N401">
        <f t="shared" ca="1" si="129"/>
        <v>-1.999999999998181E-2</v>
      </c>
      <c r="O401">
        <f t="shared" ca="1" si="130"/>
        <v>0</v>
      </c>
      <c r="P401">
        <f t="shared" ca="1" si="131"/>
        <v>1.999999999998181E-2</v>
      </c>
      <c r="Q401">
        <f t="shared" ref="Q401:Q464" ca="1" si="135">(Q400*13+O401)/14</f>
        <v>1.3390505804828774</v>
      </c>
      <c r="R401">
        <f t="shared" ref="R401:R464" ca="1" si="136">(R400*13+P401)/14</f>
        <v>1.2200663485319931</v>
      </c>
      <c r="S401">
        <f t="shared" ca="1" si="133"/>
        <v>1.0975227552944546</v>
      </c>
      <c r="T401">
        <f t="shared" ca="1" si="134"/>
        <v>52.324712689011193</v>
      </c>
      <c r="U401">
        <f>70</f>
        <v>70</v>
      </c>
      <c r="V401">
        <f>30</f>
        <v>30</v>
      </c>
      <c r="W401">
        <f t="shared" ca="1" si="132"/>
        <v>293.26240968373259</v>
      </c>
      <c r="X401">
        <f t="shared" ca="1" si="121"/>
        <v>290.10638470811477</v>
      </c>
      <c r="Y401">
        <f t="shared" ca="1" si="120"/>
        <v>2.4178935781517907</v>
      </c>
      <c r="Z401">
        <f t="shared" ca="1" si="122"/>
        <v>3.9940925070125304</v>
      </c>
      <c r="AA401">
        <f t="shared" ca="1" si="123"/>
        <v>-1.5761989288607396</v>
      </c>
      <c r="AB401">
        <f t="shared" ca="1" si="124"/>
        <v>263.14739999999995</v>
      </c>
    </row>
    <row r="402" spans="1:28" x14ac:dyDescent="0.25">
      <c r="A402" s="20">
        <f t="shared" ca="1" si="125"/>
        <v>45873</v>
      </c>
      <c r="B402" vm="1194">
        <f ca="1"/>
        <v>45876</v>
      </c>
      <c r="C402" vm="1195">
        <f ca="1"/>
        <v>286.94</v>
      </c>
      <c r="D402" vm="1196">
        <f ca="1"/>
        <v>8057109</v>
      </c>
      <c r="E402">
        <f t="shared" ca="1" si="126"/>
        <v>2311906856.46</v>
      </c>
      <c r="F402">
        <f ca="1">SUM($E$2:E402)/SUM($D$2:D402)</f>
        <v>225.41753860428415</v>
      </c>
      <c r="G402">
        <f ca="1">_xlfn.STDEV.P($C$2:C402)</f>
        <v>34.469816337691981</v>
      </c>
      <c r="H402">
        <f t="shared" ca="1" si="127"/>
        <v>259.88735494197613</v>
      </c>
      <c r="I402">
        <f t="shared" ca="1" si="128"/>
        <v>190.94772226659217</v>
      </c>
      <c r="J402">
        <f t="shared" ca="1" si="116"/>
        <v>292.39549999999997</v>
      </c>
      <c r="K402">
        <f t="shared" ca="1" si="117"/>
        <v>4.4430388782548595</v>
      </c>
      <c r="L402">
        <f t="shared" ca="1" si="118"/>
        <v>301.28157775650971</v>
      </c>
      <c r="M402">
        <f t="shared" ca="1" si="119"/>
        <v>283.50942224349023</v>
      </c>
      <c r="N402">
        <f t="shared" ca="1" si="129"/>
        <v>-4.410000000000025</v>
      </c>
      <c r="O402">
        <f t="shared" ca="1" si="130"/>
        <v>0</v>
      </c>
      <c r="P402">
        <f t="shared" ca="1" si="131"/>
        <v>4.410000000000025</v>
      </c>
      <c r="Q402">
        <f t="shared" ca="1" si="135"/>
        <v>1.2434041104483862</v>
      </c>
      <c r="R402">
        <f t="shared" ca="1" si="136"/>
        <v>1.447918752208281</v>
      </c>
      <c r="S402">
        <f t="shared" ca="1" si="133"/>
        <v>0.85875268108242875</v>
      </c>
      <c r="T402">
        <f t="shared" ca="1" si="134"/>
        <v>46.200481098020063</v>
      </c>
      <c r="U402">
        <f>70</f>
        <v>70</v>
      </c>
      <c r="V402">
        <f>30</f>
        <v>30</v>
      </c>
      <c r="W402">
        <f t="shared" ca="1" si="132"/>
        <v>292.28973127085067</v>
      </c>
      <c r="X402">
        <f t="shared" ca="1" si="121"/>
        <v>289.87183769269888</v>
      </c>
      <c r="Y402">
        <f t="shared" ca="1" si="120"/>
        <v>1.9572163456282397</v>
      </c>
      <c r="Z402">
        <f t="shared" ca="1" si="122"/>
        <v>3.5867172747356726</v>
      </c>
      <c r="AA402">
        <f t="shared" ca="1" si="123"/>
        <v>-1.6295009291074329</v>
      </c>
      <c r="AB402">
        <f t="shared" ca="1" si="124"/>
        <v>263.69239999999996</v>
      </c>
    </row>
    <row r="403" spans="1:28" x14ac:dyDescent="0.25">
      <c r="A403" s="20">
        <f t="shared" ca="1" si="125"/>
        <v>45873</v>
      </c>
      <c r="B403" vm="1197">
        <f ca="1"/>
        <v>45877</v>
      </c>
      <c r="C403" vm="1198">
        <f ca="1"/>
        <v>288.76</v>
      </c>
      <c r="D403" vm="1199">
        <f ca="1"/>
        <v>6634506</v>
      </c>
      <c r="E403">
        <f t="shared" ca="1" si="126"/>
        <v>1915779952.5599999</v>
      </c>
      <c r="F403">
        <f ca="1">SUM($E$2:E403)/SUM($D$2:D403)</f>
        <v>225.52880146329983</v>
      </c>
      <c r="G403">
        <f ca="1">_xlfn.STDEV.P($C$2:C403)</f>
        <v>34.567728955659838</v>
      </c>
      <c r="H403">
        <f t="shared" ca="1" si="127"/>
        <v>260.09653041895967</v>
      </c>
      <c r="I403">
        <f t="shared" ca="1" si="128"/>
        <v>190.96107250763998</v>
      </c>
      <c r="J403">
        <f t="shared" ca="1" si="116"/>
        <v>292.4905</v>
      </c>
      <c r="K403">
        <f t="shared" ca="1" si="117"/>
        <v>4.3375101698652196</v>
      </c>
      <c r="L403">
        <f t="shared" ca="1" si="118"/>
        <v>301.16552033973045</v>
      </c>
      <c r="M403">
        <f t="shared" ca="1" si="119"/>
        <v>283.81547966026955</v>
      </c>
      <c r="N403">
        <f t="shared" ca="1" si="129"/>
        <v>1.8199999999999932</v>
      </c>
      <c r="O403">
        <f t="shared" ca="1" si="130"/>
        <v>1.8199999999999932</v>
      </c>
      <c r="P403">
        <f t="shared" ca="1" si="131"/>
        <v>0</v>
      </c>
      <c r="Q403">
        <f t="shared" ca="1" si="135"/>
        <v>1.2845895311306439</v>
      </c>
      <c r="R403">
        <f t="shared" ca="1" si="136"/>
        <v>1.3444959841934039</v>
      </c>
      <c r="S403">
        <f t="shared" ca="1" si="133"/>
        <v>0.95544318929394245</v>
      </c>
      <c r="T403">
        <f t="shared" ca="1" si="134"/>
        <v>48.8606978983075</v>
      </c>
      <c r="U403">
        <f>70</f>
        <v>70</v>
      </c>
      <c r="V403">
        <f>30</f>
        <v>30</v>
      </c>
      <c r="W403">
        <f t="shared" ca="1" si="132"/>
        <v>291.74669569071978</v>
      </c>
      <c r="X403">
        <f t="shared" ca="1" si="121"/>
        <v>289.78947934509154</v>
      </c>
      <c r="Y403">
        <f t="shared" ca="1" si="120"/>
        <v>1.6378000939858453</v>
      </c>
      <c r="Z403">
        <f t="shared" ca="1" si="122"/>
        <v>3.1969338385857076</v>
      </c>
      <c r="AA403">
        <f t="shared" ca="1" si="123"/>
        <v>-1.5591337445998623</v>
      </c>
      <c r="AB403">
        <f t="shared" ca="1" si="124"/>
        <v>264.24069999999995</v>
      </c>
    </row>
    <row r="404" spans="1:28" x14ac:dyDescent="0.25">
      <c r="A404" s="20">
        <f t="shared" ca="1" si="125"/>
        <v>45880</v>
      </c>
      <c r="B404" vm="1200">
        <f ca="1"/>
        <v>45880</v>
      </c>
      <c r="C404" vm="1201">
        <f ca="1"/>
        <v>289.56</v>
      </c>
      <c r="D404" vm="1202">
        <f ca="1"/>
        <v>5510113</v>
      </c>
      <c r="E404">
        <f t="shared" ca="1" si="126"/>
        <v>1595508320.28</v>
      </c>
      <c r="F404">
        <f ca="1">SUM($E$2:E404)/SUM($D$2:D404)</f>
        <v>225.62207656288359</v>
      </c>
      <c r="G404">
        <f ca="1">_xlfn.STDEV.P($C$2:C404)</f>
        <v>34.667775630564243</v>
      </c>
      <c r="H404">
        <f t="shared" ca="1" si="127"/>
        <v>260.28985219344781</v>
      </c>
      <c r="I404">
        <f t="shared" ca="1" si="128"/>
        <v>190.95430093231934</v>
      </c>
      <c r="J404">
        <f t="shared" ca="1" si="116"/>
        <v>292.5335</v>
      </c>
      <c r="K404">
        <f t="shared" ca="1" si="117"/>
        <v>4.3020732761872171</v>
      </c>
      <c r="L404">
        <f t="shared" ca="1" si="118"/>
        <v>301.13764655237446</v>
      </c>
      <c r="M404">
        <f t="shared" ca="1" si="119"/>
        <v>283.92935344762554</v>
      </c>
      <c r="N404">
        <f t="shared" ca="1" si="129"/>
        <v>0.80000000000001137</v>
      </c>
      <c r="O404">
        <f t="shared" ca="1" si="130"/>
        <v>0.80000000000001137</v>
      </c>
      <c r="P404">
        <f t="shared" ca="1" si="131"/>
        <v>0</v>
      </c>
      <c r="Q404">
        <f t="shared" ca="1" si="135"/>
        <v>1.2499759931927414</v>
      </c>
      <c r="R404">
        <f t="shared" ca="1" si="136"/>
        <v>1.2484605567510179</v>
      </c>
      <c r="S404">
        <f t="shared" ca="1" si="133"/>
        <v>1.0012138440686242</v>
      </c>
      <c r="T404">
        <f t="shared" ca="1" si="134"/>
        <v>50.030327695169156</v>
      </c>
      <c r="U404">
        <f>70</f>
        <v>70</v>
      </c>
      <c r="V404">
        <f>30</f>
        <v>30</v>
      </c>
      <c r="W404">
        <f t="shared" ca="1" si="132"/>
        <v>291.41028096907058</v>
      </c>
      <c r="X404">
        <f t="shared" ca="1" si="121"/>
        <v>289.77248087508474</v>
      </c>
      <c r="Y404">
        <f t="shared" ca="1" si="120"/>
        <v>1.6313309498900708</v>
      </c>
      <c r="Z404">
        <f t="shared" ca="1" si="122"/>
        <v>2.8838132608465803</v>
      </c>
      <c r="AA404">
        <f t="shared" ca="1" si="123"/>
        <v>-1.2524823109565095</v>
      </c>
      <c r="AB404">
        <f t="shared" ca="1" si="124"/>
        <v>264.78659999999996</v>
      </c>
    </row>
    <row r="405" spans="1:28" x14ac:dyDescent="0.25">
      <c r="A405" s="20">
        <f t="shared" ca="1" si="125"/>
        <v>45880</v>
      </c>
      <c r="B405" vm="1203">
        <f ca="1"/>
        <v>45881</v>
      </c>
      <c r="C405" vm="1204">
        <f ca="1"/>
        <v>292.85000000000002</v>
      </c>
      <c r="D405" vm="1205">
        <f ca="1"/>
        <v>8572034</v>
      </c>
      <c r="E405">
        <f t="shared" ca="1" si="126"/>
        <v>2510320156.9000001</v>
      </c>
      <c r="F405">
        <f ca="1">SUM($E$2:E405)/SUM($D$2:D405)</f>
        <v>225.77408373647484</v>
      </c>
      <c r="G405">
        <f ca="1">_xlfn.STDEV.P($C$2:C405)</f>
        <v>34.781454188230462</v>
      </c>
      <c r="H405">
        <f t="shared" ca="1" si="127"/>
        <v>260.55553792470528</v>
      </c>
      <c r="I405">
        <f t="shared" ca="1" si="128"/>
        <v>190.99262954824437</v>
      </c>
      <c r="J405">
        <f t="shared" ca="1" si="116"/>
        <v>292.84850000000006</v>
      </c>
      <c r="K405">
        <f t="shared" ca="1" si="117"/>
        <v>4.0650128180027085</v>
      </c>
      <c r="L405">
        <f t="shared" ca="1" si="118"/>
        <v>300.97852563600549</v>
      </c>
      <c r="M405">
        <f t="shared" ca="1" si="119"/>
        <v>284.71847436399463</v>
      </c>
      <c r="N405">
        <f t="shared" ca="1" si="129"/>
        <v>3.2900000000000205</v>
      </c>
      <c r="O405">
        <f t="shared" ca="1" si="130"/>
        <v>3.2900000000000205</v>
      </c>
      <c r="P405">
        <f t="shared" ca="1" si="131"/>
        <v>0</v>
      </c>
      <c r="Q405">
        <f t="shared" ca="1" si="135"/>
        <v>1.3956919936789756</v>
      </c>
      <c r="R405">
        <f t="shared" ca="1" si="136"/>
        <v>1.1592848026973737</v>
      </c>
      <c r="S405">
        <f t="shared" ca="1" si="133"/>
        <v>1.2039250324264925</v>
      </c>
      <c r="T405">
        <f t="shared" ca="1" si="134"/>
        <v>54.626405831099746</v>
      </c>
      <c r="U405">
        <f>70</f>
        <v>70</v>
      </c>
      <c r="V405">
        <f>30</f>
        <v>30</v>
      </c>
      <c r="W405">
        <f t="shared" ca="1" si="132"/>
        <v>291.63177620459817</v>
      </c>
      <c r="X405">
        <f t="shared" ca="1" si="121"/>
        <v>290.0004452547081</v>
      </c>
      <c r="Y405">
        <f t="shared" ca="1" si="120"/>
        <v>1.422600640984399</v>
      </c>
      <c r="Z405">
        <f t="shared" ca="1" si="122"/>
        <v>2.5915707368741443</v>
      </c>
      <c r="AA405">
        <f t="shared" ca="1" si="123"/>
        <v>-1.1689700958897453</v>
      </c>
      <c r="AB405">
        <f t="shared" ca="1" si="124"/>
        <v>265.32399999999996</v>
      </c>
    </row>
    <row r="406" spans="1:28" x14ac:dyDescent="0.25">
      <c r="A406" s="20">
        <f t="shared" ca="1" si="125"/>
        <v>45880</v>
      </c>
      <c r="B406" vm="1206">
        <f ca="1"/>
        <v>45882</v>
      </c>
      <c r="C406" vm="1207">
        <f ca="1"/>
        <v>290.52999999999997</v>
      </c>
      <c r="D406" vm="1208">
        <f ca="1"/>
        <v>8420407</v>
      </c>
      <c r="E406">
        <f t="shared" ca="1" si="126"/>
        <v>2446380845.7099996</v>
      </c>
      <c r="F406">
        <f ca="1">SUM($E$2:E406)/SUM($D$2:D406)</f>
        <v>225.91759285825469</v>
      </c>
      <c r="G406">
        <f ca="1">_xlfn.STDEV.P($C$2:C406)</f>
        <v>34.882786116788346</v>
      </c>
      <c r="H406">
        <f t="shared" ca="1" si="127"/>
        <v>260.80037897504303</v>
      </c>
      <c r="I406">
        <f t="shared" ca="1" si="128"/>
        <v>191.03480674146635</v>
      </c>
      <c r="J406">
        <f t="shared" ref="J406:J469" ca="1" si="137">AVERAGE(C387:C406)</f>
        <v>293.084</v>
      </c>
      <c r="K406">
        <f t="shared" ref="K406:K469" ca="1" si="138">_xlfn.STDEV.S(C387:C406)</f>
        <v>3.7614994210735762</v>
      </c>
      <c r="L406">
        <f t="shared" ref="L406:L469" ca="1" si="139">J406 + 2*K406</f>
        <v>300.60699884214716</v>
      </c>
      <c r="M406">
        <f t="shared" ref="M406:M469" ca="1" si="140">J406-2*K406</f>
        <v>285.56100115785284</v>
      </c>
      <c r="N406">
        <f t="shared" ca="1" si="129"/>
        <v>-2.32000000000005</v>
      </c>
      <c r="O406">
        <f t="shared" ca="1" si="130"/>
        <v>0</v>
      </c>
      <c r="P406">
        <f t="shared" ca="1" si="131"/>
        <v>2.32000000000005</v>
      </c>
      <c r="Q406">
        <f t="shared" ca="1" si="135"/>
        <v>1.2959997084161916</v>
      </c>
      <c r="R406">
        <f t="shared" ca="1" si="136"/>
        <v>1.2421930310761362</v>
      </c>
      <c r="S406">
        <f t="shared" ca="1" si="133"/>
        <v>1.0433158744204527</v>
      </c>
      <c r="T406">
        <f t="shared" ca="1" si="134"/>
        <v>51.05994073071885</v>
      </c>
      <c r="U406">
        <f>70</f>
        <v>70</v>
      </c>
      <c r="V406">
        <f>30</f>
        <v>30</v>
      </c>
      <c r="W406">
        <f t="shared" ca="1" si="132"/>
        <v>291.46227217312151</v>
      </c>
      <c r="X406">
        <f t="shared" ca="1" si="121"/>
        <v>290.03967153213711</v>
      </c>
      <c r="Y406">
        <f t="shared" ca="1" si="120"/>
        <v>1.5324261751354129</v>
      </c>
      <c r="Z406">
        <f t="shared" ca="1" si="122"/>
        <v>2.3797418245263979</v>
      </c>
      <c r="AA406">
        <f t="shared" ca="1" si="123"/>
        <v>-0.84731564939098503</v>
      </c>
      <c r="AB406">
        <f t="shared" ca="1" si="124"/>
        <v>265.83919999999995</v>
      </c>
    </row>
    <row r="407" spans="1:28" x14ac:dyDescent="0.25">
      <c r="A407" s="20">
        <f t="shared" ca="1" si="125"/>
        <v>45880</v>
      </c>
      <c r="B407" vm="1209">
        <f ca="1"/>
        <v>45883</v>
      </c>
      <c r="C407" vm="1210">
        <f ca="1"/>
        <v>294.16000000000003</v>
      </c>
      <c r="D407" vm="1211">
        <f ca="1"/>
        <v>6322381</v>
      </c>
      <c r="E407">
        <f t="shared" ca="1" si="126"/>
        <v>1859791594.9600003</v>
      </c>
      <c r="F407">
        <f ca="1">SUM($E$2:E407)/SUM($D$2:D407)</f>
        <v>226.03095809925247</v>
      </c>
      <c r="G407">
        <f ca="1">_xlfn.STDEV.P($C$2:C407)</f>
        <v>34.999323074481296</v>
      </c>
      <c r="H407">
        <f t="shared" ca="1" si="127"/>
        <v>261.03028117373378</v>
      </c>
      <c r="I407">
        <f t="shared" ca="1" si="128"/>
        <v>191.03163502477116</v>
      </c>
      <c r="J407">
        <f t="shared" ca="1" si="137"/>
        <v>293.29700000000003</v>
      </c>
      <c r="K407">
        <f t="shared" ca="1" si="138"/>
        <v>3.6916778384845412</v>
      </c>
      <c r="L407">
        <f t="shared" ca="1" si="139"/>
        <v>300.6803556769691</v>
      </c>
      <c r="M407">
        <f t="shared" ca="1" si="140"/>
        <v>285.91364432303095</v>
      </c>
      <c r="N407">
        <f t="shared" ca="1" si="129"/>
        <v>3.6300000000000523</v>
      </c>
      <c r="O407">
        <f t="shared" ca="1" si="130"/>
        <v>3.6300000000000523</v>
      </c>
      <c r="P407">
        <f t="shared" ca="1" si="131"/>
        <v>0</v>
      </c>
      <c r="Q407">
        <f t="shared" ca="1" si="135"/>
        <v>1.4627140149578959</v>
      </c>
      <c r="R407">
        <f t="shared" ca="1" si="136"/>
        <v>1.1534649574278408</v>
      </c>
      <c r="S407">
        <f t="shared" ca="1" si="133"/>
        <v>1.2681044235792498</v>
      </c>
      <c r="T407">
        <f t="shared" ca="1" si="134"/>
        <v>55.910319224988761</v>
      </c>
      <c r="U407">
        <f>70</f>
        <v>70</v>
      </c>
      <c r="V407">
        <f>30</f>
        <v>30</v>
      </c>
      <c r="W407">
        <f t="shared" ca="1" si="132"/>
        <v>291.87730722341053</v>
      </c>
      <c r="X407">
        <f t="shared" ca="1" si="121"/>
        <v>290.34488104827511</v>
      </c>
      <c r="Y407">
        <f t="shared" ca="1" si="120"/>
        <v>1.308244742631075</v>
      </c>
      <c r="Z407">
        <f t="shared" ca="1" si="122"/>
        <v>2.1654424081473334</v>
      </c>
      <c r="AA407">
        <f t="shared" ca="1" si="123"/>
        <v>-0.85719766551625831</v>
      </c>
      <c r="AB407">
        <f t="shared" ca="1" si="124"/>
        <v>266.36449999999991</v>
      </c>
    </row>
    <row r="408" spans="1:28" x14ac:dyDescent="0.25">
      <c r="A408" s="20">
        <f t="shared" ca="1" si="125"/>
        <v>45880</v>
      </c>
      <c r="B408" vm="1212">
        <f ca="1"/>
        <v>45884</v>
      </c>
      <c r="C408" vm="1213">
        <f ca="1"/>
        <v>290.49</v>
      </c>
      <c r="D408" vm="1214">
        <f ca="1"/>
        <v>7340518</v>
      </c>
      <c r="E408">
        <f t="shared" ca="1" si="126"/>
        <v>2132347073.8200002</v>
      </c>
      <c r="F408">
        <f ca="1">SUM($E$2:E408)/SUM($D$2:D408)</f>
        <v>226.15504291435442</v>
      </c>
      <c r="G408">
        <f ca="1">_xlfn.STDEV.P($C$2:C408)</f>
        <v>35.097384742986641</v>
      </c>
      <c r="H408">
        <f t="shared" ca="1" si="127"/>
        <v>261.25242765734106</v>
      </c>
      <c r="I408">
        <f t="shared" ca="1" si="128"/>
        <v>191.05765817136779</v>
      </c>
      <c r="J408">
        <f t="shared" ca="1" si="137"/>
        <v>293.25800000000004</v>
      </c>
      <c r="K408">
        <f t="shared" ca="1" si="138"/>
        <v>3.7182432184539702</v>
      </c>
      <c r="L408">
        <f t="shared" ca="1" si="139"/>
        <v>300.69448643690799</v>
      </c>
      <c r="M408">
        <f t="shared" ca="1" si="140"/>
        <v>285.82151356309208</v>
      </c>
      <c r="N408">
        <f t="shared" ca="1" si="129"/>
        <v>-3.6700000000000159</v>
      </c>
      <c r="O408">
        <f t="shared" ca="1" si="130"/>
        <v>0</v>
      </c>
      <c r="P408">
        <f t="shared" ca="1" si="131"/>
        <v>3.6700000000000159</v>
      </c>
      <c r="Q408">
        <f t="shared" ca="1" si="135"/>
        <v>1.3582344424609032</v>
      </c>
      <c r="R408">
        <f t="shared" ca="1" si="136"/>
        <v>1.3332174604687104</v>
      </c>
      <c r="S408">
        <f t="shared" ca="1" si="133"/>
        <v>1.0187643672048803</v>
      </c>
      <c r="T408">
        <f t="shared" ca="1" si="134"/>
        <v>50.464748821351073</v>
      </c>
      <c r="U408">
        <f>70</f>
        <v>70</v>
      </c>
      <c r="V408">
        <f>30</f>
        <v>30</v>
      </c>
      <c r="W408">
        <f t="shared" ca="1" si="132"/>
        <v>291.66387534288583</v>
      </c>
      <c r="X408">
        <f t="shared" ca="1" si="121"/>
        <v>290.35563060025476</v>
      </c>
      <c r="Y408">
        <f t="shared" ca="1" si="120"/>
        <v>1.2006582101262211</v>
      </c>
      <c r="Z408">
        <f t="shared" ca="1" si="122"/>
        <v>1.9724855685431109</v>
      </c>
      <c r="AA408">
        <f t="shared" ca="1" si="123"/>
        <v>-0.77182735841688976</v>
      </c>
      <c r="AB408">
        <f t="shared" ca="1" si="124"/>
        <v>266.78879999999998</v>
      </c>
    </row>
    <row r="409" spans="1:28" x14ac:dyDescent="0.25">
      <c r="A409" s="20">
        <f t="shared" ca="1" si="125"/>
        <v>45887</v>
      </c>
      <c r="B409" vm="1215">
        <f ca="1"/>
        <v>45887</v>
      </c>
      <c r="C409" vm="1216">
        <f ca="1"/>
        <v>291.52999999999997</v>
      </c>
      <c r="D409" vm="1217">
        <f ca="1"/>
        <v>5386856</v>
      </c>
      <c r="E409">
        <f t="shared" ca="1" si="126"/>
        <v>1570430129.6799998</v>
      </c>
      <c r="F409">
        <f ca="1">SUM($E$2:E409)/SUM($D$2:D409)</f>
        <v>226.24726645280313</v>
      </c>
      <c r="G409">
        <f ca="1">_xlfn.STDEV.P($C$2:C409)</f>
        <v>35.198621903964423</v>
      </c>
      <c r="H409">
        <f t="shared" ca="1" si="127"/>
        <v>261.44588835676757</v>
      </c>
      <c r="I409">
        <f t="shared" ca="1" si="128"/>
        <v>191.04864454883869</v>
      </c>
      <c r="J409">
        <f t="shared" ca="1" si="137"/>
        <v>293.286</v>
      </c>
      <c r="K409">
        <f t="shared" ca="1" si="138"/>
        <v>3.7021805807701469</v>
      </c>
      <c r="L409">
        <f t="shared" ca="1" si="139"/>
        <v>300.6903611615403</v>
      </c>
      <c r="M409">
        <f t="shared" ca="1" si="140"/>
        <v>285.88163883845971</v>
      </c>
      <c r="N409">
        <f t="shared" ca="1" si="129"/>
        <v>1.0399999999999636</v>
      </c>
      <c r="O409">
        <f t="shared" ca="1" si="130"/>
        <v>1.0399999999999636</v>
      </c>
      <c r="P409">
        <f t="shared" ca="1" si="131"/>
        <v>0</v>
      </c>
      <c r="Q409">
        <f t="shared" ca="1" si="135"/>
        <v>1.3355034108565502</v>
      </c>
      <c r="R409">
        <f t="shared" ca="1" si="136"/>
        <v>1.2379876418638023</v>
      </c>
      <c r="S409">
        <f t="shared" ca="1" si="133"/>
        <v>1.0787695819369707</v>
      </c>
      <c r="T409">
        <f t="shared" ca="1" si="134"/>
        <v>51.894620323036825</v>
      </c>
      <c r="U409">
        <f>70</f>
        <v>70</v>
      </c>
      <c r="V409">
        <f>30</f>
        <v>30</v>
      </c>
      <c r="W409">
        <f t="shared" ca="1" si="132"/>
        <v>291.64327913628802</v>
      </c>
      <c r="X409">
        <f t="shared" ca="1" si="121"/>
        <v>290.44262092616179</v>
      </c>
      <c r="Y409">
        <f t="shared" ca="1" si="120"/>
        <v>1.033282343233509</v>
      </c>
      <c r="Z409">
        <f t="shared" ca="1" si="122"/>
        <v>1.7846449234811905</v>
      </c>
      <c r="AA409">
        <f t="shared" ca="1" si="123"/>
        <v>-0.75136258024768154</v>
      </c>
      <c r="AB409">
        <f t="shared" ca="1" si="124"/>
        <v>267.19279999999998</v>
      </c>
    </row>
    <row r="410" spans="1:28" x14ac:dyDescent="0.25">
      <c r="A410" s="20">
        <f t="shared" ca="1" si="125"/>
        <v>45887</v>
      </c>
      <c r="B410" vm="1218">
        <f ca="1"/>
        <v>45888</v>
      </c>
      <c r="C410" vm="1219">
        <f ca="1"/>
        <v>290.66000000000003</v>
      </c>
      <c r="D410" vm="1220">
        <f ca="1"/>
        <v>6031520</v>
      </c>
      <c r="E410">
        <f t="shared" ca="1" si="126"/>
        <v>1753121603.2</v>
      </c>
      <c r="F410">
        <f ca="1">SUM($E$2:E410)/SUM($D$2:D410)</f>
        <v>226.34884642047672</v>
      </c>
      <c r="G410">
        <f ca="1">_xlfn.STDEV.P($C$2:C410)</f>
        <v>35.294540366984833</v>
      </c>
      <c r="H410">
        <f t="shared" ca="1" si="127"/>
        <v>261.64338678746157</v>
      </c>
      <c r="I410">
        <f t="shared" ca="1" si="128"/>
        <v>191.05430605349187</v>
      </c>
      <c r="J410">
        <f t="shared" ca="1" si="137"/>
        <v>293.2475</v>
      </c>
      <c r="K410">
        <f t="shared" ca="1" si="138"/>
        <v>3.7264218409678338</v>
      </c>
      <c r="L410">
        <f t="shared" ca="1" si="139"/>
        <v>300.70034368193569</v>
      </c>
      <c r="M410">
        <f t="shared" ca="1" si="140"/>
        <v>285.79465631806431</v>
      </c>
      <c r="N410">
        <f t="shared" ca="1" si="129"/>
        <v>-0.8699999999999477</v>
      </c>
      <c r="O410">
        <f t="shared" ca="1" si="130"/>
        <v>0</v>
      </c>
      <c r="P410">
        <f t="shared" ca="1" si="131"/>
        <v>0.8699999999999477</v>
      </c>
      <c r="Q410">
        <f t="shared" ca="1" si="135"/>
        <v>1.2401103100810824</v>
      </c>
      <c r="R410">
        <f t="shared" ca="1" si="136"/>
        <v>1.2117028103020984</v>
      </c>
      <c r="S410">
        <f t="shared" ca="1" si="133"/>
        <v>1.0234442798493646</v>
      </c>
      <c r="T410">
        <f t="shared" ca="1" si="134"/>
        <v>50.579316171016828</v>
      </c>
      <c r="U410">
        <f>70</f>
        <v>70</v>
      </c>
      <c r="V410">
        <f>30</f>
        <v>30</v>
      </c>
      <c r="W410">
        <f t="shared" ca="1" si="132"/>
        <v>291.49200542301293</v>
      </c>
      <c r="X410">
        <f t="shared" ca="1" si="121"/>
        <v>290.45872307977942</v>
      </c>
      <c r="Y410">
        <f t="shared" ca="1" si="120"/>
        <v>1.0164119934659084</v>
      </c>
      <c r="Z410">
        <f t="shared" ca="1" si="122"/>
        <v>1.6309983374781343</v>
      </c>
      <c r="AA410">
        <f t="shared" ca="1" si="123"/>
        <v>-0.61458634401222589</v>
      </c>
      <c r="AB410">
        <f t="shared" ca="1" si="124"/>
        <v>267.58909999999997</v>
      </c>
    </row>
    <row r="411" spans="1:28" x14ac:dyDescent="0.25">
      <c r="A411" s="20">
        <f t="shared" ca="1" si="125"/>
        <v>45887</v>
      </c>
      <c r="B411" vm="1221">
        <f ca="1"/>
        <v>45889</v>
      </c>
      <c r="C411" vm="1222">
        <f ca="1"/>
        <v>292.24</v>
      </c>
      <c r="D411" vm="1223">
        <f ca="1"/>
        <v>7374244</v>
      </c>
      <c r="E411">
        <f t="shared" ca="1" si="126"/>
        <v>2155049066.5599999</v>
      </c>
      <c r="F411">
        <f ca="1">SUM($E$2:E411)/SUM($D$2:D411)</f>
        <v>226.47564594650771</v>
      </c>
      <c r="G411">
        <f ca="1">_xlfn.STDEV.P($C$2:C411)</f>
        <v>35.396010531516623</v>
      </c>
      <c r="H411">
        <f t="shared" ca="1" si="127"/>
        <v>261.87165647802431</v>
      </c>
      <c r="I411">
        <f t="shared" ca="1" si="128"/>
        <v>191.07963541499109</v>
      </c>
      <c r="J411">
        <f t="shared" ca="1" si="137"/>
        <v>293.02149999999995</v>
      </c>
      <c r="K411">
        <f t="shared" ca="1" si="138"/>
        <v>3.6382041188650094</v>
      </c>
      <c r="L411">
        <f t="shared" ca="1" si="139"/>
        <v>300.29790823772998</v>
      </c>
      <c r="M411">
        <f t="shared" ca="1" si="140"/>
        <v>285.74509176226991</v>
      </c>
      <c r="N411">
        <f t="shared" ca="1" si="129"/>
        <v>1.5799999999999841</v>
      </c>
      <c r="O411">
        <f t="shared" ca="1" si="130"/>
        <v>1.5799999999999841</v>
      </c>
      <c r="P411">
        <f t="shared" ca="1" si="131"/>
        <v>0</v>
      </c>
      <c r="Q411">
        <f t="shared" ca="1" si="135"/>
        <v>1.2643881450752896</v>
      </c>
      <c r="R411">
        <f t="shared" ca="1" si="136"/>
        <v>1.1251526095662343</v>
      </c>
      <c r="S411">
        <f t="shared" ca="1" si="133"/>
        <v>1.1237481336533832</v>
      </c>
      <c r="T411">
        <f t="shared" ca="1" si="134"/>
        <v>52.913437137211403</v>
      </c>
      <c r="U411">
        <f>70</f>
        <v>70</v>
      </c>
      <c r="V411">
        <f>30</f>
        <v>30</v>
      </c>
      <c r="W411">
        <f t="shared" ca="1" si="132"/>
        <v>291.60708151178017</v>
      </c>
      <c r="X411">
        <f t="shared" ca="1" si="121"/>
        <v>290.59066951831426</v>
      </c>
      <c r="Y411">
        <f t="shared" ca="1" si="120"/>
        <v>0.93018693887916015</v>
      </c>
      <c r="Z411">
        <f t="shared" ca="1" si="122"/>
        <v>1.4908360577583397</v>
      </c>
      <c r="AA411">
        <f t="shared" ca="1" si="123"/>
        <v>-0.56064911887917956</v>
      </c>
      <c r="AB411">
        <f t="shared" ca="1" si="124"/>
        <v>268.03030000000001</v>
      </c>
    </row>
    <row r="412" spans="1:28" x14ac:dyDescent="0.25">
      <c r="A412" s="20">
        <f t="shared" ca="1" si="125"/>
        <v>45887</v>
      </c>
      <c r="B412" vm="1224">
        <f ca="1"/>
        <v>45890</v>
      </c>
      <c r="C412" vm="1225">
        <f ca="1"/>
        <v>291.47000000000003</v>
      </c>
      <c r="D412" vm="1226">
        <f ca="1"/>
        <v>6624161</v>
      </c>
      <c r="E412">
        <f t="shared" ca="1" si="126"/>
        <v>1930744206.6700001</v>
      </c>
      <c r="F412">
        <f ca="1">SUM($E$2:E412)/SUM($D$2:D412)</f>
        <v>226.5878037350283</v>
      </c>
      <c r="G412">
        <f ca="1">_xlfn.STDEV.P($C$2:C412)</f>
        <v>35.492618241064889</v>
      </c>
      <c r="H412">
        <f t="shared" ca="1" si="127"/>
        <v>262.08042197609319</v>
      </c>
      <c r="I412">
        <f t="shared" ca="1" si="128"/>
        <v>191.09518549396341</v>
      </c>
      <c r="J412">
        <f t="shared" ca="1" si="137"/>
        <v>292.76749999999998</v>
      </c>
      <c r="K412">
        <f t="shared" ca="1" si="138"/>
        <v>3.5552820230127864</v>
      </c>
      <c r="L412">
        <f t="shared" ca="1" si="139"/>
        <v>299.87806404602554</v>
      </c>
      <c r="M412">
        <f t="shared" ca="1" si="140"/>
        <v>285.65693595397443</v>
      </c>
      <c r="N412">
        <f t="shared" ca="1" si="129"/>
        <v>-0.76999999999998181</v>
      </c>
      <c r="O412">
        <f t="shared" ca="1" si="130"/>
        <v>0</v>
      </c>
      <c r="P412">
        <f t="shared" ca="1" si="131"/>
        <v>0.76999999999998181</v>
      </c>
      <c r="Q412">
        <f t="shared" ca="1" si="135"/>
        <v>1.1740747061413404</v>
      </c>
      <c r="R412">
        <f t="shared" ca="1" si="136"/>
        <v>1.0997845660257877</v>
      </c>
      <c r="S412">
        <f t="shared" ca="1" si="133"/>
        <v>1.0675497205639188</v>
      </c>
      <c r="T412">
        <f t="shared" ca="1" si="134"/>
        <v>51.633569434680751</v>
      </c>
      <c r="U412">
        <f>70</f>
        <v>70</v>
      </c>
      <c r="V412">
        <f>30</f>
        <v>30</v>
      </c>
      <c r="W412">
        <f t="shared" ca="1" si="132"/>
        <v>291.58599204842938</v>
      </c>
      <c r="X412">
        <f t="shared" ca="1" si="121"/>
        <v>290.65580510955022</v>
      </c>
      <c r="Y412">
        <f t="shared" ref="Y412:Y475" ca="1" si="141">W413-X413</f>
        <v>1.2325440962384846</v>
      </c>
      <c r="Z412">
        <f t="shared" ca="1" si="122"/>
        <v>1.4391776654543689</v>
      </c>
      <c r="AA412">
        <f t="shared" ca="1" si="123"/>
        <v>-0.20663356921588427</v>
      </c>
      <c r="AB412">
        <f t="shared" ca="1" si="124"/>
        <v>268.51650000000001</v>
      </c>
    </row>
    <row r="413" spans="1:28" x14ac:dyDescent="0.25">
      <c r="A413" s="20">
        <f t="shared" ca="1" si="125"/>
        <v>45887</v>
      </c>
      <c r="B413" vm="1227">
        <f ca="1"/>
        <v>45891</v>
      </c>
      <c r="C413" vm="1180">
        <f ca="1"/>
        <v>296.24</v>
      </c>
      <c r="D413" vm="1228">
        <f ca="1"/>
        <v>8552847</v>
      </c>
      <c r="E413">
        <f t="shared" ca="1" si="126"/>
        <v>2533695395.2800002</v>
      </c>
      <c r="F413">
        <f ca="1">SUM($E$2:E413)/SUM($D$2:D413)</f>
        <v>226.74265040551475</v>
      </c>
      <c r="G413">
        <f ca="1">_xlfn.STDEV.P($C$2:C413)</f>
        <v>35.609263819326351</v>
      </c>
      <c r="H413">
        <f t="shared" ca="1" si="127"/>
        <v>262.3519142248411</v>
      </c>
      <c r="I413">
        <f t="shared" ca="1" si="128"/>
        <v>191.13338658618841</v>
      </c>
      <c r="J413">
        <f t="shared" ca="1" si="137"/>
        <v>292.6484999999999</v>
      </c>
      <c r="K413">
        <f t="shared" ca="1" si="138"/>
        <v>3.3848256971371504</v>
      </c>
      <c r="L413">
        <f t="shared" ca="1" si="139"/>
        <v>299.41815139427422</v>
      </c>
      <c r="M413">
        <f t="shared" ca="1" si="140"/>
        <v>285.87884860572558</v>
      </c>
      <c r="N413">
        <f t="shared" ca="1" si="129"/>
        <v>4.7699999999999818</v>
      </c>
      <c r="O413">
        <f t="shared" ca="1" si="130"/>
        <v>4.7699999999999818</v>
      </c>
      <c r="P413">
        <f t="shared" ca="1" si="131"/>
        <v>0</v>
      </c>
      <c r="Q413">
        <f t="shared" ca="1" si="135"/>
        <v>1.4309265128455291</v>
      </c>
      <c r="R413">
        <f t="shared" ca="1" si="136"/>
        <v>1.0212285255953744</v>
      </c>
      <c r="S413">
        <f t="shared" ca="1" si="133"/>
        <v>1.4011814956023692</v>
      </c>
      <c r="T413">
        <f t="shared" ca="1" si="134"/>
        <v>58.353835316845284</v>
      </c>
      <c r="U413">
        <f>70</f>
        <v>70</v>
      </c>
      <c r="V413">
        <f>30</f>
        <v>30</v>
      </c>
      <c r="W413">
        <f t="shared" ca="1" si="132"/>
        <v>292.30199327174796</v>
      </c>
      <c r="X413">
        <f t="shared" ref="X413:X476" ca="1" si="142">C413*(2/(26+1)) + X412*(1-(2/(26+1)))</f>
        <v>291.06944917550948</v>
      </c>
      <c r="Y413">
        <f t="shared" ca="1" si="141"/>
        <v>1.3484929335286893</v>
      </c>
      <c r="Z413">
        <f t="shared" ca="1" si="122"/>
        <v>1.4210407190692331</v>
      </c>
      <c r="AA413">
        <f t="shared" ca="1" si="123"/>
        <v>-7.2547785540543863E-2</v>
      </c>
      <c r="AB413">
        <f t="shared" ca="1" si="124"/>
        <v>269.02589999999998</v>
      </c>
    </row>
    <row r="414" spans="1:28" x14ac:dyDescent="0.25">
      <c r="A414" s="20">
        <f t="shared" ca="1" si="125"/>
        <v>45894</v>
      </c>
      <c r="B414" vm="1229">
        <f ca="1"/>
        <v>45894</v>
      </c>
      <c r="C414" vm="1230">
        <f ca="1"/>
        <v>294.89999999999998</v>
      </c>
      <c r="D414" vm="1231">
        <f ca="1"/>
        <v>5856258</v>
      </c>
      <c r="E414">
        <f t="shared" ca="1" si="126"/>
        <v>1727010484.1999998</v>
      </c>
      <c r="F414">
        <f ca="1">SUM($E$2:E414)/SUM($D$2:D414)</f>
        <v>226.84624298827438</v>
      </c>
      <c r="G414">
        <f ca="1">_xlfn.STDEV.P($C$2:C414)</f>
        <v>35.718070645370467</v>
      </c>
      <c r="H414">
        <f t="shared" ca="1" si="127"/>
        <v>262.56431363364487</v>
      </c>
      <c r="I414">
        <f t="shared" ca="1" si="128"/>
        <v>191.12817234290392</v>
      </c>
      <c r="J414">
        <f t="shared" ca="1" si="137"/>
        <v>292.47949999999992</v>
      </c>
      <c r="K414">
        <f t="shared" ca="1" si="138"/>
        <v>3.1661706490565824</v>
      </c>
      <c r="L414">
        <f t="shared" ca="1" si="139"/>
        <v>298.81184129811311</v>
      </c>
      <c r="M414">
        <f t="shared" ca="1" si="140"/>
        <v>286.14715870188672</v>
      </c>
      <c r="N414">
        <f t="shared" ca="1" si="129"/>
        <v>-1.3400000000000318</v>
      </c>
      <c r="O414">
        <f t="shared" ca="1" si="130"/>
        <v>0</v>
      </c>
      <c r="P414">
        <f t="shared" ca="1" si="131"/>
        <v>1.3400000000000318</v>
      </c>
      <c r="Q414">
        <f t="shared" ca="1" si="135"/>
        <v>1.3287174762137057</v>
      </c>
      <c r="R414">
        <f t="shared" ca="1" si="136"/>
        <v>1.0439979166242785</v>
      </c>
      <c r="S414">
        <f t="shared" ca="1" si="133"/>
        <v>1.2727204288970762</v>
      </c>
      <c r="T414">
        <f t="shared" ca="1" si="134"/>
        <v>55.999867503048407</v>
      </c>
      <c r="U414">
        <f>70</f>
        <v>70</v>
      </c>
      <c r="V414">
        <f>30</f>
        <v>30</v>
      </c>
      <c r="W414">
        <f t="shared" ca="1" si="132"/>
        <v>292.70168661455597</v>
      </c>
      <c r="X414">
        <f t="shared" ca="1" si="142"/>
        <v>291.35319368102728</v>
      </c>
      <c r="Y414">
        <f t="shared" ca="1" si="141"/>
        <v>1.7167321315932895</v>
      </c>
      <c r="Z414">
        <f t="shared" ca="1" si="122"/>
        <v>1.4801790015740444</v>
      </c>
      <c r="AA414">
        <f t="shared" ca="1" si="123"/>
        <v>0.23655313001924516</v>
      </c>
      <c r="AB414">
        <f t="shared" ca="1" si="124"/>
        <v>269.53829999999999</v>
      </c>
    </row>
    <row r="415" spans="1:28" x14ac:dyDescent="0.25">
      <c r="A415" s="20">
        <f t="shared" ca="1" si="125"/>
        <v>45894</v>
      </c>
      <c r="B415" vm="1232">
        <f ca="1"/>
        <v>45895</v>
      </c>
      <c r="C415" vm="1233">
        <f ca="1"/>
        <v>298.57</v>
      </c>
      <c r="D415" vm="1234">
        <f ca="1"/>
        <v>6714749</v>
      </c>
      <c r="E415">
        <f t="shared" ca="1" si="126"/>
        <v>2004822608.9300001</v>
      </c>
      <c r="F415">
        <f ca="1">SUM($E$2:E415)/SUM($D$2:D415)</f>
        <v>226.97101937007497</v>
      </c>
      <c r="G415">
        <f ca="1">_xlfn.STDEV.P($C$2:C415)</f>
        <v>35.842233893643552</v>
      </c>
      <c r="H415">
        <f t="shared" ca="1" si="127"/>
        <v>262.81325326371854</v>
      </c>
      <c r="I415">
        <f t="shared" ca="1" si="128"/>
        <v>191.1287854764314</v>
      </c>
      <c r="J415">
        <f t="shared" ca="1" si="137"/>
        <v>292.55599999999993</v>
      </c>
      <c r="K415">
        <f t="shared" ca="1" si="138"/>
        <v>3.2979026828066282</v>
      </c>
      <c r="L415">
        <f t="shared" ca="1" si="139"/>
        <v>299.1518053656132</v>
      </c>
      <c r="M415">
        <f t="shared" ca="1" si="140"/>
        <v>285.96019463438665</v>
      </c>
      <c r="N415">
        <f t="shared" ca="1" si="129"/>
        <v>3.6700000000000159</v>
      </c>
      <c r="O415">
        <f t="shared" ca="1" si="130"/>
        <v>3.6700000000000159</v>
      </c>
      <c r="P415">
        <f t="shared" ca="1" si="131"/>
        <v>0</v>
      </c>
      <c r="Q415">
        <f t="shared" ca="1" si="135"/>
        <v>1.4959519421984422</v>
      </c>
      <c r="R415">
        <f t="shared" ca="1" si="136"/>
        <v>0.96942663686540154</v>
      </c>
      <c r="S415">
        <f t="shared" ca="1" si="133"/>
        <v>1.5431306354811305</v>
      </c>
      <c r="T415">
        <f t="shared" ca="1" si="134"/>
        <v>60.678386471845094</v>
      </c>
      <c r="U415">
        <f>70</f>
        <v>70</v>
      </c>
      <c r="V415">
        <f>30</f>
        <v>30</v>
      </c>
      <c r="W415">
        <f t="shared" ca="1" si="132"/>
        <v>293.60450405847041</v>
      </c>
      <c r="X415">
        <f t="shared" ca="1" si="142"/>
        <v>291.88777192687712</v>
      </c>
      <c r="Y415">
        <f t="shared" ca="1" si="141"/>
        <v>2.0423129035061152</v>
      </c>
      <c r="Z415">
        <f t="shared" ca="1" si="122"/>
        <v>1.5926057819604584</v>
      </c>
      <c r="AA415">
        <f t="shared" ca="1" si="123"/>
        <v>0.44970712154565673</v>
      </c>
      <c r="AB415">
        <f t="shared" ca="1" si="124"/>
        <v>270.06580000000002</v>
      </c>
    </row>
    <row r="416" spans="1:28" x14ac:dyDescent="0.25">
      <c r="A416" s="20">
        <f t="shared" ca="1" si="125"/>
        <v>45894</v>
      </c>
      <c r="B416" vm="1235">
        <f ca="1"/>
        <v>45896</v>
      </c>
      <c r="C416" vm="1236">
        <f ca="1"/>
        <v>299.27999999999997</v>
      </c>
      <c r="D416" vm="1237">
        <f ca="1"/>
        <v>6056513</v>
      </c>
      <c r="E416">
        <f t="shared" ca="1" si="126"/>
        <v>1812593210.6399999</v>
      </c>
      <c r="F416">
        <f ca="1">SUM($E$2:E416)/SUM($D$2:D416)</f>
        <v>227.08430466289965</v>
      </c>
      <c r="G416">
        <f ca="1">_xlfn.STDEV.P($C$2:C416)</f>
        <v>35.967926257272708</v>
      </c>
      <c r="H416">
        <f t="shared" ca="1" si="127"/>
        <v>263.05223092017235</v>
      </c>
      <c r="I416">
        <f t="shared" ca="1" si="128"/>
        <v>191.11637840562696</v>
      </c>
      <c r="J416">
        <f t="shared" ca="1" si="137"/>
        <v>292.53849999999994</v>
      </c>
      <c r="K416">
        <f t="shared" ca="1" si="138"/>
        <v>3.2590897582962572</v>
      </c>
      <c r="L416">
        <f t="shared" ca="1" si="139"/>
        <v>299.05667951659245</v>
      </c>
      <c r="M416">
        <f t="shared" ca="1" si="140"/>
        <v>286.02032048340743</v>
      </c>
      <c r="N416">
        <f t="shared" ca="1" si="129"/>
        <v>0.70999999999997954</v>
      </c>
      <c r="O416">
        <f t="shared" ca="1" si="130"/>
        <v>0.70999999999997954</v>
      </c>
      <c r="P416">
        <f t="shared" ca="1" si="131"/>
        <v>0</v>
      </c>
      <c r="Q416">
        <f t="shared" ca="1" si="135"/>
        <v>1.4398125177556949</v>
      </c>
      <c r="R416">
        <f t="shared" ca="1" si="136"/>
        <v>0.90018187708930142</v>
      </c>
      <c r="S416">
        <f t="shared" ca="1" si="133"/>
        <v>1.5994684567648323</v>
      </c>
      <c r="T416">
        <f t="shared" ca="1" si="134"/>
        <v>61.530596865001016</v>
      </c>
      <c r="U416">
        <f>70</f>
        <v>70</v>
      </c>
      <c r="V416">
        <f>30</f>
        <v>30</v>
      </c>
      <c r="W416">
        <f t="shared" ca="1" si="132"/>
        <v>294.47765728024422</v>
      </c>
      <c r="X416">
        <f t="shared" ca="1" si="142"/>
        <v>292.4353443767381</v>
      </c>
      <c r="Y416">
        <f t="shared" ca="1" si="141"/>
        <v>2.416915355534627</v>
      </c>
      <c r="Z416">
        <f t="shared" ca="1" si="122"/>
        <v>1.7574676966752922</v>
      </c>
      <c r="AA416">
        <f t="shared" ca="1" si="123"/>
        <v>0.65944765885933476</v>
      </c>
      <c r="AB416">
        <f t="shared" ca="1" si="124"/>
        <v>270.77170000000001</v>
      </c>
    </row>
    <row r="417" spans="1:28" x14ac:dyDescent="0.25">
      <c r="A417" s="20">
        <f t="shared" ca="1" si="125"/>
        <v>45894</v>
      </c>
      <c r="B417" vm="1238">
        <f ca="1"/>
        <v>45897</v>
      </c>
      <c r="C417" vm="1239">
        <f ca="1"/>
        <v>301.07</v>
      </c>
      <c r="D417" vm="1240">
        <f ca="1"/>
        <v>6410535</v>
      </c>
      <c r="E417">
        <f t="shared" ca="1" si="126"/>
        <v>1930019772.45</v>
      </c>
      <c r="F417">
        <f ca="1">SUM($E$2:E417)/SUM($D$2:D417)</f>
        <v>227.20678915253978</v>
      </c>
      <c r="G417">
        <f ca="1">_xlfn.STDEV.P($C$2:C417)</f>
        <v>36.100305116090055</v>
      </c>
      <c r="H417">
        <f t="shared" ca="1" si="127"/>
        <v>263.30709426862984</v>
      </c>
      <c r="I417">
        <f t="shared" ca="1" si="128"/>
        <v>191.10648403644973</v>
      </c>
      <c r="J417">
        <f t="shared" ca="1" si="137"/>
        <v>292.77999999999986</v>
      </c>
      <c r="K417">
        <f t="shared" ca="1" si="138"/>
        <v>3.6973005800106837</v>
      </c>
      <c r="L417">
        <f t="shared" ca="1" si="139"/>
        <v>300.17460116002121</v>
      </c>
      <c r="M417">
        <f t="shared" ca="1" si="140"/>
        <v>285.38539883997851</v>
      </c>
      <c r="N417">
        <f t="shared" ca="1" si="129"/>
        <v>1.7900000000000205</v>
      </c>
      <c r="O417">
        <f t="shared" ca="1" si="130"/>
        <v>1.7900000000000205</v>
      </c>
      <c r="P417">
        <f t="shared" ca="1" si="131"/>
        <v>0</v>
      </c>
      <c r="Q417">
        <f t="shared" ca="1" si="135"/>
        <v>1.4648259093445752</v>
      </c>
      <c r="R417">
        <f t="shared" ca="1" si="136"/>
        <v>0.8358831715829228</v>
      </c>
      <c r="S417">
        <f t="shared" ca="1" si="133"/>
        <v>1.7524289986250297</v>
      </c>
      <c r="T417">
        <f t="shared" ca="1" si="134"/>
        <v>63.668454281670918</v>
      </c>
      <c r="U417">
        <f>70</f>
        <v>70</v>
      </c>
      <c r="V417">
        <f>30</f>
        <v>30</v>
      </c>
      <c r="W417">
        <f t="shared" ca="1" si="132"/>
        <v>295.49186385251431</v>
      </c>
      <c r="X417">
        <f t="shared" ca="1" si="142"/>
        <v>293.07494849697969</v>
      </c>
      <c r="Y417">
        <f t="shared" ca="1" si="141"/>
        <v>2.7107843381149905</v>
      </c>
      <c r="Z417">
        <f t="shared" ca="1" si="122"/>
        <v>1.948131024963232</v>
      </c>
      <c r="AA417">
        <f t="shared" ca="1" si="123"/>
        <v>0.76265331315175855</v>
      </c>
      <c r="AB417">
        <f t="shared" ca="1" si="124"/>
        <v>271.67960000000005</v>
      </c>
    </row>
    <row r="418" spans="1:28" x14ac:dyDescent="0.25">
      <c r="A418" s="20">
        <f t="shared" ca="1" si="125"/>
        <v>45894</v>
      </c>
      <c r="B418" vm="1241">
        <f ca="1"/>
        <v>45898</v>
      </c>
      <c r="C418" vm="1242">
        <f ca="1"/>
        <v>301.42</v>
      </c>
      <c r="D418" vm="1243">
        <f ca="1"/>
        <v>6796380</v>
      </c>
      <c r="E418">
        <f t="shared" ca="1" si="126"/>
        <v>2048564859.6000001</v>
      </c>
      <c r="F418">
        <f ca="1">SUM($E$2:E418)/SUM($D$2:D418)</f>
        <v>227.33681699259557</v>
      </c>
      <c r="G418">
        <f ca="1">_xlfn.STDEV.P($C$2:C418)</f>
        <v>36.232412086472607</v>
      </c>
      <c r="H418">
        <f t="shared" ca="1" si="127"/>
        <v>263.56922907906818</v>
      </c>
      <c r="I418">
        <f t="shared" ca="1" si="128"/>
        <v>191.10440490612297</v>
      </c>
      <c r="J418">
        <f t="shared" ca="1" si="137"/>
        <v>293.38249999999988</v>
      </c>
      <c r="K418">
        <f t="shared" ca="1" si="138"/>
        <v>4.0749037767134659</v>
      </c>
      <c r="L418">
        <f t="shared" ca="1" si="139"/>
        <v>301.53230755342679</v>
      </c>
      <c r="M418">
        <f t="shared" ca="1" si="140"/>
        <v>285.23269244657297</v>
      </c>
      <c r="N418">
        <f t="shared" ca="1" si="129"/>
        <v>0.35000000000002274</v>
      </c>
      <c r="O418">
        <f t="shared" ca="1" si="130"/>
        <v>0.35000000000002274</v>
      </c>
      <c r="P418">
        <f t="shared" ca="1" si="131"/>
        <v>0</v>
      </c>
      <c r="Q418">
        <f t="shared" ca="1" si="135"/>
        <v>1.3851954872485359</v>
      </c>
      <c r="R418">
        <f t="shared" ca="1" si="136"/>
        <v>0.7761772307555711</v>
      </c>
      <c r="S418">
        <f t="shared" ca="1" si="133"/>
        <v>1.7846381372204321</v>
      </c>
      <c r="T418">
        <f t="shared" ca="1" si="134"/>
        <v>64.088691215075471</v>
      </c>
      <c r="U418">
        <f>70</f>
        <v>70</v>
      </c>
      <c r="V418">
        <f>30</f>
        <v>30</v>
      </c>
      <c r="W418">
        <f t="shared" ca="1" si="132"/>
        <v>296.40388479828135</v>
      </c>
      <c r="X418">
        <f t="shared" ca="1" si="142"/>
        <v>293.69310046016636</v>
      </c>
      <c r="Y418">
        <f t="shared" ca="1" si="141"/>
        <v>2.7729234630641031</v>
      </c>
      <c r="Z418">
        <f t="shared" ca="1" si="122"/>
        <v>2.1130895125834064</v>
      </c>
      <c r="AA418">
        <f t="shared" ca="1" si="123"/>
        <v>0.65983395048069671</v>
      </c>
      <c r="AB418">
        <f t="shared" ca="1" si="124"/>
        <v>272.54939999999999</v>
      </c>
    </row>
    <row r="419" spans="1:28" x14ac:dyDescent="0.25">
      <c r="A419" s="20">
        <f t="shared" ca="1" si="125"/>
        <v>45901</v>
      </c>
      <c r="B419" vm="1244">
        <f ca="1"/>
        <v>45902</v>
      </c>
      <c r="C419" vm="1245">
        <f ca="1"/>
        <v>299.7</v>
      </c>
      <c r="D419" vm="1246">
        <f ca="1"/>
        <v>7221855</v>
      </c>
      <c r="E419">
        <f t="shared" ca="1" si="126"/>
        <v>2164389943.5</v>
      </c>
      <c r="F419">
        <f ca="1">SUM($E$2:E419)/SUM($D$2:D419)</f>
        <v>227.47129030242692</v>
      </c>
      <c r="G419">
        <f ca="1">_xlfn.STDEV.P($C$2:C419)</f>
        <v>36.354475016254966</v>
      </c>
      <c r="H419">
        <f t="shared" ca="1" si="127"/>
        <v>263.82576531868187</v>
      </c>
      <c r="I419">
        <f t="shared" ca="1" si="128"/>
        <v>191.11681528617197</v>
      </c>
      <c r="J419">
        <f t="shared" ca="1" si="137"/>
        <v>293.65449999999993</v>
      </c>
      <c r="K419">
        <f t="shared" ca="1" si="138"/>
        <v>4.3112648955961843</v>
      </c>
      <c r="L419">
        <f t="shared" ca="1" si="139"/>
        <v>302.27702979119232</v>
      </c>
      <c r="M419">
        <f t="shared" ca="1" si="140"/>
        <v>285.03197020880754</v>
      </c>
      <c r="N419">
        <f t="shared" ca="1" si="129"/>
        <v>-1.7200000000000273</v>
      </c>
      <c r="O419">
        <f t="shared" ca="1" si="130"/>
        <v>0</v>
      </c>
      <c r="P419">
        <f t="shared" ca="1" si="131"/>
        <v>1.7200000000000273</v>
      </c>
      <c r="Q419">
        <f t="shared" ca="1" si="135"/>
        <v>1.2862529524450692</v>
      </c>
      <c r="R419">
        <f t="shared" ca="1" si="136"/>
        <v>0.84359314284446085</v>
      </c>
      <c r="S419">
        <f t="shared" ca="1" si="133"/>
        <v>1.5247313984891229</v>
      </c>
      <c r="T419">
        <f t="shared" ca="1" si="134"/>
        <v>60.391826211753418</v>
      </c>
      <c r="U419">
        <f>70</f>
        <v>70</v>
      </c>
      <c r="V419">
        <f>30</f>
        <v>30</v>
      </c>
      <c r="W419">
        <f t="shared" ca="1" si="132"/>
        <v>296.91097944469959</v>
      </c>
      <c r="X419">
        <f t="shared" ca="1" si="142"/>
        <v>294.13805598163549</v>
      </c>
      <c r="Y419">
        <f t="shared" ca="1" si="141"/>
        <v>2.7748510001260343</v>
      </c>
      <c r="Z419">
        <f t="shared" ca="1" si="122"/>
        <v>2.2454418100919322</v>
      </c>
      <c r="AA419">
        <f t="shared" ca="1" si="123"/>
        <v>0.52940919003410203</v>
      </c>
      <c r="AB419">
        <f t="shared" ca="1" si="124"/>
        <v>273.3777</v>
      </c>
    </row>
    <row r="420" spans="1:28" x14ac:dyDescent="0.25">
      <c r="A420" s="20">
        <f t="shared" ca="1" si="125"/>
        <v>45901</v>
      </c>
      <c r="B420" vm="1247">
        <f ca="1"/>
        <v>45903</v>
      </c>
      <c r="C420" vm="1248">
        <f ca="1"/>
        <v>299.51</v>
      </c>
      <c r="D420" vm="1249">
        <f ca="1"/>
        <v>6316911</v>
      </c>
      <c r="E420">
        <f t="shared" ca="1" si="126"/>
        <v>1891978013.6099999</v>
      </c>
      <c r="F420">
        <f ca="1">SUM($E$2:E420)/SUM($D$2:D420)</f>
        <v>227.58819581748446</v>
      </c>
      <c r="G420">
        <f ca="1">_xlfn.STDEV.P($C$2:C420)</f>
        <v>36.473890191542992</v>
      </c>
      <c r="H420">
        <f t="shared" ca="1" si="127"/>
        <v>264.06208600902744</v>
      </c>
      <c r="I420">
        <f t="shared" ca="1" si="128"/>
        <v>191.11430562594148</v>
      </c>
      <c r="J420">
        <f t="shared" ca="1" si="137"/>
        <v>294.06149999999997</v>
      </c>
      <c r="K420">
        <f t="shared" ca="1" si="138"/>
        <v>4.4657059028250261</v>
      </c>
      <c r="L420">
        <f t="shared" ca="1" si="139"/>
        <v>302.99291180565001</v>
      </c>
      <c r="M420">
        <f t="shared" ca="1" si="140"/>
        <v>285.13008819434992</v>
      </c>
      <c r="N420">
        <f t="shared" ca="1" si="129"/>
        <v>-0.18999999999999773</v>
      </c>
      <c r="O420">
        <f t="shared" ca="1" si="130"/>
        <v>0</v>
      </c>
      <c r="P420">
        <f t="shared" ca="1" si="131"/>
        <v>0.18999999999999773</v>
      </c>
      <c r="Q420">
        <f t="shared" ca="1" si="135"/>
        <v>1.1943777415561356</v>
      </c>
      <c r="R420">
        <f t="shared" ca="1" si="136"/>
        <v>0.79690791835557062</v>
      </c>
      <c r="S420">
        <f t="shared" ca="1" si="133"/>
        <v>1.498765056847156</v>
      </c>
      <c r="T420">
        <f t="shared" ca="1" si="134"/>
        <v>59.980231144189247</v>
      </c>
      <c r="U420">
        <f>70</f>
        <v>70</v>
      </c>
      <c r="V420">
        <f>30</f>
        <v>30</v>
      </c>
      <c r="W420">
        <f t="shared" ca="1" si="132"/>
        <v>297.31082876089965</v>
      </c>
      <c r="X420">
        <f t="shared" ca="1" si="142"/>
        <v>294.53597776077362</v>
      </c>
      <c r="Y420">
        <f t="shared" ca="1" si="141"/>
        <v>3.0885566089337999</v>
      </c>
      <c r="Z420">
        <f t="shared" ca="1" si="122"/>
        <v>2.4140647698603059</v>
      </c>
      <c r="AA420">
        <f t="shared" ca="1" si="123"/>
        <v>0.67449183907349397</v>
      </c>
      <c r="AB420">
        <f t="shared" ca="1" si="124"/>
        <v>274.02940000000001</v>
      </c>
    </row>
    <row r="421" spans="1:28" x14ac:dyDescent="0.25">
      <c r="A421" s="20">
        <f t="shared" ca="1" si="125"/>
        <v>45901</v>
      </c>
      <c r="B421" vm="1250">
        <f ca="1"/>
        <v>45904</v>
      </c>
      <c r="C421" vm="1251">
        <f ca="1"/>
        <v>303.82</v>
      </c>
      <c r="D421" vm="1252">
        <f ca="1"/>
        <v>6605797</v>
      </c>
      <c r="E421">
        <f t="shared" ca="1" si="126"/>
        <v>2006973244.54</v>
      </c>
      <c r="F421">
        <f ca="1">SUM($E$2:E421)/SUM($D$2:D421)</f>
        <v>227.71734431312231</v>
      </c>
      <c r="G421">
        <f ca="1">_xlfn.STDEV.P($C$2:C421)</f>
        <v>36.611869324878114</v>
      </c>
      <c r="H421">
        <f t="shared" ca="1" si="127"/>
        <v>264.3292136380004</v>
      </c>
      <c r="I421">
        <f t="shared" ca="1" si="128"/>
        <v>191.1054749882442</v>
      </c>
      <c r="J421">
        <f t="shared" ca="1" si="137"/>
        <v>294.685</v>
      </c>
      <c r="K421">
        <f t="shared" ca="1" si="138"/>
        <v>4.9151168535661993</v>
      </c>
      <c r="L421">
        <f t="shared" ca="1" si="139"/>
        <v>304.51523370713238</v>
      </c>
      <c r="M421">
        <f t="shared" ca="1" si="140"/>
        <v>284.85476629286762</v>
      </c>
      <c r="N421">
        <f t="shared" ca="1" si="129"/>
        <v>4.3100000000000023</v>
      </c>
      <c r="O421">
        <f t="shared" ca="1" si="130"/>
        <v>4.3100000000000023</v>
      </c>
      <c r="P421">
        <f t="shared" ca="1" si="131"/>
        <v>0</v>
      </c>
      <c r="Q421">
        <f t="shared" ca="1" si="135"/>
        <v>1.4169221885878405</v>
      </c>
      <c r="R421">
        <f t="shared" ca="1" si="136"/>
        <v>0.73998592418731557</v>
      </c>
      <c r="S421">
        <f t="shared" ca="1" si="133"/>
        <v>1.9147961363507899</v>
      </c>
      <c r="T421">
        <f t="shared" ca="1" si="134"/>
        <v>65.69228332887937</v>
      </c>
      <c r="U421">
        <f>70</f>
        <v>70</v>
      </c>
      <c r="V421">
        <f>30</f>
        <v>30</v>
      </c>
      <c r="W421">
        <f t="shared" ca="1" si="132"/>
        <v>298.31223972076123</v>
      </c>
      <c r="X421">
        <f t="shared" ca="1" si="142"/>
        <v>295.22368311182743</v>
      </c>
      <c r="Y421">
        <f t="shared" ca="1" si="141"/>
        <v>2.5460916972141376</v>
      </c>
      <c r="Z421">
        <f t="shared" ca="1" si="122"/>
        <v>2.4404701553310724</v>
      </c>
      <c r="AA421">
        <f t="shared" ca="1" si="123"/>
        <v>0.10562154188306527</v>
      </c>
      <c r="AB421">
        <f t="shared" ca="1" si="124"/>
        <v>274.79649999999992</v>
      </c>
    </row>
    <row r="422" spans="1:28" x14ac:dyDescent="0.25">
      <c r="A422" s="20">
        <f t="shared" ca="1" si="125"/>
        <v>45901</v>
      </c>
      <c r="B422" vm="1253">
        <f ca="1"/>
        <v>45905</v>
      </c>
      <c r="C422" vm="1254">
        <f ca="1"/>
        <v>294.38</v>
      </c>
      <c r="D422" vm="1255">
        <f ca="1"/>
        <v>9837709</v>
      </c>
      <c r="E422">
        <f t="shared" ca="1" si="126"/>
        <v>2896024775.4200001</v>
      </c>
      <c r="F422">
        <f ca="1">SUM($E$2:E422)/SUM($D$2:D422)</f>
        <v>227.88511271057627</v>
      </c>
      <c r="G422">
        <f ca="1">_xlfn.STDEV.P($C$2:C422)</f>
        <v>36.705313030807822</v>
      </c>
      <c r="H422">
        <f t="shared" ca="1" si="127"/>
        <v>264.59042574138408</v>
      </c>
      <c r="I422">
        <f t="shared" ca="1" si="128"/>
        <v>191.17979967976845</v>
      </c>
      <c r="J422">
        <f t="shared" ca="1" si="137"/>
        <v>295.05699999999996</v>
      </c>
      <c r="K422">
        <f t="shared" ca="1" si="138"/>
        <v>4.5673291746351774</v>
      </c>
      <c r="L422">
        <f t="shared" ca="1" si="139"/>
        <v>304.19165834927031</v>
      </c>
      <c r="M422">
        <f t="shared" ca="1" si="140"/>
        <v>285.92234165072961</v>
      </c>
      <c r="N422">
        <f t="shared" ca="1" si="129"/>
        <v>-9.4399999999999977</v>
      </c>
      <c r="O422">
        <f t="shared" ca="1" si="130"/>
        <v>0</v>
      </c>
      <c r="P422">
        <f t="shared" ca="1" si="131"/>
        <v>9.4399999999999977</v>
      </c>
      <c r="Q422">
        <f t="shared" ca="1" si="135"/>
        <v>1.3157134608315662</v>
      </c>
      <c r="R422">
        <f t="shared" ca="1" si="136"/>
        <v>1.3614155010310787</v>
      </c>
      <c r="S422">
        <f t="shared" ca="1" si="133"/>
        <v>0.96643049813602111</v>
      </c>
      <c r="T422">
        <f t="shared" ca="1" si="134"/>
        <v>49.146435587329442</v>
      </c>
      <c r="U422">
        <f>70</f>
        <v>70</v>
      </c>
      <c r="V422">
        <f>30</f>
        <v>30</v>
      </c>
      <c r="W422">
        <f t="shared" ca="1" si="132"/>
        <v>297.70727976372103</v>
      </c>
      <c r="X422">
        <f t="shared" ca="1" si="142"/>
        <v>295.1611880665069</v>
      </c>
      <c r="Y422">
        <f t="shared" ca="1" si="141"/>
        <v>1.9748033282347706</v>
      </c>
      <c r="Z422">
        <f t="shared" ref="Z422:Z485" ca="1" si="143">Y422*(2/(9+1)) + Z421*(1-(2/(9+1)))</f>
        <v>2.3473367899118123</v>
      </c>
      <c r="AA422">
        <f t="shared" ref="AA422:AA485" ca="1" si="144">Y422-Z422</f>
        <v>-0.37253346167704171</v>
      </c>
      <c r="AB422">
        <f t="shared" ref="AB422:AB485" ca="1" si="145">AVERAGE(C323:C422)</f>
        <v>275.37829999999997</v>
      </c>
    </row>
    <row r="423" spans="1:28" x14ac:dyDescent="0.25">
      <c r="A423" s="20">
        <f t="shared" ca="1" si="125"/>
        <v>45908</v>
      </c>
      <c r="B423" vm="1256">
        <f ca="1"/>
        <v>45908</v>
      </c>
      <c r="C423" vm="1257">
        <f ca="1"/>
        <v>292.91000000000003</v>
      </c>
      <c r="D423" vm="1258">
        <f ca="1"/>
        <v>8188506</v>
      </c>
      <c r="E423">
        <f t="shared" ca="1" si="126"/>
        <v>2398495292.46</v>
      </c>
      <c r="F423">
        <f ca="1">SUM($E$2:E423)/SUM($D$2:D423)</f>
        <v>228.02104075016516</v>
      </c>
      <c r="G423">
        <f ca="1">_xlfn.STDEV.P($C$2:C423)</f>
        <v>36.791371386437774</v>
      </c>
      <c r="H423">
        <f t="shared" ca="1" si="127"/>
        <v>264.81241213660292</v>
      </c>
      <c r="I423">
        <f t="shared" ca="1" si="128"/>
        <v>191.2296693637274</v>
      </c>
      <c r="J423">
        <f t="shared" ca="1" si="137"/>
        <v>295.2645</v>
      </c>
      <c r="K423">
        <f t="shared" ca="1" si="138"/>
        <v>4.3555511766746049</v>
      </c>
      <c r="L423">
        <f t="shared" ca="1" si="139"/>
        <v>303.97560235334919</v>
      </c>
      <c r="M423">
        <f t="shared" ca="1" si="140"/>
        <v>286.55339764665081</v>
      </c>
      <c r="N423">
        <f t="shared" ca="1" si="129"/>
        <v>-1.4699999999999704</v>
      </c>
      <c r="O423">
        <f t="shared" ca="1" si="130"/>
        <v>0</v>
      </c>
      <c r="P423">
        <f t="shared" ca="1" si="131"/>
        <v>1.4699999999999704</v>
      </c>
      <c r="Q423">
        <f t="shared" ca="1" si="135"/>
        <v>1.2217339279150257</v>
      </c>
      <c r="R423">
        <f t="shared" ca="1" si="136"/>
        <v>1.3691715366717137</v>
      </c>
      <c r="S423">
        <f t="shared" ca="1" si="133"/>
        <v>0.89231618916422217</v>
      </c>
      <c r="T423">
        <f t="shared" ca="1" si="134"/>
        <v>47.15470883110347</v>
      </c>
      <c r="U423">
        <f>70</f>
        <v>70</v>
      </c>
      <c r="V423">
        <f>30</f>
        <v>30</v>
      </c>
      <c r="W423">
        <f t="shared" ca="1" si="132"/>
        <v>296.96923672314858</v>
      </c>
      <c r="X423">
        <f t="shared" ca="1" si="142"/>
        <v>294.99443339491381</v>
      </c>
      <c r="Y423">
        <f t="shared" ca="1" si="141"/>
        <v>1.8987819185986723</v>
      </c>
      <c r="Z423">
        <f t="shared" ca="1" si="143"/>
        <v>2.2576258156491846</v>
      </c>
      <c r="AA423">
        <f t="shared" ca="1" si="144"/>
        <v>-0.35884389705051234</v>
      </c>
      <c r="AB423">
        <f t="shared" ca="1" si="145"/>
        <v>275.96019999999999</v>
      </c>
    </row>
    <row r="424" spans="1:28" x14ac:dyDescent="0.25">
      <c r="A424" s="20">
        <f t="shared" ca="1" si="125"/>
        <v>45908</v>
      </c>
      <c r="B424" vm="1259">
        <f ca="1"/>
        <v>45909</v>
      </c>
      <c r="C424" vm="1260">
        <f ca="1"/>
        <v>297.85000000000002</v>
      </c>
      <c r="D424" vm="1261">
        <f ca="1"/>
        <v>7848196</v>
      </c>
      <c r="E424">
        <f t="shared" ca="1" si="126"/>
        <v>2337585178.6000004</v>
      </c>
      <c r="F424">
        <f ca="1">SUM($E$2:E424)/SUM($D$2:D424)</f>
        <v>228.16066502624577</v>
      </c>
      <c r="G424">
        <f ca="1">_xlfn.STDEV.P($C$2:C424)</f>
        <v>36.896988680014928</v>
      </c>
      <c r="H424">
        <f t="shared" ca="1" si="127"/>
        <v>265.05765370626068</v>
      </c>
      <c r="I424">
        <f t="shared" ca="1" si="128"/>
        <v>191.26367634623085</v>
      </c>
      <c r="J424">
        <f t="shared" ca="1" si="137"/>
        <v>295.67899999999997</v>
      </c>
      <c r="K424">
        <f t="shared" ca="1" si="138"/>
        <v>4.1748178655512964</v>
      </c>
      <c r="L424">
        <f t="shared" ca="1" si="139"/>
        <v>304.02863573110255</v>
      </c>
      <c r="M424">
        <f t="shared" ca="1" si="140"/>
        <v>287.32936426889739</v>
      </c>
      <c r="N424">
        <f t="shared" ca="1" si="129"/>
        <v>4.9399999999999977</v>
      </c>
      <c r="O424">
        <f t="shared" ca="1" si="130"/>
        <v>4.9399999999999977</v>
      </c>
      <c r="P424">
        <f t="shared" ca="1" si="131"/>
        <v>0</v>
      </c>
      <c r="Q424">
        <f t="shared" ca="1" si="135"/>
        <v>1.4873243616353808</v>
      </c>
      <c r="R424">
        <f t="shared" ca="1" si="136"/>
        <v>1.2713735697665913</v>
      </c>
      <c r="S424">
        <f t="shared" ca="1" si="133"/>
        <v>1.1698562853626377</v>
      </c>
      <c r="T424">
        <f t="shared" ca="1" si="134"/>
        <v>53.913998510142122</v>
      </c>
      <c r="U424">
        <f>70</f>
        <v>70</v>
      </c>
      <c r="V424">
        <f>30</f>
        <v>30</v>
      </c>
      <c r="W424">
        <f t="shared" ca="1" si="132"/>
        <v>297.1047387657411</v>
      </c>
      <c r="X424">
        <f t="shared" ca="1" si="142"/>
        <v>295.20595684714243</v>
      </c>
      <c r="Y424">
        <f t="shared" ca="1" si="141"/>
        <v>2.0321693393270834</v>
      </c>
      <c r="Z424">
        <f t="shared" ca="1" si="143"/>
        <v>2.2125345203847644</v>
      </c>
      <c r="AA424">
        <f t="shared" ca="1" si="144"/>
        <v>-0.18036518105768096</v>
      </c>
      <c r="AB424">
        <f t="shared" ca="1" si="145"/>
        <v>276.60739999999998</v>
      </c>
    </row>
    <row r="425" spans="1:28" x14ac:dyDescent="0.25">
      <c r="A425" s="20">
        <f t="shared" ca="1" si="125"/>
        <v>45908</v>
      </c>
      <c r="B425" vm="1262">
        <f ca="1"/>
        <v>45910</v>
      </c>
      <c r="C425" vm="1263">
        <f ca="1"/>
        <v>300.54000000000002</v>
      </c>
      <c r="D425" vm="1264">
        <f ca="1"/>
        <v>7787303</v>
      </c>
      <c r="E425">
        <f t="shared" ca="1" si="126"/>
        <v>2340396043.6200004</v>
      </c>
      <c r="F425">
        <f ca="1">SUM($E$2:E425)/SUM($D$2:D425)</f>
        <v>228.30398159366993</v>
      </c>
      <c r="G425">
        <f ca="1">_xlfn.STDEV.P($C$2:C425)</f>
        <v>37.012983719995013</v>
      </c>
      <c r="H425">
        <f t="shared" ca="1" si="127"/>
        <v>265.31696531366492</v>
      </c>
      <c r="I425">
        <f t="shared" ca="1" si="128"/>
        <v>191.29099787367491</v>
      </c>
      <c r="J425">
        <f t="shared" ca="1" si="137"/>
        <v>296.06350000000009</v>
      </c>
      <c r="K425">
        <f t="shared" ca="1" si="138"/>
        <v>4.2539285558051763</v>
      </c>
      <c r="L425">
        <f t="shared" ca="1" si="139"/>
        <v>304.57135711161044</v>
      </c>
      <c r="M425">
        <f t="shared" ca="1" si="140"/>
        <v>287.55564288838974</v>
      </c>
      <c r="N425">
        <f t="shared" ca="1" si="129"/>
        <v>2.6899999999999977</v>
      </c>
      <c r="O425">
        <f t="shared" ca="1" si="130"/>
        <v>2.6899999999999977</v>
      </c>
      <c r="P425">
        <f t="shared" ca="1" si="131"/>
        <v>0</v>
      </c>
      <c r="Q425">
        <f t="shared" ca="1" si="135"/>
        <v>1.5732297643757107</v>
      </c>
      <c r="R425">
        <f t="shared" ca="1" si="136"/>
        <v>1.1805611719261204</v>
      </c>
      <c r="S425">
        <f t="shared" ca="1" si="133"/>
        <v>1.3326118135911076</v>
      </c>
      <c r="T425">
        <f t="shared" ca="1" si="134"/>
        <v>57.129600640216346</v>
      </c>
      <c r="U425">
        <f>70</f>
        <v>70</v>
      </c>
      <c r="V425">
        <f>30</f>
        <v>30</v>
      </c>
      <c r="W425">
        <f t="shared" ca="1" si="132"/>
        <v>297.63324049408862</v>
      </c>
      <c r="X425">
        <f t="shared" ca="1" si="142"/>
        <v>295.60107115476154</v>
      </c>
      <c r="Y425">
        <f t="shared" ca="1" si="141"/>
        <v>2.5139723687943842</v>
      </c>
      <c r="Z425">
        <f t="shared" ca="1" si="143"/>
        <v>2.2728220900666884</v>
      </c>
      <c r="AA425">
        <f t="shared" ca="1" si="144"/>
        <v>0.24115027872769579</v>
      </c>
      <c r="AB425">
        <f t="shared" ca="1" si="145"/>
        <v>277.31669999999997</v>
      </c>
    </row>
    <row r="426" spans="1:28" x14ac:dyDescent="0.25">
      <c r="A426" s="20">
        <f t="shared" ca="1" si="125"/>
        <v>45908</v>
      </c>
      <c r="B426" vm="1265">
        <f ca="1"/>
        <v>45911</v>
      </c>
      <c r="C426" vm="1266">
        <f ca="1"/>
        <v>305.56</v>
      </c>
      <c r="D426" vm="1267">
        <f ca="1"/>
        <v>7942489</v>
      </c>
      <c r="E426">
        <f t="shared" ca="1" si="126"/>
        <v>2426906938.8400002</v>
      </c>
      <c r="F426">
        <f ca="1">SUM($E$2:E426)/SUM($D$2:D426)</f>
        <v>228.45968836220305</v>
      </c>
      <c r="G426">
        <f ca="1">_xlfn.STDEV.P($C$2:C426)</f>
        <v>37.15052603284397</v>
      </c>
      <c r="H426">
        <f t="shared" ca="1" si="127"/>
        <v>265.61021439504702</v>
      </c>
      <c r="I426">
        <f t="shared" ca="1" si="128"/>
        <v>191.30916232935908</v>
      </c>
      <c r="J426">
        <f t="shared" ca="1" si="137"/>
        <v>296.815</v>
      </c>
      <c r="K426">
        <f t="shared" ca="1" si="138"/>
        <v>4.5427275599809516</v>
      </c>
      <c r="L426">
        <f t="shared" ca="1" si="139"/>
        <v>305.90045511996192</v>
      </c>
      <c r="M426">
        <f t="shared" ca="1" si="140"/>
        <v>287.72954488003808</v>
      </c>
      <c r="N426">
        <f t="shared" ca="1" si="129"/>
        <v>5.0199999999999818</v>
      </c>
      <c r="O426">
        <f t="shared" ca="1" si="130"/>
        <v>5.0199999999999818</v>
      </c>
      <c r="P426">
        <f t="shared" ca="1" si="131"/>
        <v>0</v>
      </c>
      <c r="Q426">
        <f t="shared" ca="1" si="135"/>
        <v>1.819427638348873</v>
      </c>
      <c r="R426">
        <f t="shared" ca="1" si="136"/>
        <v>1.0962353739313975</v>
      </c>
      <c r="S426">
        <f t="shared" ca="1" si="133"/>
        <v>1.6597052801023122</v>
      </c>
      <c r="T426">
        <f t="shared" ca="1" si="134"/>
        <v>62.40184927701717</v>
      </c>
      <c r="U426">
        <f>70</f>
        <v>70</v>
      </c>
      <c r="V426">
        <f>30</f>
        <v>30</v>
      </c>
      <c r="W426">
        <f t="shared" ca="1" si="132"/>
        <v>298.85274195653653</v>
      </c>
      <c r="X426">
        <f t="shared" ca="1" si="142"/>
        <v>296.33876958774215</v>
      </c>
      <c r="Y426">
        <f t="shared" ca="1" si="141"/>
        <v>2.9704964247154635</v>
      </c>
      <c r="Z426">
        <f t="shared" ca="1" si="143"/>
        <v>2.4123569569964434</v>
      </c>
      <c r="AA426">
        <f t="shared" ca="1" si="144"/>
        <v>0.55813946771902012</v>
      </c>
      <c r="AB426">
        <f t="shared" ca="1" si="145"/>
        <v>278.05269999999996</v>
      </c>
    </row>
    <row r="427" spans="1:28" x14ac:dyDescent="0.25">
      <c r="A427" s="20">
        <f t="shared" ca="1" si="125"/>
        <v>45908</v>
      </c>
      <c r="B427" vm="1268">
        <f ca="1"/>
        <v>45912</v>
      </c>
      <c r="C427" vm="1269">
        <f ca="1"/>
        <v>306.91000000000003</v>
      </c>
      <c r="D427" vm="1270">
        <f ca="1"/>
        <v>6846674</v>
      </c>
      <c r="E427">
        <f t="shared" ca="1" si="126"/>
        <v>2101312717.3400002</v>
      </c>
      <c r="F427">
        <f ca="1">SUM($E$2:E427)/SUM($D$2:D427)</f>
        <v>228.59575103091177</v>
      </c>
      <c r="G427">
        <f ca="1">_xlfn.STDEV.P($C$2:C427)</f>
        <v>37.292529428179044</v>
      </c>
      <c r="H427">
        <f t="shared" ca="1" si="127"/>
        <v>265.88828045909082</v>
      </c>
      <c r="I427">
        <f t="shared" ca="1" si="128"/>
        <v>191.30322160273272</v>
      </c>
      <c r="J427">
        <f t="shared" ca="1" si="137"/>
        <v>297.45249999999999</v>
      </c>
      <c r="K427">
        <f t="shared" ca="1" si="138"/>
        <v>5.0200805980109831</v>
      </c>
      <c r="L427">
        <f t="shared" ca="1" si="139"/>
        <v>307.49266119602197</v>
      </c>
      <c r="M427">
        <f t="shared" ca="1" si="140"/>
        <v>287.412338803978</v>
      </c>
      <c r="N427">
        <f t="shared" ca="1" si="129"/>
        <v>1.3500000000000227</v>
      </c>
      <c r="O427">
        <f t="shared" ca="1" si="130"/>
        <v>1.3500000000000227</v>
      </c>
      <c r="P427">
        <f t="shared" ca="1" si="131"/>
        <v>0</v>
      </c>
      <c r="Q427">
        <f t="shared" ca="1" si="135"/>
        <v>1.7858970927525264</v>
      </c>
      <c r="R427">
        <f t="shared" ca="1" si="136"/>
        <v>1.0179328472220119</v>
      </c>
      <c r="S427">
        <f t="shared" ca="1" si="133"/>
        <v>1.754435076563573</v>
      </c>
      <c r="T427">
        <f t="shared" ca="1" si="134"/>
        <v>63.694914848107523</v>
      </c>
      <c r="U427">
        <f>70</f>
        <v>70</v>
      </c>
      <c r="V427">
        <f>30</f>
        <v>30</v>
      </c>
      <c r="W427">
        <f t="shared" ca="1" si="132"/>
        <v>300.09232011706933</v>
      </c>
      <c r="X427">
        <f t="shared" ca="1" si="142"/>
        <v>297.12182369235387</v>
      </c>
      <c r="Y427">
        <f t="shared" ca="1" si="141"/>
        <v>3.4530665947423245</v>
      </c>
      <c r="Z427">
        <f t="shared" ca="1" si="143"/>
        <v>2.6204988845456194</v>
      </c>
      <c r="AA427">
        <f t="shared" ca="1" si="144"/>
        <v>0.83256771019670506</v>
      </c>
      <c r="AB427">
        <f t="shared" ca="1" si="145"/>
        <v>278.83189999999996</v>
      </c>
    </row>
    <row r="428" spans="1:28" x14ac:dyDescent="0.25">
      <c r="A428" s="20">
        <f t="shared" ca="1" si="125"/>
        <v>45915</v>
      </c>
      <c r="B428" vm="1271">
        <f ca="1"/>
        <v>45915</v>
      </c>
      <c r="C428" vm="1272">
        <f ca="1"/>
        <v>308.89999999999998</v>
      </c>
      <c r="D428" vm="1273">
        <f ca="1"/>
        <v>7122015</v>
      </c>
      <c r="E428">
        <f t="shared" ca="1" si="126"/>
        <v>2199990433.5</v>
      </c>
      <c r="F428">
        <f ca="1">SUM($E$2:E428)/SUM($D$2:D428)</f>
        <v>228.74036933142875</v>
      </c>
      <c r="G428">
        <f ca="1">_xlfn.STDEV.P($C$2:C428)</f>
        <v>37.442109343855904</v>
      </c>
      <c r="H428">
        <f t="shared" ca="1" si="127"/>
        <v>266.18247867528464</v>
      </c>
      <c r="I428">
        <f t="shared" ca="1" si="128"/>
        <v>191.29825998757286</v>
      </c>
      <c r="J428">
        <f t="shared" ca="1" si="137"/>
        <v>298.37299999999999</v>
      </c>
      <c r="K428">
        <f t="shared" ca="1" si="138"/>
        <v>5.35303858619225</v>
      </c>
      <c r="L428">
        <f t="shared" ca="1" si="139"/>
        <v>309.07907717238447</v>
      </c>
      <c r="M428">
        <f t="shared" ca="1" si="140"/>
        <v>287.66692282761551</v>
      </c>
      <c r="N428">
        <f t="shared" ca="1" si="129"/>
        <v>1.9899999999999523</v>
      </c>
      <c r="O428">
        <f t="shared" ca="1" si="130"/>
        <v>1.9899999999999523</v>
      </c>
      <c r="P428">
        <f t="shared" ca="1" si="131"/>
        <v>0</v>
      </c>
      <c r="Q428">
        <f t="shared" ca="1" si="135"/>
        <v>1.8004758718416283</v>
      </c>
      <c r="R428">
        <f t="shared" ca="1" si="136"/>
        <v>0.94522335813472547</v>
      </c>
      <c r="S428">
        <f t="shared" ca="1" si="133"/>
        <v>1.9048152548775685</v>
      </c>
      <c r="T428">
        <f t="shared" ca="1" si="134"/>
        <v>65.574402767237331</v>
      </c>
      <c r="U428">
        <f>70</f>
        <v>70</v>
      </c>
      <c r="V428">
        <f>30</f>
        <v>30</v>
      </c>
      <c r="W428">
        <f t="shared" ca="1" si="132"/>
        <v>301.44734779136633</v>
      </c>
      <c r="X428">
        <f t="shared" ca="1" si="142"/>
        <v>297.994281196624</v>
      </c>
      <c r="Y428">
        <f t="shared" ca="1" si="141"/>
        <v>3.8149313536551972</v>
      </c>
      <c r="Z428">
        <f t="shared" ca="1" si="143"/>
        <v>2.8593853783675351</v>
      </c>
      <c r="AA428">
        <f t="shared" ca="1" si="144"/>
        <v>0.95554597528766205</v>
      </c>
      <c r="AB428">
        <f t="shared" ca="1" si="145"/>
        <v>279.56499999999994</v>
      </c>
    </row>
    <row r="429" spans="1:28" x14ac:dyDescent="0.25">
      <c r="A429" s="20">
        <f t="shared" ca="1" si="125"/>
        <v>45915</v>
      </c>
      <c r="B429" vm="1274">
        <f ca="1"/>
        <v>45916</v>
      </c>
      <c r="C429" vm="1275">
        <f ca="1"/>
        <v>309.19</v>
      </c>
      <c r="D429" vm="1276">
        <f ca="1"/>
        <v>10525594</v>
      </c>
      <c r="E429">
        <f t="shared" ca="1" si="126"/>
        <v>3254408408.8600001</v>
      </c>
      <c r="F429">
        <f ca="1">SUM($E$2:E429)/SUM($D$2:D429)</f>
        <v>228.95391863969499</v>
      </c>
      <c r="G429">
        <f ca="1">_xlfn.STDEV.P($C$2:C429)</f>
        <v>37.590916904901896</v>
      </c>
      <c r="H429">
        <f t="shared" ca="1" si="127"/>
        <v>266.54483554459688</v>
      </c>
      <c r="I429">
        <f t="shared" ca="1" si="128"/>
        <v>191.3630017347931</v>
      </c>
      <c r="J429">
        <f t="shared" ca="1" si="137"/>
        <v>299.25600000000003</v>
      </c>
      <c r="K429">
        <f t="shared" ca="1" si="138"/>
        <v>5.6149822139662939</v>
      </c>
      <c r="L429">
        <f t="shared" ca="1" si="139"/>
        <v>310.48596442793263</v>
      </c>
      <c r="M429">
        <f t="shared" ca="1" si="140"/>
        <v>288.02603557206743</v>
      </c>
      <c r="N429">
        <f t="shared" ca="1" si="129"/>
        <v>0.29000000000002046</v>
      </c>
      <c r="O429">
        <f t="shared" ca="1" si="130"/>
        <v>0.29000000000002046</v>
      </c>
      <c r="P429">
        <f t="shared" ca="1" si="131"/>
        <v>0</v>
      </c>
      <c r="Q429">
        <f t="shared" ca="1" si="135"/>
        <v>1.6925847381386563</v>
      </c>
      <c r="R429">
        <f t="shared" ca="1" si="136"/>
        <v>0.87770740398224512</v>
      </c>
      <c r="S429">
        <f t="shared" ca="1" si="133"/>
        <v>1.9284157003338838</v>
      </c>
      <c r="T429">
        <f t="shared" ca="1" si="134"/>
        <v>65.851842691391624</v>
      </c>
      <c r="U429">
        <f>70</f>
        <v>70</v>
      </c>
      <c r="V429">
        <f>30</f>
        <v>30</v>
      </c>
      <c r="W429">
        <f t="shared" ca="1" si="132"/>
        <v>302.63852505423301</v>
      </c>
      <c r="X429">
        <f t="shared" ca="1" si="142"/>
        <v>298.82359370057782</v>
      </c>
      <c r="Y429">
        <f t="shared" ca="1" si="141"/>
        <v>4.2591851521920603</v>
      </c>
      <c r="Z429">
        <f t="shared" ca="1" si="143"/>
        <v>3.1393453331324404</v>
      </c>
      <c r="AA429">
        <f t="shared" ca="1" si="144"/>
        <v>1.1198398190596199</v>
      </c>
      <c r="AB429">
        <f t="shared" ca="1" si="145"/>
        <v>280.24809999999997</v>
      </c>
    </row>
    <row r="430" spans="1:28" x14ac:dyDescent="0.25">
      <c r="A430" s="20">
        <f t="shared" ca="1" si="125"/>
        <v>45915</v>
      </c>
      <c r="B430" vm="1277">
        <f ca="1"/>
        <v>45917</v>
      </c>
      <c r="C430" vm="1278">
        <f ca="1"/>
        <v>311.75</v>
      </c>
      <c r="D430" vm="1279">
        <f ca="1"/>
        <v>8657765</v>
      </c>
      <c r="E430">
        <f t="shared" ca="1" si="126"/>
        <v>2699058238.75</v>
      </c>
      <c r="F430">
        <f ca="1">SUM($E$2:E430)/SUM($D$2:D430)</f>
        <v>229.13430175014733</v>
      </c>
      <c r="G430">
        <f ca="1">_xlfn.STDEV.P($C$2:C430)</f>
        <v>37.750146161165603</v>
      </c>
      <c r="H430">
        <f t="shared" ca="1" si="127"/>
        <v>266.88444791131292</v>
      </c>
      <c r="I430">
        <f t="shared" ca="1" si="128"/>
        <v>191.38415558898174</v>
      </c>
      <c r="J430">
        <f t="shared" ca="1" si="137"/>
        <v>300.31049999999993</v>
      </c>
      <c r="K430">
        <f t="shared" ca="1" si="138"/>
        <v>5.88933869489248</v>
      </c>
      <c r="L430">
        <f t="shared" ca="1" si="139"/>
        <v>312.08917738978488</v>
      </c>
      <c r="M430">
        <f t="shared" ca="1" si="140"/>
        <v>288.53182261021499</v>
      </c>
      <c r="N430">
        <f t="shared" ca="1" si="129"/>
        <v>2.5600000000000023</v>
      </c>
      <c r="O430">
        <f t="shared" ca="1" si="130"/>
        <v>2.5600000000000023</v>
      </c>
      <c r="P430">
        <f t="shared" ca="1" si="131"/>
        <v>0</v>
      </c>
      <c r="Q430">
        <f t="shared" ca="1" si="135"/>
        <v>1.7545429711287526</v>
      </c>
      <c r="R430">
        <f t="shared" ca="1" si="136"/>
        <v>0.81501401798351325</v>
      </c>
      <c r="S430">
        <f t="shared" ca="1" si="133"/>
        <v>2.1527764337965594</v>
      </c>
      <c r="T430">
        <f t="shared" ca="1" si="134"/>
        <v>68.281924805058111</v>
      </c>
      <c r="U430">
        <f>70</f>
        <v>70</v>
      </c>
      <c r="V430">
        <f>30</f>
        <v>30</v>
      </c>
      <c r="W430">
        <f t="shared" ca="1" si="132"/>
        <v>304.04029043050485</v>
      </c>
      <c r="X430">
        <f t="shared" ca="1" si="142"/>
        <v>299.78110527831279</v>
      </c>
      <c r="Y430">
        <f t="shared" ca="1" si="141"/>
        <v>4.6767722005934047</v>
      </c>
      <c r="Z430">
        <f t="shared" ca="1" si="143"/>
        <v>3.4468307066246333</v>
      </c>
      <c r="AA430">
        <f t="shared" ca="1" si="144"/>
        <v>1.2299414939687714</v>
      </c>
      <c r="AB430">
        <f t="shared" ca="1" si="145"/>
        <v>280.91919999999993</v>
      </c>
    </row>
    <row r="431" spans="1:28" x14ac:dyDescent="0.25">
      <c r="A431" s="20">
        <f t="shared" ca="1" si="125"/>
        <v>45915</v>
      </c>
      <c r="B431" vm="1280">
        <f ca="1"/>
        <v>45918</v>
      </c>
      <c r="C431" vm="1281">
        <f ca="1"/>
        <v>313.23</v>
      </c>
      <c r="D431" vm="1282">
        <f ca="1"/>
        <v>8050671</v>
      </c>
      <c r="E431">
        <f t="shared" ca="1" si="126"/>
        <v>2521711677.3299999</v>
      </c>
      <c r="F431">
        <f ca="1">SUM($E$2:E431)/SUM($D$2:D431)</f>
        <v>229.30432457187058</v>
      </c>
      <c r="G431">
        <f ca="1">_xlfn.STDEV.P($C$2:C431)</f>
        <v>37.914429232616598</v>
      </c>
      <c r="H431">
        <f t="shared" ca="1" si="127"/>
        <v>267.21875380448716</v>
      </c>
      <c r="I431">
        <f t="shared" ca="1" si="128"/>
        <v>191.389895339254</v>
      </c>
      <c r="J431">
        <f t="shared" ca="1" si="137"/>
        <v>301.35999999999996</v>
      </c>
      <c r="K431">
        <f t="shared" ca="1" si="138"/>
        <v>6.2355238669045931</v>
      </c>
      <c r="L431">
        <f t="shared" ca="1" si="139"/>
        <v>313.83104773380916</v>
      </c>
      <c r="M431">
        <f t="shared" ca="1" si="140"/>
        <v>288.88895226619076</v>
      </c>
      <c r="N431">
        <f t="shared" ca="1" si="129"/>
        <v>1.4800000000000182</v>
      </c>
      <c r="O431">
        <f t="shared" ca="1" si="130"/>
        <v>1.4800000000000182</v>
      </c>
      <c r="P431">
        <f t="shared" ca="1" si="131"/>
        <v>0</v>
      </c>
      <c r="Q431">
        <f t="shared" ca="1" si="135"/>
        <v>1.7349327589052717</v>
      </c>
      <c r="R431">
        <f t="shared" ca="1" si="136"/>
        <v>0.75679873098469097</v>
      </c>
      <c r="S431">
        <f t="shared" ca="1" si="133"/>
        <v>2.2924625635245244</v>
      </c>
      <c r="T431">
        <f t="shared" ca="1" si="134"/>
        <v>69.627596951944767</v>
      </c>
      <c r="U431">
        <f>70</f>
        <v>70</v>
      </c>
      <c r="V431">
        <f>30</f>
        <v>30</v>
      </c>
      <c r="W431">
        <f t="shared" ca="1" si="132"/>
        <v>305.45409190273489</v>
      </c>
      <c r="X431">
        <f t="shared" ca="1" si="142"/>
        <v>300.77731970214148</v>
      </c>
      <c r="Y431">
        <f t="shared" ca="1" si="141"/>
        <v>5.0742917148612037</v>
      </c>
      <c r="Z431">
        <f t="shared" ca="1" si="143"/>
        <v>3.7723229082719474</v>
      </c>
      <c r="AA431">
        <f t="shared" ca="1" si="144"/>
        <v>1.3019688065892563</v>
      </c>
      <c r="AB431">
        <f t="shared" ca="1" si="145"/>
        <v>281.61599999999993</v>
      </c>
    </row>
    <row r="432" spans="1:28" x14ac:dyDescent="0.25">
      <c r="A432" s="20">
        <f t="shared" ca="1" si="125"/>
        <v>45915</v>
      </c>
      <c r="B432" vm="1283">
        <f ca="1"/>
        <v>45919</v>
      </c>
      <c r="C432" vm="1284">
        <f ca="1"/>
        <v>314.77999999999997</v>
      </c>
      <c r="D432" vm="1285">
        <f ca="1"/>
        <v>23568551</v>
      </c>
      <c r="E432">
        <f t="shared" ca="1" si="126"/>
        <v>7418908483.7799997</v>
      </c>
      <c r="F432">
        <f ca="1">SUM($E$2:E432)/SUM($D$2:D432)</f>
        <v>229.80726188273454</v>
      </c>
      <c r="G432">
        <f ca="1">_xlfn.STDEV.P($C$2:C432)</f>
        <v>38.084105518558026</v>
      </c>
      <c r="H432">
        <f t="shared" ca="1" si="127"/>
        <v>267.89136740129254</v>
      </c>
      <c r="I432">
        <f t="shared" ca="1" si="128"/>
        <v>191.7231563641765</v>
      </c>
      <c r="J432">
        <f t="shared" ca="1" si="137"/>
        <v>302.52549999999997</v>
      </c>
      <c r="K432">
        <f t="shared" ca="1" si="138"/>
        <v>6.4639481783683532</v>
      </c>
      <c r="L432">
        <f t="shared" ca="1" si="139"/>
        <v>315.45339635673668</v>
      </c>
      <c r="M432">
        <f t="shared" ca="1" si="140"/>
        <v>289.59760364326326</v>
      </c>
      <c r="N432">
        <f t="shared" ca="1" si="129"/>
        <v>1.5499999999999545</v>
      </c>
      <c r="O432">
        <f t="shared" ca="1" si="130"/>
        <v>1.5499999999999545</v>
      </c>
      <c r="P432">
        <f t="shared" ca="1" si="131"/>
        <v>0</v>
      </c>
      <c r="Q432">
        <f t="shared" ca="1" si="135"/>
        <v>1.7217232761263206</v>
      </c>
      <c r="R432">
        <f t="shared" ca="1" si="136"/>
        <v>0.70274167877149885</v>
      </c>
      <c r="S432">
        <f t="shared" ca="1" si="133"/>
        <v>2.450008770130383</v>
      </c>
      <c r="T432">
        <f t="shared" ca="1" si="134"/>
        <v>71.014566436530885</v>
      </c>
      <c r="U432">
        <f>70</f>
        <v>70</v>
      </c>
      <c r="V432">
        <f>30</f>
        <v>30</v>
      </c>
      <c r="W432">
        <f t="shared" ca="1" si="132"/>
        <v>306.88884699462182</v>
      </c>
      <c r="X432">
        <f t="shared" ca="1" si="142"/>
        <v>301.81455527976061</v>
      </c>
      <c r="Y432">
        <f t="shared" ca="1" si="141"/>
        <v>5.1412452748731994</v>
      </c>
      <c r="Z432">
        <f t="shared" ca="1" si="143"/>
        <v>4.046107381592198</v>
      </c>
      <c r="AA432">
        <f t="shared" ca="1" si="144"/>
        <v>1.0951378932810014</v>
      </c>
      <c r="AB432">
        <f t="shared" ca="1" si="145"/>
        <v>282.33159999999998</v>
      </c>
    </row>
    <row r="433" spans="1:28" x14ac:dyDescent="0.25">
      <c r="A433" s="20">
        <f t="shared" ca="1" si="125"/>
        <v>45922</v>
      </c>
      <c r="B433" vm="1286">
        <f ca="1"/>
        <v>45922</v>
      </c>
      <c r="C433" vm="1287">
        <f ca="1"/>
        <v>312.44</v>
      </c>
      <c r="D433" vm="1288">
        <f ca="1"/>
        <v>7520190</v>
      </c>
      <c r="E433">
        <f t="shared" ca="1" si="126"/>
        <v>2349608163.5999999</v>
      </c>
      <c r="F433">
        <f ca="1">SUM($E$2:E433)/SUM($D$2:D433)</f>
        <v>229.96210959332876</v>
      </c>
      <c r="G433">
        <f ca="1">_xlfn.STDEV.P($C$2:C433)</f>
        <v>38.239629832636439</v>
      </c>
      <c r="H433">
        <f t="shared" ca="1" si="127"/>
        <v>268.20173942596523</v>
      </c>
      <c r="I433">
        <f t="shared" ca="1" si="128"/>
        <v>191.72247976069232</v>
      </c>
      <c r="J433">
        <f t="shared" ca="1" si="137"/>
        <v>303.33549999999997</v>
      </c>
      <c r="K433">
        <f t="shared" ca="1" si="138"/>
        <v>6.6472697006879589</v>
      </c>
      <c r="L433">
        <f t="shared" ca="1" si="139"/>
        <v>316.63003940137588</v>
      </c>
      <c r="M433">
        <f t="shared" ca="1" si="140"/>
        <v>290.04096059862405</v>
      </c>
      <c r="N433">
        <f t="shared" ca="1" si="129"/>
        <v>-2.339999999999975</v>
      </c>
      <c r="O433">
        <f t="shared" ca="1" si="130"/>
        <v>0</v>
      </c>
      <c r="P433">
        <f t="shared" ca="1" si="131"/>
        <v>2.339999999999975</v>
      </c>
      <c r="Q433">
        <f t="shared" ca="1" si="135"/>
        <v>1.5987430421172977</v>
      </c>
      <c r="R433">
        <f t="shared" ca="1" si="136"/>
        <v>0.81968870171638997</v>
      </c>
      <c r="S433">
        <f t="shared" ca="1" si="133"/>
        <v>1.9504270813658944</v>
      </c>
      <c r="T433">
        <f t="shared" ca="1" si="134"/>
        <v>66.106601775867233</v>
      </c>
      <c r="U433">
        <f>70</f>
        <v>70</v>
      </c>
      <c r="V433">
        <f>30</f>
        <v>30</v>
      </c>
      <c r="W433">
        <f t="shared" ca="1" si="132"/>
        <v>307.74287053391078</v>
      </c>
      <c r="X433">
        <f t="shared" ca="1" si="142"/>
        <v>302.60162525903758</v>
      </c>
      <c r="Y433">
        <f t="shared" ca="1" si="141"/>
        <v>5.1590437019495425</v>
      </c>
      <c r="Z433">
        <f t="shared" ca="1" si="143"/>
        <v>4.2686946456636674</v>
      </c>
      <c r="AA433">
        <f t="shared" ca="1" si="144"/>
        <v>0.89034905628587513</v>
      </c>
      <c r="AB433">
        <f t="shared" ca="1" si="145"/>
        <v>283.00979999999998</v>
      </c>
    </row>
    <row r="434" spans="1:28" x14ac:dyDescent="0.25">
      <c r="A434" s="20">
        <f t="shared" ca="1" si="125"/>
        <v>45922</v>
      </c>
      <c r="B434" vm="1289">
        <f ca="1"/>
        <v>45923</v>
      </c>
      <c r="C434" vm="1290">
        <f ca="1"/>
        <v>312.74</v>
      </c>
      <c r="D434" vm="1291">
        <f ca="1"/>
        <v>8584420</v>
      </c>
      <c r="E434">
        <f t="shared" ca="1" si="126"/>
        <v>2684691510.8000002</v>
      </c>
      <c r="F434">
        <f ca="1">SUM($E$2:E434)/SUM($D$2:D434)</f>
        <v>230.13880331916278</v>
      </c>
      <c r="G434">
        <f ca="1">_xlfn.STDEV.P($C$2:C434)</f>
        <v>38.394357553578018</v>
      </c>
      <c r="H434">
        <f t="shared" ca="1" si="127"/>
        <v>268.53316087274078</v>
      </c>
      <c r="I434">
        <f t="shared" ca="1" si="128"/>
        <v>191.74444576558477</v>
      </c>
      <c r="J434">
        <f t="shared" ca="1" si="137"/>
        <v>304.22749999999985</v>
      </c>
      <c r="K434">
        <f t="shared" ca="1" si="138"/>
        <v>6.6527057218136898</v>
      </c>
      <c r="L434">
        <f t="shared" ca="1" si="139"/>
        <v>317.53291144362726</v>
      </c>
      <c r="M434">
        <f t="shared" ca="1" si="140"/>
        <v>290.92208855637244</v>
      </c>
      <c r="N434">
        <f t="shared" ca="1" si="129"/>
        <v>0.30000000000001137</v>
      </c>
      <c r="O434">
        <f t="shared" ca="1" si="130"/>
        <v>0.30000000000001137</v>
      </c>
      <c r="P434">
        <f t="shared" ca="1" si="131"/>
        <v>0</v>
      </c>
      <c r="Q434">
        <f t="shared" ca="1" si="135"/>
        <v>1.505975681966063</v>
      </c>
      <c r="R434">
        <f t="shared" ca="1" si="136"/>
        <v>0.76113950873664782</v>
      </c>
      <c r="S434">
        <f t="shared" ca="1" si="133"/>
        <v>1.9785803583704475</v>
      </c>
      <c r="T434">
        <f t="shared" ca="1" si="134"/>
        <v>66.426959165637868</v>
      </c>
      <c r="U434">
        <f>70</f>
        <v>70</v>
      </c>
      <c r="V434">
        <f>30</f>
        <v>30</v>
      </c>
      <c r="W434">
        <f t="shared" ca="1" si="132"/>
        <v>308.51165968253991</v>
      </c>
      <c r="X434">
        <f t="shared" ca="1" si="142"/>
        <v>303.35261598059037</v>
      </c>
      <c r="Y434">
        <f t="shared" ca="1" si="141"/>
        <v>5.1684408319728732</v>
      </c>
      <c r="Z434">
        <f t="shared" ca="1" si="143"/>
        <v>4.4486438829255093</v>
      </c>
      <c r="AA434">
        <f t="shared" ca="1" si="144"/>
        <v>0.71979694904736391</v>
      </c>
      <c r="AB434">
        <f t="shared" ca="1" si="145"/>
        <v>283.69099999999997</v>
      </c>
    </row>
    <row r="435" spans="1:28" x14ac:dyDescent="0.25">
      <c r="A435" s="20">
        <f t="shared" ca="1" si="125"/>
        <v>45922</v>
      </c>
      <c r="B435" vm="1292">
        <f ca="1"/>
        <v>45924</v>
      </c>
      <c r="C435" vm="1293">
        <f ca="1"/>
        <v>313.42</v>
      </c>
      <c r="D435" vm="1294">
        <f ca="1"/>
        <v>7310513</v>
      </c>
      <c r="E435">
        <f t="shared" ca="1" si="126"/>
        <v>2291260984.46</v>
      </c>
      <c r="F435">
        <f ca="1">SUM($E$2:E435)/SUM($D$2:D435)</f>
        <v>230.2899163401608</v>
      </c>
      <c r="G435">
        <f ca="1">_xlfn.STDEV.P($C$2:C435)</f>
        <v>38.550150491183011</v>
      </c>
      <c r="H435">
        <f t="shared" ca="1" si="127"/>
        <v>268.84006683134379</v>
      </c>
      <c r="I435">
        <f t="shared" ca="1" si="128"/>
        <v>191.73976584897778</v>
      </c>
      <c r="J435">
        <f t="shared" ca="1" si="137"/>
        <v>304.96999999999991</v>
      </c>
      <c r="K435">
        <f t="shared" ca="1" si="138"/>
        <v>6.8147672470583265</v>
      </c>
      <c r="L435">
        <f t="shared" ca="1" si="139"/>
        <v>318.59953449411654</v>
      </c>
      <c r="M435">
        <f t="shared" ca="1" si="140"/>
        <v>291.34046550588329</v>
      </c>
      <c r="N435">
        <f t="shared" ca="1" si="129"/>
        <v>0.68000000000000682</v>
      </c>
      <c r="O435">
        <f t="shared" ca="1" si="130"/>
        <v>0.68000000000000682</v>
      </c>
      <c r="P435">
        <f t="shared" ca="1" si="131"/>
        <v>0</v>
      </c>
      <c r="Q435">
        <f t="shared" ca="1" si="135"/>
        <v>1.4469774189684874</v>
      </c>
      <c r="R435">
        <f t="shared" ca="1" si="136"/>
        <v>0.70677240096974436</v>
      </c>
      <c r="S435">
        <f t="shared" ca="1" si="133"/>
        <v>2.0473032294174569</v>
      </c>
      <c r="T435">
        <f t="shared" ca="1" si="134"/>
        <v>67.184099358856173</v>
      </c>
      <c r="U435">
        <f>70</f>
        <v>70</v>
      </c>
      <c r="V435">
        <f>30</f>
        <v>30</v>
      </c>
      <c r="W435">
        <f t="shared" ca="1" si="132"/>
        <v>309.26678896214918</v>
      </c>
      <c r="X435">
        <f t="shared" ca="1" si="142"/>
        <v>304.0983481301763</v>
      </c>
      <c r="Y435">
        <f t="shared" ca="1" si="141"/>
        <v>5.1192968075527006</v>
      </c>
      <c r="Z435">
        <f t="shared" ca="1" si="143"/>
        <v>4.5827744678509479</v>
      </c>
      <c r="AA435">
        <f t="shared" ca="1" si="144"/>
        <v>0.53652233970175267</v>
      </c>
      <c r="AB435">
        <f t="shared" ca="1" si="145"/>
        <v>284.35629999999992</v>
      </c>
    </row>
    <row r="436" spans="1:28" x14ac:dyDescent="0.25">
      <c r="A436" s="20">
        <f t="shared" ca="1" si="125"/>
        <v>45922</v>
      </c>
      <c r="B436" vm="1295">
        <f ca="1"/>
        <v>45925</v>
      </c>
      <c r="C436" vm="1296">
        <f ca="1"/>
        <v>313.45</v>
      </c>
      <c r="D436" vm="1297">
        <f ca="1"/>
        <v>7083198</v>
      </c>
      <c r="E436">
        <f t="shared" ca="1" si="126"/>
        <v>2220228413.0999999</v>
      </c>
      <c r="F436">
        <f ca="1">SUM($E$2:E436)/SUM($D$2:D436)</f>
        <v>230.43586110682341</v>
      </c>
      <c r="G436">
        <f ca="1">_xlfn.STDEV.P($C$2:C436)</f>
        <v>38.703837851652629</v>
      </c>
      <c r="H436">
        <f t="shared" ca="1" si="127"/>
        <v>269.13969895847606</v>
      </c>
      <c r="I436">
        <f t="shared" ca="1" si="128"/>
        <v>191.73202325517079</v>
      </c>
      <c r="J436">
        <f t="shared" ca="1" si="137"/>
        <v>305.67849999999993</v>
      </c>
      <c r="K436">
        <f t="shared" ca="1" si="138"/>
        <v>6.9277278685765786</v>
      </c>
      <c r="L436">
        <f t="shared" ca="1" si="139"/>
        <v>319.53395573715306</v>
      </c>
      <c r="M436">
        <f t="shared" ca="1" si="140"/>
        <v>291.82304426284679</v>
      </c>
      <c r="N436">
        <f t="shared" ca="1" si="129"/>
        <v>2.9999999999972715E-2</v>
      </c>
      <c r="O436">
        <f t="shared" ca="1" si="130"/>
        <v>2.9999999999972715E-2</v>
      </c>
      <c r="P436">
        <f t="shared" ca="1" si="131"/>
        <v>0</v>
      </c>
      <c r="Q436">
        <f t="shared" ca="1" si="135"/>
        <v>1.3457647461850222</v>
      </c>
      <c r="R436">
        <f t="shared" ca="1" si="136"/>
        <v>0.65628865804333414</v>
      </c>
      <c r="S436">
        <f t="shared" ca="1" si="133"/>
        <v>2.0505683432002302</v>
      </c>
      <c r="T436">
        <f t="shared" ca="1" si="134"/>
        <v>67.219223190687813</v>
      </c>
      <c r="U436">
        <f>70</f>
        <v>70</v>
      </c>
      <c r="V436">
        <f>30</f>
        <v>30</v>
      </c>
      <c r="W436">
        <f t="shared" ca="1" si="132"/>
        <v>309.91035989104927</v>
      </c>
      <c r="X436">
        <f t="shared" ca="1" si="142"/>
        <v>304.79106308349657</v>
      </c>
      <c r="Y436">
        <f t="shared" ca="1" si="141"/>
        <v>5.2306592179636482</v>
      </c>
      <c r="Z436">
        <f t="shared" ca="1" si="143"/>
        <v>4.7123514178734878</v>
      </c>
      <c r="AA436">
        <f t="shared" ca="1" si="144"/>
        <v>0.51830780009016042</v>
      </c>
      <c r="AB436">
        <f t="shared" ca="1" si="145"/>
        <v>284.96569999999991</v>
      </c>
    </row>
    <row r="437" spans="1:28" x14ac:dyDescent="0.25">
      <c r="A437" s="20">
        <f t="shared" ca="1" si="125"/>
        <v>45922</v>
      </c>
      <c r="B437" vm="1298">
        <f ca="1"/>
        <v>45926</v>
      </c>
      <c r="C437" vm="1299">
        <f ca="1"/>
        <v>316.06</v>
      </c>
      <c r="D437" vm="1300">
        <f ca="1"/>
        <v>7258136</v>
      </c>
      <c r="E437">
        <f t="shared" ca="1" si="126"/>
        <v>2294006464.1599998</v>
      </c>
      <c r="F437">
        <f ca="1">SUM($E$2:E437)/SUM($D$2:D437)</f>
        <v>230.58956513244809</v>
      </c>
      <c r="G437">
        <f ca="1">_xlfn.STDEV.P($C$2:C437)</f>
        <v>38.868035791040711</v>
      </c>
      <c r="H437">
        <f t="shared" ca="1" si="127"/>
        <v>269.45760092348883</v>
      </c>
      <c r="I437">
        <f t="shared" ca="1" si="128"/>
        <v>191.72152934140738</v>
      </c>
      <c r="J437">
        <f t="shared" ca="1" si="137"/>
        <v>306.428</v>
      </c>
      <c r="K437">
        <f t="shared" ca="1" si="138"/>
        <v>7.2080989536989382</v>
      </c>
      <c r="L437">
        <f t="shared" ca="1" si="139"/>
        <v>320.84419790739787</v>
      </c>
      <c r="M437">
        <f t="shared" ca="1" si="140"/>
        <v>292.01180209260212</v>
      </c>
      <c r="N437">
        <f t="shared" ca="1" si="129"/>
        <v>2.6100000000000136</v>
      </c>
      <c r="O437">
        <f t="shared" ca="1" si="130"/>
        <v>2.6100000000000136</v>
      </c>
      <c r="P437">
        <f t="shared" ca="1" si="131"/>
        <v>0</v>
      </c>
      <c r="Q437">
        <f t="shared" ca="1" si="135"/>
        <v>1.4360672643146644</v>
      </c>
      <c r="R437">
        <f t="shared" ca="1" si="136"/>
        <v>0.60941089675452453</v>
      </c>
      <c r="S437">
        <f t="shared" ca="1" si="133"/>
        <v>2.3564843883865167</v>
      </c>
      <c r="T437">
        <f t="shared" ca="1" si="134"/>
        <v>70.206922354234266</v>
      </c>
      <c r="U437">
        <f>70</f>
        <v>70</v>
      </c>
      <c r="V437">
        <f>30</f>
        <v>30</v>
      </c>
      <c r="W437">
        <f t="shared" ca="1" si="132"/>
        <v>310.85645836934935</v>
      </c>
      <c r="X437">
        <f t="shared" ca="1" si="142"/>
        <v>305.62579915138571</v>
      </c>
      <c r="Y437">
        <f t="shared" ca="1" si="141"/>
        <v>5.2287846481378892</v>
      </c>
      <c r="Z437">
        <f t="shared" ca="1" si="143"/>
        <v>4.8156380639263681</v>
      </c>
      <c r="AA437">
        <f t="shared" ca="1" si="144"/>
        <v>0.41314658421152117</v>
      </c>
      <c r="AB437">
        <f t="shared" ca="1" si="145"/>
        <v>285.6006999999999</v>
      </c>
    </row>
    <row r="438" spans="1:28" x14ac:dyDescent="0.25">
      <c r="A438" s="20">
        <f t="shared" ca="1" si="125"/>
        <v>45929</v>
      </c>
      <c r="B438" vm="1301">
        <f ca="1"/>
        <v>45929</v>
      </c>
      <c r="C438" vm="1302">
        <f ca="1"/>
        <v>315.69</v>
      </c>
      <c r="D438" vm="1303">
        <f ca="1"/>
        <v>6462442</v>
      </c>
      <c r="E438">
        <f t="shared" ca="1" si="126"/>
        <v>2040128314.98</v>
      </c>
      <c r="F438">
        <f ca="1">SUM($E$2:E438)/SUM($D$2:D438)</f>
        <v>230.72536482258911</v>
      </c>
      <c r="G438">
        <f ca="1">_xlfn.STDEV.P($C$2:C438)</f>
        <v>39.028038777384346</v>
      </c>
      <c r="H438">
        <f t="shared" ca="1" si="127"/>
        <v>269.75340359997347</v>
      </c>
      <c r="I438">
        <f t="shared" ca="1" si="128"/>
        <v>191.69732604520476</v>
      </c>
      <c r="J438">
        <f t="shared" ca="1" si="137"/>
        <v>307.14149999999995</v>
      </c>
      <c r="K438">
        <f t="shared" ca="1" si="138"/>
        <v>7.3902498177274758</v>
      </c>
      <c r="L438">
        <f t="shared" ca="1" si="139"/>
        <v>321.92199963545488</v>
      </c>
      <c r="M438">
        <f t="shared" ca="1" si="140"/>
        <v>292.36100036454502</v>
      </c>
      <c r="N438">
        <f t="shared" ca="1" si="129"/>
        <v>-0.37000000000000455</v>
      </c>
      <c r="O438">
        <f t="shared" ca="1" si="130"/>
        <v>0</v>
      </c>
      <c r="P438">
        <f t="shared" ca="1" si="131"/>
        <v>0.37000000000000455</v>
      </c>
      <c r="Q438">
        <f t="shared" ca="1" si="135"/>
        <v>1.3334910311493311</v>
      </c>
      <c r="R438">
        <f t="shared" ca="1" si="136"/>
        <v>0.59231011841491588</v>
      </c>
      <c r="S438">
        <f t="shared" ca="1" si="133"/>
        <v>2.2513392726058661</v>
      </c>
      <c r="T438">
        <f t="shared" ca="1" si="134"/>
        <v>69.243443511863177</v>
      </c>
      <c r="U438">
        <f>70</f>
        <v>70</v>
      </c>
      <c r="V438">
        <f>30</f>
        <v>30</v>
      </c>
      <c r="W438">
        <f t="shared" ca="1" si="132"/>
        <v>311.60008015868021</v>
      </c>
      <c r="X438">
        <f t="shared" ca="1" si="142"/>
        <v>306.37129551054232</v>
      </c>
      <c r="Y438">
        <f t="shared" ca="1" si="141"/>
        <v>5.1469879378967676</v>
      </c>
      <c r="Z438">
        <f t="shared" ca="1" si="143"/>
        <v>4.8819080387204483</v>
      </c>
      <c r="AA438">
        <f t="shared" ca="1" si="144"/>
        <v>0.26507989917631924</v>
      </c>
      <c r="AB438">
        <f t="shared" ca="1" si="145"/>
        <v>286.2650999999999</v>
      </c>
    </row>
    <row r="439" spans="1:28" x14ac:dyDescent="0.25">
      <c r="A439" s="20">
        <f t="shared" ca="1" si="125"/>
        <v>45929</v>
      </c>
      <c r="B439" vm="1304">
        <f ca="1"/>
        <v>45930</v>
      </c>
      <c r="C439" vm="1305">
        <f ca="1"/>
        <v>315.43</v>
      </c>
      <c r="D439" vm="1306">
        <f ca="1"/>
        <v>11823315</v>
      </c>
      <c r="E439">
        <f t="shared" ca="1" si="126"/>
        <v>3729428250.4500003</v>
      </c>
      <c r="F439">
        <f ca="1">SUM($E$2:E439)/SUM($D$2:D439)</f>
        <v>230.97194076357715</v>
      </c>
      <c r="G439">
        <f ca="1">_xlfn.STDEV.P($C$2:C439)</f>
        <v>39.184479579040733</v>
      </c>
      <c r="H439">
        <f t="shared" ca="1" si="127"/>
        <v>270.15642034261788</v>
      </c>
      <c r="I439">
        <f t="shared" ca="1" si="128"/>
        <v>191.78746118453643</v>
      </c>
      <c r="J439">
        <f t="shared" ca="1" si="137"/>
        <v>307.928</v>
      </c>
      <c r="K439">
        <f t="shared" ca="1" si="138"/>
        <v>7.3936378055731087</v>
      </c>
      <c r="L439">
        <f t="shared" ca="1" si="139"/>
        <v>322.71527561114624</v>
      </c>
      <c r="M439">
        <f t="shared" ca="1" si="140"/>
        <v>293.14072438885376</v>
      </c>
      <c r="N439">
        <f t="shared" ca="1" si="129"/>
        <v>-0.25999999999999091</v>
      </c>
      <c r="O439">
        <f t="shared" ca="1" si="130"/>
        <v>0</v>
      </c>
      <c r="P439">
        <f t="shared" ca="1" si="131"/>
        <v>0.25999999999999091</v>
      </c>
      <c r="Q439">
        <f t="shared" ca="1" si="135"/>
        <v>1.2382416717815217</v>
      </c>
      <c r="R439">
        <f t="shared" ca="1" si="136"/>
        <v>0.56857368138527842</v>
      </c>
      <c r="S439">
        <f t="shared" ca="1" si="133"/>
        <v>2.1778033565758053</v>
      </c>
      <c r="T439">
        <f t="shared" ca="1" si="134"/>
        <v>68.531721828202265</v>
      </c>
      <c r="U439">
        <f>70</f>
        <v>70</v>
      </c>
      <c r="V439">
        <f>30</f>
        <v>30</v>
      </c>
      <c r="W439">
        <f t="shared" ca="1" si="132"/>
        <v>312.18929859580629</v>
      </c>
      <c r="X439">
        <f t="shared" ca="1" si="142"/>
        <v>307.04231065790952</v>
      </c>
      <c r="Y439">
        <f t="shared" ca="1" si="141"/>
        <v>4.6477228465352596</v>
      </c>
      <c r="Z439">
        <f t="shared" ca="1" si="143"/>
        <v>4.8350710002834107</v>
      </c>
      <c r="AA439">
        <f t="shared" ca="1" si="144"/>
        <v>-0.18734815374815117</v>
      </c>
      <c r="AB439">
        <f t="shared" ca="1" si="145"/>
        <v>286.92549999999994</v>
      </c>
    </row>
    <row r="440" spans="1:28" x14ac:dyDescent="0.25">
      <c r="A440" s="20">
        <f t="shared" ca="1" si="125"/>
        <v>45929</v>
      </c>
      <c r="B440" vm="1307">
        <f ca="1"/>
        <v>45931</v>
      </c>
      <c r="C440" vm="1308">
        <f ca="1"/>
        <v>310.70999999999998</v>
      </c>
      <c r="D440" vm="1309">
        <f ca="1"/>
        <v>9235211</v>
      </c>
      <c r="E440">
        <f t="shared" ca="1" si="126"/>
        <v>2869472409.8099999</v>
      </c>
      <c r="F440">
        <f ca="1">SUM($E$2:E440)/SUM($D$2:D440)</f>
        <v>231.1528373496528</v>
      </c>
      <c r="G440">
        <f ca="1">_xlfn.STDEV.P($C$2:C440)</f>
        <v>39.316722954140758</v>
      </c>
      <c r="H440">
        <f t="shared" ca="1" si="127"/>
        <v>270.46956030379357</v>
      </c>
      <c r="I440">
        <f t="shared" ca="1" si="128"/>
        <v>191.83611439551203</v>
      </c>
      <c r="J440">
        <f t="shared" ca="1" si="137"/>
        <v>308.488</v>
      </c>
      <c r="K440">
        <f t="shared" ca="1" si="138"/>
        <v>7.1423736287477624</v>
      </c>
      <c r="L440">
        <f t="shared" ca="1" si="139"/>
        <v>322.77274725749555</v>
      </c>
      <c r="M440">
        <f t="shared" ca="1" si="140"/>
        <v>294.20325274250445</v>
      </c>
      <c r="N440">
        <f t="shared" ca="1" si="129"/>
        <v>-4.7200000000000273</v>
      </c>
      <c r="O440">
        <f t="shared" ca="1" si="130"/>
        <v>0</v>
      </c>
      <c r="P440">
        <f t="shared" ca="1" si="131"/>
        <v>4.7200000000000273</v>
      </c>
      <c r="Q440">
        <f t="shared" ca="1" si="135"/>
        <v>1.1497958380828415</v>
      </c>
      <c r="R440">
        <f t="shared" ca="1" si="136"/>
        <v>0.86510413271490338</v>
      </c>
      <c r="S440">
        <f t="shared" ca="1" si="133"/>
        <v>1.3290837421785369</v>
      </c>
      <c r="T440">
        <f t="shared" ca="1" si="134"/>
        <v>57.064661012805075</v>
      </c>
      <c r="U440">
        <f>70</f>
        <v>70</v>
      </c>
      <c r="V440">
        <f>30</f>
        <v>30</v>
      </c>
      <c r="W440">
        <f t="shared" ca="1" si="132"/>
        <v>311.96171419645151</v>
      </c>
      <c r="X440">
        <f t="shared" ca="1" si="142"/>
        <v>307.31399134991625</v>
      </c>
      <c r="Y440">
        <f t="shared" ca="1" si="141"/>
        <v>3.9515154633143084</v>
      </c>
      <c r="Z440">
        <f t="shared" ca="1" si="143"/>
        <v>4.6583598928895906</v>
      </c>
      <c r="AA440">
        <f t="shared" ca="1" si="144"/>
        <v>-0.70684442957528226</v>
      </c>
      <c r="AB440">
        <f t="shared" ca="1" si="145"/>
        <v>287.49789999999996</v>
      </c>
    </row>
    <row r="441" spans="1:28" x14ac:dyDescent="0.25">
      <c r="A441" s="20">
        <f t="shared" ca="1" si="125"/>
        <v>45929</v>
      </c>
      <c r="B441" vm="1310">
        <f ca="1"/>
        <v>45932</v>
      </c>
      <c r="C441" vm="1311">
        <f ca="1"/>
        <v>307.55</v>
      </c>
      <c r="D441" vm="1312">
        <f ca="1"/>
        <v>7599973</v>
      </c>
      <c r="E441">
        <f t="shared" ca="1" si="126"/>
        <v>2337371696.1500001</v>
      </c>
      <c r="F441">
        <f ca="1">SUM($E$2:E441)/SUM($D$2:D441)</f>
        <v>231.29520034634371</v>
      </c>
      <c r="G441">
        <f ca="1">_xlfn.STDEV.P($C$2:C441)</f>
        <v>39.43324904899238</v>
      </c>
      <c r="H441">
        <f t="shared" ca="1" si="127"/>
        <v>270.7284493953361</v>
      </c>
      <c r="I441">
        <f t="shared" ca="1" si="128"/>
        <v>191.86195129735131</v>
      </c>
      <c r="J441">
        <f t="shared" ca="1" si="137"/>
        <v>308.67450000000002</v>
      </c>
      <c r="K441">
        <f t="shared" ca="1" si="138"/>
        <v>7.0623184466650306</v>
      </c>
      <c r="L441">
        <f t="shared" ca="1" si="139"/>
        <v>322.79913689333006</v>
      </c>
      <c r="M441">
        <f t="shared" ca="1" si="140"/>
        <v>294.54986310666999</v>
      </c>
      <c r="N441">
        <f t="shared" ca="1" si="129"/>
        <v>-3.1599999999999682</v>
      </c>
      <c r="O441">
        <f t="shared" ca="1" si="130"/>
        <v>0</v>
      </c>
      <c r="P441">
        <f t="shared" ca="1" si="131"/>
        <v>3.1599999999999682</v>
      </c>
      <c r="Q441">
        <f t="shared" ca="1" si="135"/>
        <v>1.0676675639340671</v>
      </c>
      <c r="R441">
        <f t="shared" ca="1" si="136"/>
        <v>1.029025266092408</v>
      </c>
      <c r="S441">
        <f t="shared" ca="1" si="133"/>
        <v>1.037552331429527</v>
      </c>
      <c r="T441">
        <f t="shared" ca="1" si="134"/>
        <v>50.92150593754765</v>
      </c>
      <c r="U441">
        <f>70</f>
        <v>70</v>
      </c>
      <c r="V441">
        <f>30</f>
        <v>30</v>
      </c>
      <c r="W441">
        <f t="shared" ca="1" si="132"/>
        <v>311.282988935459</v>
      </c>
      <c r="X441">
        <f t="shared" ca="1" si="142"/>
        <v>307.33147347214469</v>
      </c>
      <c r="Y441">
        <f t="shared" ca="1" si="141"/>
        <v>3.5588570808669147</v>
      </c>
      <c r="Z441">
        <f t="shared" ca="1" si="143"/>
        <v>4.4384593304850561</v>
      </c>
      <c r="AA441">
        <f t="shared" ca="1" si="144"/>
        <v>-0.87960224961814149</v>
      </c>
      <c r="AB441">
        <f t="shared" ca="1" si="145"/>
        <v>288.04259999999994</v>
      </c>
    </row>
    <row r="442" spans="1:28" x14ac:dyDescent="0.25">
      <c r="A442" s="20">
        <f t="shared" ca="1" si="125"/>
        <v>45929</v>
      </c>
      <c r="B442" vm="1313">
        <f ca="1"/>
        <v>45933</v>
      </c>
      <c r="C442" vm="1314">
        <f ca="1"/>
        <v>310.02999999999997</v>
      </c>
      <c r="D442" vm="1315">
        <f ca="1"/>
        <v>6029854</v>
      </c>
      <c r="E442">
        <f t="shared" ca="1" si="126"/>
        <v>1869435635.6199999</v>
      </c>
      <c r="F442">
        <f ca="1">SUM($E$2:E442)/SUM($D$2:D442)</f>
        <v>231.41143610259408</v>
      </c>
      <c r="G442">
        <f ca="1">_xlfn.STDEV.P($C$2:C442)</f>
        <v>39.558943270048587</v>
      </c>
      <c r="H442">
        <f t="shared" ca="1" si="127"/>
        <v>270.9703793726427</v>
      </c>
      <c r="I442">
        <f t="shared" ca="1" si="128"/>
        <v>191.85249283254549</v>
      </c>
      <c r="J442">
        <f t="shared" ca="1" si="137"/>
        <v>309.45699999999999</v>
      </c>
      <c r="K442">
        <f t="shared" ca="1" si="138"/>
        <v>6.2108098463379404</v>
      </c>
      <c r="L442">
        <f t="shared" ca="1" si="139"/>
        <v>321.8786196926759</v>
      </c>
      <c r="M442">
        <f t="shared" ca="1" si="140"/>
        <v>297.03538030732409</v>
      </c>
      <c r="N442">
        <f t="shared" ca="1" si="129"/>
        <v>2.4799999999999613</v>
      </c>
      <c r="O442">
        <f t="shared" ca="1" si="130"/>
        <v>2.4799999999999613</v>
      </c>
      <c r="P442">
        <f t="shared" ca="1" si="131"/>
        <v>0</v>
      </c>
      <c r="Q442">
        <f t="shared" ca="1" si="135"/>
        <v>1.1685484522244882</v>
      </c>
      <c r="R442">
        <f t="shared" ca="1" si="136"/>
        <v>0.95552346137152167</v>
      </c>
      <c r="S442">
        <f t="shared" ca="1" si="133"/>
        <v>1.2229406178548443</v>
      </c>
      <c r="T442">
        <f t="shared" ca="1" si="134"/>
        <v>55.014542810189496</v>
      </c>
      <c r="U442">
        <f>70</f>
        <v>70</v>
      </c>
      <c r="V442">
        <f>30</f>
        <v>30</v>
      </c>
      <c r="W442">
        <f t="shared" ca="1" si="132"/>
        <v>311.09022140692684</v>
      </c>
      <c r="X442">
        <f t="shared" ca="1" si="142"/>
        <v>307.53136432605993</v>
      </c>
      <c r="Y442">
        <f t="shared" ca="1" si="141"/>
        <v>3.1428557033839866</v>
      </c>
      <c r="Z442">
        <f t="shared" ca="1" si="143"/>
        <v>4.1793386050648422</v>
      </c>
      <c r="AA442">
        <f t="shared" ca="1" si="144"/>
        <v>-1.0364829016808557</v>
      </c>
      <c r="AB442">
        <f t="shared" ca="1" si="145"/>
        <v>288.54239999999999</v>
      </c>
    </row>
    <row r="443" spans="1:28" x14ac:dyDescent="0.25">
      <c r="A443" s="20">
        <f t="shared" ca="1" si="125"/>
        <v>45936</v>
      </c>
      <c r="B443" vm="1316">
        <f ca="1"/>
        <v>45936</v>
      </c>
      <c r="C443" vm="1317">
        <f ca="1"/>
        <v>309.18</v>
      </c>
      <c r="D443" vm="1318">
        <f ca="1"/>
        <v>7214502</v>
      </c>
      <c r="E443">
        <f t="shared" ca="1" si="126"/>
        <v>2230579728.3600001</v>
      </c>
      <c r="F443">
        <f ca="1">SUM($E$2:E443)/SUM($D$2:D443)</f>
        <v>231.5485590777032</v>
      </c>
      <c r="G443">
        <f ca="1">_xlfn.STDEV.P($C$2:C443)</f>
        <v>39.679208046651823</v>
      </c>
      <c r="H443">
        <f t="shared" ca="1" si="127"/>
        <v>271.22776712435501</v>
      </c>
      <c r="I443">
        <f t="shared" ca="1" si="128"/>
        <v>191.86935103105139</v>
      </c>
      <c r="J443">
        <f t="shared" ca="1" si="137"/>
        <v>310.27050000000003</v>
      </c>
      <c r="K443">
        <f t="shared" ca="1" si="138"/>
        <v>4.8446763783070423</v>
      </c>
      <c r="L443">
        <f t="shared" ca="1" si="139"/>
        <v>319.95985275661411</v>
      </c>
      <c r="M443">
        <f t="shared" ca="1" si="140"/>
        <v>300.58114724338594</v>
      </c>
      <c r="N443">
        <f t="shared" ca="1" si="129"/>
        <v>-0.84999999999996589</v>
      </c>
      <c r="O443">
        <f t="shared" ca="1" si="130"/>
        <v>0</v>
      </c>
      <c r="P443">
        <f t="shared" ca="1" si="131"/>
        <v>0.84999999999996589</v>
      </c>
      <c r="Q443">
        <f t="shared" ca="1" si="135"/>
        <v>1.0850807056370246</v>
      </c>
      <c r="R443">
        <f t="shared" ca="1" si="136"/>
        <v>0.94798607127355339</v>
      </c>
      <c r="S443">
        <f t="shared" ca="1" si="133"/>
        <v>1.1446167180276121</v>
      </c>
      <c r="T443">
        <f t="shared" ca="1" si="134"/>
        <v>53.371621530597203</v>
      </c>
      <c r="U443">
        <f>70</f>
        <v>70</v>
      </c>
      <c r="V443">
        <f>30</f>
        <v>30</v>
      </c>
      <c r="W443">
        <f t="shared" ca="1" si="132"/>
        <v>310.79634119047654</v>
      </c>
      <c r="X443">
        <f t="shared" ca="1" si="142"/>
        <v>307.65348548709255</v>
      </c>
      <c r="Y443">
        <f t="shared" ca="1" si="141"/>
        <v>2.6622522799614217</v>
      </c>
      <c r="Z443">
        <f t="shared" ca="1" si="143"/>
        <v>3.8759213400441581</v>
      </c>
      <c r="AA443">
        <f t="shared" ca="1" si="144"/>
        <v>-1.2136690600827365</v>
      </c>
      <c r="AB443">
        <f t="shared" ca="1" si="145"/>
        <v>289.00409999999994</v>
      </c>
    </row>
    <row r="444" spans="1:28" x14ac:dyDescent="0.25">
      <c r="A444" s="20">
        <f t="shared" ca="1" si="125"/>
        <v>45936</v>
      </c>
      <c r="B444" vm="1319">
        <f ca="1"/>
        <v>45937</v>
      </c>
      <c r="C444" vm="1320">
        <f ca="1"/>
        <v>307.69</v>
      </c>
      <c r="D444" vm="1321">
        <f ca="1"/>
        <v>8454217</v>
      </c>
      <c r="E444">
        <f t="shared" ca="1" si="126"/>
        <v>2601278028.73</v>
      </c>
      <c r="F444">
        <f ca="1">SUM($E$2:E444)/SUM($D$2:D444)</f>
        <v>231.7055584286976</v>
      </c>
      <c r="G444">
        <f ca="1">_xlfn.STDEV.P($C$2:C444)</f>
        <v>39.791489794559972</v>
      </c>
      <c r="H444">
        <f t="shared" ca="1" si="127"/>
        <v>271.49704822325759</v>
      </c>
      <c r="I444">
        <f t="shared" ca="1" si="128"/>
        <v>191.91406863413764</v>
      </c>
      <c r="J444">
        <f t="shared" ca="1" si="137"/>
        <v>310.76249999999999</v>
      </c>
      <c r="K444">
        <f t="shared" ca="1" si="138"/>
        <v>3.9302857469440502</v>
      </c>
      <c r="L444">
        <f t="shared" ca="1" si="139"/>
        <v>318.62307149388806</v>
      </c>
      <c r="M444">
        <f t="shared" ca="1" si="140"/>
        <v>302.90192850611191</v>
      </c>
      <c r="N444">
        <f t="shared" ca="1" si="129"/>
        <v>-1.4900000000000091</v>
      </c>
      <c r="O444">
        <f t="shared" ca="1" si="130"/>
        <v>0</v>
      </c>
      <c r="P444">
        <f t="shared" ca="1" si="131"/>
        <v>1.4900000000000091</v>
      </c>
      <c r="Q444">
        <f t="shared" ca="1" si="135"/>
        <v>1.0075749409486658</v>
      </c>
      <c r="R444">
        <f t="shared" ca="1" si="136"/>
        <v>0.98670135189687169</v>
      </c>
      <c r="S444">
        <f t="shared" ca="1" si="133"/>
        <v>1.0211549209004993</v>
      </c>
      <c r="T444">
        <f t="shared" ca="1" si="134"/>
        <v>50.523337441423685</v>
      </c>
      <c r="U444">
        <f>70</f>
        <v>70</v>
      </c>
      <c r="V444">
        <f>30</f>
        <v>30</v>
      </c>
      <c r="W444">
        <f t="shared" ca="1" si="132"/>
        <v>310.31844254578783</v>
      </c>
      <c r="X444">
        <f t="shared" ca="1" si="142"/>
        <v>307.65619026582641</v>
      </c>
      <c r="Y444">
        <f t="shared" ca="1" si="141"/>
        <v>1.9634062669669561</v>
      </c>
      <c r="Z444">
        <f t="shared" ca="1" si="143"/>
        <v>3.4934183254287179</v>
      </c>
      <c r="AA444">
        <f t="shared" ca="1" si="144"/>
        <v>-1.5300120584617618</v>
      </c>
      <c r="AB444">
        <f t="shared" ca="1" si="145"/>
        <v>289.4246</v>
      </c>
    </row>
    <row r="445" spans="1:28" x14ac:dyDescent="0.25">
      <c r="A445" s="20">
        <f t="shared" ca="1" si="125"/>
        <v>45936</v>
      </c>
      <c r="B445" vm="1322">
        <f ca="1"/>
        <v>45938</v>
      </c>
      <c r="C445" vm="1323">
        <f ca="1"/>
        <v>304.02999999999997</v>
      </c>
      <c r="D445" vm="1324">
        <f ca="1"/>
        <v>6489883</v>
      </c>
      <c r="E445">
        <f t="shared" ca="1" si="126"/>
        <v>1973119128.4899998</v>
      </c>
      <c r="F445">
        <f ca="1">SUM($E$2:E445)/SUM($D$2:D445)</f>
        <v>231.81985638130257</v>
      </c>
      <c r="G445">
        <f ca="1">_xlfn.STDEV.P($C$2:C445)</f>
        <v>39.887316683460242</v>
      </c>
      <c r="H445">
        <f t="shared" ca="1" si="127"/>
        <v>271.7071730647628</v>
      </c>
      <c r="I445">
        <f t="shared" ca="1" si="128"/>
        <v>191.93253969784234</v>
      </c>
      <c r="J445">
        <f t="shared" ca="1" si="137"/>
        <v>310.93700000000001</v>
      </c>
      <c r="K445">
        <f t="shared" ca="1" si="138"/>
        <v>3.5072392801776533</v>
      </c>
      <c r="L445">
        <f t="shared" ca="1" si="139"/>
        <v>317.95147856035533</v>
      </c>
      <c r="M445">
        <f t="shared" ca="1" si="140"/>
        <v>303.9225214396447</v>
      </c>
      <c r="N445">
        <f t="shared" ca="1" si="129"/>
        <v>-3.660000000000025</v>
      </c>
      <c r="O445">
        <f t="shared" ca="1" si="130"/>
        <v>0</v>
      </c>
      <c r="P445">
        <f t="shared" ca="1" si="131"/>
        <v>3.660000000000025</v>
      </c>
      <c r="Q445">
        <f t="shared" ca="1" si="135"/>
        <v>0.93560530230947536</v>
      </c>
      <c r="R445">
        <f t="shared" ca="1" si="136"/>
        <v>1.1776512553328113</v>
      </c>
      <c r="S445">
        <f t="shared" ca="1" si="133"/>
        <v>0.79446720586653441</v>
      </c>
      <c r="T445">
        <f t="shared" ca="1" si="134"/>
        <v>44.273152681154315</v>
      </c>
      <c r="U445">
        <f>70</f>
        <v>70</v>
      </c>
      <c r="V445">
        <f>30</f>
        <v>30</v>
      </c>
      <c r="W445">
        <f t="shared" ca="1" si="132"/>
        <v>309.35098984643582</v>
      </c>
      <c r="X445">
        <f t="shared" ca="1" si="142"/>
        <v>307.38758357946887</v>
      </c>
      <c r="Y445">
        <f t="shared" ca="1" si="141"/>
        <v>1.513160458871937</v>
      </c>
      <c r="Z445">
        <f t="shared" ca="1" si="143"/>
        <v>3.0973667521173622</v>
      </c>
      <c r="AA445">
        <f t="shared" ca="1" si="144"/>
        <v>-1.5842062932454253</v>
      </c>
      <c r="AB445">
        <f t="shared" ca="1" si="145"/>
        <v>289.78999999999996</v>
      </c>
    </row>
    <row r="446" spans="1:28" x14ac:dyDescent="0.25">
      <c r="A446" s="20">
        <f t="shared" ca="1" si="125"/>
        <v>45936</v>
      </c>
      <c r="B446" vm="1325">
        <f ca="1"/>
        <v>45939</v>
      </c>
      <c r="C446" vm="1326">
        <f ca="1"/>
        <v>305.52999999999997</v>
      </c>
      <c r="D446" vm="1327">
        <f ca="1"/>
        <v>7060332</v>
      </c>
      <c r="E446">
        <f t="shared" ca="1" si="126"/>
        <v>2157143235.96</v>
      </c>
      <c r="F446">
        <f ca="1">SUM($E$2:E446)/SUM($D$2:D446)</f>
        <v>231.94636579742527</v>
      </c>
      <c r="G446">
        <f ca="1">_xlfn.STDEV.P($C$2:C446)</f>
        <v>39.98784482831406</v>
      </c>
      <c r="H446">
        <f t="shared" ca="1" si="127"/>
        <v>271.93421062573935</v>
      </c>
      <c r="I446">
        <f t="shared" ca="1" si="128"/>
        <v>191.95852096911122</v>
      </c>
      <c r="J446">
        <f t="shared" ca="1" si="137"/>
        <v>310.93549999999993</v>
      </c>
      <c r="K446">
        <f t="shared" ca="1" si="138"/>
        <v>3.5096655636144423</v>
      </c>
      <c r="L446">
        <f t="shared" ca="1" si="139"/>
        <v>317.95483112722883</v>
      </c>
      <c r="M446">
        <f t="shared" ca="1" si="140"/>
        <v>303.91616887277104</v>
      </c>
      <c r="N446">
        <f t="shared" ca="1" si="129"/>
        <v>1.5</v>
      </c>
      <c r="O446">
        <f t="shared" ca="1" si="130"/>
        <v>1.5</v>
      </c>
      <c r="P446">
        <f t="shared" ca="1" si="131"/>
        <v>0</v>
      </c>
      <c r="Q446">
        <f t="shared" ca="1" si="135"/>
        <v>0.97591920928736997</v>
      </c>
      <c r="R446">
        <f t="shared" ca="1" si="136"/>
        <v>1.0935333085233248</v>
      </c>
      <c r="S446">
        <f t="shared" ca="1" si="133"/>
        <v>0.89244580085559766</v>
      </c>
      <c r="T446">
        <f t="shared" ca="1" si="134"/>
        <v>47.158328151438319</v>
      </c>
      <c r="U446">
        <f>70</f>
        <v>70</v>
      </c>
      <c r="V446">
        <f>30</f>
        <v>30</v>
      </c>
      <c r="W446">
        <f t="shared" ca="1" si="132"/>
        <v>308.76314525467643</v>
      </c>
      <c r="X446">
        <f t="shared" ca="1" si="142"/>
        <v>307.24998479580449</v>
      </c>
      <c r="Y446">
        <f t="shared" ca="1" si="141"/>
        <v>0.77301732764232156</v>
      </c>
      <c r="Z446">
        <f t="shared" ca="1" si="143"/>
        <v>2.6324968672223545</v>
      </c>
      <c r="AA446">
        <f t="shared" ca="1" si="144"/>
        <v>-1.859479539580033</v>
      </c>
      <c r="AB446">
        <f t="shared" ca="1" si="145"/>
        <v>290.16969999999992</v>
      </c>
    </row>
    <row r="447" spans="1:28" x14ac:dyDescent="0.25">
      <c r="A447" s="20">
        <f t="shared" ca="1" si="125"/>
        <v>45936</v>
      </c>
      <c r="B447" vm="1328">
        <f ca="1"/>
        <v>45940</v>
      </c>
      <c r="C447" vm="1329">
        <f ca="1"/>
        <v>300.89</v>
      </c>
      <c r="D447" vm="1330">
        <f ca="1"/>
        <v>8597384</v>
      </c>
      <c r="E447">
        <f t="shared" ca="1" si="126"/>
        <v>2586866871.7599998</v>
      </c>
      <c r="F447">
        <f ca="1">SUM($E$2:E447)/SUM($D$2:D447)</f>
        <v>232.09015433256593</v>
      </c>
      <c r="G447">
        <f ca="1">_xlfn.STDEV.P($C$2:C447)</f>
        <v>40.069033476733942</v>
      </c>
      <c r="H447">
        <f t="shared" ca="1" si="127"/>
        <v>272.15918780929985</v>
      </c>
      <c r="I447">
        <f t="shared" ca="1" si="128"/>
        <v>192.02112085583198</v>
      </c>
      <c r="J447">
        <f t="shared" ca="1" si="137"/>
        <v>310.63449999999995</v>
      </c>
      <c r="K447">
        <f t="shared" ca="1" si="138"/>
        <v>4.0841973700954748</v>
      </c>
      <c r="L447">
        <f t="shared" ca="1" si="139"/>
        <v>318.80289474019088</v>
      </c>
      <c r="M447">
        <f t="shared" ca="1" si="140"/>
        <v>302.46610525980901</v>
      </c>
      <c r="N447">
        <f t="shared" ca="1" si="129"/>
        <v>-4.6399999999999864</v>
      </c>
      <c r="O447">
        <f t="shared" ca="1" si="130"/>
        <v>0</v>
      </c>
      <c r="P447">
        <f t="shared" ca="1" si="131"/>
        <v>4.6399999999999864</v>
      </c>
      <c r="Q447">
        <f t="shared" ca="1" si="135"/>
        <v>0.90621069433827206</v>
      </c>
      <c r="R447">
        <f t="shared" ca="1" si="136"/>
        <v>1.3468523579145146</v>
      </c>
      <c r="S447">
        <f t="shared" ca="1" si="133"/>
        <v>0.67283595637866467</v>
      </c>
      <c r="T447">
        <f t="shared" ca="1" si="134"/>
        <v>40.221275362541348</v>
      </c>
      <c r="U447">
        <f>70</f>
        <v>70</v>
      </c>
      <c r="V447">
        <f>30</f>
        <v>30</v>
      </c>
      <c r="W447">
        <f t="shared" ca="1" si="132"/>
        <v>307.55189213857238</v>
      </c>
      <c r="X447">
        <f t="shared" ca="1" si="142"/>
        <v>306.77887481093006</v>
      </c>
      <c r="Y447">
        <f t="shared" ca="1" si="141"/>
        <v>0.74911011852913134</v>
      </c>
      <c r="Z447">
        <f t="shared" ca="1" si="143"/>
        <v>2.2558195174837099</v>
      </c>
      <c r="AA447">
        <f t="shared" ca="1" si="144"/>
        <v>-1.5067093989545786</v>
      </c>
      <c r="AB447">
        <f t="shared" ca="1" si="145"/>
        <v>290.52979999999997</v>
      </c>
    </row>
    <row r="448" spans="1:28" x14ac:dyDescent="0.25">
      <c r="A448" s="20">
        <f t="shared" ca="1" si="125"/>
        <v>45943</v>
      </c>
      <c r="B448" vm="1331">
        <f ca="1"/>
        <v>45943</v>
      </c>
      <c r="C448" vm="1332">
        <f ca="1"/>
        <v>307.97000000000003</v>
      </c>
      <c r="D448" vm="1333">
        <f ca="1"/>
        <v>10788680</v>
      </c>
      <c r="E448">
        <f t="shared" ca="1" si="126"/>
        <v>3322589779.6000004</v>
      </c>
      <c r="F448">
        <f ca="1">SUM($E$2:E448)/SUM($D$2:D448)</f>
        <v>232.28822646382667</v>
      </c>
      <c r="G448">
        <f ca="1">_xlfn.STDEV.P($C$2:C448)</f>
        <v>40.176887968371382</v>
      </c>
      <c r="H448">
        <f t="shared" ca="1" si="127"/>
        <v>272.46511443219805</v>
      </c>
      <c r="I448">
        <f t="shared" ca="1" si="128"/>
        <v>192.1113384954553</v>
      </c>
      <c r="J448">
        <f t="shared" ca="1" si="137"/>
        <v>310.58800000000002</v>
      </c>
      <c r="K448">
        <f t="shared" ca="1" si="138"/>
        <v>4.1101960511570983</v>
      </c>
      <c r="L448">
        <f t="shared" ca="1" si="139"/>
        <v>318.8083921023142</v>
      </c>
      <c r="M448">
        <f t="shared" ca="1" si="140"/>
        <v>302.36760789768584</v>
      </c>
      <c r="N448">
        <f t="shared" ca="1" si="129"/>
        <v>7.0800000000000409</v>
      </c>
      <c r="O448">
        <f t="shared" ca="1" si="130"/>
        <v>7.0800000000000409</v>
      </c>
      <c r="P448">
        <f t="shared" ca="1" si="131"/>
        <v>0</v>
      </c>
      <c r="Q448">
        <f t="shared" ca="1" si="135"/>
        <v>1.3471956447426841</v>
      </c>
      <c r="R448">
        <f t="shared" ca="1" si="136"/>
        <v>1.2506486180634779</v>
      </c>
      <c r="S448">
        <f t="shared" ca="1" si="133"/>
        <v>1.0771975639558142</v>
      </c>
      <c r="T448">
        <f t="shared" ca="1" si="134"/>
        <v>51.858214290623359</v>
      </c>
      <c r="U448">
        <f>70</f>
        <v>70</v>
      </c>
      <c r="V448">
        <f>30</f>
        <v>30</v>
      </c>
      <c r="W448">
        <f t="shared" ca="1" si="132"/>
        <v>307.61621642494583</v>
      </c>
      <c r="X448">
        <f t="shared" ca="1" si="142"/>
        <v>306.8671063064167</v>
      </c>
      <c r="Y448">
        <f t="shared" ca="1" si="141"/>
        <v>0.25198498183328866</v>
      </c>
      <c r="Z448">
        <f t="shared" ca="1" si="143"/>
        <v>1.8550526103536258</v>
      </c>
      <c r="AA448">
        <f t="shared" ca="1" si="144"/>
        <v>-1.6030676285203371</v>
      </c>
      <c r="AB448">
        <f t="shared" ca="1" si="145"/>
        <v>290.95269999999999</v>
      </c>
    </row>
    <row r="449" spans="1:28" x14ac:dyDescent="0.25">
      <c r="A449" s="20">
        <f t="shared" ca="1" si="125"/>
        <v>45943</v>
      </c>
      <c r="B449" vm="1334">
        <f ca="1"/>
        <v>45944</v>
      </c>
      <c r="C449" vm="1335">
        <f ca="1"/>
        <v>302.08</v>
      </c>
      <c r="D449" vm="1336">
        <f ca="1"/>
        <v>16178755</v>
      </c>
      <c r="E449">
        <f t="shared" ca="1" si="126"/>
        <v>4887278310.3999996</v>
      </c>
      <c r="F449">
        <f ca="1">SUM($E$2:E449)/SUM($D$2:D449)</f>
        <v>232.56035948305467</v>
      </c>
      <c r="G449">
        <f ca="1">_xlfn.STDEV.P($C$2:C449)</f>
        <v>40.260182650023694</v>
      </c>
      <c r="H449">
        <f t="shared" ca="1" si="127"/>
        <v>272.82054213307833</v>
      </c>
      <c r="I449">
        <f t="shared" ca="1" si="128"/>
        <v>192.30017683303097</v>
      </c>
      <c r="J449">
        <f t="shared" ca="1" si="137"/>
        <v>310.23249999999996</v>
      </c>
      <c r="K449">
        <f t="shared" ca="1" si="138"/>
        <v>4.5241141907036742</v>
      </c>
      <c r="L449">
        <f t="shared" ca="1" si="139"/>
        <v>319.2807283814073</v>
      </c>
      <c r="M449">
        <f t="shared" ca="1" si="140"/>
        <v>301.18427161859262</v>
      </c>
      <c r="N449">
        <f t="shared" ca="1" si="129"/>
        <v>-5.8900000000000432</v>
      </c>
      <c r="O449">
        <f t="shared" ca="1" si="130"/>
        <v>0</v>
      </c>
      <c r="P449">
        <f t="shared" ca="1" si="131"/>
        <v>5.8900000000000432</v>
      </c>
      <c r="Q449">
        <f t="shared" ca="1" si="135"/>
        <v>1.2509673844039209</v>
      </c>
      <c r="R449">
        <f t="shared" ca="1" si="136"/>
        <v>1.5820308596303754</v>
      </c>
      <c r="S449">
        <f t="shared" ca="1" si="133"/>
        <v>0.79073513439314069</v>
      </c>
      <c r="T449">
        <f t="shared" ca="1" si="134"/>
        <v>44.157012346837753</v>
      </c>
      <c r="U449">
        <f>70</f>
        <v>70</v>
      </c>
      <c r="V449">
        <f>30</f>
        <v>30</v>
      </c>
      <c r="W449">
        <f t="shared" ca="1" si="132"/>
        <v>306.76449082110798</v>
      </c>
      <c r="X449">
        <f t="shared" ca="1" si="142"/>
        <v>306.5125058392747</v>
      </c>
      <c r="Y449">
        <f t="shared" ca="1" si="141"/>
        <v>0.14760506012765973</v>
      </c>
      <c r="Z449">
        <f t="shared" ca="1" si="143"/>
        <v>1.5135631003084327</v>
      </c>
      <c r="AA449">
        <f t="shared" ca="1" si="144"/>
        <v>-1.3659580401807729</v>
      </c>
      <c r="AB449">
        <f t="shared" ca="1" si="145"/>
        <v>291.36310000000003</v>
      </c>
    </row>
    <row r="450" spans="1:28" x14ac:dyDescent="0.25">
      <c r="A450" s="20">
        <f t="shared" ca="1" si="125"/>
        <v>45943</v>
      </c>
      <c r="B450" vm="1337">
        <f ca="1"/>
        <v>45945</v>
      </c>
      <c r="C450" vm="1338">
        <f ca="1"/>
        <v>305.69</v>
      </c>
      <c r="D450" vm="1339">
        <f ca="1"/>
        <v>11354778</v>
      </c>
      <c r="E450">
        <f t="shared" ca="1" si="126"/>
        <v>3471042086.8200002</v>
      </c>
      <c r="F450">
        <f ca="1">SUM($E$2:E450)/SUM($D$2:D450)</f>
        <v>232.75993953358565</v>
      </c>
      <c r="G450">
        <f ca="1">_xlfn.STDEV.P($C$2:C450)</f>
        <v>40.356219356042693</v>
      </c>
      <c r="H450">
        <f t="shared" ca="1" si="127"/>
        <v>273.11615888962837</v>
      </c>
      <c r="I450">
        <f t="shared" ca="1" si="128"/>
        <v>192.40372017754297</v>
      </c>
      <c r="J450">
        <f t="shared" ca="1" si="137"/>
        <v>309.92950000000002</v>
      </c>
      <c r="K450">
        <f t="shared" ca="1" si="138"/>
        <v>4.6190674326500654</v>
      </c>
      <c r="L450">
        <f t="shared" ca="1" si="139"/>
        <v>319.16763486530016</v>
      </c>
      <c r="M450">
        <f t="shared" ca="1" si="140"/>
        <v>300.69136513469988</v>
      </c>
      <c r="N450">
        <f t="shared" ca="1" si="129"/>
        <v>3.6100000000000136</v>
      </c>
      <c r="O450">
        <f t="shared" ca="1" si="130"/>
        <v>3.6100000000000136</v>
      </c>
      <c r="P450">
        <f t="shared" ca="1" si="131"/>
        <v>0</v>
      </c>
      <c r="Q450">
        <f t="shared" ca="1" si="135"/>
        <v>1.419469714089356</v>
      </c>
      <c r="R450">
        <f t="shared" ca="1" si="136"/>
        <v>1.4690286553710628</v>
      </c>
      <c r="S450">
        <f t="shared" ca="1" si="133"/>
        <v>0.96626414256760118</v>
      </c>
      <c r="T450">
        <f t="shared" ca="1" si="134"/>
        <v>49.142133126927042</v>
      </c>
      <c r="U450">
        <f>70</f>
        <v>70</v>
      </c>
      <c r="V450">
        <f>30</f>
        <v>30</v>
      </c>
      <c r="W450">
        <f t="shared" ca="1" si="132"/>
        <v>306.59918454093753</v>
      </c>
      <c r="X450">
        <f t="shared" ca="1" si="142"/>
        <v>306.45157948080987</v>
      </c>
      <c r="Y450">
        <f t="shared" ca="1" si="141"/>
        <v>-0.50622656012751577</v>
      </c>
      <c r="Z450">
        <f t="shared" ca="1" si="143"/>
        <v>1.1096051682212429</v>
      </c>
      <c r="AA450">
        <f t="shared" ca="1" si="144"/>
        <v>-1.6158317283487587</v>
      </c>
      <c r="AB450">
        <f t="shared" ca="1" si="145"/>
        <v>291.81329999999997</v>
      </c>
    </row>
    <row r="451" spans="1:28" x14ac:dyDescent="0.25">
      <c r="A451" s="20">
        <f t="shared" ref="A451:A514" ca="1" si="146">B451 - WEEKDAY(B451, 2) + 1</f>
        <v>45943</v>
      </c>
      <c r="B451" vm="1340">
        <f ca="1"/>
        <v>45946</v>
      </c>
      <c r="C451" vm="1341">
        <f ca="1"/>
        <v>298.54000000000002</v>
      </c>
      <c r="D451" vm="1342">
        <f ca="1"/>
        <v>10549447</v>
      </c>
      <c r="E451">
        <f t="shared" ref="E451:E514" ca="1" si="147">C451*D451</f>
        <v>3149431907.3800001</v>
      </c>
      <c r="F451">
        <f ca="1">SUM($E$2:E451)/SUM($D$2:D451)</f>
        <v>232.92630731181609</v>
      </c>
      <c r="G451">
        <f ca="1">_xlfn.STDEV.P($C$2:C451)</f>
        <v>40.42442328782856</v>
      </c>
      <c r="H451">
        <f t="shared" ref="H451:H514" ca="1" si="148">F451 + G451</f>
        <v>273.35073059964463</v>
      </c>
      <c r="I451">
        <f t="shared" ref="I451:I514" ca="1" si="149">F451 - G451</f>
        <v>192.50188402398754</v>
      </c>
      <c r="J451">
        <f t="shared" ca="1" si="137"/>
        <v>309.19499999999999</v>
      </c>
      <c r="K451">
        <f t="shared" ca="1" si="138"/>
        <v>5.1982664114308852</v>
      </c>
      <c r="L451">
        <f t="shared" ca="1" si="139"/>
        <v>319.59153282286178</v>
      </c>
      <c r="M451">
        <f t="shared" ca="1" si="140"/>
        <v>298.79846717713821</v>
      </c>
      <c r="N451">
        <f t="shared" ca="1" si="129"/>
        <v>-7.1499999999999773</v>
      </c>
      <c r="O451">
        <f t="shared" ca="1" si="130"/>
        <v>0</v>
      </c>
      <c r="P451">
        <f t="shared" ca="1" si="131"/>
        <v>7.1499999999999773</v>
      </c>
      <c r="Q451">
        <f t="shared" ca="1" si="135"/>
        <v>1.3180790202258306</v>
      </c>
      <c r="R451">
        <f t="shared" ca="1" si="136"/>
        <v>1.8748123228445566</v>
      </c>
      <c r="S451">
        <f t="shared" ca="1" si="133"/>
        <v>0.70304584846443552</v>
      </c>
      <c r="T451">
        <f t="shared" ca="1" si="134"/>
        <v>41.281674776891194</v>
      </c>
      <c r="U451">
        <f>70</f>
        <v>70</v>
      </c>
      <c r="V451">
        <f>30</f>
        <v>30</v>
      </c>
      <c r="W451">
        <f t="shared" ca="1" si="132"/>
        <v>305.35930999617796</v>
      </c>
      <c r="X451">
        <f t="shared" ca="1" si="142"/>
        <v>305.86553655630547</v>
      </c>
      <c r="Y451">
        <f t="shared" ca="1" si="141"/>
        <v>-1.0908954755966533</v>
      </c>
      <c r="Z451">
        <f t="shared" ca="1" si="143"/>
        <v>0.66950503945766371</v>
      </c>
      <c r="AA451">
        <f t="shared" ca="1" si="144"/>
        <v>-1.7604005150543172</v>
      </c>
      <c r="AB451">
        <f t="shared" ca="1" si="145"/>
        <v>292.19159999999999</v>
      </c>
    </row>
    <row r="452" spans="1:28" x14ac:dyDescent="0.25">
      <c r="A452" s="20">
        <f t="shared" ca="1" si="146"/>
        <v>45943</v>
      </c>
      <c r="B452" vm="1343">
        <f ca="1"/>
        <v>45947</v>
      </c>
      <c r="C452" vm="1344">
        <f ca="1"/>
        <v>297.56</v>
      </c>
      <c r="D452" vm="1345">
        <f ca="1"/>
        <v>10153454</v>
      </c>
      <c r="E452">
        <f t="shared" ca="1" si="147"/>
        <v>3021261772.2400002</v>
      </c>
      <c r="F452">
        <f ca="1">SUM($E$2:E452)/SUM($D$2:D452)</f>
        <v>233.08325761053476</v>
      </c>
      <c r="G452">
        <f ca="1">_xlfn.STDEV.P($C$2:C452)</f>
        <v>40.488309916220608</v>
      </c>
      <c r="H452">
        <f t="shared" ca="1" si="148"/>
        <v>273.57156752675536</v>
      </c>
      <c r="I452">
        <f t="shared" ca="1" si="149"/>
        <v>192.59494769431416</v>
      </c>
      <c r="J452">
        <f t="shared" ca="1" si="137"/>
        <v>308.334</v>
      </c>
      <c r="K452">
        <f t="shared" ca="1" si="138"/>
        <v>5.6324813639984184</v>
      </c>
      <c r="L452">
        <f t="shared" ca="1" si="139"/>
        <v>319.59896272799682</v>
      </c>
      <c r="M452">
        <f t="shared" ca="1" si="140"/>
        <v>297.06903727200319</v>
      </c>
      <c r="N452">
        <f t="shared" ref="N452:N514" ca="1" si="150">C452-C451</f>
        <v>-0.98000000000001819</v>
      </c>
      <c r="O452">
        <f t="shared" ref="O452:O514" ca="1" si="151">MAX(N452,0)</f>
        <v>0</v>
      </c>
      <c r="P452">
        <f t="shared" ref="P452:P514" ca="1" si="152">MAX(-N452,0)</f>
        <v>0.98000000000001819</v>
      </c>
      <c r="Q452">
        <f t="shared" ca="1" si="135"/>
        <v>1.2239305187811282</v>
      </c>
      <c r="R452">
        <f t="shared" ca="1" si="136"/>
        <v>1.8108971569270895</v>
      </c>
      <c r="S452">
        <f t="shared" ca="1" si="133"/>
        <v>0.67586970033020277</v>
      </c>
      <c r="T452">
        <f t="shared" ca="1" si="134"/>
        <v>40.329489828298328</v>
      </c>
      <c r="U452">
        <f>70</f>
        <v>70</v>
      </c>
      <c r="V452">
        <f>30</f>
        <v>30</v>
      </c>
      <c r="W452">
        <f t="shared" ca="1" si="132"/>
        <v>304.15941615061212</v>
      </c>
      <c r="X452">
        <f t="shared" ca="1" si="142"/>
        <v>305.25031162620877</v>
      </c>
      <c r="Y452">
        <f t="shared" ca="1" si="141"/>
        <v>-1.1536315720400125</v>
      </c>
      <c r="Z452">
        <f t="shared" ca="1" si="143"/>
        <v>0.3048777171581285</v>
      </c>
      <c r="AA452">
        <f t="shared" ca="1" si="144"/>
        <v>-1.458509289198141</v>
      </c>
      <c r="AB452">
        <f t="shared" ca="1" si="145"/>
        <v>292.51430000000005</v>
      </c>
    </row>
    <row r="453" spans="1:28" x14ac:dyDescent="0.25">
      <c r="A453" s="20">
        <f t="shared" ca="1" si="146"/>
        <v>45950</v>
      </c>
      <c r="B453" vm="1346">
        <f ca="1"/>
        <v>45950</v>
      </c>
      <c r="C453" vm="1347">
        <f ca="1"/>
        <v>302.36</v>
      </c>
      <c r="D453" vm="1348">
        <f ca="1"/>
        <v>6894943</v>
      </c>
      <c r="E453">
        <f t="shared" ca="1" si="147"/>
        <v>2084754965.48</v>
      </c>
      <c r="F453">
        <f ca="1">SUM($E$2:E453)/SUM($D$2:D453)</f>
        <v>233.19730673328314</v>
      </c>
      <c r="G453">
        <f ca="1">_xlfn.STDEV.P($C$2:C453)</f>
        <v>40.568394934909826</v>
      </c>
      <c r="H453">
        <f t="shared" ca="1" si="148"/>
        <v>273.76570166819295</v>
      </c>
      <c r="I453">
        <f t="shared" ca="1" si="149"/>
        <v>192.62891179837331</v>
      </c>
      <c r="J453">
        <f t="shared" ca="1" si="137"/>
        <v>307.83</v>
      </c>
      <c r="K453">
        <f t="shared" ca="1" si="138"/>
        <v>5.696357099982964</v>
      </c>
      <c r="L453">
        <f t="shared" ca="1" si="139"/>
        <v>319.22271419996594</v>
      </c>
      <c r="M453">
        <f t="shared" ca="1" si="140"/>
        <v>296.43728580003403</v>
      </c>
      <c r="N453">
        <f t="shared" ca="1" si="150"/>
        <v>4.8000000000000114</v>
      </c>
      <c r="O453">
        <f t="shared" ca="1" si="151"/>
        <v>4.8000000000000114</v>
      </c>
      <c r="P453">
        <f t="shared" ca="1" si="152"/>
        <v>0</v>
      </c>
      <c r="Q453">
        <f t="shared" ca="1" si="135"/>
        <v>1.4793640531539058</v>
      </c>
      <c r="R453">
        <f t="shared" ca="1" si="136"/>
        <v>1.6815473600037261</v>
      </c>
      <c r="S453">
        <f t="shared" ca="1" si="133"/>
        <v>0.87976353704996324</v>
      </c>
      <c r="T453">
        <f t="shared" ca="1" si="134"/>
        <v>46.801819468773935</v>
      </c>
      <c r="U453">
        <f>70</f>
        <v>70</v>
      </c>
      <c r="V453">
        <f>30</f>
        <v>30</v>
      </c>
      <c r="W453">
        <f t="shared" ca="1" si="132"/>
        <v>303.88258289667181</v>
      </c>
      <c r="X453">
        <f t="shared" ca="1" si="142"/>
        <v>305.03621446871182</v>
      </c>
      <c r="Y453">
        <f t="shared" ca="1" si="141"/>
        <v>-1.6100358462103372</v>
      </c>
      <c r="Z453">
        <f t="shared" ca="1" si="143"/>
        <v>-7.8104995515564657E-2</v>
      </c>
      <c r="AA453">
        <f t="shared" ca="1" si="144"/>
        <v>-1.5319308506947726</v>
      </c>
      <c r="AB453">
        <f t="shared" ca="1" si="145"/>
        <v>292.90300000000002</v>
      </c>
    </row>
    <row r="454" spans="1:28" x14ac:dyDescent="0.25">
      <c r="A454" s="20">
        <f t="shared" ca="1" si="146"/>
        <v>45950</v>
      </c>
      <c r="B454" vm="1349">
        <f ca="1"/>
        <v>45951</v>
      </c>
      <c r="C454" vm="1350">
        <f ca="1"/>
        <v>297.08999999999997</v>
      </c>
      <c r="D454" vm="1351">
        <f ca="1"/>
        <v>7372671</v>
      </c>
      <c r="E454">
        <f t="shared" ca="1" si="147"/>
        <v>2190346827.3899999</v>
      </c>
      <c r="F454">
        <f ca="1">SUM($E$2:E454)/SUM($D$2:D454)</f>
        <v>233.30958249839662</v>
      </c>
      <c r="G454">
        <f ca="1">_xlfn.STDEV.P($C$2:C454)</f>
        <v>40.628878389297462</v>
      </c>
      <c r="H454">
        <f t="shared" ca="1" si="148"/>
        <v>273.93846088769408</v>
      </c>
      <c r="I454">
        <f t="shared" ca="1" si="149"/>
        <v>192.68070410909917</v>
      </c>
      <c r="J454">
        <f t="shared" ca="1" si="137"/>
        <v>307.04749999999996</v>
      </c>
      <c r="K454">
        <f t="shared" ca="1" si="138"/>
        <v>6.0502917502512155</v>
      </c>
      <c r="L454">
        <f t="shared" ca="1" si="139"/>
        <v>319.14808350050237</v>
      </c>
      <c r="M454">
        <f t="shared" ca="1" si="140"/>
        <v>294.94691649949755</v>
      </c>
      <c r="N454">
        <f t="shared" ca="1" si="150"/>
        <v>-5.2700000000000387</v>
      </c>
      <c r="O454">
        <f t="shared" ca="1" si="151"/>
        <v>0</v>
      </c>
      <c r="P454">
        <f t="shared" ca="1" si="152"/>
        <v>5.2700000000000387</v>
      </c>
      <c r="Q454">
        <f t="shared" ca="1" si="135"/>
        <v>1.3736951922143412</v>
      </c>
      <c r="R454">
        <f t="shared" ca="1" si="136"/>
        <v>1.9378654057177482</v>
      </c>
      <c r="S454">
        <f t="shared" ca="1" si="133"/>
        <v>0.70887027972180083</v>
      </c>
      <c r="T454">
        <f t="shared" ca="1" si="134"/>
        <v>41.481807491976681</v>
      </c>
      <c r="U454">
        <f>70</f>
        <v>70</v>
      </c>
      <c r="V454">
        <f>30</f>
        <v>30</v>
      </c>
      <c r="W454">
        <f t="shared" ca="1" si="132"/>
        <v>302.83757014333764</v>
      </c>
      <c r="X454">
        <f t="shared" ca="1" si="142"/>
        <v>304.44760598954798</v>
      </c>
      <c r="Y454">
        <f t="shared" ca="1" si="141"/>
        <v>-2.1869903533669799</v>
      </c>
      <c r="Z454">
        <f t="shared" ca="1" si="143"/>
        <v>-0.4998820670858477</v>
      </c>
      <c r="AA454">
        <f t="shared" ca="1" si="144"/>
        <v>-1.6871082862811322</v>
      </c>
      <c r="AB454">
        <f t="shared" ca="1" si="145"/>
        <v>293.23020000000002</v>
      </c>
    </row>
    <row r="455" spans="1:28" x14ac:dyDescent="0.25">
      <c r="A455" s="20">
        <f t="shared" ca="1" si="146"/>
        <v>45950</v>
      </c>
      <c r="B455" vm="1352">
        <f ca="1"/>
        <v>45952</v>
      </c>
      <c r="C455" vm="1353">
        <f ca="1"/>
        <v>294.11</v>
      </c>
      <c r="D455" vm="1354">
        <f ca="1"/>
        <v>8054115</v>
      </c>
      <c r="E455">
        <f t="shared" ca="1" si="147"/>
        <v>2368795762.6500001</v>
      </c>
      <c r="F455">
        <f ca="1">SUM($E$2:E455)/SUM($D$2:D455)</f>
        <v>233.42607593472545</v>
      </c>
      <c r="G455">
        <f ca="1">_xlfn.STDEV.P($C$2:C455)</f>
        <v>40.678780119778445</v>
      </c>
      <c r="H455">
        <f t="shared" ca="1" si="148"/>
        <v>274.1048560545039</v>
      </c>
      <c r="I455">
        <f t="shared" ca="1" si="149"/>
        <v>192.74729581494699</v>
      </c>
      <c r="J455">
        <f t="shared" ca="1" si="137"/>
        <v>306.08199999999994</v>
      </c>
      <c r="K455">
        <f t="shared" ca="1" si="138"/>
        <v>6.5036059633341701</v>
      </c>
      <c r="L455">
        <f t="shared" ca="1" si="139"/>
        <v>319.08921192666827</v>
      </c>
      <c r="M455">
        <f t="shared" ca="1" si="140"/>
        <v>293.0747880733316</v>
      </c>
      <c r="N455">
        <f t="shared" ca="1" si="150"/>
        <v>-2.9799999999999613</v>
      </c>
      <c r="O455">
        <f t="shared" ca="1" si="151"/>
        <v>0</v>
      </c>
      <c r="P455">
        <f t="shared" ca="1" si="152"/>
        <v>2.9799999999999613</v>
      </c>
      <c r="Q455">
        <f t="shared" ca="1" si="135"/>
        <v>1.2755741070561741</v>
      </c>
      <c r="R455">
        <f t="shared" ca="1" si="136"/>
        <v>2.0123035910236209</v>
      </c>
      <c r="S455">
        <f t="shared" ca="1" si="133"/>
        <v>0.63388750720626286</v>
      </c>
      <c r="T455">
        <f t="shared" ca="1" si="134"/>
        <v>38.796276023318697</v>
      </c>
      <c r="U455">
        <f>70</f>
        <v>70</v>
      </c>
      <c r="V455">
        <f>30</f>
        <v>30</v>
      </c>
      <c r="W455">
        <f t="shared" ca="1" si="132"/>
        <v>301.49486704436265</v>
      </c>
      <c r="X455">
        <f t="shared" ca="1" si="142"/>
        <v>303.68185739772963</v>
      </c>
      <c r="Y455">
        <f t="shared" ca="1" si="141"/>
        <v>-2.5797952765994978</v>
      </c>
      <c r="Z455">
        <f t="shared" ca="1" si="143"/>
        <v>-0.91586470898857786</v>
      </c>
      <c r="AA455">
        <f t="shared" ca="1" si="144"/>
        <v>-1.66393056761092</v>
      </c>
      <c r="AB455">
        <f t="shared" ca="1" si="145"/>
        <v>293.53129999999999</v>
      </c>
    </row>
    <row r="456" spans="1:28" x14ac:dyDescent="0.25">
      <c r="A456" s="20">
        <f t="shared" ca="1" si="146"/>
        <v>45950</v>
      </c>
      <c r="B456" vm="1355">
        <f ca="1"/>
        <v>45953</v>
      </c>
      <c r="C456" vm="1356">
        <f ca="1"/>
        <v>294.54000000000002</v>
      </c>
      <c r="D456" vm="1357">
        <f ca="1"/>
        <v>5438810</v>
      </c>
      <c r="E456">
        <f t="shared" ca="1" si="147"/>
        <v>1601947097.4000001</v>
      </c>
      <c r="F456">
        <f ca="1">SUM($E$2:E456)/SUM($D$2:D456)</f>
        <v>233.50504546981199</v>
      </c>
      <c r="G456">
        <f ca="1">_xlfn.STDEV.P($C$2:C456)</f>
        <v>40.729359308316475</v>
      </c>
      <c r="H456">
        <f t="shared" ca="1" si="148"/>
        <v>274.23440477812846</v>
      </c>
      <c r="I456">
        <f t="shared" ca="1" si="149"/>
        <v>192.77568616149551</v>
      </c>
      <c r="J456">
        <f t="shared" ca="1" si="137"/>
        <v>305.13649999999996</v>
      </c>
      <c r="K456">
        <f t="shared" ca="1" si="138"/>
        <v>6.7461172263442712</v>
      </c>
      <c r="L456">
        <f t="shared" ca="1" si="139"/>
        <v>318.62873445268849</v>
      </c>
      <c r="M456">
        <f t="shared" ca="1" si="140"/>
        <v>291.64426554731142</v>
      </c>
      <c r="N456">
        <f t="shared" ca="1" si="150"/>
        <v>0.43000000000000682</v>
      </c>
      <c r="O456">
        <f t="shared" ca="1" si="151"/>
        <v>0.43000000000000682</v>
      </c>
      <c r="P456">
        <f t="shared" ca="1" si="152"/>
        <v>0</v>
      </c>
      <c r="Q456">
        <f t="shared" ca="1" si="135"/>
        <v>1.2151759565521623</v>
      </c>
      <c r="R456">
        <f t="shared" ca="1" si="136"/>
        <v>1.8685676202362196</v>
      </c>
      <c r="S456">
        <f t="shared" ca="1" si="133"/>
        <v>0.65032484957571024</v>
      </c>
      <c r="T456">
        <f t="shared" ca="1" si="134"/>
        <v>39.4058690774065</v>
      </c>
      <c r="U456">
        <f>70</f>
        <v>70</v>
      </c>
      <c r="V456">
        <f>30</f>
        <v>30</v>
      </c>
      <c r="W456">
        <f t="shared" ca="1" si="132"/>
        <v>300.42488749907608</v>
      </c>
      <c r="X456">
        <f t="shared" ca="1" si="142"/>
        <v>303.00468277567558</v>
      </c>
      <c r="Y456">
        <f t="shared" ca="1" si="141"/>
        <v>-2.3874937745554803</v>
      </c>
      <c r="Z456">
        <f t="shared" ca="1" si="143"/>
        <v>-1.2101905221019584</v>
      </c>
      <c r="AA456">
        <f t="shared" ca="1" si="144"/>
        <v>-1.1773032524535219</v>
      </c>
      <c r="AB456">
        <f t="shared" ca="1" si="145"/>
        <v>293.83009999999996</v>
      </c>
    </row>
    <row r="457" spans="1:28" x14ac:dyDescent="0.25">
      <c r="A457" s="20">
        <f t="shared" ca="1" si="146"/>
        <v>45950</v>
      </c>
      <c r="B457" vm="1358">
        <f ca="1"/>
        <v>45954</v>
      </c>
      <c r="C457" vm="1359">
        <f ca="1"/>
        <v>300.44</v>
      </c>
      <c r="D457" vm="1360">
        <f ca="1"/>
        <v>7228330</v>
      </c>
      <c r="E457">
        <f t="shared" ca="1" si="147"/>
        <v>2171679465.1999998</v>
      </c>
      <c r="F457">
        <f ca="1">SUM($E$2:E457)/SUM($D$2:D457)</f>
        <v>233.61979773864391</v>
      </c>
      <c r="G457">
        <f ca="1">_xlfn.STDEV.P($C$2:C457)</f>
        <v>40.798951785564356</v>
      </c>
      <c r="H457">
        <f t="shared" ca="1" si="148"/>
        <v>274.41874952420824</v>
      </c>
      <c r="I457">
        <f t="shared" ca="1" si="149"/>
        <v>192.82084595307956</v>
      </c>
      <c r="J457">
        <f t="shared" ca="1" si="137"/>
        <v>304.35549999999995</v>
      </c>
      <c r="K457">
        <f t="shared" ca="1" si="138"/>
        <v>6.3046636664748732</v>
      </c>
      <c r="L457">
        <f t="shared" ca="1" si="139"/>
        <v>316.96482733294971</v>
      </c>
      <c r="M457">
        <f t="shared" ca="1" si="140"/>
        <v>291.74617266705019</v>
      </c>
      <c r="N457">
        <f t="shared" ca="1" si="150"/>
        <v>5.8999999999999773</v>
      </c>
      <c r="O457">
        <f t="shared" ca="1" si="151"/>
        <v>5.8999999999999773</v>
      </c>
      <c r="P457">
        <f t="shared" ca="1" si="152"/>
        <v>0</v>
      </c>
      <c r="Q457">
        <f t="shared" ca="1" si="135"/>
        <v>1.5498062453698633</v>
      </c>
      <c r="R457">
        <f t="shared" ca="1" si="136"/>
        <v>1.7350985045050611</v>
      </c>
      <c r="S457">
        <f t="shared" ca="1" si="133"/>
        <v>0.89320937188632266</v>
      </c>
      <c r="T457">
        <f t="shared" ca="1" si="134"/>
        <v>47.17964030551795</v>
      </c>
      <c r="U457">
        <f>70</f>
        <v>70</v>
      </c>
      <c r="V457">
        <f>30</f>
        <v>30</v>
      </c>
      <c r="W457">
        <f t="shared" ca="1" si="132"/>
        <v>300.42721249921823</v>
      </c>
      <c r="X457">
        <f t="shared" ca="1" si="142"/>
        <v>302.81470627377371</v>
      </c>
      <c r="Y457">
        <f t="shared" ca="1" si="141"/>
        <v>-1.9136678823608122</v>
      </c>
      <c r="Z457">
        <f t="shared" ca="1" si="143"/>
        <v>-1.3508859941537292</v>
      </c>
      <c r="AA457">
        <f t="shared" ca="1" si="144"/>
        <v>-0.56278188820708297</v>
      </c>
      <c r="AB457">
        <f t="shared" ca="1" si="145"/>
        <v>294.17179999999996</v>
      </c>
    </row>
    <row r="458" spans="1:28" x14ac:dyDescent="0.25">
      <c r="A458" s="20">
        <f t="shared" ca="1" si="146"/>
        <v>45957</v>
      </c>
      <c r="B458" vm="1361">
        <f ca="1"/>
        <v>45957</v>
      </c>
      <c r="C458" vm="1362">
        <f ca="1"/>
        <v>304.14999999999998</v>
      </c>
      <c r="D458" vm="1363">
        <f ca="1"/>
        <v>5642222</v>
      </c>
      <c r="E458">
        <f t="shared" ca="1" si="147"/>
        <v>1716081821.3</v>
      </c>
      <c r="F458">
        <f ca="1">SUM($E$2:E458)/SUM($D$2:D458)</f>
        <v>233.71405500764169</v>
      </c>
      <c r="G458">
        <f ca="1">_xlfn.STDEV.P($C$2:C458)</f>
        <v>40.880891690859485</v>
      </c>
      <c r="H458">
        <f t="shared" ca="1" si="148"/>
        <v>274.59494669850119</v>
      </c>
      <c r="I458">
        <f t="shared" ca="1" si="149"/>
        <v>192.83316331678219</v>
      </c>
      <c r="J458">
        <f t="shared" ca="1" si="137"/>
        <v>303.77849999999989</v>
      </c>
      <c r="K458">
        <f t="shared" ca="1" si="138"/>
        <v>5.7130490292422902</v>
      </c>
      <c r="L458">
        <f t="shared" ca="1" si="139"/>
        <v>315.20459805848446</v>
      </c>
      <c r="M458">
        <f t="shared" ca="1" si="140"/>
        <v>292.35240194151532</v>
      </c>
      <c r="N458">
        <f t="shared" ca="1" si="150"/>
        <v>3.7099999999999795</v>
      </c>
      <c r="O458">
        <f t="shared" ca="1" si="151"/>
        <v>3.7099999999999795</v>
      </c>
      <c r="P458">
        <f t="shared" ca="1" si="152"/>
        <v>0</v>
      </c>
      <c r="Q458">
        <f t="shared" ca="1" si="135"/>
        <v>1.7041057992720146</v>
      </c>
      <c r="R458">
        <f t="shared" ca="1" si="136"/>
        <v>1.6111628970404139</v>
      </c>
      <c r="S458">
        <f t="shared" ca="1" si="133"/>
        <v>1.0576868437091804</v>
      </c>
      <c r="T458">
        <f t="shared" ca="1" si="134"/>
        <v>51.401740111366848</v>
      </c>
      <c r="U458">
        <f>70</f>
        <v>70</v>
      </c>
      <c r="V458">
        <f>30</f>
        <v>30</v>
      </c>
      <c r="W458">
        <f t="shared" ca="1" si="132"/>
        <v>300.99994903780004</v>
      </c>
      <c r="X458">
        <f t="shared" ca="1" si="142"/>
        <v>302.91361692016085</v>
      </c>
      <c r="Y458">
        <f t="shared" ca="1" si="141"/>
        <v>-1.4241043727226952</v>
      </c>
      <c r="Z458">
        <f t="shared" ca="1" si="143"/>
        <v>-1.3655296698675226</v>
      </c>
      <c r="AA458">
        <f t="shared" ca="1" si="144"/>
        <v>-5.8574702855172633E-2</v>
      </c>
      <c r="AB458">
        <f t="shared" ca="1" si="145"/>
        <v>294.57109999999994</v>
      </c>
    </row>
    <row r="459" spans="1:28" x14ac:dyDescent="0.25">
      <c r="A459" s="20">
        <f t="shared" ca="1" si="146"/>
        <v>45957</v>
      </c>
      <c r="B459" vm="1364">
        <f ca="1"/>
        <v>45958</v>
      </c>
      <c r="C459" vm="1365">
        <f ca="1"/>
        <v>305.36</v>
      </c>
      <c r="D459" vm="1366">
        <f ca="1"/>
        <v>6335993</v>
      </c>
      <c r="E459">
        <f t="shared" ca="1" si="147"/>
        <v>1934758822.48</v>
      </c>
      <c r="F459">
        <f ca="1">SUM($E$2:E459)/SUM($D$2:D459)</f>
        <v>233.82141552223808</v>
      </c>
      <c r="G459">
        <f ca="1">_xlfn.STDEV.P($C$2:C459)</f>
        <v>40.966218020383344</v>
      </c>
      <c r="H459">
        <f t="shared" ca="1" si="148"/>
        <v>274.78763354262145</v>
      </c>
      <c r="I459">
        <f t="shared" ca="1" si="149"/>
        <v>192.85519750185475</v>
      </c>
      <c r="J459">
        <f t="shared" ca="1" si="137"/>
        <v>303.27499999999992</v>
      </c>
      <c r="K459">
        <f t="shared" ca="1" si="138"/>
        <v>5.0357307523860202</v>
      </c>
      <c r="L459">
        <f t="shared" ca="1" si="139"/>
        <v>313.34646150477198</v>
      </c>
      <c r="M459">
        <f t="shared" ca="1" si="140"/>
        <v>293.20353849522786</v>
      </c>
      <c r="N459">
        <f t="shared" ca="1" si="150"/>
        <v>1.2100000000000364</v>
      </c>
      <c r="O459">
        <f t="shared" ca="1" si="151"/>
        <v>1.2100000000000364</v>
      </c>
      <c r="P459">
        <f t="shared" ca="1" si="152"/>
        <v>0</v>
      </c>
      <c r="Q459">
        <f t="shared" ca="1" si="135"/>
        <v>1.6688125278954449</v>
      </c>
      <c r="R459">
        <f t="shared" ca="1" si="136"/>
        <v>1.4960798329660985</v>
      </c>
      <c r="S459">
        <f t="shared" ca="1" si="133"/>
        <v>1.1154568700968919</v>
      </c>
      <c r="T459">
        <f t="shared" ca="1" si="134"/>
        <v>52.728887355940365</v>
      </c>
      <c r="U459">
        <f>70</f>
        <v>70</v>
      </c>
      <c r="V459">
        <f>30</f>
        <v>30</v>
      </c>
      <c r="W459">
        <f t="shared" ca="1" si="132"/>
        <v>301.67072610890773</v>
      </c>
      <c r="X459">
        <f t="shared" ca="1" si="142"/>
        <v>303.09483048163042</v>
      </c>
      <c r="Y459">
        <f t="shared" ca="1" si="141"/>
        <v>-1.012348296821358</v>
      </c>
      <c r="Z459">
        <f t="shared" ca="1" si="143"/>
        <v>-1.2948933952582897</v>
      </c>
      <c r="AA459">
        <f t="shared" ca="1" si="144"/>
        <v>0.28254509843693176</v>
      </c>
      <c r="AB459">
        <f t="shared" ca="1" si="145"/>
        <v>295.00519999999995</v>
      </c>
    </row>
    <row r="460" spans="1:28" x14ac:dyDescent="0.25">
      <c r="A460" s="20">
        <f t="shared" ca="1" si="146"/>
        <v>45957</v>
      </c>
      <c r="B460" vm="1367">
        <f ca="1"/>
        <v>45959</v>
      </c>
      <c r="C460" vm="1368">
        <f ca="1"/>
        <v>305.51</v>
      </c>
      <c r="D460" vm="1369">
        <f ca="1"/>
        <v>7520324</v>
      </c>
      <c r="E460">
        <f t="shared" ca="1" si="147"/>
        <v>2297534185.2399998</v>
      </c>
      <c r="F460">
        <f ca="1">SUM($E$2:E460)/SUM($D$2:D460)</f>
        <v>233.94869344929322</v>
      </c>
      <c r="G460">
        <f ca="1">_xlfn.STDEV.P($C$2:C460)</f>
        <v>41.050987605734512</v>
      </c>
      <c r="H460">
        <f t="shared" ca="1" si="148"/>
        <v>274.99968105502774</v>
      </c>
      <c r="I460">
        <f t="shared" ca="1" si="149"/>
        <v>192.8977058435587</v>
      </c>
      <c r="J460">
        <f t="shared" ca="1" si="137"/>
        <v>303.01499999999993</v>
      </c>
      <c r="K460">
        <f t="shared" ca="1" si="138"/>
        <v>4.7582454749623802</v>
      </c>
      <c r="L460">
        <f t="shared" ca="1" si="139"/>
        <v>312.53149094992472</v>
      </c>
      <c r="M460">
        <f t="shared" ca="1" si="140"/>
        <v>293.49850905007514</v>
      </c>
      <c r="N460">
        <f t="shared" ca="1" si="150"/>
        <v>0.14999999999997726</v>
      </c>
      <c r="O460">
        <f t="shared" ca="1" si="151"/>
        <v>0.14999999999997726</v>
      </c>
      <c r="P460">
        <f t="shared" ca="1" si="152"/>
        <v>0</v>
      </c>
      <c r="Q460">
        <f t="shared" ca="1" si="135"/>
        <v>1.5603259187600542</v>
      </c>
      <c r="R460">
        <f t="shared" ca="1" si="136"/>
        <v>1.3892169877542344</v>
      </c>
      <c r="S460">
        <f t="shared" ca="1" si="133"/>
        <v>1.1231693338867308</v>
      </c>
      <c r="T460">
        <f t="shared" ca="1" si="134"/>
        <v>52.900600812212502</v>
      </c>
      <c r="U460">
        <f>70</f>
        <v>70</v>
      </c>
      <c r="V460">
        <f>30</f>
        <v>30</v>
      </c>
      <c r="W460">
        <f t="shared" ca="1" si="132"/>
        <v>302.2613836306142</v>
      </c>
      <c r="X460">
        <f t="shared" ca="1" si="142"/>
        <v>303.27373192743556</v>
      </c>
      <c r="Y460">
        <f t="shared" ca="1" si="141"/>
        <v>-0.36470637642202064</v>
      </c>
      <c r="Z460">
        <f t="shared" ca="1" si="143"/>
        <v>-1.1088559914910359</v>
      </c>
      <c r="AA460">
        <f t="shared" ca="1" si="144"/>
        <v>0.74414961506901522</v>
      </c>
      <c r="AB460">
        <f t="shared" ca="1" si="145"/>
        <v>295.40299999999996</v>
      </c>
    </row>
    <row r="461" spans="1:28" x14ac:dyDescent="0.25">
      <c r="A461" s="20">
        <f t="shared" ca="1" si="146"/>
        <v>45957</v>
      </c>
      <c r="B461" vm="1370">
        <f ca="1"/>
        <v>45960</v>
      </c>
      <c r="C461" vm="1371">
        <f ca="1"/>
        <v>309.44</v>
      </c>
      <c r="D461" vm="1372">
        <f ca="1"/>
        <v>7514556</v>
      </c>
      <c r="E461">
        <f t="shared" ca="1" si="147"/>
        <v>2325304208.6399999</v>
      </c>
      <c r="F461">
        <f ca="1">SUM($E$2:E461)/SUM($D$2:D461)</f>
        <v>234.08238286310413</v>
      </c>
      <c r="G461">
        <f ca="1">_xlfn.STDEV.P($C$2:C461)</f>
        <v>41.149506215991394</v>
      </c>
      <c r="H461">
        <f t="shared" ca="1" si="148"/>
        <v>275.23188907909554</v>
      </c>
      <c r="I461">
        <f t="shared" ca="1" si="149"/>
        <v>192.93287664711272</v>
      </c>
      <c r="J461">
        <f t="shared" ca="1" si="137"/>
        <v>303.10949999999991</v>
      </c>
      <c r="K461">
        <f t="shared" ca="1" si="138"/>
        <v>4.870496003056509</v>
      </c>
      <c r="L461">
        <f t="shared" ca="1" si="139"/>
        <v>312.85049200611292</v>
      </c>
      <c r="M461">
        <f t="shared" ca="1" si="140"/>
        <v>293.36850799388691</v>
      </c>
      <c r="N461">
        <f t="shared" ca="1" si="150"/>
        <v>3.9300000000000068</v>
      </c>
      <c r="O461">
        <f t="shared" ca="1" si="151"/>
        <v>3.9300000000000068</v>
      </c>
      <c r="P461">
        <f t="shared" ca="1" si="152"/>
        <v>0</v>
      </c>
      <c r="Q461">
        <f t="shared" ca="1" si="135"/>
        <v>1.7295883531343363</v>
      </c>
      <c r="R461">
        <f t="shared" ca="1" si="136"/>
        <v>1.2899872029146464</v>
      </c>
      <c r="S461">
        <f t="shared" ca="1" si="133"/>
        <v>1.3407794660493053</v>
      </c>
      <c r="T461">
        <f t="shared" ca="1" si="134"/>
        <v>57.279187787486499</v>
      </c>
      <c r="U461">
        <f>70</f>
        <v>70</v>
      </c>
      <c r="V461">
        <f>30</f>
        <v>30</v>
      </c>
      <c r="W461">
        <f t="shared" ca="1" si="132"/>
        <v>303.36578614898127</v>
      </c>
      <c r="X461">
        <f t="shared" ca="1" si="142"/>
        <v>303.73049252540329</v>
      </c>
      <c r="Y461">
        <f t="shared" ca="1" si="141"/>
        <v>0.28087867661355403</v>
      </c>
      <c r="Z461">
        <f t="shared" ca="1" si="143"/>
        <v>-0.83090905787011793</v>
      </c>
      <c r="AA461">
        <f t="shared" ca="1" si="144"/>
        <v>1.111787734483672</v>
      </c>
      <c r="AB461">
        <f t="shared" ca="1" si="145"/>
        <v>295.83</v>
      </c>
    </row>
    <row r="462" spans="1:28" x14ac:dyDescent="0.25">
      <c r="A462" s="20">
        <f t="shared" ca="1" si="146"/>
        <v>45957</v>
      </c>
      <c r="B462" vm="1373">
        <f ca="1"/>
        <v>45961</v>
      </c>
      <c r="C462" vm="1374">
        <f ca="1"/>
        <v>311.12</v>
      </c>
      <c r="D462" vm="1375">
        <f ca="1"/>
        <v>7721297</v>
      </c>
      <c r="E462">
        <f t="shared" ca="1" si="147"/>
        <v>2402249922.6399999</v>
      </c>
      <c r="F462">
        <f ca="1">SUM($E$2:E462)/SUM($D$2:D462)</f>
        <v>234.22230947117717</v>
      </c>
      <c r="G462">
        <f ca="1">_xlfn.STDEV.P($C$2:C462)</f>
        <v>41.253297604859902</v>
      </c>
      <c r="H462">
        <f t="shared" ca="1" si="148"/>
        <v>275.47560707603708</v>
      </c>
      <c r="I462">
        <f t="shared" ca="1" si="149"/>
        <v>192.96901186631726</v>
      </c>
      <c r="J462">
        <f t="shared" ca="1" si="137"/>
        <v>303.16399999999993</v>
      </c>
      <c r="K462">
        <f t="shared" ca="1" si="138"/>
        <v>4.9573352349401318</v>
      </c>
      <c r="L462">
        <f t="shared" ca="1" si="139"/>
        <v>313.07867046988019</v>
      </c>
      <c r="M462">
        <f t="shared" ca="1" si="140"/>
        <v>293.24932953011967</v>
      </c>
      <c r="N462">
        <f t="shared" ca="1" si="150"/>
        <v>1.6800000000000068</v>
      </c>
      <c r="O462">
        <f t="shared" ca="1" si="151"/>
        <v>1.6800000000000068</v>
      </c>
      <c r="P462">
        <f t="shared" ca="1" si="152"/>
        <v>0</v>
      </c>
      <c r="Q462">
        <f t="shared" ca="1" si="135"/>
        <v>1.7260463279104556</v>
      </c>
      <c r="R462">
        <f t="shared" ca="1" si="136"/>
        <v>1.1978452598493146</v>
      </c>
      <c r="S462">
        <f t="shared" ca="1" si="133"/>
        <v>1.4409593507324872</v>
      </c>
      <c r="T462">
        <f t="shared" ca="1" si="134"/>
        <v>59.032500901749209</v>
      </c>
      <c r="U462">
        <f>70</f>
        <v>70</v>
      </c>
      <c r="V462">
        <f>30</f>
        <v>30</v>
      </c>
      <c r="W462">
        <f t="shared" ca="1" si="132"/>
        <v>304.55874212606108</v>
      </c>
      <c r="X462">
        <f t="shared" ca="1" si="142"/>
        <v>304.27786344944752</v>
      </c>
      <c r="Y462">
        <f t="shared" ca="1" si="141"/>
        <v>0.6422814540447348</v>
      </c>
      <c r="Z462">
        <f t="shared" ca="1" si="143"/>
        <v>-0.53627095548714743</v>
      </c>
      <c r="AA462">
        <f t="shared" ca="1" si="144"/>
        <v>1.1785524095318822</v>
      </c>
      <c r="AB462">
        <f t="shared" ca="1" si="145"/>
        <v>296.25519999999995</v>
      </c>
    </row>
    <row r="463" spans="1:28" x14ac:dyDescent="0.25">
      <c r="A463" s="20">
        <f t="shared" ca="1" si="146"/>
        <v>45964</v>
      </c>
      <c r="B463" vm="1376">
        <f ca="1"/>
        <v>45964</v>
      </c>
      <c r="C463" vm="1377">
        <f ca="1"/>
        <v>309.35000000000002</v>
      </c>
      <c r="D463" vm="1378">
        <f ca="1"/>
        <v>7770040</v>
      </c>
      <c r="E463">
        <f t="shared" ca="1" si="147"/>
        <v>2403661874</v>
      </c>
      <c r="F463">
        <f ca="1">SUM($E$2:E463)/SUM($D$2:D463)</f>
        <v>234.35937789494147</v>
      </c>
      <c r="G463">
        <f ca="1">_xlfn.STDEV.P($C$2:C463)</f>
        <v>41.34889143396876</v>
      </c>
      <c r="H463">
        <f t="shared" ca="1" si="148"/>
        <v>275.70826932891021</v>
      </c>
      <c r="I463">
        <f t="shared" ca="1" si="149"/>
        <v>193.01048646097271</v>
      </c>
      <c r="J463">
        <f t="shared" ca="1" si="137"/>
        <v>303.17249999999996</v>
      </c>
      <c r="K463">
        <f t="shared" ca="1" si="138"/>
        <v>4.9683269184325063</v>
      </c>
      <c r="L463">
        <f t="shared" ca="1" si="139"/>
        <v>313.10915383686495</v>
      </c>
      <c r="M463">
        <f t="shared" ca="1" si="140"/>
        <v>293.23584616313497</v>
      </c>
      <c r="N463">
        <f t="shared" ca="1" si="150"/>
        <v>-1.7699999999999818</v>
      </c>
      <c r="O463">
        <f t="shared" ca="1" si="151"/>
        <v>0</v>
      </c>
      <c r="P463">
        <f t="shared" ca="1" si="152"/>
        <v>1.7699999999999818</v>
      </c>
      <c r="Q463">
        <f t="shared" ca="1" si="135"/>
        <v>1.6027573044882804</v>
      </c>
      <c r="R463">
        <f t="shared" ca="1" si="136"/>
        <v>1.2387134555743624</v>
      </c>
      <c r="S463">
        <f t="shared" ca="1" si="133"/>
        <v>1.2938886691475546</v>
      </c>
      <c r="T463">
        <f t="shared" ca="1" si="134"/>
        <v>56.405905245104336</v>
      </c>
      <c r="U463">
        <f>70</f>
        <v>70</v>
      </c>
      <c r="V463">
        <f>30</f>
        <v>30</v>
      </c>
      <c r="W463">
        <f t="shared" ref="W463:W514" ca="1" si="153">C463*(2/(12+1)) + W462*(1-(2/(12+1)))</f>
        <v>305.29585872205172</v>
      </c>
      <c r="X463">
        <f t="shared" ca="1" si="142"/>
        <v>304.65357726800698</v>
      </c>
      <c r="Y463">
        <f t="shared" ca="1" si="141"/>
        <v>0.91013512349599068</v>
      </c>
      <c r="Z463">
        <f t="shared" ca="1" si="143"/>
        <v>-0.24698973969051982</v>
      </c>
      <c r="AA463">
        <f t="shared" ca="1" si="144"/>
        <v>1.1571248631865105</v>
      </c>
      <c r="AB463">
        <f t="shared" ca="1" si="145"/>
        <v>296.66719999999998</v>
      </c>
    </row>
    <row r="464" spans="1:28" x14ac:dyDescent="0.25">
      <c r="A464" s="20">
        <f t="shared" ca="1" si="146"/>
        <v>45964</v>
      </c>
      <c r="B464" vm="1379">
        <f ca="1"/>
        <v>45965</v>
      </c>
      <c r="C464" vm="1380">
        <f ca="1"/>
        <v>309.25</v>
      </c>
      <c r="D464" vm="1381">
        <f ca="1"/>
        <v>7085164</v>
      </c>
      <c r="E464">
        <f t="shared" ca="1" si="147"/>
        <v>2191086967</v>
      </c>
      <c r="F464">
        <f ca="1">SUM($E$2:E464)/SUM($D$2:D464)</f>
        <v>234.48376333697536</v>
      </c>
      <c r="G464">
        <f ca="1">_xlfn.STDEV.P($C$2:C464)</f>
        <v>41.442871387565667</v>
      </c>
      <c r="H464">
        <f t="shared" ca="1" si="148"/>
        <v>275.92663472454103</v>
      </c>
      <c r="I464">
        <f t="shared" ca="1" si="149"/>
        <v>193.04089194940968</v>
      </c>
      <c r="J464">
        <f t="shared" ca="1" si="137"/>
        <v>303.25049999999999</v>
      </c>
      <c r="K464">
        <f t="shared" ca="1" si="138"/>
        <v>5.0544805292980044</v>
      </c>
      <c r="L464">
        <f t="shared" ca="1" si="139"/>
        <v>313.35946105859603</v>
      </c>
      <c r="M464">
        <f t="shared" ca="1" si="140"/>
        <v>293.14153894140395</v>
      </c>
      <c r="N464">
        <f t="shared" ca="1" si="150"/>
        <v>-0.10000000000002274</v>
      </c>
      <c r="O464">
        <f t="shared" ca="1" si="151"/>
        <v>0</v>
      </c>
      <c r="P464">
        <f t="shared" ca="1" si="152"/>
        <v>0.10000000000002274</v>
      </c>
      <c r="Q464">
        <f t="shared" ca="1" si="135"/>
        <v>1.4882746398819744</v>
      </c>
      <c r="R464">
        <f t="shared" ca="1" si="136"/>
        <v>1.1573767801761952</v>
      </c>
      <c r="S464">
        <f t="shared" ref="S464:S514" ca="1" si="154">IF(R464=0,NA(),Q464/R464)</f>
        <v>1.2859033163386986</v>
      </c>
      <c r="T464">
        <f t="shared" ref="T464:T514" ca="1" si="155">100-(100/(1+S464))</f>
        <v>56.253617865094711</v>
      </c>
      <c r="U464">
        <f>70</f>
        <v>70</v>
      </c>
      <c r="V464">
        <f>30</f>
        <v>30</v>
      </c>
      <c r="W464">
        <f t="shared" ca="1" si="153"/>
        <v>305.90418814942836</v>
      </c>
      <c r="X464">
        <f t="shared" ca="1" si="142"/>
        <v>304.99405302593237</v>
      </c>
      <c r="Y464">
        <f t="shared" ca="1" si="141"/>
        <v>1.3034662306330915</v>
      </c>
      <c r="Z464">
        <f t="shared" ca="1" si="143"/>
        <v>6.3101454374202448E-2</v>
      </c>
      <c r="AA464">
        <f t="shared" ca="1" si="144"/>
        <v>1.2403647762588892</v>
      </c>
      <c r="AB464">
        <f t="shared" ca="1" si="145"/>
        <v>297.07729999999998</v>
      </c>
    </row>
    <row r="465" spans="1:28" x14ac:dyDescent="0.25">
      <c r="A465" s="20">
        <f t="shared" ca="1" si="146"/>
        <v>45964</v>
      </c>
      <c r="B465" vm="1382">
        <f ca="1"/>
        <v>45966</v>
      </c>
      <c r="C465" vm="1383">
        <f ca="1"/>
        <v>311.68</v>
      </c>
      <c r="D465" vm="1384">
        <f ca="1"/>
        <v>6865198</v>
      </c>
      <c r="E465">
        <f t="shared" ca="1" si="147"/>
        <v>2139744912.6400001</v>
      </c>
      <c r="F465">
        <f ca="1">SUM($E$2:E465)/SUM($D$2:D465)</f>
        <v>234.60779799195021</v>
      </c>
      <c r="G465">
        <f ca="1">_xlfn.STDEV.P($C$2:C465)</f>
        <v>41.544952846017544</v>
      </c>
      <c r="H465">
        <f t="shared" ca="1" si="148"/>
        <v>276.15275083796774</v>
      </c>
      <c r="I465">
        <f t="shared" ca="1" si="149"/>
        <v>193.06284514593267</v>
      </c>
      <c r="J465">
        <f t="shared" ca="1" si="137"/>
        <v>303.63300000000004</v>
      </c>
      <c r="K465">
        <f t="shared" ca="1" si="138"/>
        <v>5.3945899800292132</v>
      </c>
      <c r="L465">
        <f t="shared" ca="1" si="139"/>
        <v>314.42217996005849</v>
      </c>
      <c r="M465">
        <f t="shared" ca="1" si="140"/>
        <v>292.84382003994159</v>
      </c>
      <c r="N465">
        <f t="shared" ca="1" si="150"/>
        <v>2.4300000000000068</v>
      </c>
      <c r="O465">
        <f t="shared" ca="1" si="151"/>
        <v>2.4300000000000068</v>
      </c>
      <c r="P465">
        <f t="shared" ca="1" si="152"/>
        <v>0</v>
      </c>
      <c r="Q465">
        <f t="shared" ref="Q465:Q514" ca="1" si="156">(Q464*13+O465)/14</f>
        <v>1.5555407370332623</v>
      </c>
      <c r="R465">
        <f t="shared" ref="R465:R514" ca="1" si="157">(R464*13+P465)/14</f>
        <v>1.0747070101636098</v>
      </c>
      <c r="S465">
        <f t="shared" ca="1" si="154"/>
        <v>1.4474091285553743</v>
      </c>
      <c r="T465">
        <f t="shared" ca="1" si="155"/>
        <v>59.140464569964756</v>
      </c>
      <c r="U465">
        <f>70</f>
        <v>70</v>
      </c>
      <c r="V465">
        <f>30</f>
        <v>30</v>
      </c>
      <c r="W465">
        <f t="shared" ca="1" si="153"/>
        <v>306.79277458797787</v>
      </c>
      <c r="X465">
        <f t="shared" ca="1" si="142"/>
        <v>305.48930835734478</v>
      </c>
      <c r="Y465">
        <f t="shared" ca="1" si="141"/>
        <v>1.735580730747472</v>
      </c>
      <c r="Z465">
        <f t="shared" ca="1" si="143"/>
        <v>0.39759730964885642</v>
      </c>
      <c r="AA465">
        <f t="shared" ca="1" si="144"/>
        <v>1.3379834210986155</v>
      </c>
      <c r="AB465">
        <f t="shared" ca="1" si="145"/>
        <v>297.54459999999995</v>
      </c>
    </row>
    <row r="466" spans="1:28" x14ac:dyDescent="0.25">
      <c r="A466" s="20">
        <f t="shared" ca="1" si="146"/>
        <v>45964</v>
      </c>
      <c r="B466" vm="1385">
        <f ca="1"/>
        <v>45967</v>
      </c>
      <c r="C466" vm="1293">
        <f ca="1"/>
        <v>313.42</v>
      </c>
      <c r="D466" vm="1386">
        <f ca="1"/>
        <v>7206111</v>
      </c>
      <c r="E466">
        <f t="shared" ca="1" si="147"/>
        <v>2258539309.6199999</v>
      </c>
      <c r="F466">
        <f ca="1">SUM($E$2:E466)/SUM($D$2:D466)</f>
        <v>234.74049356099016</v>
      </c>
      <c r="G466">
        <f ca="1">_xlfn.STDEV.P($C$2:C466)</f>
        <v>41.652527865106315</v>
      </c>
      <c r="H466">
        <f t="shared" ca="1" si="148"/>
        <v>276.39302142609648</v>
      </c>
      <c r="I466">
        <f t="shared" ca="1" si="149"/>
        <v>193.08796569588384</v>
      </c>
      <c r="J466">
        <f t="shared" ca="1" si="137"/>
        <v>304.02750000000003</v>
      </c>
      <c r="K466">
        <f t="shared" ca="1" si="138"/>
        <v>5.8128920920385436</v>
      </c>
      <c r="L466">
        <f t="shared" ca="1" si="139"/>
        <v>315.65328418407711</v>
      </c>
      <c r="M466">
        <f t="shared" ca="1" si="140"/>
        <v>292.40171581592296</v>
      </c>
      <c r="N466">
        <f t="shared" ca="1" si="150"/>
        <v>1.7400000000000091</v>
      </c>
      <c r="O466">
        <f t="shared" ca="1" si="151"/>
        <v>1.7400000000000091</v>
      </c>
      <c r="P466">
        <f t="shared" ca="1" si="152"/>
        <v>0</v>
      </c>
      <c r="Q466">
        <f t="shared" ca="1" si="156"/>
        <v>1.5687163986737442</v>
      </c>
      <c r="R466">
        <f t="shared" ca="1" si="157"/>
        <v>0.99794222372335195</v>
      </c>
      <c r="S466">
        <f t="shared" ca="1" si="154"/>
        <v>1.5719511224014722</v>
      </c>
      <c r="T466">
        <f t="shared" ca="1" si="155"/>
        <v>61.119012282539657</v>
      </c>
      <c r="U466">
        <f>70</f>
        <v>70</v>
      </c>
      <c r="V466">
        <f>30</f>
        <v>30</v>
      </c>
      <c r="W466">
        <f t="shared" ca="1" si="153"/>
        <v>307.81234772828896</v>
      </c>
      <c r="X466">
        <f t="shared" ca="1" si="142"/>
        <v>306.07676699754148</v>
      </c>
      <c r="Y466">
        <f t="shared" ca="1" si="141"/>
        <v>2.1173732225095137</v>
      </c>
      <c r="Z466">
        <f t="shared" ca="1" si="143"/>
        <v>0.74155249222098796</v>
      </c>
      <c r="AA466">
        <f t="shared" ca="1" si="144"/>
        <v>1.3758207302885257</v>
      </c>
      <c r="AB466">
        <f t="shared" ca="1" si="145"/>
        <v>297.97519999999992</v>
      </c>
    </row>
    <row r="467" spans="1:28" x14ac:dyDescent="0.25">
      <c r="A467" s="20">
        <f t="shared" ca="1" si="146"/>
        <v>45964</v>
      </c>
      <c r="B467" vm="1387">
        <f ca="1"/>
        <v>45968</v>
      </c>
      <c r="C467" vm="1388">
        <f ca="1"/>
        <v>314.20999999999998</v>
      </c>
      <c r="D467" vm="1389">
        <f ca="1"/>
        <v>7302347</v>
      </c>
      <c r="E467">
        <f t="shared" ca="1" si="147"/>
        <v>2294470450.8699999</v>
      </c>
      <c r="F467">
        <f ca="1">SUM($E$2:E467)/SUM($D$2:D467)</f>
        <v>234.87585178308998</v>
      </c>
      <c r="G467">
        <f ca="1">_xlfn.STDEV.P($C$2:C467)</f>
        <v>41.761837505721807</v>
      </c>
      <c r="H467">
        <f t="shared" ca="1" si="148"/>
        <v>276.63768928881177</v>
      </c>
      <c r="I467">
        <f t="shared" ca="1" si="149"/>
        <v>193.11401427736817</v>
      </c>
      <c r="J467">
        <f t="shared" ca="1" si="137"/>
        <v>304.69350000000003</v>
      </c>
      <c r="K467">
        <f t="shared" ca="1" si="138"/>
        <v>6.185606616212052</v>
      </c>
      <c r="L467">
        <f t="shared" ca="1" si="139"/>
        <v>317.06471323242414</v>
      </c>
      <c r="M467">
        <f t="shared" ca="1" si="140"/>
        <v>292.32228676757592</v>
      </c>
      <c r="N467">
        <f t="shared" ca="1" si="150"/>
        <v>0.78999999999996362</v>
      </c>
      <c r="O467">
        <f t="shared" ca="1" si="151"/>
        <v>0.78999999999996362</v>
      </c>
      <c r="P467">
        <f t="shared" ca="1" si="152"/>
        <v>0</v>
      </c>
      <c r="Q467">
        <f t="shared" ca="1" si="156"/>
        <v>1.5130937987684743</v>
      </c>
      <c r="R467">
        <f t="shared" ca="1" si="157"/>
        <v>0.92666063631454121</v>
      </c>
      <c r="S467">
        <f t="shared" ca="1" si="154"/>
        <v>1.6328456605065902</v>
      </c>
      <c r="T467">
        <f t="shared" ca="1" si="155"/>
        <v>62.018282537397646</v>
      </c>
      <c r="U467">
        <f>70</f>
        <v>70</v>
      </c>
      <c r="V467">
        <f>30</f>
        <v>30</v>
      </c>
      <c r="W467">
        <f t="shared" ca="1" si="153"/>
        <v>308.79660192393681</v>
      </c>
      <c r="X467">
        <f t="shared" ca="1" si="142"/>
        <v>306.67922870142729</v>
      </c>
      <c r="Y467">
        <f t="shared" ca="1" si="141"/>
        <v>2.6061579585337427</v>
      </c>
      <c r="Z467">
        <f t="shared" ca="1" si="143"/>
        <v>1.114473585483539</v>
      </c>
      <c r="AA467">
        <f t="shared" ca="1" si="144"/>
        <v>1.4916843730502036</v>
      </c>
      <c r="AB467">
        <f t="shared" ca="1" si="145"/>
        <v>298.42209999999994</v>
      </c>
    </row>
    <row r="468" spans="1:28" x14ac:dyDescent="0.25">
      <c r="A468" s="20">
        <f t="shared" ca="1" si="146"/>
        <v>45971</v>
      </c>
      <c r="B468" vm="1390">
        <f ca="1"/>
        <v>45971</v>
      </c>
      <c r="C468" vm="1391">
        <f ca="1"/>
        <v>316.89</v>
      </c>
      <c r="D468" vm="1392">
        <f ca="1"/>
        <v>5794505</v>
      </c>
      <c r="E468">
        <f t="shared" ca="1" si="147"/>
        <v>1836220689.4499998</v>
      </c>
      <c r="F468">
        <f ca="1">SUM($E$2:E468)/SUM($D$2:D468)</f>
        <v>234.98654989095201</v>
      </c>
      <c r="G468">
        <f ca="1">_xlfn.STDEV.P($C$2:C468)</f>
        <v>41.880490541384518</v>
      </c>
      <c r="H468">
        <f t="shared" ca="1" si="148"/>
        <v>276.86704043233652</v>
      </c>
      <c r="I468">
        <f t="shared" ca="1" si="149"/>
        <v>193.10605934956749</v>
      </c>
      <c r="J468">
        <f t="shared" ca="1" si="137"/>
        <v>305.13950000000011</v>
      </c>
      <c r="K468">
        <f t="shared" ca="1" si="138"/>
        <v>6.7317538771970753</v>
      </c>
      <c r="L468">
        <f t="shared" ca="1" si="139"/>
        <v>318.60300775439424</v>
      </c>
      <c r="M468">
        <f t="shared" ca="1" si="140"/>
        <v>291.67599224560598</v>
      </c>
      <c r="N468">
        <f t="shared" ca="1" si="150"/>
        <v>2.6800000000000068</v>
      </c>
      <c r="O468">
        <f t="shared" ca="1" si="151"/>
        <v>2.6800000000000068</v>
      </c>
      <c r="P468">
        <f t="shared" ca="1" si="152"/>
        <v>0</v>
      </c>
      <c r="Q468">
        <f t="shared" ca="1" si="156"/>
        <v>1.5964442417135838</v>
      </c>
      <c r="R468">
        <f t="shared" ca="1" si="157"/>
        <v>0.86047059086350253</v>
      </c>
      <c r="S468">
        <f t="shared" ca="1" si="154"/>
        <v>1.8553152875469159</v>
      </c>
      <c r="T468">
        <f t="shared" ca="1" si="155"/>
        <v>64.977597942988325</v>
      </c>
      <c r="U468">
        <f>70</f>
        <v>70</v>
      </c>
      <c r="V468">
        <f>30</f>
        <v>30</v>
      </c>
      <c r="W468">
        <f t="shared" ca="1" si="153"/>
        <v>310.04174008948496</v>
      </c>
      <c r="X468">
        <f t="shared" ca="1" si="142"/>
        <v>307.43558213095122</v>
      </c>
      <c r="Y468">
        <f t="shared" ca="1" si="141"/>
        <v>2.8580986154355514</v>
      </c>
      <c r="Z468">
        <f t="shared" ca="1" si="143"/>
        <v>1.4631985914739416</v>
      </c>
      <c r="AA468">
        <f t="shared" ca="1" si="144"/>
        <v>1.3949000239616098</v>
      </c>
      <c r="AB468">
        <f t="shared" ca="1" si="145"/>
        <v>298.8513999999999</v>
      </c>
    </row>
    <row r="469" spans="1:28" x14ac:dyDescent="0.25">
      <c r="A469" s="20">
        <f t="shared" ca="1" si="146"/>
        <v>45971</v>
      </c>
      <c r="B469" vm="1393">
        <f ca="1"/>
        <v>45972</v>
      </c>
      <c r="C469" vm="1394">
        <f ca="1"/>
        <v>315.62</v>
      </c>
      <c r="D469" vm="1395">
        <f ca="1"/>
        <v>5030216</v>
      </c>
      <c r="E469">
        <f t="shared" ca="1" si="147"/>
        <v>1587636773.9200001</v>
      </c>
      <c r="F469">
        <f ca="1">SUM($E$2:E469)/SUM($D$2:D469)</f>
        <v>235.08091868011218</v>
      </c>
      <c r="G469">
        <f ca="1">_xlfn.STDEV.P($C$2:C469)</f>
        <v>41.992506555931136</v>
      </c>
      <c r="H469">
        <f t="shared" ca="1" si="148"/>
        <v>277.07342523604331</v>
      </c>
      <c r="I469">
        <f t="shared" ca="1" si="149"/>
        <v>193.08841212418105</v>
      </c>
      <c r="J469">
        <f t="shared" ca="1" si="137"/>
        <v>305.81650000000002</v>
      </c>
      <c r="K469">
        <f t="shared" ca="1" si="138"/>
        <v>7.0797244036458729</v>
      </c>
      <c r="L469">
        <f t="shared" ca="1" si="139"/>
        <v>319.97594880729179</v>
      </c>
      <c r="M469">
        <f t="shared" ca="1" si="140"/>
        <v>291.65705119270825</v>
      </c>
      <c r="N469">
        <f t="shared" ca="1" si="150"/>
        <v>-1.2699999999999818</v>
      </c>
      <c r="O469">
        <f t="shared" ca="1" si="151"/>
        <v>0</v>
      </c>
      <c r="P469">
        <f t="shared" ca="1" si="152"/>
        <v>1.2699999999999818</v>
      </c>
      <c r="Q469">
        <f t="shared" ca="1" si="156"/>
        <v>1.4824125101626133</v>
      </c>
      <c r="R469">
        <f t="shared" ca="1" si="157"/>
        <v>0.88972269151610817</v>
      </c>
      <c r="S469">
        <f t="shared" ca="1" si="154"/>
        <v>1.6661511775501061</v>
      </c>
      <c r="T469">
        <f t="shared" ca="1" si="155"/>
        <v>62.492749532722009</v>
      </c>
      <c r="U469">
        <f>70</f>
        <v>70</v>
      </c>
      <c r="V469">
        <f>30</f>
        <v>30</v>
      </c>
      <c r="W469">
        <f t="shared" ca="1" si="153"/>
        <v>310.89993392187188</v>
      </c>
      <c r="X469">
        <f t="shared" ca="1" si="142"/>
        <v>308.04183530643633</v>
      </c>
      <c r="Y469">
        <f t="shared" ca="1" si="141"/>
        <v>3.4050253567069717</v>
      </c>
      <c r="Z469">
        <f t="shared" ca="1" si="143"/>
        <v>1.8515639445205478</v>
      </c>
      <c r="AA469">
        <f t="shared" ca="1" si="144"/>
        <v>1.5534614121864239</v>
      </c>
      <c r="AB469">
        <f t="shared" ca="1" si="145"/>
        <v>299.25759999999991</v>
      </c>
    </row>
    <row r="470" spans="1:28" x14ac:dyDescent="0.25">
      <c r="A470" s="20">
        <f t="shared" ca="1" si="146"/>
        <v>45971</v>
      </c>
      <c r="B470" vm="1396">
        <f ca="1"/>
        <v>45973</v>
      </c>
      <c r="C470" vm="1397">
        <f ca="1"/>
        <v>320.41000000000003</v>
      </c>
      <c r="D470" vm="1398">
        <f ca="1"/>
        <v>10578266</v>
      </c>
      <c r="E470">
        <f t="shared" ca="1" si="147"/>
        <v>3389382209.0600004</v>
      </c>
      <c r="F470">
        <f ca="1">SUM($E$2:E470)/SUM($D$2:D470)</f>
        <v>235.29041215543944</v>
      </c>
      <c r="G470">
        <f ca="1">_xlfn.STDEV.P($C$2:C470)</f>
        <v>42.122623654381954</v>
      </c>
      <c r="H470">
        <f t="shared" ca="1" si="148"/>
        <v>277.41303580982139</v>
      </c>
      <c r="I470">
        <f t="shared" ca="1" si="149"/>
        <v>193.16778850105749</v>
      </c>
      <c r="J470">
        <f t="shared" ref="J470:J514" ca="1" si="158">AVERAGE(C451:C470)</f>
        <v>306.55250000000001</v>
      </c>
      <c r="K470">
        <f t="shared" ref="K470:K514" ca="1" si="159">_xlfn.STDEV.S(C451:C470)</f>
        <v>7.7948963566250384</v>
      </c>
      <c r="L470">
        <f t="shared" ref="L470:L514" ca="1" si="160">J470 + 2*K470</f>
        <v>322.14229271325007</v>
      </c>
      <c r="M470">
        <f t="shared" ref="M470:M514" ca="1" si="161">J470-2*K470</f>
        <v>290.96270728674995</v>
      </c>
      <c r="N470">
        <f t="shared" ca="1" si="150"/>
        <v>4.7900000000000205</v>
      </c>
      <c r="O470">
        <f t="shared" ca="1" si="151"/>
        <v>4.7900000000000205</v>
      </c>
      <c r="P470">
        <f t="shared" ca="1" si="152"/>
        <v>0</v>
      </c>
      <c r="Q470">
        <f t="shared" ca="1" si="156"/>
        <v>1.7186687594367138</v>
      </c>
      <c r="R470">
        <f t="shared" ca="1" si="157"/>
        <v>0.82617107069352902</v>
      </c>
      <c r="S470">
        <f t="shared" ca="1" si="154"/>
        <v>2.0802819420849219</v>
      </c>
      <c r="T470">
        <f t="shared" ca="1" si="155"/>
        <v>67.535439326598151</v>
      </c>
      <c r="U470">
        <f>70</f>
        <v>70</v>
      </c>
      <c r="V470">
        <f>30</f>
        <v>30</v>
      </c>
      <c r="W470">
        <f t="shared" ca="1" si="153"/>
        <v>312.36302101081469</v>
      </c>
      <c r="X470">
        <f t="shared" ca="1" si="142"/>
        <v>308.95799565410772</v>
      </c>
      <c r="Y470">
        <f t="shared" ca="1" si="141"/>
        <v>2.9228166741509085</v>
      </c>
      <c r="Z470">
        <f t="shared" ca="1" si="143"/>
        <v>2.0658144904466198</v>
      </c>
      <c r="AA470">
        <f t="shared" ca="1" si="144"/>
        <v>0.85700218370428871</v>
      </c>
      <c r="AB470">
        <f t="shared" ca="1" si="145"/>
        <v>299.67899999999992</v>
      </c>
    </row>
    <row r="471" spans="1:28" x14ac:dyDescent="0.25">
      <c r="A471" s="20">
        <f t="shared" ca="1" si="146"/>
        <v>45971</v>
      </c>
      <c r="B471" vm="1399">
        <f ca="1"/>
        <v>45974</v>
      </c>
      <c r="C471" vm="1400">
        <f ca="1"/>
        <v>309.48</v>
      </c>
      <c r="D471" vm="1401">
        <f ca="1"/>
        <v>8973258</v>
      </c>
      <c r="E471">
        <f t="shared" ca="1" si="147"/>
        <v>2777043885.8400002</v>
      </c>
      <c r="F471">
        <f ca="1">SUM($E$2:E471)/SUM($D$2:D471)</f>
        <v>235.44459943050094</v>
      </c>
      <c r="G471">
        <f ca="1">_xlfn.STDEV.P($C$2:C471)</f>
        <v>42.208467335308747</v>
      </c>
      <c r="H471">
        <f t="shared" ca="1" si="148"/>
        <v>277.65306676580968</v>
      </c>
      <c r="I471">
        <f t="shared" ca="1" si="149"/>
        <v>193.2361320951922</v>
      </c>
      <c r="J471">
        <f t="shared" ca="1" si="158"/>
        <v>307.09949999999998</v>
      </c>
      <c r="K471">
        <f t="shared" ca="1" si="159"/>
        <v>7.5840334186194642</v>
      </c>
      <c r="L471">
        <f t="shared" ca="1" si="160"/>
        <v>322.26756683723892</v>
      </c>
      <c r="M471">
        <f t="shared" ca="1" si="161"/>
        <v>291.93143316276104</v>
      </c>
      <c r="N471">
        <f t="shared" ca="1" si="150"/>
        <v>-10.930000000000007</v>
      </c>
      <c r="O471">
        <f t="shared" ca="1" si="151"/>
        <v>0</v>
      </c>
      <c r="P471">
        <f t="shared" ca="1" si="152"/>
        <v>10.930000000000007</v>
      </c>
      <c r="Q471">
        <f t="shared" ca="1" si="156"/>
        <v>1.5959067051912343</v>
      </c>
      <c r="R471">
        <f t="shared" ca="1" si="157"/>
        <v>1.5478731370725629</v>
      </c>
      <c r="S471">
        <f t="shared" ca="1" si="154"/>
        <v>1.0310319799266725</v>
      </c>
      <c r="T471">
        <f t="shared" ca="1" si="155"/>
        <v>50.763946117869423</v>
      </c>
      <c r="U471">
        <f>70</f>
        <v>70</v>
      </c>
      <c r="V471">
        <f>30</f>
        <v>30</v>
      </c>
      <c r="W471">
        <f t="shared" ca="1" si="153"/>
        <v>311.91947931684319</v>
      </c>
      <c r="X471">
        <f t="shared" ca="1" si="142"/>
        <v>308.99666264269229</v>
      </c>
      <c r="Y471">
        <f t="shared" ca="1" si="141"/>
        <v>2.0434472883972603</v>
      </c>
      <c r="Z471">
        <f t="shared" ca="1" si="143"/>
        <v>2.0613410500367482</v>
      </c>
      <c r="AA471">
        <f t="shared" ca="1" si="144"/>
        <v>-1.789376163948786E-2</v>
      </c>
      <c r="AB471">
        <f t="shared" ca="1" si="145"/>
        <v>299.96119999999991</v>
      </c>
    </row>
    <row r="472" spans="1:28" x14ac:dyDescent="0.25">
      <c r="A472" s="20">
        <f t="shared" ca="1" si="146"/>
        <v>45971</v>
      </c>
      <c r="B472" vm="1402">
        <f ca="1"/>
        <v>45975</v>
      </c>
      <c r="C472" vm="1403">
        <f ca="1"/>
        <v>303.61</v>
      </c>
      <c r="D472" vm="1404">
        <f ca="1"/>
        <v>10326983</v>
      </c>
      <c r="E472">
        <f t="shared" ca="1" si="147"/>
        <v>3135375308.6300001</v>
      </c>
      <c r="F472">
        <f ca="1">SUM($E$2:E472)/SUM($D$2:D472)</f>
        <v>235.60724991393232</v>
      </c>
      <c r="G472">
        <f ca="1">_xlfn.STDEV.P($C$2:C472)</f>
        <v>42.272945355418798</v>
      </c>
      <c r="H472">
        <f t="shared" ca="1" si="148"/>
        <v>277.88019526935113</v>
      </c>
      <c r="I472">
        <f t="shared" ca="1" si="149"/>
        <v>193.33430455851351</v>
      </c>
      <c r="J472">
        <f t="shared" ca="1" si="158"/>
        <v>307.40199999999999</v>
      </c>
      <c r="K472">
        <f t="shared" ca="1" si="159"/>
        <v>7.2988035068481576</v>
      </c>
      <c r="L472">
        <f t="shared" ca="1" si="160"/>
        <v>321.99960701369628</v>
      </c>
      <c r="M472">
        <f t="shared" ca="1" si="161"/>
        <v>292.8043929863037</v>
      </c>
      <c r="N472">
        <f t="shared" ca="1" si="150"/>
        <v>-5.8700000000000045</v>
      </c>
      <c r="O472">
        <f t="shared" ca="1" si="151"/>
        <v>0</v>
      </c>
      <c r="P472">
        <f t="shared" ca="1" si="152"/>
        <v>5.8700000000000045</v>
      </c>
      <c r="Q472">
        <f t="shared" ca="1" si="156"/>
        <v>1.4819133691061463</v>
      </c>
      <c r="R472">
        <f t="shared" ca="1" si="157"/>
        <v>1.8565964844245231</v>
      </c>
      <c r="S472">
        <f t="shared" ca="1" si="154"/>
        <v>0.79818818011253811</v>
      </c>
      <c r="T472">
        <f t="shared" ca="1" si="155"/>
        <v>44.388467733259382</v>
      </c>
      <c r="U472">
        <f>70</f>
        <v>70</v>
      </c>
      <c r="V472">
        <f>30</f>
        <v>30</v>
      </c>
      <c r="W472">
        <f t="shared" ca="1" si="153"/>
        <v>310.6410978834827</v>
      </c>
      <c r="X472">
        <f t="shared" ca="1" si="142"/>
        <v>308.59765059508544</v>
      </c>
      <c r="Y472">
        <f t="shared" ca="1" si="141"/>
        <v>1.0727339828820277</v>
      </c>
      <c r="Z472">
        <f t="shared" ca="1" si="143"/>
        <v>1.8636196366058042</v>
      </c>
      <c r="AA472">
        <f t="shared" ca="1" si="144"/>
        <v>-0.7908856537237765</v>
      </c>
      <c r="AB472">
        <f t="shared" ca="1" si="145"/>
        <v>300.15669999999989</v>
      </c>
    </row>
    <row r="473" spans="1:28" x14ac:dyDescent="0.25">
      <c r="A473" s="20">
        <f t="shared" ca="1" si="146"/>
        <v>45978</v>
      </c>
      <c r="B473" vm="1405">
        <f ca="1"/>
        <v>45978</v>
      </c>
      <c r="C473" vm="1406">
        <f ca="1"/>
        <v>300.37</v>
      </c>
      <c r="D473" vm="1407">
        <f ca="1"/>
        <v>8344046</v>
      </c>
      <c r="E473">
        <f t="shared" ca="1" si="147"/>
        <v>2506301097.02</v>
      </c>
      <c r="F473">
        <f ca="1">SUM($E$2:E473)/SUM($D$2:D473)</f>
        <v>235.73186866301054</v>
      </c>
      <c r="G473">
        <f ca="1">_xlfn.STDEV.P($C$2:C473)</f>
        <v>42.326196172227291</v>
      </c>
      <c r="H473">
        <f t="shared" ca="1" si="148"/>
        <v>278.05806483523781</v>
      </c>
      <c r="I473">
        <f t="shared" ca="1" si="149"/>
        <v>193.40567249078325</v>
      </c>
      <c r="J473">
        <f t="shared" ca="1" si="158"/>
        <v>307.30249999999995</v>
      </c>
      <c r="K473">
        <f t="shared" ca="1" si="159"/>
        <v>7.3842199281554732</v>
      </c>
      <c r="L473">
        <f t="shared" ca="1" si="160"/>
        <v>322.07093985631087</v>
      </c>
      <c r="M473">
        <f t="shared" ca="1" si="161"/>
        <v>292.53406014368903</v>
      </c>
      <c r="N473">
        <f t="shared" ca="1" si="150"/>
        <v>-3.2400000000000091</v>
      </c>
      <c r="O473">
        <f t="shared" ca="1" si="151"/>
        <v>0</v>
      </c>
      <c r="P473">
        <f t="shared" ca="1" si="152"/>
        <v>3.2400000000000091</v>
      </c>
      <c r="Q473">
        <f t="shared" ca="1" si="156"/>
        <v>1.3760624141699931</v>
      </c>
      <c r="R473">
        <f t="shared" ca="1" si="157"/>
        <v>1.9554110212513436</v>
      </c>
      <c r="S473">
        <f t="shared" ca="1" si="154"/>
        <v>0.70372029164967942</v>
      </c>
      <c r="T473">
        <f t="shared" ca="1" si="155"/>
        <v>41.304919305050987</v>
      </c>
      <c r="U473">
        <f>70</f>
        <v>70</v>
      </c>
      <c r="V473">
        <f>30</f>
        <v>30</v>
      </c>
      <c r="W473">
        <f t="shared" ca="1" si="153"/>
        <v>309.0609289783315</v>
      </c>
      <c r="X473">
        <f t="shared" ca="1" si="142"/>
        <v>307.98819499544948</v>
      </c>
      <c r="Y473">
        <f t="shared" ca="1" si="141"/>
        <v>0.22339753003814167</v>
      </c>
      <c r="Z473">
        <f t="shared" ca="1" si="143"/>
        <v>1.5355752152922719</v>
      </c>
      <c r="AA473">
        <f t="shared" ca="1" si="144"/>
        <v>-1.3121776852541303</v>
      </c>
      <c r="AB473">
        <f t="shared" ca="1" si="145"/>
        <v>300.27289999999988</v>
      </c>
    </row>
    <row r="474" spans="1:28" x14ac:dyDescent="0.25">
      <c r="A474" s="20">
        <f t="shared" ca="1" si="146"/>
        <v>45978</v>
      </c>
      <c r="B474" vm="1408">
        <f ca="1"/>
        <v>45979</v>
      </c>
      <c r="C474" vm="1409">
        <f ca="1"/>
        <v>299.41000000000003</v>
      </c>
      <c r="D474" vm="1410">
        <f ca="1"/>
        <v>8077315</v>
      </c>
      <c r="E474">
        <f t="shared" ca="1" si="147"/>
        <v>2418428884.1500001</v>
      </c>
      <c r="F474">
        <f ca="1">SUM($E$2:E474)/SUM($D$2:D474)</f>
        <v>235.85026289035434</v>
      </c>
      <c r="G474">
        <f ca="1">_xlfn.STDEV.P($C$2:C474)</f>
        <v>42.375778976082572</v>
      </c>
      <c r="H474">
        <f t="shared" ca="1" si="148"/>
        <v>278.2260418664369</v>
      </c>
      <c r="I474">
        <f t="shared" ca="1" si="149"/>
        <v>193.47448391427179</v>
      </c>
      <c r="J474">
        <f t="shared" ca="1" si="158"/>
        <v>307.41849999999994</v>
      </c>
      <c r="K474">
        <f t="shared" ca="1" si="159"/>
        <v>7.2319999963611989</v>
      </c>
      <c r="L474">
        <f t="shared" ca="1" si="160"/>
        <v>321.88249999272233</v>
      </c>
      <c r="M474">
        <f t="shared" ca="1" si="161"/>
        <v>292.95450000727755</v>
      </c>
      <c r="N474">
        <f t="shared" ca="1" si="150"/>
        <v>-0.95999999999997954</v>
      </c>
      <c r="O474">
        <f t="shared" ca="1" si="151"/>
        <v>0</v>
      </c>
      <c r="P474">
        <f t="shared" ca="1" si="152"/>
        <v>0.95999999999997954</v>
      </c>
      <c r="Q474">
        <f t="shared" ca="1" si="156"/>
        <v>1.2777722417292792</v>
      </c>
      <c r="R474">
        <f t="shared" ca="1" si="157"/>
        <v>1.8843102340191034</v>
      </c>
      <c r="S474">
        <f t="shared" ca="1" si="154"/>
        <v>0.67811139517290597</v>
      </c>
      <c r="T474">
        <f t="shared" ca="1" si="155"/>
        <v>40.40920031432335</v>
      </c>
      <c r="U474">
        <f>70</f>
        <v>70</v>
      </c>
      <c r="V474">
        <f>30</f>
        <v>30</v>
      </c>
      <c r="W474">
        <f t="shared" ca="1" si="153"/>
        <v>307.57617067397285</v>
      </c>
      <c r="X474">
        <f t="shared" ca="1" si="142"/>
        <v>307.35277314393471</v>
      </c>
      <c r="Y474">
        <f t="shared" ca="1" si="141"/>
        <v>-0.1366626256662471</v>
      </c>
      <c r="Z474">
        <f t="shared" ca="1" si="143"/>
        <v>1.2011276471005681</v>
      </c>
      <c r="AA474">
        <f t="shared" ca="1" si="144"/>
        <v>-1.3377902727668152</v>
      </c>
      <c r="AB474">
        <f t="shared" ca="1" si="145"/>
        <v>300.39589999999987</v>
      </c>
    </row>
    <row r="475" spans="1:28" x14ac:dyDescent="0.25">
      <c r="A475" s="20">
        <f t="shared" ca="1" si="146"/>
        <v>45978</v>
      </c>
      <c r="B475" vm="1411">
        <f ca="1"/>
        <v>45980</v>
      </c>
      <c r="C475" vm="1412">
        <f ca="1"/>
        <v>303.27</v>
      </c>
      <c r="D475" vm="1413">
        <f ca="1"/>
        <v>5546555</v>
      </c>
      <c r="E475">
        <f t="shared" ca="1" si="147"/>
        <v>1682103734.8499999</v>
      </c>
      <c r="F475">
        <f ca="1">SUM($E$2:E475)/SUM($D$2:D475)</f>
        <v>235.93622943204747</v>
      </c>
      <c r="G475">
        <f ca="1">_xlfn.STDEV.P($C$2:C475)</f>
        <v>42.43682757819905</v>
      </c>
      <c r="H475">
        <f t="shared" ca="1" si="148"/>
        <v>278.3730570102465</v>
      </c>
      <c r="I475">
        <f t="shared" ca="1" si="149"/>
        <v>193.49940185384841</v>
      </c>
      <c r="J475">
        <f t="shared" ca="1" si="158"/>
        <v>307.87649999999996</v>
      </c>
      <c r="K475">
        <f t="shared" ca="1" si="159"/>
        <v>6.6079428083099145</v>
      </c>
      <c r="L475">
        <f t="shared" ca="1" si="160"/>
        <v>321.09238561661982</v>
      </c>
      <c r="M475">
        <f t="shared" ca="1" si="161"/>
        <v>294.66061438338011</v>
      </c>
      <c r="N475">
        <f t="shared" ca="1" si="150"/>
        <v>3.8599999999999568</v>
      </c>
      <c r="O475">
        <f t="shared" ca="1" si="151"/>
        <v>3.8599999999999568</v>
      </c>
      <c r="P475">
        <f t="shared" ca="1" si="152"/>
        <v>0</v>
      </c>
      <c r="Q475">
        <f t="shared" ca="1" si="156"/>
        <v>1.462217081605756</v>
      </c>
      <c r="R475">
        <f t="shared" ca="1" si="157"/>
        <v>1.7497166458748816</v>
      </c>
      <c r="S475">
        <f t="shared" ca="1" si="154"/>
        <v>0.83568792984456519</v>
      </c>
      <c r="T475">
        <f t="shared" ca="1" si="155"/>
        <v>45.524509708756767</v>
      </c>
      <c r="U475">
        <f>70</f>
        <v>70</v>
      </c>
      <c r="V475">
        <f>30</f>
        <v>30</v>
      </c>
      <c r="W475">
        <f t="shared" ca="1" si="153"/>
        <v>306.91368287797701</v>
      </c>
      <c r="X475">
        <f t="shared" ca="1" si="142"/>
        <v>307.05034550364326</v>
      </c>
      <c r="Y475">
        <f t="shared" ca="1" si="141"/>
        <v>-0.80728909950113348</v>
      </c>
      <c r="Z475">
        <f t="shared" ca="1" si="143"/>
        <v>0.79944429778022785</v>
      </c>
      <c r="AA475">
        <f t="shared" ca="1" si="144"/>
        <v>-1.6067333972813613</v>
      </c>
      <c r="AB475">
        <f t="shared" ca="1" si="145"/>
        <v>300.52949999999987</v>
      </c>
    </row>
    <row r="476" spans="1:28" x14ac:dyDescent="0.25">
      <c r="A476" s="20">
        <f t="shared" ca="1" si="146"/>
        <v>45978</v>
      </c>
      <c r="B476" vm="1414">
        <f ca="1"/>
        <v>45981</v>
      </c>
      <c r="C476" vm="1415">
        <f ca="1"/>
        <v>298.38</v>
      </c>
      <c r="D476" vm="1416">
        <f ca="1"/>
        <v>7501582</v>
      </c>
      <c r="E476">
        <f t="shared" ca="1" si="147"/>
        <v>2238322037.1599998</v>
      </c>
      <c r="F476">
        <f ca="1">SUM($E$2:E476)/SUM($D$2:D476)</f>
        <v>236.04373049213217</v>
      </c>
      <c r="G476">
        <f ca="1">_xlfn.STDEV.P($C$2:C476)</f>
        <v>42.481934614850978</v>
      </c>
      <c r="H476">
        <f t="shared" ca="1" si="148"/>
        <v>278.52566510698313</v>
      </c>
      <c r="I476">
        <f t="shared" ca="1" si="149"/>
        <v>193.56179587728118</v>
      </c>
      <c r="J476">
        <f t="shared" ca="1" si="158"/>
        <v>308.06849999999997</v>
      </c>
      <c r="K476">
        <f t="shared" ca="1" si="159"/>
        <v>6.2459134218850831</v>
      </c>
      <c r="L476">
        <f t="shared" ca="1" si="160"/>
        <v>320.56032684377016</v>
      </c>
      <c r="M476">
        <f t="shared" ca="1" si="161"/>
        <v>295.57667315622979</v>
      </c>
      <c r="N476">
        <f t="shared" ca="1" si="150"/>
        <v>-4.8899999999999864</v>
      </c>
      <c r="O476">
        <f t="shared" ca="1" si="151"/>
        <v>0</v>
      </c>
      <c r="P476">
        <f t="shared" ca="1" si="152"/>
        <v>4.8899999999999864</v>
      </c>
      <c r="Q476">
        <f t="shared" ca="1" si="156"/>
        <v>1.3577730043482019</v>
      </c>
      <c r="R476">
        <f t="shared" ca="1" si="157"/>
        <v>1.9740225997409606</v>
      </c>
      <c r="S476">
        <f t="shared" ca="1" si="154"/>
        <v>0.68782039502808856</v>
      </c>
      <c r="T476">
        <f t="shared" ca="1" si="155"/>
        <v>40.75198978838278</v>
      </c>
      <c r="U476">
        <f>70</f>
        <v>70</v>
      </c>
      <c r="V476">
        <f>30</f>
        <v>30</v>
      </c>
      <c r="W476">
        <f t="shared" ca="1" si="153"/>
        <v>305.60080858905746</v>
      </c>
      <c r="X476">
        <f t="shared" ca="1" si="142"/>
        <v>306.4080976885586</v>
      </c>
      <c r="Y476">
        <f t="shared" ref="Y476:Y514" ca="1" si="162">W477-X477</f>
        <v>-1.3522267744486953</v>
      </c>
      <c r="Z476">
        <f t="shared" ca="1" si="143"/>
        <v>0.36911008333444328</v>
      </c>
      <c r="AA476">
        <f t="shared" ca="1" si="144"/>
        <v>-1.7213368577831387</v>
      </c>
      <c r="AB476">
        <f t="shared" ca="1" si="145"/>
        <v>300.60919999999993</v>
      </c>
    </row>
    <row r="477" spans="1:28" x14ac:dyDescent="0.25">
      <c r="A477" s="20">
        <f t="shared" ca="1" si="146"/>
        <v>45978</v>
      </c>
      <c r="B477" vm="1417">
        <f ca="1"/>
        <v>45982</v>
      </c>
      <c r="C477" vm="1418">
        <f ca="1"/>
        <v>298.02</v>
      </c>
      <c r="D477" vm="1419">
        <f ca="1"/>
        <v>11766810</v>
      </c>
      <c r="E477">
        <f t="shared" ca="1" si="147"/>
        <v>3506744716.1999998</v>
      </c>
      <c r="F477">
        <f ca="1">SUM($E$2:E477)/SUM($D$2:D477)</f>
        <v>236.21064102632312</v>
      </c>
      <c r="G477">
        <f ca="1">_xlfn.STDEV.P($C$2:C477)</f>
        <v>42.525365340417451</v>
      </c>
      <c r="H477">
        <f t="shared" ca="1" si="148"/>
        <v>278.73600636674058</v>
      </c>
      <c r="I477">
        <f t="shared" ca="1" si="149"/>
        <v>193.68527568590565</v>
      </c>
      <c r="J477">
        <f t="shared" ca="1" si="158"/>
        <v>307.94749999999993</v>
      </c>
      <c r="K477">
        <f t="shared" ca="1" si="159"/>
        <v>6.4224227884564131</v>
      </c>
      <c r="L477">
        <f t="shared" ca="1" si="160"/>
        <v>320.79234557691274</v>
      </c>
      <c r="M477">
        <f t="shared" ca="1" si="161"/>
        <v>295.10265442308713</v>
      </c>
      <c r="N477">
        <f t="shared" ca="1" si="150"/>
        <v>-0.36000000000001364</v>
      </c>
      <c r="O477">
        <f t="shared" ca="1" si="151"/>
        <v>0</v>
      </c>
      <c r="P477">
        <f t="shared" ca="1" si="152"/>
        <v>0.36000000000001364</v>
      </c>
      <c r="Q477">
        <f t="shared" ca="1" si="156"/>
        <v>1.2607892183233302</v>
      </c>
      <c r="R477">
        <f t="shared" ca="1" si="157"/>
        <v>1.8587352711880361</v>
      </c>
      <c r="S477">
        <f t="shared" ca="1" si="154"/>
        <v>0.67830488712762183</v>
      </c>
      <c r="T477">
        <f t="shared" ca="1" si="155"/>
        <v>40.416070544162224</v>
      </c>
      <c r="U477">
        <f>70</f>
        <v>70</v>
      </c>
      <c r="V477">
        <f>30</f>
        <v>30</v>
      </c>
      <c r="W477">
        <f t="shared" ca="1" si="153"/>
        <v>304.43453034458707</v>
      </c>
      <c r="X477">
        <f t="shared" ref="X477:X514" ca="1" si="163">C477*(2/(26+1)) + X476*(1-(2/(26+1)))</f>
        <v>305.78675711903577</v>
      </c>
      <c r="Y477">
        <f t="shared" ca="1" si="162"/>
        <v>-1.7653576961375279</v>
      </c>
      <c r="Z477">
        <f t="shared" ca="1" si="143"/>
        <v>-5.7783472559950977E-2</v>
      </c>
      <c r="AA477">
        <f t="shared" ca="1" si="144"/>
        <v>-1.707574223577577</v>
      </c>
      <c r="AB477">
        <f t="shared" ca="1" si="145"/>
        <v>300.66939999999994</v>
      </c>
    </row>
    <row r="478" spans="1:28" x14ac:dyDescent="0.25">
      <c r="A478" s="20">
        <f t="shared" ca="1" si="146"/>
        <v>45985</v>
      </c>
      <c r="B478" vm="1420">
        <f ca="1"/>
        <v>45985</v>
      </c>
      <c r="C478" vm="1421">
        <f ca="1"/>
        <v>298</v>
      </c>
      <c r="D478" vm="1422">
        <f ca="1"/>
        <v>10940186</v>
      </c>
      <c r="E478">
        <f t="shared" ca="1" si="147"/>
        <v>3260175428</v>
      </c>
      <c r="F478">
        <f ca="1">SUM($E$2:E478)/SUM($D$2:D478)</f>
        <v>236.36497156819442</v>
      </c>
      <c r="G478">
        <f ca="1">_xlfn.STDEV.P($C$2:C478)</f>
        <v>42.568143570485887</v>
      </c>
      <c r="H478">
        <f t="shared" ca="1" si="148"/>
        <v>278.93311513868031</v>
      </c>
      <c r="I478">
        <f t="shared" ca="1" si="149"/>
        <v>193.79682799770853</v>
      </c>
      <c r="J478">
        <f t="shared" ca="1" si="158"/>
        <v>307.64</v>
      </c>
      <c r="K478">
        <f t="shared" ca="1" si="159"/>
        <v>6.7525566308348433</v>
      </c>
      <c r="L478">
        <f t="shared" ca="1" si="160"/>
        <v>321.14511326166968</v>
      </c>
      <c r="M478">
        <f t="shared" ca="1" si="161"/>
        <v>294.13488673833029</v>
      </c>
      <c r="N478">
        <f t="shared" ca="1" si="150"/>
        <v>-1.999999999998181E-2</v>
      </c>
      <c r="O478">
        <f t="shared" ca="1" si="151"/>
        <v>0</v>
      </c>
      <c r="P478">
        <f t="shared" ca="1" si="152"/>
        <v>1.999999999998181E-2</v>
      </c>
      <c r="Q478">
        <f t="shared" ca="1" si="156"/>
        <v>1.1707328455859494</v>
      </c>
      <c r="R478">
        <f t="shared" ca="1" si="157"/>
        <v>1.7273970375317464</v>
      </c>
      <c r="S478">
        <f t="shared" ca="1" si="154"/>
        <v>0.67774392345768586</v>
      </c>
      <c r="T478">
        <f t="shared" ca="1" si="155"/>
        <v>40.396148302591612</v>
      </c>
      <c r="U478">
        <f>70</f>
        <v>70</v>
      </c>
      <c r="V478">
        <f>30</f>
        <v>30</v>
      </c>
      <c r="W478">
        <f t="shared" ca="1" si="153"/>
        <v>303.44460259926598</v>
      </c>
      <c r="X478">
        <f t="shared" ca="1" si="163"/>
        <v>305.2099602954035</v>
      </c>
      <c r="Y478">
        <f t="shared" ca="1" si="162"/>
        <v>-1.6700573334020987</v>
      </c>
      <c r="Z478">
        <f t="shared" ca="1" si="143"/>
        <v>-0.38023824472838053</v>
      </c>
      <c r="AA478">
        <f t="shared" ca="1" si="144"/>
        <v>-1.2898190886737182</v>
      </c>
      <c r="AB478">
        <f t="shared" ca="1" si="145"/>
        <v>300.68939999999992</v>
      </c>
    </row>
    <row r="479" spans="1:28" x14ac:dyDescent="0.25">
      <c r="A479" s="20">
        <f t="shared" ca="1" si="146"/>
        <v>45985</v>
      </c>
      <c r="B479" vm="1423">
        <f ca="1"/>
        <v>45986</v>
      </c>
      <c r="C479" vm="1424">
        <f ca="1"/>
        <v>303</v>
      </c>
      <c r="D479" vm="1425">
        <f ca="1"/>
        <v>8877188</v>
      </c>
      <c r="E479">
        <f t="shared" ca="1" si="147"/>
        <v>2689787964</v>
      </c>
      <c r="F479">
        <f ca="1">SUM($E$2:E479)/SUM($D$2:D479)</f>
        <v>236.49974745485244</v>
      </c>
      <c r="G479">
        <f ca="1">_xlfn.STDEV.P($C$2:C479)</f>
        <v>42.625515623050148</v>
      </c>
      <c r="H479">
        <f t="shared" ca="1" si="148"/>
        <v>279.12526307790256</v>
      </c>
      <c r="I479">
        <f t="shared" ca="1" si="149"/>
        <v>193.87423183180229</v>
      </c>
      <c r="J479">
        <f t="shared" ca="1" si="158"/>
        <v>307.52199999999993</v>
      </c>
      <c r="K479">
        <f t="shared" ca="1" si="159"/>
        <v>6.8148294954922841</v>
      </c>
      <c r="L479">
        <f t="shared" ca="1" si="160"/>
        <v>321.15165899098452</v>
      </c>
      <c r="M479">
        <f t="shared" ca="1" si="161"/>
        <v>293.89234100901535</v>
      </c>
      <c r="N479">
        <f t="shared" ca="1" si="150"/>
        <v>5</v>
      </c>
      <c r="O479">
        <f t="shared" ca="1" si="151"/>
        <v>5</v>
      </c>
      <c r="P479">
        <f t="shared" ca="1" si="152"/>
        <v>0</v>
      </c>
      <c r="Q479">
        <f t="shared" ca="1" si="156"/>
        <v>1.4442519280440957</v>
      </c>
      <c r="R479">
        <f t="shared" ca="1" si="157"/>
        <v>1.6040115348509072</v>
      </c>
      <c r="S479">
        <f t="shared" ca="1" si="154"/>
        <v>0.90039996388077026</v>
      </c>
      <c r="T479">
        <f t="shared" ca="1" si="155"/>
        <v>47.379498052719427</v>
      </c>
      <c r="U479">
        <f>70</f>
        <v>70</v>
      </c>
      <c r="V479">
        <f>30</f>
        <v>30</v>
      </c>
      <c r="W479">
        <f t="shared" ca="1" si="153"/>
        <v>303.37620219937895</v>
      </c>
      <c r="X479">
        <f t="shared" ca="1" si="163"/>
        <v>305.04625953278105</v>
      </c>
      <c r="Y479">
        <f t="shared" ca="1" si="162"/>
        <v>-1.206217364496581</v>
      </c>
      <c r="Z479">
        <f t="shared" ca="1" si="143"/>
        <v>-0.54543406868202071</v>
      </c>
      <c r="AA479">
        <f t="shared" ca="1" si="144"/>
        <v>-0.6607832958145603</v>
      </c>
      <c r="AB479">
        <f t="shared" ca="1" si="145"/>
        <v>300.79969999999992</v>
      </c>
    </row>
    <row r="480" spans="1:28" x14ac:dyDescent="0.25">
      <c r="A480" s="20">
        <f t="shared" ca="1" si="146"/>
        <v>45985</v>
      </c>
      <c r="B480" vm="1426">
        <f ca="1"/>
        <v>45987</v>
      </c>
      <c r="C480" vm="1427">
        <f ca="1"/>
        <v>307.64</v>
      </c>
      <c r="D480" vm="1428">
        <f ca="1"/>
        <v>7910851</v>
      </c>
      <c r="E480">
        <f t="shared" ca="1" si="147"/>
        <v>2433694201.6399999</v>
      </c>
      <c r="F480">
        <f ca="1">SUM($E$2:E480)/SUM($D$2:D480)</f>
        <v>236.62774178185501</v>
      </c>
      <c r="G480">
        <f ca="1">_xlfn.STDEV.P($C$2:C480)</f>
        <v>42.697242454880929</v>
      </c>
      <c r="H480">
        <f t="shared" ca="1" si="148"/>
        <v>279.32498423673593</v>
      </c>
      <c r="I480">
        <f t="shared" ca="1" si="149"/>
        <v>193.93049932697409</v>
      </c>
      <c r="J480">
        <f t="shared" ca="1" si="158"/>
        <v>307.62849999999992</v>
      </c>
      <c r="K480">
        <f t="shared" ca="1" si="159"/>
        <v>6.7983552771007965</v>
      </c>
      <c r="L480">
        <f t="shared" ca="1" si="160"/>
        <v>321.22521055420151</v>
      </c>
      <c r="M480">
        <f t="shared" ca="1" si="161"/>
        <v>294.03178944579832</v>
      </c>
      <c r="N480">
        <f t="shared" ca="1" si="150"/>
        <v>4.6399999999999864</v>
      </c>
      <c r="O480">
        <f t="shared" ca="1" si="151"/>
        <v>4.6399999999999864</v>
      </c>
      <c r="P480">
        <f t="shared" ca="1" si="152"/>
        <v>0</v>
      </c>
      <c r="Q480">
        <f t="shared" ca="1" si="156"/>
        <v>1.6725196474695163</v>
      </c>
      <c r="R480">
        <f t="shared" ca="1" si="157"/>
        <v>1.4894392823615568</v>
      </c>
      <c r="S480">
        <f t="shared" ca="1" si="154"/>
        <v>1.1229189852020549</v>
      </c>
      <c r="T480">
        <f t="shared" ca="1" si="155"/>
        <v>52.895046538724976</v>
      </c>
      <c r="U480">
        <f>70</f>
        <v>70</v>
      </c>
      <c r="V480">
        <f>30</f>
        <v>30</v>
      </c>
      <c r="W480">
        <f t="shared" ca="1" si="153"/>
        <v>304.03217109178217</v>
      </c>
      <c r="X480">
        <f t="shared" ca="1" si="163"/>
        <v>305.23838845627876</v>
      </c>
      <c r="Y480">
        <f t="shared" ca="1" si="162"/>
        <v>-0.39510380065894424</v>
      </c>
      <c r="Z480">
        <f t="shared" ca="1" si="143"/>
        <v>-0.51536801507740548</v>
      </c>
      <c r="AA480">
        <f t="shared" ca="1" si="144"/>
        <v>0.12026421441846125</v>
      </c>
      <c r="AB480">
        <f t="shared" ca="1" si="145"/>
        <v>301.04829999999993</v>
      </c>
    </row>
    <row r="481" spans="1:28" x14ac:dyDescent="0.25">
      <c r="A481" s="20">
        <f t="shared" ca="1" si="146"/>
        <v>45985</v>
      </c>
      <c r="B481" vm="1429">
        <f ca="1"/>
        <v>45989</v>
      </c>
      <c r="C481" vm="1430">
        <f ca="1"/>
        <v>313.08</v>
      </c>
      <c r="D481" vm="1431">
        <f ca="1"/>
        <v>4322448</v>
      </c>
      <c r="E481">
        <f t="shared" ca="1" si="147"/>
        <v>1353272019.8399999</v>
      </c>
      <c r="F481">
        <f ca="1">SUM($E$2:E481)/SUM($D$2:D481)</f>
        <v>236.70282544965085</v>
      </c>
      <c r="G481">
        <f ca="1">_xlfn.STDEV.P($C$2:C481)</f>
        <v>42.786987450897279</v>
      </c>
      <c r="H481">
        <f t="shared" ca="1" si="148"/>
        <v>279.48981290054815</v>
      </c>
      <c r="I481">
        <f t="shared" ca="1" si="149"/>
        <v>193.91583799875357</v>
      </c>
      <c r="J481">
        <f t="shared" ca="1" si="158"/>
        <v>307.81049999999999</v>
      </c>
      <c r="K481">
        <f t="shared" ca="1" si="159"/>
        <v>6.8974056717000511</v>
      </c>
      <c r="L481">
        <f t="shared" ca="1" si="160"/>
        <v>321.6053113434001</v>
      </c>
      <c r="M481">
        <f t="shared" ca="1" si="161"/>
        <v>294.01568865659988</v>
      </c>
      <c r="N481">
        <f t="shared" ca="1" si="150"/>
        <v>5.4399999999999977</v>
      </c>
      <c r="O481">
        <f t="shared" ca="1" si="151"/>
        <v>5.4399999999999977</v>
      </c>
      <c r="P481">
        <f t="shared" ca="1" si="152"/>
        <v>0</v>
      </c>
      <c r="Q481">
        <f t="shared" ca="1" si="156"/>
        <v>1.9416253869359792</v>
      </c>
      <c r="R481">
        <f t="shared" ca="1" si="157"/>
        <v>1.3830507621928743</v>
      </c>
      <c r="S481">
        <f t="shared" ca="1" si="154"/>
        <v>1.4038713834750836</v>
      </c>
      <c r="T481">
        <f t="shared" ca="1" si="155"/>
        <v>58.400436609283958</v>
      </c>
      <c r="U481">
        <f>70</f>
        <v>70</v>
      </c>
      <c r="V481">
        <f>30</f>
        <v>30</v>
      </c>
      <c r="W481">
        <f t="shared" ca="1" si="153"/>
        <v>305.42414476996953</v>
      </c>
      <c r="X481">
        <f t="shared" ca="1" si="163"/>
        <v>305.81924857062847</v>
      </c>
      <c r="Y481">
        <f t="shared" ca="1" si="162"/>
        <v>-8.6965210180323993E-2</v>
      </c>
      <c r="Z481">
        <f t="shared" ca="1" si="143"/>
        <v>-0.4296874540979892</v>
      </c>
      <c r="AA481">
        <f t="shared" ca="1" si="144"/>
        <v>0.3427222439176652</v>
      </c>
      <c r="AB481">
        <f t="shared" ca="1" si="145"/>
        <v>301.34749999999991</v>
      </c>
    </row>
    <row r="482" spans="1:28" x14ac:dyDescent="0.25">
      <c r="A482" s="20">
        <f t="shared" ca="1" si="146"/>
        <v>45992</v>
      </c>
      <c r="B482" vm="1432">
        <f ca="1"/>
        <v>45992</v>
      </c>
      <c r="C482" vm="1433">
        <f ca="1"/>
        <v>308.92</v>
      </c>
      <c r="D482" vm="1434">
        <f ca="1"/>
        <v>7727324</v>
      </c>
      <c r="E482">
        <f t="shared" ca="1" si="147"/>
        <v>2387124930.0799999</v>
      </c>
      <c r="F482">
        <f ca="1">SUM($E$2:E482)/SUM($D$2:D482)</f>
        <v>236.82939614609498</v>
      </c>
      <c r="G482">
        <f ca="1">_xlfn.STDEV.P($C$2:C482)</f>
        <v>42.861113468201459</v>
      </c>
      <c r="H482">
        <f t="shared" ca="1" si="148"/>
        <v>279.69050961429645</v>
      </c>
      <c r="I482">
        <f t="shared" ca="1" si="149"/>
        <v>193.96828267789351</v>
      </c>
      <c r="J482">
        <f t="shared" ca="1" si="158"/>
        <v>307.70049999999998</v>
      </c>
      <c r="K482">
        <f t="shared" ca="1" si="159"/>
        <v>6.8592852742603023</v>
      </c>
      <c r="L482">
        <f t="shared" ca="1" si="160"/>
        <v>321.41907054852061</v>
      </c>
      <c r="M482">
        <f t="shared" ca="1" si="161"/>
        <v>293.98192945147935</v>
      </c>
      <c r="N482">
        <f t="shared" ca="1" si="150"/>
        <v>-4.1599999999999682</v>
      </c>
      <c r="O482">
        <f t="shared" ca="1" si="151"/>
        <v>0</v>
      </c>
      <c r="P482">
        <f t="shared" ca="1" si="152"/>
        <v>4.1599999999999682</v>
      </c>
      <c r="Q482">
        <f t="shared" ca="1" si="156"/>
        <v>1.8029378592976948</v>
      </c>
      <c r="R482">
        <f t="shared" ca="1" si="157"/>
        <v>1.5814042791790952</v>
      </c>
      <c r="S482">
        <f t="shared" ca="1" si="154"/>
        <v>1.1400866198702821</v>
      </c>
      <c r="T482">
        <f t="shared" ca="1" si="155"/>
        <v>53.272919389561288</v>
      </c>
      <c r="U482">
        <f>70</f>
        <v>70</v>
      </c>
      <c r="V482">
        <f>30</f>
        <v>30</v>
      </c>
      <c r="W482">
        <f t="shared" ca="1" si="153"/>
        <v>305.96196865151268</v>
      </c>
      <c r="X482">
        <f t="shared" ca="1" si="163"/>
        <v>306.048933861693</v>
      </c>
      <c r="Y482">
        <f t="shared" ca="1" si="162"/>
        <v>7.2482006977338642E-2</v>
      </c>
      <c r="Z482">
        <f t="shared" ca="1" si="143"/>
        <v>-0.32925356188292365</v>
      </c>
      <c r="AA482">
        <f t="shared" ca="1" si="144"/>
        <v>0.40173556886026229</v>
      </c>
      <c r="AB482">
        <f t="shared" ca="1" si="145"/>
        <v>301.55479999999994</v>
      </c>
    </row>
    <row r="483" spans="1:28" x14ac:dyDescent="0.25">
      <c r="A483" s="20">
        <f t="shared" ca="1" si="146"/>
        <v>45992</v>
      </c>
      <c r="B483" vm="1435">
        <f ca="1"/>
        <v>45993</v>
      </c>
      <c r="C483" vm="1436">
        <f ca="1"/>
        <v>307.88</v>
      </c>
      <c r="D483" vm="1437">
        <f ca="1"/>
        <v>7249043</v>
      </c>
      <c r="E483">
        <f t="shared" ca="1" si="147"/>
        <v>2231835358.8400002</v>
      </c>
      <c r="F483">
        <f ca="1">SUM($E$2:E483)/SUM($D$2:D483)</f>
        <v>236.9460229946236</v>
      </c>
      <c r="G483">
        <f ca="1">_xlfn.STDEV.P($C$2:C483)</f>
        <v>42.930839619104901</v>
      </c>
      <c r="H483">
        <f t="shared" ca="1" si="148"/>
        <v>279.87686261372852</v>
      </c>
      <c r="I483">
        <f t="shared" ca="1" si="149"/>
        <v>194.01518337551869</v>
      </c>
      <c r="J483">
        <f t="shared" ca="1" si="158"/>
        <v>307.62700000000007</v>
      </c>
      <c r="K483">
        <f t="shared" ca="1" si="159"/>
        <v>6.8485473680651134</v>
      </c>
      <c r="L483">
        <f t="shared" ca="1" si="160"/>
        <v>321.32409473613029</v>
      </c>
      <c r="M483">
        <f t="shared" ca="1" si="161"/>
        <v>293.92990526386984</v>
      </c>
      <c r="N483">
        <f t="shared" ca="1" si="150"/>
        <v>-1.0400000000000205</v>
      </c>
      <c r="O483">
        <f t="shared" ca="1" si="151"/>
        <v>0</v>
      </c>
      <c r="P483">
        <f t="shared" ca="1" si="152"/>
        <v>1.0400000000000205</v>
      </c>
      <c r="Q483">
        <f t="shared" ca="1" si="156"/>
        <v>1.6741565836335737</v>
      </c>
      <c r="R483">
        <f t="shared" ca="1" si="157"/>
        <v>1.5427325449520184</v>
      </c>
      <c r="S483">
        <f t="shared" ca="1" si="154"/>
        <v>1.0851891269887244</v>
      </c>
      <c r="T483">
        <f t="shared" ca="1" si="155"/>
        <v>52.042719432163643</v>
      </c>
      <c r="U483">
        <f>70</f>
        <v>70</v>
      </c>
      <c r="V483">
        <f>30</f>
        <v>30</v>
      </c>
      <c r="W483">
        <f t="shared" ca="1" si="153"/>
        <v>306.25705039743383</v>
      </c>
      <c r="X483">
        <f t="shared" ca="1" si="163"/>
        <v>306.18456839045649</v>
      </c>
      <c r="Y483">
        <f t="shared" ca="1" si="162"/>
        <v>0.53561037361674835</v>
      </c>
      <c r="Z483">
        <f t="shared" ca="1" si="143"/>
        <v>-0.15628077478298924</v>
      </c>
      <c r="AA483">
        <f t="shared" ca="1" si="144"/>
        <v>0.69189114839973764</v>
      </c>
      <c r="AB483">
        <f t="shared" ca="1" si="145"/>
        <v>301.76499999999993</v>
      </c>
    </row>
    <row r="484" spans="1:28" x14ac:dyDescent="0.25">
      <c r="A484" s="20">
        <f t="shared" ca="1" si="146"/>
        <v>45992</v>
      </c>
      <c r="B484" vm="1438">
        <f ca="1"/>
        <v>45994</v>
      </c>
      <c r="C484" vm="1439">
        <f ca="1"/>
        <v>312.13</v>
      </c>
      <c r="D484" vm="1440">
        <f ca="1"/>
        <v>8535260</v>
      </c>
      <c r="E484">
        <f t="shared" ca="1" si="147"/>
        <v>2664110703.8000002</v>
      </c>
      <c r="F484">
        <f ca="1">SUM($E$2:E484)/SUM($D$2:D484)</f>
        <v>237.09105157155329</v>
      </c>
      <c r="G484">
        <f ca="1">_xlfn.STDEV.P($C$2:C484)</f>
        <v>43.014141303120965</v>
      </c>
      <c r="H484">
        <f t="shared" ca="1" si="148"/>
        <v>280.10519287467423</v>
      </c>
      <c r="I484">
        <f t="shared" ca="1" si="149"/>
        <v>194.07691026843233</v>
      </c>
      <c r="J484">
        <f t="shared" ca="1" si="158"/>
        <v>307.77100000000007</v>
      </c>
      <c r="K484">
        <f t="shared" ca="1" si="159"/>
        <v>6.9144302958226067</v>
      </c>
      <c r="L484">
        <f t="shared" ca="1" si="160"/>
        <v>321.59986059164527</v>
      </c>
      <c r="M484">
        <f t="shared" ca="1" si="161"/>
        <v>293.94213940835488</v>
      </c>
      <c r="N484">
        <f t="shared" ca="1" si="150"/>
        <v>4.25</v>
      </c>
      <c r="O484">
        <f t="shared" ca="1" si="151"/>
        <v>4.25</v>
      </c>
      <c r="P484">
        <f t="shared" ca="1" si="152"/>
        <v>0</v>
      </c>
      <c r="Q484">
        <f t="shared" ca="1" si="156"/>
        <v>1.8581453990883183</v>
      </c>
      <c r="R484">
        <f t="shared" ca="1" si="157"/>
        <v>1.4325373631697313</v>
      </c>
      <c r="S484">
        <f t="shared" ca="1" si="154"/>
        <v>1.2971008274275355</v>
      </c>
      <c r="T484">
        <f t="shared" ca="1" si="155"/>
        <v>56.466865186763513</v>
      </c>
      <c r="U484">
        <f>70</f>
        <v>70</v>
      </c>
      <c r="V484">
        <f>30</f>
        <v>30</v>
      </c>
      <c r="W484">
        <f t="shared" ca="1" si="153"/>
        <v>307.16058110552092</v>
      </c>
      <c r="X484">
        <f t="shared" ca="1" si="163"/>
        <v>306.62497073190417</v>
      </c>
      <c r="Y484">
        <f t="shared" ca="1" si="162"/>
        <v>1.2090515682930345</v>
      </c>
      <c r="Z484">
        <f t="shared" ca="1" si="143"/>
        <v>0.11678569383221551</v>
      </c>
      <c r="AA484">
        <f t="shared" ca="1" si="144"/>
        <v>1.0922658744608189</v>
      </c>
      <c r="AB484">
        <f t="shared" ca="1" si="145"/>
        <v>301.99929999999995</v>
      </c>
    </row>
    <row r="485" spans="1:28" x14ac:dyDescent="0.25">
      <c r="A485" s="20">
        <f t="shared" ca="1" si="146"/>
        <v>45992</v>
      </c>
      <c r="B485" vm="1441">
        <f ca="1"/>
        <v>45995</v>
      </c>
      <c r="C485" vm="1442">
        <f ca="1"/>
        <v>316.10000000000002</v>
      </c>
      <c r="D485" vm="1443">
        <f ca="1"/>
        <v>9627834</v>
      </c>
      <c r="E485">
        <f t="shared" ca="1" si="147"/>
        <v>3043358327.4000001</v>
      </c>
      <c r="F485">
        <f ca="1">SUM($E$2:E485)/SUM($D$2:D485)</f>
        <v>237.26259435535511</v>
      </c>
      <c r="G485">
        <f ca="1">_xlfn.STDEV.P($C$2:C485)</f>
        <v>43.110602875187901</v>
      </c>
      <c r="H485">
        <f t="shared" ca="1" si="148"/>
        <v>280.37319723054298</v>
      </c>
      <c r="I485">
        <f t="shared" ca="1" si="149"/>
        <v>194.1519914801672</v>
      </c>
      <c r="J485">
        <f t="shared" ca="1" si="158"/>
        <v>307.99200000000008</v>
      </c>
      <c r="K485">
        <f t="shared" ca="1" si="159"/>
        <v>7.1137107053913873</v>
      </c>
      <c r="L485">
        <f t="shared" ca="1" si="160"/>
        <v>322.21942141078284</v>
      </c>
      <c r="M485">
        <f t="shared" ca="1" si="161"/>
        <v>293.76457858921731</v>
      </c>
      <c r="N485">
        <f t="shared" ca="1" si="150"/>
        <v>3.9700000000000273</v>
      </c>
      <c r="O485">
        <f t="shared" ca="1" si="151"/>
        <v>3.9700000000000273</v>
      </c>
      <c r="P485">
        <f t="shared" ca="1" si="152"/>
        <v>0</v>
      </c>
      <c r="Q485">
        <f t="shared" ca="1" si="156"/>
        <v>2.0089921562962973</v>
      </c>
      <c r="R485">
        <f t="shared" ca="1" si="157"/>
        <v>1.3302132658004648</v>
      </c>
      <c r="S485">
        <f t="shared" ca="1" si="154"/>
        <v>1.5102782448101453</v>
      </c>
      <c r="T485">
        <f t="shared" ca="1" si="155"/>
        <v>60.163778574449182</v>
      </c>
      <c r="U485">
        <f>70</f>
        <v>70</v>
      </c>
      <c r="V485">
        <f>30</f>
        <v>30</v>
      </c>
      <c r="W485">
        <f t="shared" ca="1" si="153"/>
        <v>308.53587632005616</v>
      </c>
      <c r="X485">
        <f t="shared" ca="1" si="163"/>
        <v>307.32682475176313</v>
      </c>
      <c r="Y485">
        <f t="shared" ca="1" si="162"/>
        <v>1.6383396659077789</v>
      </c>
      <c r="Z485">
        <f t="shared" ca="1" si="143"/>
        <v>0.4210964882473282</v>
      </c>
      <c r="AA485">
        <f t="shared" ca="1" si="144"/>
        <v>1.2172431776604506</v>
      </c>
      <c r="AB485">
        <f t="shared" ca="1" si="145"/>
        <v>302.29479999999995</v>
      </c>
    </row>
    <row r="486" spans="1:28" x14ac:dyDescent="0.25">
      <c r="A486" s="20">
        <f t="shared" ca="1" si="146"/>
        <v>45992</v>
      </c>
      <c r="B486" vm="1444">
        <f ca="1"/>
        <v>45996</v>
      </c>
      <c r="C486" vm="1445">
        <f ca="1"/>
        <v>315.04000000000002</v>
      </c>
      <c r="D486" vm="1446">
        <f ca="1"/>
        <v>6518908</v>
      </c>
      <c r="E486">
        <f t="shared" ca="1" si="147"/>
        <v>2053716776.3200002</v>
      </c>
      <c r="F486">
        <f ca="1">SUM($E$2:E486)/SUM($D$2:D486)</f>
        <v>237.37676590662696</v>
      </c>
      <c r="G486">
        <f ca="1">_xlfn.STDEV.P($C$2:C486)</f>
        <v>43.202037530745265</v>
      </c>
      <c r="H486">
        <f t="shared" ca="1" si="148"/>
        <v>280.57880343737224</v>
      </c>
      <c r="I486">
        <f t="shared" ca="1" si="149"/>
        <v>194.1747283758817</v>
      </c>
      <c r="J486">
        <f t="shared" ca="1" si="158"/>
        <v>308.07299999999998</v>
      </c>
      <c r="K486">
        <f t="shared" ca="1" si="159"/>
        <v>7.1876085621091867</v>
      </c>
      <c r="L486">
        <f t="shared" ca="1" si="160"/>
        <v>322.44821712421833</v>
      </c>
      <c r="M486">
        <f t="shared" ca="1" si="161"/>
        <v>293.69778287578163</v>
      </c>
      <c r="N486">
        <f t="shared" ca="1" si="150"/>
        <v>-1.0600000000000023</v>
      </c>
      <c r="O486">
        <f t="shared" ca="1" si="151"/>
        <v>0</v>
      </c>
      <c r="P486">
        <f t="shared" ca="1" si="152"/>
        <v>1.0600000000000023</v>
      </c>
      <c r="Q486">
        <f t="shared" ca="1" si="156"/>
        <v>1.8654927165608475</v>
      </c>
      <c r="R486">
        <f t="shared" ca="1" si="157"/>
        <v>1.3109123182432891</v>
      </c>
      <c r="S486">
        <f t="shared" ca="1" si="154"/>
        <v>1.4230491929931159</v>
      </c>
      <c r="T486">
        <f t="shared" ca="1" si="155"/>
        <v>58.729686426022099</v>
      </c>
      <c r="U486">
        <f>70</f>
        <v>70</v>
      </c>
      <c r="V486">
        <f>30</f>
        <v>30</v>
      </c>
      <c r="W486">
        <f t="shared" ca="1" si="153"/>
        <v>309.53651073235517</v>
      </c>
      <c r="X486">
        <f t="shared" ca="1" si="163"/>
        <v>307.89817106644739</v>
      </c>
      <c r="Y486">
        <f t="shared" ca="1" si="162"/>
        <v>1.969567210581431</v>
      </c>
      <c r="Z486">
        <f t="shared" ref="Z486:Z514" ca="1" si="164">Y486*(2/(9+1)) + Z485*(1-(2/(9+1)))</f>
        <v>0.73079063271414879</v>
      </c>
      <c r="AA486">
        <f t="shared" ref="AA486:AA514" ca="1" si="165">Y486-Z486</f>
        <v>1.2387765778672821</v>
      </c>
      <c r="AB486">
        <f t="shared" ref="AB486:AB514" ca="1" si="166">AVERAGE(C387:C486)</f>
        <v>302.58699999999993</v>
      </c>
    </row>
    <row r="487" spans="1:28" x14ac:dyDescent="0.25">
      <c r="A487" s="20">
        <f t="shared" ca="1" si="146"/>
        <v>45999</v>
      </c>
      <c r="B487" vm="1447">
        <f ca="1"/>
        <v>45999</v>
      </c>
      <c r="C487" vm="1448">
        <f ca="1"/>
        <v>315.20999999999998</v>
      </c>
      <c r="D487" vm="1449">
        <f ca="1"/>
        <v>7417191</v>
      </c>
      <c r="E487">
        <f t="shared" ca="1" si="147"/>
        <v>2337972775.1099997</v>
      </c>
      <c r="F487">
        <f ca="1">SUM($E$2:E487)/SUM($D$2:D487)</f>
        <v>237.50654638835817</v>
      </c>
      <c r="G487">
        <f ca="1">_xlfn.STDEV.P($C$2:C487)</f>
        <v>43.292955992219156</v>
      </c>
      <c r="H487">
        <f t="shared" ca="1" si="148"/>
        <v>280.79950238057734</v>
      </c>
      <c r="I487">
        <f t="shared" ca="1" si="149"/>
        <v>194.21359039613901</v>
      </c>
      <c r="J487">
        <f t="shared" ca="1" si="158"/>
        <v>308.12300000000005</v>
      </c>
      <c r="K487">
        <f t="shared" ca="1" si="159"/>
        <v>7.2358632409758341</v>
      </c>
      <c r="L487">
        <f t="shared" ca="1" si="160"/>
        <v>322.59472648195174</v>
      </c>
      <c r="M487">
        <f t="shared" ca="1" si="161"/>
        <v>293.65127351804836</v>
      </c>
      <c r="N487">
        <f t="shared" ca="1" si="150"/>
        <v>0.16999999999995907</v>
      </c>
      <c r="O487">
        <f t="shared" ca="1" si="151"/>
        <v>0.16999999999995907</v>
      </c>
      <c r="P487">
        <f t="shared" ca="1" si="152"/>
        <v>0</v>
      </c>
      <c r="Q487">
        <f t="shared" ca="1" si="156"/>
        <v>1.7443860939493554</v>
      </c>
      <c r="R487">
        <f t="shared" ca="1" si="157"/>
        <v>1.2172757240830541</v>
      </c>
      <c r="S487">
        <f t="shared" ca="1" si="154"/>
        <v>1.4330246298663036</v>
      </c>
      <c r="T487">
        <f t="shared" ca="1" si="155"/>
        <v>58.898895320473976</v>
      </c>
      <c r="U487">
        <f>70</f>
        <v>70</v>
      </c>
      <c r="V487">
        <f>30</f>
        <v>30</v>
      </c>
      <c r="W487">
        <f t="shared" ca="1" si="153"/>
        <v>310.40935523506977</v>
      </c>
      <c r="X487">
        <f t="shared" ca="1" si="163"/>
        <v>308.43978802448834</v>
      </c>
      <c r="Y487">
        <f t="shared" ca="1" si="162"/>
        <v>1.0339811876268641</v>
      </c>
      <c r="Z487">
        <f t="shared" ca="1" si="164"/>
        <v>0.79142874369669181</v>
      </c>
      <c r="AA487">
        <f t="shared" ca="1" si="165"/>
        <v>0.24255244393017228</v>
      </c>
      <c r="AB487">
        <f t="shared" ca="1" si="166"/>
        <v>302.84009999999995</v>
      </c>
    </row>
    <row r="488" spans="1:28" x14ac:dyDescent="0.25">
      <c r="A488" s="20">
        <f t="shared" ca="1" si="146"/>
        <v>45999</v>
      </c>
      <c r="B488" vm="1450">
        <f ca="1"/>
        <v>46000</v>
      </c>
      <c r="C488" vm="1451">
        <f ca="1"/>
        <v>300.51</v>
      </c>
      <c r="D488" vm="1452">
        <f ca="1"/>
        <v>18049223</v>
      </c>
      <c r="E488">
        <f t="shared" ca="1" si="147"/>
        <v>5423972003.7299995</v>
      </c>
      <c r="F488">
        <f ca="1">SUM($E$2:E488)/SUM($D$2:D488)</f>
        <v>237.76115266507051</v>
      </c>
      <c r="G488">
        <f ca="1">_xlfn.STDEV.P($C$2:C488)</f>
        <v>43.335521991131834</v>
      </c>
      <c r="H488">
        <f t="shared" ca="1" si="148"/>
        <v>281.09667465620237</v>
      </c>
      <c r="I488">
        <f t="shared" ca="1" si="149"/>
        <v>194.42563067393868</v>
      </c>
      <c r="J488">
        <f t="shared" ca="1" si="158"/>
        <v>307.30400000000003</v>
      </c>
      <c r="K488">
        <f t="shared" ca="1" si="159"/>
        <v>7.1173578776042161</v>
      </c>
      <c r="L488">
        <f t="shared" ca="1" si="160"/>
        <v>321.53871575520844</v>
      </c>
      <c r="M488">
        <f t="shared" ca="1" si="161"/>
        <v>293.06928424479162</v>
      </c>
      <c r="N488">
        <f t="shared" ca="1" si="150"/>
        <v>-14.699999999999989</v>
      </c>
      <c r="O488">
        <f t="shared" ca="1" si="151"/>
        <v>0</v>
      </c>
      <c r="P488">
        <f t="shared" ca="1" si="152"/>
        <v>14.699999999999989</v>
      </c>
      <c r="Q488">
        <f t="shared" ca="1" si="156"/>
        <v>1.6197870872386873</v>
      </c>
      <c r="R488">
        <f t="shared" ca="1" si="157"/>
        <v>2.1803274580771208</v>
      </c>
      <c r="S488">
        <f t="shared" ca="1" si="154"/>
        <v>0.74291000704417742</v>
      </c>
      <c r="T488">
        <f t="shared" ca="1" si="155"/>
        <v>42.624691122411285</v>
      </c>
      <c r="U488">
        <f>70</f>
        <v>70</v>
      </c>
      <c r="V488">
        <f>30</f>
        <v>30</v>
      </c>
      <c r="W488">
        <f t="shared" ca="1" si="153"/>
        <v>308.88637750659751</v>
      </c>
      <c r="X488">
        <f t="shared" ca="1" si="163"/>
        <v>307.85239631897065</v>
      </c>
      <c r="Y488">
        <f t="shared" ca="1" si="162"/>
        <v>1.0550008996980296</v>
      </c>
      <c r="Z488">
        <f t="shared" ca="1" si="164"/>
        <v>0.84414317489695945</v>
      </c>
      <c r="AA488">
        <f t="shared" ca="1" si="165"/>
        <v>0.21085772480107012</v>
      </c>
      <c r="AB488">
        <f t="shared" ca="1" si="166"/>
        <v>302.93249999999995</v>
      </c>
    </row>
    <row r="489" spans="1:28" x14ac:dyDescent="0.25">
      <c r="A489" s="20">
        <f t="shared" ca="1" si="146"/>
        <v>45999</v>
      </c>
      <c r="B489" vm="1453">
        <f ca="1"/>
        <v>46001</v>
      </c>
      <c r="C489" vm="1454">
        <f ca="1"/>
        <v>310.11</v>
      </c>
      <c r="D489" vm="1455">
        <f ca="1"/>
        <v>18874092</v>
      </c>
      <c r="E489">
        <f t="shared" ca="1" si="147"/>
        <v>5853044670.1199999</v>
      </c>
      <c r="F489">
        <f ca="1">SUM($E$2:E489)/SUM($D$2:D489)</f>
        <v>238.06560025026741</v>
      </c>
      <c r="G489">
        <f ca="1">_xlfn.STDEV.P($C$2:C489)</f>
        <v>43.407068685624139</v>
      </c>
      <c r="H489">
        <f t="shared" ca="1" si="148"/>
        <v>281.47266893589153</v>
      </c>
      <c r="I489">
        <f t="shared" ca="1" si="149"/>
        <v>194.65853156464328</v>
      </c>
      <c r="J489">
        <f t="shared" ca="1" si="158"/>
        <v>307.02850000000001</v>
      </c>
      <c r="K489">
        <f t="shared" ca="1" si="159"/>
        <v>6.8812432131043586</v>
      </c>
      <c r="L489">
        <f t="shared" ca="1" si="160"/>
        <v>320.79098642620875</v>
      </c>
      <c r="M489">
        <f t="shared" ca="1" si="161"/>
        <v>293.26601357379127</v>
      </c>
      <c r="N489">
        <f t="shared" ca="1" si="150"/>
        <v>9.6000000000000227</v>
      </c>
      <c r="O489">
        <f t="shared" ca="1" si="151"/>
        <v>9.6000000000000227</v>
      </c>
      <c r="P489">
        <f t="shared" ca="1" si="152"/>
        <v>0</v>
      </c>
      <c r="Q489">
        <f t="shared" ca="1" si="156"/>
        <v>2.1898022952930685</v>
      </c>
      <c r="R489">
        <f t="shared" ca="1" si="157"/>
        <v>2.0245897825001835</v>
      </c>
      <c r="S489">
        <f t="shared" ca="1" si="154"/>
        <v>1.0816029569154808</v>
      </c>
      <c r="T489">
        <f t="shared" ca="1" si="155"/>
        <v>51.960098986321583</v>
      </c>
      <c r="U489">
        <f>70</f>
        <v>70</v>
      </c>
      <c r="V489">
        <f>30</f>
        <v>30</v>
      </c>
      <c r="W489">
        <f t="shared" ca="1" si="153"/>
        <v>309.07462712096714</v>
      </c>
      <c r="X489">
        <f t="shared" ca="1" si="163"/>
        <v>308.01962622126911</v>
      </c>
      <c r="Y489">
        <f t="shared" ca="1" si="162"/>
        <v>1.6393895527486961</v>
      </c>
      <c r="Z489">
        <f t="shared" ca="1" si="164"/>
        <v>1.0031924504673069</v>
      </c>
      <c r="AA489">
        <f t="shared" ca="1" si="165"/>
        <v>0.63619710228138926</v>
      </c>
      <c r="AB489">
        <f t="shared" ca="1" si="166"/>
        <v>303.12389999999994</v>
      </c>
    </row>
    <row r="490" spans="1:28" x14ac:dyDescent="0.25">
      <c r="A490" s="20">
        <f t="shared" ca="1" si="146"/>
        <v>45999</v>
      </c>
      <c r="B490" vm="1456">
        <f ca="1"/>
        <v>46002</v>
      </c>
      <c r="C490" vm="1457">
        <f ca="1"/>
        <v>317.38</v>
      </c>
      <c r="D490" vm="1458">
        <f ca="1"/>
        <v>9721859</v>
      </c>
      <c r="E490">
        <f t="shared" ca="1" si="147"/>
        <v>3085523609.4200001</v>
      </c>
      <c r="F490">
        <f ca="1">SUM($E$2:E490)/SUM($D$2:D490)</f>
        <v>238.23714438910716</v>
      </c>
      <c r="G490">
        <f ca="1">_xlfn.STDEV.P($C$2:C490)</f>
        <v>43.502845809512841</v>
      </c>
      <c r="H490">
        <f t="shared" ca="1" si="148"/>
        <v>281.73999019861998</v>
      </c>
      <c r="I490">
        <f t="shared" ca="1" si="149"/>
        <v>194.73429857959431</v>
      </c>
      <c r="J490">
        <f t="shared" ca="1" si="158"/>
        <v>306.87700000000001</v>
      </c>
      <c r="K490">
        <f t="shared" ca="1" si="159"/>
        <v>6.5986785758489894</v>
      </c>
      <c r="L490">
        <f t="shared" ca="1" si="160"/>
        <v>320.074357151698</v>
      </c>
      <c r="M490">
        <f t="shared" ca="1" si="161"/>
        <v>293.67964284830202</v>
      </c>
      <c r="N490">
        <f t="shared" ca="1" si="150"/>
        <v>7.2699999999999818</v>
      </c>
      <c r="O490">
        <f t="shared" ca="1" si="151"/>
        <v>7.2699999999999818</v>
      </c>
      <c r="P490">
        <f t="shared" ca="1" si="152"/>
        <v>0</v>
      </c>
      <c r="Q490">
        <f t="shared" ca="1" si="156"/>
        <v>2.5526735599149908</v>
      </c>
      <c r="R490">
        <f t="shared" ca="1" si="157"/>
        <v>1.8799762266073132</v>
      </c>
      <c r="S490">
        <f t="shared" ca="1" si="154"/>
        <v>1.3578222552960983</v>
      </c>
      <c r="T490">
        <f t="shared" ca="1" si="155"/>
        <v>57.58798197133742</v>
      </c>
      <c r="U490">
        <f>70</f>
        <v>70</v>
      </c>
      <c r="V490">
        <f>30</f>
        <v>30</v>
      </c>
      <c r="W490">
        <f t="shared" ca="1" si="153"/>
        <v>310.35237679466451</v>
      </c>
      <c r="X490">
        <f t="shared" ca="1" si="163"/>
        <v>308.71298724191581</v>
      </c>
      <c r="Y490">
        <f t="shared" ca="1" si="162"/>
        <v>2.1695015794664414</v>
      </c>
      <c r="Z490">
        <f t="shared" ca="1" si="164"/>
        <v>1.2364542762671338</v>
      </c>
      <c r="AA490">
        <f t="shared" ca="1" si="165"/>
        <v>0.93304730319930762</v>
      </c>
      <c r="AB490">
        <f t="shared" ca="1" si="166"/>
        <v>303.38339999999994</v>
      </c>
    </row>
    <row r="491" spans="1:28" x14ac:dyDescent="0.25">
      <c r="A491" s="20">
        <f t="shared" ca="1" si="146"/>
        <v>45999</v>
      </c>
      <c r="B491" vm="1459">
        <f ca="1"/>
        <v>46003</v>
      </c>
      <c r="C491" vm="1460">
        <f ca="1"/>
        <v>318.52</v>
      </c>
      <c r="D491" vm="1461">
        <f ca="1"/>
        <v>8982911</v>
      </c>
      <c r="E491">
        <f t="shared" ca="1" si="147"/>
        <v>2861236811.7199998</v>
      </c>
      <c r="F491">
        <f ca="1">SUM($E$2:E491)/SUM($D$2:D491)</f>
        <v>238.39726505454925</v>
      </c>
      <c r="G491">
        <f ca="1">_xlfn.STDEV.P($C$2:C491)</f>
        <v>43.60158947350849</v>
      </c>
      <c r="H491">
        <f t="shared" ca="1" si="148"/>
        <v>281.99885452805773</v>
      </c>
      <c r="I491">
        <f t="shared" ca="1" si="149"/>
        <v>194.79567558104077</v>
      </c>
      <c r="J491">
        <f t="shared" ca="1" si="158"/>
        <v>307.32900000000001</v>
      </c>
      <c r="K491">
        <f t="shared" ca="1" si="159"/>
        <v>7.0785308466777499</v>
      </c>
      <c r="L491">
        <f t="shared" ca="1" si="160"/>
        <v>321.48606169335551</v>
      </c>
      <c r="M491">
        <f t="shared" ca="1" si="161"/>
        <v>293.17193830664451</v>
      </c>
      <c r="N491">
        <f t="shared" ca="1" si="150"/>
        <v>1.1399999999999864</v>
      </c>
      <c r="O491">
        <f t="shared" ca="1" si="151"/>
        <v>1.1399999999999864</v>
      </c>
      <c r="P491">
        <f t="shared" ca="1" si="152"/>
        <v>0</v>
      </c>
      <c r="Q491">
        <f t="shared" ca="1" si="156"/>
        <v>2.4517683056353476</v>
      </c>
      <c r="R491">
        <f t="shared" ca="1" si="157"/>
        <v>1.7456922104210766</v>
      </c>
      <c r="S491">
        <f t="shared" ca="1" si="154"/>
        <v>1.4044676896644679</v>
      </c>
      <c r="T491">
        <f t="shared" ca="1" si="155"/>
        <v>58.410753269903779</v>
      </c>
      <c r="U491">
        <f>70</f>
        <v>70</v>
      </c>
      <c r="V491">
        <f>30</f>
        <v>30</v>
      </c>
      <c r="W491">
        <f t="shared" ca="1" si="153"/>
        <v>311.60893421086996</v>
      </c>
      <c r="X491">
        <f t="shared" ca="1" si="163"/>
        <v>309.43943263140352</v>
      </c>
      <c r="Y491">
        <f t="shared" ca="1" si="162"/>
        <v>2.6797659698639222</v>
      </c>
      <c r="Z491">
        <f t="shared" ca="1" si="164"/>
        <v>1.5251166149864916</v>
      </c>
      <c r="AA491">
        <f t="shared" ca="1" si="165"/>
        <v>1.1546493548774306</v>
      </c>
      <c r="AB491">
        <f t="shared" ca="1" si="166"/>
        <v>303.601</v>
      </c>
    </row>
    <row r="492" spans="1:28" x14ac:dyDescent="0.25">
      <c r="A492" s="20">
        <f t="shared" ca="1" si="146"/>
        <v>46006</v>
      </c>
      <c r="B492" vm="1462">
        <f ca="1"/>
        <v>46006</v>
      </c>
      <c r="C492" vm="1463">
        <f ca="1"/>
        <v>320.02</v>
      </c>
      <c r="D492" vm="1464">
        <f ca="1"/>
        <v>10864122</v>
      </c>
      <c r="E492">
        <f t="shared" ca="1" si="147"/>
        <v>3476736322.4399996</v>
      </c>
      <c r="F492">
        <f ca="1">SUM($E$2:E492)/SUM($D$2:D492)</f>
        <v>238.59367656599011</v>
      </c>
      <c r="G492">
        <f ca="1">_xlfn.STDEV.P($C$2:C492)</f>
        <v>43.704628015326008</v>
      </c>
      <c r="H492">
        <f t="shared" ca="1" si="148"/>
        <v>282.29830458131613</v>
      </c>
      <c r="I492">
        <f t="shared" ca="1" si="149"/>
        <v>194.88904855066409</v>
      </c>
      <c r="J492">
        <f t="shared" ca="1" si="158"/>
        <v>308.14949999999999</v>
      </c>
      <c r="K492">
        <f t="shared" ca="1" si="159"/>
        <v>7.5594920986448333</v>
      </c>
      <c r="L492">
        <f t="shared" ca="1" si="160"/>
        <v>323.26848419728964</v>
      </c>
      <c r="M492">
        <f t="shared" ca="1" si="161"/>
        <v>293.03051580271034</v>
      </c>
      <c r="N492">
        <f t="shared" ca="1" si="150"/>
        <v>1.5</v>
      </c>
      <c r="O492">
        <f t="shared" ca="1" si="151"/>
        <v>1.5</v>
      </c>
      <c r="P492">
        <f t="shared" ca="1" si="152"/>
        <v>0</v>
      </c>
      <c r="Q492">
        <f t="shared" ca="1" si="156"/>
        <v>2.3837848552328227</v>
      </c>
      <c r="R492">
        <f t="shared" ca="1" si="157"/>
        <v>1.620999909676714</v>
      </c>
      <c r="S492">
        <f t="shared" ca="1" si="154"/>
        <v>1.4705644590123608</v>
      </c>
      <c r="T492">
        <f t="shared" ca="1" si="155"/>
        <v>59.523419988007014</v>
      </c>
      <c r="U492">
        <f>70</f>
        <v>70</v>
      </c>
      <c r="V492">
        <f>30</f>
        <v>30</v>
      </c>
      <c r="W492">
        <f t="shared" ca="1" si="153"/>
        <v>312.90294433227461</v>
      </c>
      <c r="X492">
        <f t="shared" ca="1" si="163"/>
        <v>310.22317836241069</v>
      </c>
      <c r="Y492">
        <f t="shared" ca="1" si="162"/>
        <v>2.6924259227979519</v>
      </c>
      <c r="Z492">
        <f t="shared" ca="1" si="164"/>
        <v>1.7585784765487837</v>
      </c>
      <c r="AA492">
        <f t="shared" ca="1" si="165"/>
        <v>0.93384744624916816</v>
      </c>
      <c r="AB492">
        <f t="shared" ca="1" si="166"/>
        <v>303.83569999999997</v>
      </c>
    </row>
    <row r="493" spans="1:28" x14ac:dyDescent="0.25">
      <c r="A493" s="20">
        <f t="shared" ca="1" si="146"/>
        <v>46006</v>
      </c>
      <c r="B493" vm="1465">
        <f ca="1"/>
        <v>46007</v>
      </c>
      <c r="C493" vm="1466">
        <f ca="1"/>
        <v>315.55</v>
      </c>
      <c r="D493" vm="1467">
        <f ca="1"/>
        <v>8331336</v>
      </c>
      <c r="E493">
        <f t="shared" ca="1" si="147"/>
        <v>2628953074.8000002</v>
      </c>
      <c r="F493">
        <f ca="1">SUM($E$2:E493)/SUM($D$2:D493)</f>
        <v>238.7354253822287</v>
      </c>
      <c r="G493">
        <f ca="1">_xlfn.STDEV.P($C$2:C493)</f>
        <v>43.790435621431378</v>
      </c>
      <c r="H493">
        <f t="shared" ca="1" si="148"/>
        <v>282.52586100366005</v>
      </c>
      <c r="I493">
        <f t="shared" ca="1" si="149"/>
        <v>194.94498976079731</v>
      </c>
      <c r="J493">
        <f t="shared" ca="1" si="158"/>
        <v>308.90850000000006</v>
      </c>
      <c r="K493">
        <f t="shared" ca="1" si="159"/>
        <v>7.4991145266765011</v>
      </c>
      <c r="L493">
        <f t="shared" ca="1" si="160"/>
        <v>323.90672905335305</v>
      </c>
      <c r="M493">
        <f t="shared" ca="1" si="161"/>
        <v>293.91027094664707</v>
      </c>
      <c r="N493">
        <f t="shared" ca="1" si="150"/>
        <v>-4.4699999999999704</v>
      </c>
      <c r="O493">
        <f t="shared" ca="1" si="151"/>
        <v>0</v>
      </c>
      <c r="P493">
        <f t="shared" ca="1" si="152"/>
        <v>4.4699999999999704</v>
      </c>
      <c r="Q493">
        <f t="shared" ca="1" si="156"/>
        <v>2.2135145084304781</v>
      </c>
      <c r="R493">
        <f t="shared" ca="1" si="157"/>
        <v>1.824499916128375</v>
      </c>
      <c r="S493">
        <f t="shared" ca="1" si="154"/>
        <v>1.2132171061578341</v>
      </c>
      <c r="T493">
        <f t="shared" ca="1" si="155"/>
        <v>54.816904441154911</v>
      </c>
      <c r="U493">
        <f>70</f>
        <v>70</v>
      </c>
      <c r="V493">
        <f>30</f>
        <v>30</v>
      </c>
      <c r="W493">
        <f t="shared" ca="1" si="153"/>
        <v>313.31018366577081</v>
      </c>
      <c r="X493">
        <f t="shared" ca="1" si="163"/>
        <v>310.61775774297286</v>
      </c>
      <c r="Y493">
        <f t="shared" ca="1" si="162"/>
        <v>2.6261916873725113</v>
      </c>
      <c r="Z493">
        <f t="shared" ca="1" si="164"/>
        <v>1.9321011187135295</v>
      </c>
      <c r="AA493">
        <f t="shared" ca="1" si="165"/>
        <v>0.69409056865898178</v>
      </c>
      <c r="AB493">
        <f t="shared" ca="1" si="166"/>
        <v>304.00499999999994</v>
      </c>
    </row>
    <row r="494" spans="1:28" x14ac:dyDescent="0.25">
      <c r="A494" s="20">
        <f t="shared" ca="1" si="146"/>
        <v>46006</v>
      </c>
      <c r="B494" vm="1468">
        <f ca="1"/>
        <v>46008</v>
      </c>
      <c r="C494" vm="1469">
        <f ca="1"/>
        <v>314.98</v>
      </c>
      <c r="D494" vm="1470">
        <f ca="1"/>
        <v>8718653</v>
      </c>
      <c r="E494">
        <f t="shared" ca="1" si="147"/>
        <v>2746201321.9400001</v>
      </c>
      <c r="F494">
        <f ca="1">SUM($E$2:E494)/SUM($D$2:D494)</f>
        <v>238.88210929696709</v>
      </c>
      <c r="G494">
        <f ca="1">_xlfn.STDEV.P($C$2:C494)</f>
        <v>43.873243613033132</v>
      </c>
      <c r="H494">
        <f t="shared" ca="1" si="148"/>
        <v>282.75535291000023</v>
      </c>
      <c r="I494">
        <f t="shared" ca="1" si="149"/>
        <v>195.00886568393395</v>
      </c>
      <c r="J494">
        <f t="shared" ca="1" si="158"/>
        <v>309.68700000000007</v>
      </c>
      <c r="K494">
        <f t="shared" ca="1" si="159"/>
        <v>7.265701762752391</v>
      </c>
      <c r="L494">
        <f t="shared" ca="1" si="160"/>
        <v>324.21840352550487</v>
      </c>
      <c r="M494">
        <f t="shared" ca="1" si="161"/>
        <v>295.15559647449527</v>
      </c>
      <c r="N494">
        <f t="shared" ca="1" si="150"/>
        <v>-0.56999999999999318</v>
      </c>
      <c r="O494">
        <f t="shared" ca="1" si="151"/>
        <v>0</v>
      </c>
      <c r="P494">
        <f t="shared" ca="1" si="152"/>
        <v>0.56999999999999318</v>
      </c>
      <c r="Q494">
        <f t="shared" ca="1" si="156"/>
        <v>2.0554063292568725</v>
      </c>
      <c r="R494">
        <f t="shared" ca="1" si="157"/>
        <v>1.7348927792620619</v>
      </c>
      <c r="S494">
        <f t="shared" ca="1" si="154"/>
        <v>1.1847454516071831</v>
      </c>
      <c r="T494">
        <f t="shared" ca="1" si="155"/>
        <v>54.228077268024002</v>
      </c>
      <c r="U494">
        <f>70</f>
        <v>70</v>
      </c>
      <c r="V494">
        <f>30</f>
        <v>30</v>
      </c>
      <c r="W494">
        <f t="shared" ca="1" si="153"/>
        <v>313.56707848642145</v>
      </c>
      <c r="X494">
        <f t="shared" ca="1" si="163"/>
        <v>310.94088679904894</v>
      </c>
      <c r="Y494">
        <f t="shared" ca="1" si="162"/>
        <v>2.386421939533534</v>
      </c>
      <c r="Z494">
        <f t="shared" ca="1" si="164"/>
        <v>2.0229652828775304</v>
      </c>
      <c r="AA494">
        <f t="shared" ca="1" si="165"/>
        <v>0.36345665665600357</v>
      </c>
      <c r="AB494">
        <f t="shared" ca="1" si="166"/>
        <v>304.17199999999991</v>
      </c>
    </row>
    <row r="495" spans="1:28" x14ac:dyDescent="0.25">
      <c r="A495" s="20">
        <f t="shared" ca="1" si="146"/>
        <v>46006</v>
      </c>
      <c r="B495" vm="1471">
        <f ca="1"/>
        <v>46009</v>
      </c>
      <c r="C495" vm="1472">
        <f ca="1"/>
        <v>313</v>
      </c>
      <c r="D495" vm="1473">
        <f ca="1"/>
        <v>11444909</v>
      </c>
      <c r="E495">
        <f t="shared" ca="1" si="147"/>
        <v>3582256517</v>
      </c>
      <c r="F495">
        <f ca="1">SUM($E$2:E495)/SUM($D$2:D495)</f>
        <v>239.06881782181057</v>
      </c>
      <c r="G495">
        <f ca="1">_xlfn.STDEV.P($C$2:C495)</f>
        <v>43.948398656968514</v>
      </c>
      <c r="H495">
        <f t="shared" ca="1" si="148"/>
        <v>283.01721647877906</v>
      </c>
      <c r="I495">
        <f t="shared" ca="1" si="149"/>
        <v>195.12041916484205</v>
      </c>
      <c r="J495">
        <f t="shared" ca="1" si="158"/>
        <v>310.17350000000005</v>
      </c>
      <c r="K495">
        <f t="shared" ca="1" si="159"/>
        <v>7.1380465225364542</v>
      </c>
      <c r="L495">
        <f t="shared" ca="1" si="160"/>
        <v>324.44959304507296</v>
      </c>
      <c r="M495">
        <f t="shared" ca="1" si="161"/>
        <v>295.89740695492713</v>
      </c>
      <c r="N495">
        <f t="shared" ca="1" si="150"/>
        <v>-1.9800000000000182</v>
      </c>
      <c r="O495">
        <f t="shared" ca="1" si="151"/>
        <v>0</v>
      </c>
      <c r="P495">
        <f t="shared" ca="1" si="152"/>
        <v>1.9800000000000182</v>
      </c>
      <c r="Q495">
        <f t="shared" ca="1" si="156"/>
        <v>1.9085915914528102</v>
      </c>
      <c r="R495">
        <f t="shared" ca="1" si="157"/>
        <v>1.7524004378862017</v>
      </c>
      <c r="S495">
        <f t="shared" ca="1" si="154"/>
        <v>1.0891298302544428</v>
      </c>
      <c r="T495">
        <f t="shared" ca="1" si="155"/>
        <v>52.13318073782871</v>
      </c>
      <c r="U495">
        <f>70</f>
        <v>70</v>
      </c>
      <c r="V495">
        <f>30</f>
        <v>30</v>
      </c>
      <c r="W495">
        <f t="shared" ca="1" si="153"/>
        <v>313.47983564235659</v>
      </c>
      <c r="X495">
        <f t="shared" ca="1" si="163"/>
        <v>311.09341370282306</v>
      </c>
      <c r="Y495">
        <f t="shared" ca="1" si="162"/>
        <v>2.5072129127134417</v>
      </c>
      <c r="Z495">
        <f t="shared" ca="1" si="164"/>
        <v>2.1198148088447129</v>
      </c>
      <c r="AA495">
        <f t="shared" ca="1" si="165"/>
        <v>0.38739810386872886</v>
      </c>
      <c r="AB495">
        <f t="shared" ca="1" si="166"/>
        <v>304.33159999999998</v>
      </c>
    </row>
    <row r="496" spans="1:28" x14ac:dyDescent="0.25">
      <c r="A496" s="20">
        <f t="shared" ca="1" si="146"/>
        <v>46006</v>
      </c>
      <c r="B496" vm="1474">
        <f ca="1"/>
        <v>46010</v>
      </c>
      <c r="C496" vm="1475">
        <f ca="1"/>
        <v>317.20999999999998</v>
      </c>
      <c r="D496" vm="1476">
        <f ca="1"/>
        <v>24494412</v>
      </c>
      <c r="E496">
        <f t="shared" ca="1" si="147"/>
        <v>7769872430.5199995</v>
      </c>
      <c r="F496">
        <f ca="1">SUM($E$2:E496)/SUM($D$2:D496)</f>
        <v>239.48784347635564</v>
      </c>
      <c r="G496">
        <f ca="1">_xlfn.STDEV.P($C$2:C496)</f>
        <v>44.036915226975623</v>
      </c>
      <c r="H496">
        <f t="shared" ca="1" si="148"/>
        <v>283.52475870333126</v>
      </c>
      <c r="I496">
        <f t="shared" ca="1" si="149"/>
        <v>195.45092824938001</v>
      </c>
      <c r="J496">
        <f t="shared" ca="1" si="158"/>
        <v>311.11500000000001</v>
      </c>
      <c r="K496">
        <f t="shared" ca="1" si="159"/>
        <v>6.7308390811875842</v>
      </c>
      <c r="L496">
        <f t="shared" ca="1" si="160"/>
        <v>324.57667816237517</v>
      </c>
      <c r="M496">
        <f t="shared" ca="1" si="161"/>
        <v>297.65332183762484</v>
      </c>
      <c r="N496">
        <f t="shared" ca="1" si="150"/>
        <v>4.2099999999999795</v>
      </c>
      <c r="O496">
        <f t="shared" ca="1" si="151"/>
        <v>4.2099999999999795</v>
      </c>
      <c r="P496">
        <f t="shared" ca="1" si="152"/>
        <v>0</v>
      </c>
      <c r="Q496">
        <f t="shared" ca="1" si="156"/>
        <v>2.0729779063490366</v>
      </c>
      <c r="R496">
        <f t="shared" ca="1" si="157"/>
        <v>1.6272289780371874</v>
      </c>
      <c r="S496">
        <f t="shared" ca="1" si="154"/>
        <v>1.2739312870703206</v>
      </c>
      <c r="T496">
        <f t="shared" ca="1" si="155"/>
        <v>56.023297375516727</v>
      </c>
      <c r="U496">
        <f>70</f>
        <v>70</v>
      </c>
      <c r="V496">
        <f>30</f>
        <v>30</v>
      </c>
      <c r="W496">
        <f t="shared" ca="1" si="153"/>
        <v>314.05370708199405</v>
      </c>
      <c r="X496">
        <f t="shared" ca="1" si="163"/>
        <v>311.54649416928061</v>
      </c>
      <c r="Y496">
        <f t="shared" ca="1" si="162"/>
        <v>3.0423373171966546</v>
      </c>
      <c r="Z496">
        <f t="shared" ca="1" si="164"/>
        <v>2.3043193105151012</v>
      </c>
      <c r="AA496">
        <f t="shared" ca="1" si="165"/>
        <v>0.73801800668155337</v>
      </c>
      <c r="AB496">
        <f t="shared" ca="1" si="166"/>
        <v>304.50739999999996</v>
      </c>
    </row>
    <row r="497" spans="1:28" x14ac:dyDescent="0.25">
      <c r="A497" s="20">
        <f t="shared" ca="1" si="146"/>
        <v>46013</v>
      </c>
      <c r="B497" vm="1477">
        <f ca="1"/>
        <v>46013</v>
      </c>
      <c r="C497" vm="1478">
        <f ca="1"/>
        <v>323.08999999999997</v>
      </c>
      <c r="D497" vm="1479">
        <f ca="1"/>
        <v>8354588</v>
      </c>
      <c r="E497">
        <f t="shared" ca="1" si="147"/>
        <v>2699283836.9199996</v>
      </c>
      <c r="F497">
        <f ca="1">SUM($E$2:E497)/SUM($D$2:D497)</f>
        <v>239.64047439825481</v>
      </c>
      <c r="G497">
        <f ca="1">_xlfn.STDEV.P($C$2:C497)</f>
        <v>44.145524273005414</v>
      </c>
      <c r="H497">
        <f t="shared" ca="1" si="148"/>
        <v>283.78599867126024</v>
      </c>
      <c r="I497">
        <f t="shared" ca="1" si="149"/>
        <v>195.4949501252494</v>
      </c>
      <c r="J497">
        <f t="shared" ca="1" si="158"/>
        <v>312.3685000000001</v>
      </c>
      <c r="K497">
        <f t="shared" ca="1" si="159"/>
        <v>6.4940298696085765</v>
      </c>
      <c r="L497">
        <f t="shared" ca="1" si="160"/>
        <v>325.35655973921723</v>
      </c>
      <c r="M497">
        <f t="shared" ca="1" si="161"/>
        <v>299.38044026078296</v>
      </c>
      <c r="N497">
        <f t="shared" ca="1" si="150"/>
        <v>5.8799999999999955</v>
      </c>
      <c r="O497">
        <f t="shared" ca="1" si="151"/>
        <v>5.8799999999999955</v>
      </c>
      <c r="P497">
        <f t="shared" ca="1" si="152"/>
        <v>0</v>
      </c>
      <c r="Q497">
        <f t="shared" ca="1" si="156"/>
        <v>2.3449080558955337</v>
      </c>
      <c r="R497">
        <f t="shared" ca="1" si="157"/>
        <v>1.5109983367488167</v>
      </c>
      <c r="S497">
        <f t="shared" ca="1" si="154"/>
        <v>1.5518932078648233</v>
      </c>
      <c r="T497">
        <f t="shared" ca="1" si="155"/>
        <v>60.813407202227594</v>
      </c>
      <c r="U497">
        <f>70</f>
        <v>70</v>
      </c>
      <c r="V497">
        <f>30</f>
        <v>30</v>
      </c>
      <c r="W497">
        <f t="shared" ca="1" si="153"/>
        <v>315.44390599245645</v>
      </c>
      <c r="X497">
        <f t="shared" ca="1" si="163"/>
        <v>312.4015686752598</v>
      </c>
      <c r="Y497">
        <f t="shared" ca="1" si="162"/>
        <v>3.6534765250716532</v>
      </c>
      <c r="Z497">
        <f t="shared" ca="1" si="164"/>
        <v>2.5741507534264119</v>
      </c>
      <c r="AA497">
        <f t="shared" ca="1" si="165"/>
        <v>1.0793257716452413</v>
      </c>
      <c r="AB497">
        <f t="shared" ca="1" si="166"/>
        <v>304.77589999999992</v>
      </c>
    </row>
    <row r="498" spans="1:28" x14ac:dyDescent="0.25">
      <c r="A498" s="20">
        <f t="shared" ca="1" si="146"/>
        <v>46013</v>
      </c>
      <c r="B498" vm="1480">
        <f ca="1"/>
        <v>46014</v>
      </c>
      <c r="C498" vm="1481">
        <f ca="1"/>
        <v>325.93</v>
      </c>
      <c r="D498" vm="1482">
        <f ca="1"/>
        <v>6668305</v>
      </c>
      <c r="E498">
        <f t="shared" ca="1" si="147"/>
        <v>2173400648.6500001</v>
      </c>
      <c r="F498">
        <f ca="1">SUM($E$2:E498)/SUM($D$2:D498)</f>
        <v>239.7660314642084</v>
      </c>
      <c r="G498">
        <f ca="1">_xlfn.STDEV.P($C$2:C498)</f>
        <v>44.263530563194053</v>
      </c>
      <c r="H498">
        <f t="shared" ca="1" si="148"/>
        <v>284.02956202740245</v>
      </c>
      <c r="I498">
        <f t="shared" ca="1" si="149"/>
        <v>195.50250090101434</v>
      </c>
      <c r="J498">
        <f t="shared" ca="1" si="158"/>
        <v>313.7650000000001</v>
      </c>
      <c r="K498">
        <f t="shared" ca="1" si="159"/>
        <v>6.2396537522019919</v>
      </c>
      <c r="L498">
        <f t="shared" ca="1" si="160"/>
        <v>326.24430750440411</v>
      </c>
      <c r="M498">
        <f t="shared" ca="1" si="161"/>
        <v>301.28569249559609</v>
      </c>
      <c r="N498">
        <f t="shared" ca="1" si="150"/>
        <v>2.8400000000000318</v>
      </c>
      <c r="O498">
        <f t="shared" ca="1" si="151"/>
        <v>2.8400000000000318</v>
      </c>
      <c r="P498">
        <f t="shared" ca="1" si="152"/>
        <v>0</v>
      </c>
      <c r="Q498">
        <f t="shared" ca="1" si="156"/>
        <v>2.3802717661887121</v>
      </c>
      <c r="R498">
        <f t="shared" ca="1" si="157"/>
        <v>1.4030698841239013</v>
      </c>
      <c r="S498">
        <f t="shared" ca="1" si="154"/>
        <v>1.6964741336993281</v>
      </c>
      <c r="T498">
        <f t="shared" ca="1" si="155"/>
        <v>62.914533927752281</v>
      </c>
      <c r="U498">
        <f>70</f>
        <v>70</v>
      </c>
      <c r="V498">
        <f>30</f>
        <v>30</v>
      </c>
      <c r="W498">
        <f t="shared" ca="1" si="153"/>
        <v>317.05715122438625</v>
      </c>
      <c r="X498">
        <f t="shared" ca="1" si="163"/>
        <v>313.40367469931459</v>
      </c>
      <c r="Y498">
        <f t="shared" ca="1" si="162"/>
        <v>4.3491157731210137</v>
      </c>
      <c r="Z498">
        <f t="shared" ca="1" si="164"/>
        <v>2.9291437573653321</v>
      </c>
      <c r="AA498">
        <f t="shared" ca="1" si="165"/>
        <v>1.4199720157556817</v>
      </c>
      <c r="AB498">
        <f t="shared" ca="1" si="166"/>
        <v>305.14149999999995</v>
      </c>
    </row>
    <row r="499" spans="1:28" x14ac:dyDescent="0.25">
      <c r="A499" s="20">
        <f t="shared" ca="1" si="146"/>
        <v>46013</v>
      </c>
      <c r="B499" vm="1483">
        <f ca="1"/>
        <v>46015</v>
      </c>
      <c r="C499" vm="1484">
        <f ca="1"/>
        <v>329.17</v>
      </c>
      <c r="D499" vm="1485">
        <f ca="1"/>
        <v>4289306</v>
      </c>
      <c r="E499">
        <f t="shared" ca="1" si="147"/>
        <v>1411910856.02</v>
      </c>
      <c r="F499">
        <f ca="1">SUM($E$2:E499)/SUM($D$2:D499)</f>
        <v>239.84963124886582</v>
      </c>
      <c r="G499">
        <f ca="1">_xlfn.STDEV.P($C$2:C499)</f>
        <v>44.392682857239045</v>
      </c>
      <c r="H499">
        <f t="shared" ca="1" si="148"/>
        <v>284.24231410610486</v>
      </c>
      <c r="I499">
        <f t="shared" ca="1" si="149"/>
        <v>195.45694839162678</v>
      </c>
      <c r="J499">
        <f t="shared" ca="1" si="158"/>
        <v>315.07350000000002</v>
      </c>
      <c r="K499">
        <f t="shared" ca="1" si="159"/>
        <v>6.5971192078137619</v>
      </c>
      <c r="L499">
        <f t="shared" ca="1" si="160"/>
        <v>328.26773841562755</v>
      </c>
      <c r="M499">
        <f t="shared" ca="1" si="161"/>
        <v>301.8792615843725</v>
      </c>
      <c r="N499">
        <f t="shared" ca="1" si="150"/>
        <v>3.2400000000000091</v>
      </c>
      <c r="O499">
        <f t="shared" ca="1" si="151"/>
        <v>3.2400000000000091</v>
      </c>
      <c r="P499">
        <f t="shared" ca="1" si="152"/>
        <v>0</v>
      </c>
      <c r="Q499">
        <f t="shared" ca="1" si="156"/>
        <v>2.4416809257466618</v>
      </c>
      <c r="R499">
        <f t="shared" ca="1" si="157"/>
        <v>1.3028506066864798</v>
      </c>
      <c r="S499">
        <f t="shared" ca="1" si="154"/>
        <v>1.8741066037928569</v>
      </c>
      <c r="T499">
        <f t="shared" ca="1" si="155"/>
        <v>65.206579370426439</v>
      </c>
      <c r="U499">
        <f>70</f>
        <v>70</v>
      </c>
      <c r="V499">
        <f>30</f>
        <v>30</v>
      </c>
      <c r="W499">
        <f t="shared" ca="1" si="153"/>
        <v>318.92066642063452</v>
      </c>
      <c r="X499">
        <f t="shared" ca="1" si="163"/>
        <v>314.5715506475135</v>
      </c>
      <c r="Y499">
        <f t="shared" ca="1" si="162"/>
        <v>4.7440568845770485</v>
      </c>
      <c r="Z499">
        <f t="shared" ca="1" si="164"/>
        <v>3.2921263828076754</v>
      </c>
      <c r="AA499">
        <f t="shared" ca="1" si="165"/>
        <v>1.4519305017693731</v>
      </c>
      <c r="AB499">
        <f t="shared" ca="1" si="166"/>
        <v>305.49059999999992</v>
      </c>
    </row>
    <row r="500" spans="1:28" x14ac:dyDescent="0.25">
      <c r="A500" s="20">
        <f t="shared" ca="1" si="146"/>
        <v>46013</v>
      </c>
      <c r="B500" vm="1486">
        <f ca="1"/>
        <v>46017</v>
      </c>
      <c r="C500" vm="1487">
        <f ca="1"/>
        <v>327.91</v>
      </c>
      <c r="D500" vm="1488">
        <f ca="1"/>
        <v>4158293</v>
      </c>
      <c r="E500">
        <f t="shared" ca="1" si="147"/>
        <v>1363545857.6300001</v>
      </c>
      <c r="F500">
        <f ca="1">SUM($E$2:E500)/SUM($D$2:D500)</f>
        <v>239.92938725556658</v>
      </c>
      <c r="G500">
        <f ca="1">_xlfn.STDEV.P($C$2:C500)</f>
        <v>44.515339890526356</v>
      </c>
      <c r="H500">
        <f t="shared" ca="1" si="148"/>
        <v>284.44472714609293</v>
      </c>
      <c r="I500">
        <f t="shared" ca="1" si="149"/>
        <v>195.41404736504023</v>
      </c>
      <c r="J500">
        <f t="shared" ca="1" si="158"/>
        <v>316.08700000000005</v>
      </c>
      <c r="K500">
        <f t="shared" ca="1" si="159"/>
        <v>6.9429738054495012</v>
      </c>
      <c r="L500">
        <f t="shared" ca="1" si="160"/>
        <v>329.97294761089904</v>
      </c>
      <c r="M500">
        <f t="shared" ca="1" si="161"/>
        <v>302.20105238910105</v>
      </c>
      <c r="N500">
        <f t="shared" ca="1" si="150"/>
        <v>-1.2599999999999909</v>
      </c>
      <c r="O500">
        <f t="shared" ca="1" si="151"/>
        <v>0</v>
      </c>
      <c r="P500">
        <f t="shared" ca="1" si="152"/>
        <v>1.2599999999999909</v>
      </c>
      <c r="Q500">
        <f t="shared" ca="1" si="156"/>
        <v>2.2672751453361859</v>
      </c>
      <c r="R500">
        <f t="shared" ca="1" si="157"/>
        <v>1.2997898490660162</v>
      </c>
      <c r="S500">
        <f t="shared" ca="1" si="154"/>
        <v>1.7443397845931563</v>
      </c>
      <c r="T500">
        <f t="shared" ca="1" si="155"/>
        <v>63.561363442892755</v>
      </c>
      <c r="U500">
        <f>70</f>
        <v>70</v>
      </c>
      <c r="V500">
        <f>30</f>
        <v>30</v>
      </c>
      <c r="W500">
        <f t="shared" ca="1" si="153"/>
        <v>320.30364081745995</v>
      </c>
      <c r="X500">
        <f t="shared" ca="1" si="163"/>
        <v>315.5595839328829</v>
      </c>
      <c r="Y500">
        <f t="shared" ca="1" si="162"/>
        <v>4.6675685031300986</v>
      </c>
      <c r="Z500">
        <f t="shared" ca="1" si="164"/>
        <v>3.5672148068721605</v>
      </c>
      <c r="AA500">
        <f t="shared" ca="1" si="165"/>
        <v>1.1003536962579381</v>
      </c>
      <c r="AB500">
        <f t="shared" ca="1" si="166"/>
        <v>305.85599999999994</v>
      </c>
    </row>
    <row r="501" spans="1:28" x14ac:dyDescent="0.25">
      <c r="A501" s="20">
        <f t="shared" ca="1" si="146"/>
        <v>46020</v>
      </c>
      <c r="B501" vm="1489">
        <f ca="1"/>
        <v>46020</v>
      </c>
      <c r="C501" vm="1490">
        <f ca="1"/>
        <v>323.75</v>
      </c>
      <c r="D501" vm="1491">
        <f ca="1"/>
        <v>8635338</v>
      </c>
      <c r="E501">
        <f t="shared" ca="1" si="147"/>
        <v>2795690677.5</v>
      </c>
      <c r="F501">
        <f ca="1">SUM($E$2:E501)/SUM($D$2:D501)</f>
        <v>240.08674275450136</v>
      </c>
      <c r="G501">
        <f ca="1">_xlfn.STDEV.P($C$2:C501)</f>
        <v>44.620891682147686</v>
      </c>
      <c r="H501">
        <f t="shared" ca="1" si="148"/>
        <v>284.70763443664907</v>
      </c>
      <c r="I501">
        <f t="shared" ca="1" si="149"/>
        <v>195.46585107235367</v>
      </c>
      <c r="J501">
        <f t="shared" ca="1" si="158"/>
        <v>316.62050000000005</v>
      </c>
      <c r="K501">
        <f t="shared" ca="1" si="159"/>
        <v>7.1077418688134859</v>
      </c>
      <c r="L501">
        <f t="shared" ca="1" si="160"/>
        <v>330.83598373762703</v>
      </c>
      <c r="M501">
        <f t="shared" ca="1" si="161"/>
        <v>302.40501626237307</v>
      </c>
      <c r="N501">
        <f t="shared" ca="1" si="150"/>
        <v>-4.160000000000025</v>
      </c>
      <c r="O501">
        <f t="shared" ca="1" si="151"/>
        <v>0</v>
      </c>
      <c r="P501">
        <f t="shared" ca="1" si="152"/>
        <v>4.160000000000025</v>
      </c>
      <c r="Q501">
        <f t="shared" ca="1" si="156"/>
        <v>2.1053269206693157</v>
      </c>
      <c r="R501">
        <f t="shared" ca="1" si="157"/>
        <v>1.5040905741327311</v>
      </c>
      <c r="S501">
        <f t="shared" ca="1" si="154"/>
        <v>1.3997341362791678</v>
      </c>
      <c r="T501">
        <f t="shared" ca="1" si="155"/>
        <v>58.328717132368737</v>
      </c>
      <c r="U501">
        <f>70</f>
        <v>70</v>
      </c>
      <c r="V501">
        <f>30</f>
        <v>30</v>
      </c>
      <c r="W501">
        <f t="shared" ca="1" si="153"/>
        <v>320.83384992246613</v>
      </c>
      <c r="X501">
        <f t="shared" ca="1" si="163"/>
        <v>316.16628141933603</v>
      </c>
      <c r="Y501">
        <f t="shared" ca="1" si="162"/>
        <v>4.5281252583710625</v>
      </c>
      <c r="Z501">
        <f t="shared" ca="1" si="164"/>
        <v>3.7593968971719414</v>
      </c>
      <c r="AA501">
        <f t="shared" ca="1" si="165"/>
        <v>0.76872836119912114</v>
      </c>
      <c r="AB501">
        <f t="shared" ca="1" si="166"/>
        <v>306.17999999999995</v>
      </c>
    </row>
    <row r="502" spans="1:28" x14ac:dyDescent="0.25">
      <c r="A502" s="20">
        <f t="shared" ca="1" si="146"/>
        <v>46020</v>
      </c>
      <c r="B502" vm="1492">
        <f ca="1"/>
        <v>46021</v>
      </c>
      <c r="C502" vm="1493">
        <f ca="1"/>
        <v>323.42</v>
      </c>
      <c r="D502" vm="1494">
        <f ca="1"/>
        <v>7904263</v>
      </c>
      <c r="E502">
        <f t="shared" ca="1" si="147"/>
        <v>2556396739.46</v>
      </c>
      <c r="F502">
        <f ca="1">SUM($E$2:E502)/SUM($D$2:D502)</f>
        <v>240.22969331397513</v>
      </c>
      <c r="G502">
        <f ca="1">_xlfn.STDEV.P($C$2:C502)</f>
        <v>44.723980741698362</v>
      </c>
      <c r="H502">
        <f t="shared" ca="1" si="148"/>
        <v>284.9536740556735</v>
      </c>
      <c r="I502">
        <f t="shared" ca="1" si="149"/>
        <v>195.50571257227676</v>
      </c>
      <c r="J502">
        <f t="shared" ca="1" si="158"/>
        <v>317.34550000000002</v>
      </c>
      <c r="K502">
        <f t="shared" ca="1" si="159"/>
        <v>7.0199073880530749</v>
      </c>
      <c r="L502">
        <f t="shared" ca="1" si="160"/>
        <v>331.38531477610616</v>
      </c>
      <c r="M502">
        <f t="shared" ca="1" si="161"/>
        <v>303.30568522389387</v>
      </c>
      <c r="N502">
        <f t="shared" ca="1" si="150"/>
        <v>-0.32999999999998408</v>
      </c>
      <c r="O502">
        <f t="shared" ca="1" si="151"/>
        <v>0</v>
      </c>
      <c r="P502">
        <f t="shared" ca="1" si="152"/>
        <v>0.32999999999998408</v>
      </c>
      <c r="Q502">
        <f t="shared" ca="1" si="156"/>
        <v>1.9549464263357932</v>
      </c>
      <c r="R502">
        <f t="shared" ca="1" si="157"/>
        <v>1.4202269616946777</v>
      </c>
      <c r="S502">
        <f t="shared" ca="1" si="154"/>
        <v>1.3765028260011798</v>
      </c>
      <c r="T502">
        <f t="shared" ca="1" si="155"/>
        <v>57.921362892605977</v>
      </c>
      <c r="U502">
        <f>70</f>
        <v>70</v>
      </c>
      <c r="V502">
        <f>30</f>
        <v>30</v>
      </c>
      <c r="W502">
        <f t="shared" ca="1" si="153"/>
        <v>321.23171916516367</v>
      </c>
      <c r="X502">
        <f t="shared" ca="1" si="163"/>
        <v>316.70359390679261</v>
      </c>
      <c r="Y502">
        <f t="shared" ca="1" si="162"/>
        <v>4.2715457901595641</v>
      </c>
      <c r="Z502">
        <f t="shared" ca="1" si="164"/>
        <v>3.8618266757694659</v>
      </c>
      <c r="AA502">
        <f t="shared" ca="1" si="165"/>
        <v>0.40971911439009823</v>
      </c>
      <c r="AB502">
        <f t="shared" ca="1" si="166"/>
        <v>306.5447999999999</v>
      </c>
    </row>
    <row r="503" spans="1:28" x14ac:dyDescent="0.25">
      <c r="A503" s="20">
        <f t="shared" ca="1" si="146"/>
        <v>46020</v>
      </c>
      <c r="B503" vm="1495">
        <f ca="1"/>
        <v>46022</v>
      </c>
      <c r="C503" vm="1496">
        <f ca="1"/>
        <v>322.22000000000003</v>
      </c>
      <c r="D503" vm="1497">
        <f ca="1"/>
        <v>5048531</v>
      </c>
      <c r="E503">
        <f t="shared" ca="1" si="147"/>
        <v>1626737658.8200002</v>
      </c>
      <c r="F503">
        <f ca="1">SUM($E$2:E503)/SUM($D$2:D503)</f>
        <v>240.31942753241191</v>
      </c>
      <c r="G503">
        <f ca="1">_xlfn.STDEV.P($C$2:C503)</f>
        <v>44.82154924061971</v>
      </c>
      <c r="H503">
        <f t="shared" ca="1" si="148"/>
        <v>285.14097677303164</v>
      </c>
      <c r="I503">
        <f t="shared" ca="1" si="149"/>
        <v>195.4978782917922</v>
      </c>
      <c r="J503">
        <f t="shared" ca="1" si="158"/>
        <v>318.06250000000006</v>
      </c>
      <c r="K503">
        <f t="shared" ca="1" si="159"/>
        <v>6.7285181562471399</v>
      </c>
      <c r="L503">
        <f t="shared" ca="1" si="160"/>
        <v>331.51953631249432</v>
      </c>
      <c r="M503">
        <f t="shared" ca="1" si="161"/>
        <v>304.60546368750579</v>
      </c>
      <c r="N503">
        <f t="shared" ca="1" si="150"/>
        <v>-1.1999999999999886</v>
      </c>
      <c r="O503">
        <f t="shared" ca="1" si="151"/>
        <v>0</v>
      </c>
      <c r="P503">
        <f t="shared" ca="1" si="152"/>
        <v>1.1999999999999886</v>
      </c>
      <c r="Q503">
        <f t="shared" ca="1" si="156"/>
        <v>1.8153073958832364</v>
      </c>
      <c r="R503">
        <f t="shared" ca="1" si="157"/>
        <v>1.4044964644307714</v>
      </c>
      <c r="S503">
        <f t="shared" ca="1" si="154"/>
        <v>1.2924969495163257</v>
      </c>
      <c r="T503">
        <f t="shared" ca="1" si="155"/>
        <v>56.379440321131881</v>
      </c>
      <c r="U503">
        <f>70</f>
        <v>70</v>
      </c>
      <c r="V503">
        <f>30</f>
        <v>30</v>
      </c>
      <c r="W503">
        <f t="shared" ca="1" si="153"/>
        <v>321.38376237052307</v>
      </c>
      <c r="X503">
        <f t="shared" ca="1" si="163"/>
        <v>317.11221658036351</v>
      </c>
      <c r="Y503">
        <f t="shared" ca="1" si="162"/>
        <v>4.2819003858325004</v>
      </c>
      <c r="Z503">
        <f t="shared" ca="1" si="164"/>
        <v>3.9458414177820731</v>
      </c>
      <c r="AA503">
        <f t="shared" ca="1" si="165"/>
        <v>0.33605896805042734</v>
      </c>
      <c r="AB503">
        <f t="shared" ca="1" si="166"/>
        <v>306.87939999999998</v>
      </c>
    </row>
    <row r="504" spans="1:28" x14ac:dyDescent="0.25">
      <c r="A504" s="20">
        <f t="shared" ca="1" si="146"/>
        <v>46020</v>
      </c>
      <c r="B504" vm="1498">
        <f ca="1"/>
        <v>46024</v>
      </c>
      <c r="C504" vm="1499">
        <f ca="1"/>
        <v>325.48</v>
      </c>
      <c r="D504" vm="1500">
        <f ca="1"/>
        <v>8054040</v>
      </c>
      <c r="E504">
        <f t="shared" ca="1" si="147"/>
        <v>2621428939.2000003</v>
      </c>
      <c r="F504">
        <f ca="1">SUM($E$2:E504)/SUM($D$2:D504)</f>
        <v>240.46785876147629</v>
      </c>
      <c r="G504">
        <f ca="1">_xlfn.STDEV.P($C$2:C504)</f>
        <v>44.929686499603804</v>
      </c>
      <c r="H504">
        <f t="shared" ca="1" si="148"/>
        <v>285.3975452610801</v>
      </c>
      <c r="I504">
        <f t="shared" ca="1" si="149"/>
        <v>195.53817226187249</v>
      </c>
      <c r="J504">
        <f t="shared" ca="1" si="158"/>
        <v>318.73</v>
      </c>
      <c r="K504">
        <f t="shared" ca="1" si="159"/>
        <v>6.7710677071446339</v>
      </c>
      <c r="L504">
        <f t="shared" ca="1" si="160"/>
        <v>332.27213541428927</v>
      </c>
      <c r="M504">
        <f t="shared" ca="1" si="161"/>
        <v>305.18786458571077</v>
      </c>
      <c r="N504">
        <f t="shared" ca="1" si="150"/>
        <v>3.2599999999999909</v>
      </c>
      <c r="O504">
        <f t="shared" ca="1" si="151"/>
        <v>3.2599999999999909</v>
      </c>
      <c r="P504">
        <f t="shared" ca="1" si="152"/>
        <v>0</v>
      </c>
      <c r="Q504">
        <f t="shared" ca="1" si="156"/>
        <v>1.9184997247487188</v>
      </c>
      <c r="R504">
        <f t="shared" ca="1" si="157"/>
        <v>1.304175288400002</v>
      </c>
      <c r="S504">
        <f t="shared" ca="1" si="154"/>
        <v>1.471044377096262</v>
      </c>
      <c r="T504">
        <f t="shared" ca="1" si="155"/>
        <v>59.531281215794849</v>
      </c>
      <c r="U504">
        <f>70</f>
        <v>70</v>
      </c>
      <c r="V504">
        <f>30</f>
        <v>30</v>
      </c>
      <c r="W504">
        <f t="shared" ca="1" si="153"/>
        <v>322.01395277505799</v>
      </c>
      <c r="X504">
        <f t="shared" ca="1" si="163"/>
        <v>317.73205238922549</v>
      </c>
      <c r="Y504">
        <f t="shared" ca="1" si="162"/>
        <v>4.924065378045384</v>
      </c>
      <c r="Z504">
        <f t="shared" ca="1" si="164"/>
        <v>4.1414862098347358</v>
      </c>
      <c r="AA504">
        <f t="shared" ca="1" si="165"/>
        <v>0.78257916821064821</v>
      </c>
      <c r="AB504">
        <f t="shared" ca="1" si="166"/>
        <v>307.23859999999991</v>
      </c>
    </row>
    <row r="505" spans="1:28" x14ac:dyDescent="0.25">
      <c r="A505" s="20">
        <f t="shared" ca="1" si="146"/>
        <v>46027</v>
      </c>
      <c r="B505" vm="1501">
        <f ca="1"/>
        <v>46027</v>
      </c>
      <c r="C505" vm="1502">
        <f ca="1"/>
        <v>334.04</v>
      </c>
      <c r="D505" vm="1503">
        <f ca="1"/>
        <v>10752627</v>
      </c>
      <c r="E505">
        <f t="shared" ca="1" si="147"/>
        <v>3591807523.0800004</v>
      </c>
      <c r="F505">
        <f ca="1">SUM($E$2:E505)/SUM($D$2:D505)</f>
        <v>240.68509119580585</v>
      </c>
      <c r="G505">
        <f ca="1">_xlfn.STDEV.P($C$2:C505)</f>
        <v>45.069344918214277</v>
      </c>
      <c r="H505">
        <f t="shared" ca="1" si="148"/>
        <v>285.75443611402011</v>
      </c>
      <c r="I505">
        <f t="shared" ca="1" si="149"/>
        <v>195.61574627759157</v>
      </c>
      <c r="J505">
        <f t="shared" ca="1" si="158"/>
        <v>319.62700000000001</v>
      </c>
      <c r="K505">
        <f t="shared" ca="1" si="159"/>
        <v>7.5480454772289161</v>
      </c>
      <c r="L505">
        <f t="shared" ca="1" si="160"/>
        <v>334.72309095445786</v>
      </c>
      <c r="M505">
        <f t="shared" ca="1" si="161"/>
        <v>304.53090904554216</v>
      </c>
      <c r="N505">
        <f t="shared" ca="1" si="150"/>
        <v>8.5600000000000023</v>
      </c>
      <c r="O505">
        <f t="shared" ca="1" si="151"/>
        <v>8.5600000000000023</v>
      </c>
      <c r="P505">
        <f t="shared" ca="1" si="152"/>
        <v>0</v>
      </c>
      <c r="Q505">
        <f t="shared" ca="1" si="156"/>
        <v>2.3928926015523819</v>
      </c>
      <c r="R505">
        <f t="shared" ca="1" si="157"/>
        <v>1.2110199106571446</v>
      </c>
      <c r="S505">
        <f t="shared" ca="1" si="154"/>
        <v>1.9759316758499115</v>
      </c>
      <c r="T505">
        <f t="shared" ca="1" si="155"/>
        <v>66.397077993586493</v>
      </c>
      <c r="U505">
        <f>70</f>
        <v>70</v>
      </c>
      <c r="V505">
        <f>30</f>
        <v>30</v>
      </c>
      <c r="W505">
        <f t="shared" ca="1" si="153"/>
        <v>323.86411388658752</v>
      </c>
      <c r="X505">
        <f t="shared" ca="1" si="163"/>
        <v>318.94004850854213</v>
      </c>
      <c r="Y505">
        <f t="shared" ca="1" si="162"/>
        <v>5.4165414787472628</v>
      </c>
      <c r="Z505">
        <f t="shared" ca="1" si="164"/>
        <v>4.3964972636172419</v>
      </c>
      <c r="AA505">
        <f t="shared" ca="1" si="165"/>
        <v>1.0200442151300209</v>
      </c>
      <c r="AB505">
        <f t="shared" ca="1" si="166"/>
        <v>307.65049999999997</v>
      </c>
    </row>
    <row r="506" spans="1:28" x14ac:dyDescent="0.25">
      <c r="A506" s="20">
        <f t="shared" ca="1" si="146"/>
        <v>46027</v>
      </c>
      <c r="B506" vm="1504">
        <f ca="1"/>
        <v>46028</v>
      </c>
      <c r="C506" vm="1505">
        <f ca="1"/>
        <v>334.61</v>
      </c>
      <c r="D506" vm="1506">
        <f ca="1"/>
        <v>7660787</v>
      </c>
      <c r="E506">
        <f t="shared" ca="1" si="147"/>
        <v>2563375938.0700002</v>
      </c>
      <c r="F506">
        <f ca="1">SUM($E$2:E506)/SUM($D$2:D506)</f>
        <v>240.84018696751571</v>
      </c>
      <c r="G506">
        <f ca="1">_xlfn.STDEV.P($C$2:C506)</f>
        <v>45.20957903012517</v>
      </c>
      <c r="H506">
        <f t="shared" ca="1" si="148"/>
        <v>286.04976599764086</v>
      </c>
      <c r="I506">
        <f t="shared" ca="1" si="149"/>
        <v>195.63060793739055</v>
      </c>
      <c r="J506">
        <f t="shared" ca="1" si="158"/>
        <v>320.60550000000001</v>
      </c>
      <c r="K506">
        <f t="shared" ca="1" si="159"/>
        <v>8.1653545866861101</v>
      </c>
      <c r="L506">
        <f t="shared" ca="1" si="160"/>
        <v>336.93620917337222</v>
      </c>
      <c r="M506">
        <f t="shared" ca="1" si="161"/>
        <v>304.27479082662779</v>
      </c>
      <c r="N506">
        <f t="shared" ca="1" si="150"/>
        <v>0.56999999999999318</v>
      </c>
      <c r="O506">
        <f t="shared" ca="1" si="151"/>
        <v>0.56999999999999318</v>
      </c>
      <c r="P506">
        <f t="shared" ca="1" si="152"/>
        <v>0</v>
      </c>
      <c r="Q506">
        <f t="shared" ca="1" si="156"/>
        <v>2.2626859871557827</v>
      </c>
      <c r="R506">
        <f t="shared" ca="1" si="157"/>
        <v>1.1245184884673487</v>
      </c>
      <c r="S506">
        <f t="shared" ca="1" si="154"/>
        <v>2.0121376485678666</v>
      </c>
      <c r="T506">
        <f t="shared" ca="1" si="155"/>
        <v>66.800985988291274</v>
      </c>
      <c r="U506">
        <f>70</f>
        <v>70</v>
      </c>
      <c r="V506">
        <f>30</f>
        <v>30</v>
      </c>
      <c r="W506">
        <f t="shared" ca="1" si="153"/>
        <v>325.51732713480482</v>
      </c>
      <c r="X506">
        <f t="shared" ca="1" si="163"/>
        <v>320.10078565605755</v>
      </c>
      <c r="Y506">
        <f t="shared" ca="1" si="162"/>
        <v>5.1327943613057414</v>
      </c>
      <c r="Z506">
        <f t="shared" ca="1" si="164"/>
        <v>4.5437566831549425</v>
      </c>
      <c r="AA506">
        <f t="shared" ca="1" si="165"/>
        <v>0.58903767815079888</v>
      </c>
      <c r="AB506">
        <f t="shared" ca="1" si="166"/>
        <v>308.09129999999993</v>
      </c>
    </row>
    <row r="507" spans="1:28" x14ac:dyDescent="0.25">
      <c r="A507" s="20">
        <f t="shared" ca="1" si="146"/>
        <v>46027</v>
      </c>
      <c r="B507" vm="1507">
        <f ca="1"/>
        <v>46029</v>
      </c>
      <c r="C507" vm="1508">
        <f ca="1"/>
        <v>326.99</v>
      </c>
      <c r="D507" vm="1509">
        <f ca="1"/>
        <v>9815240</v>
      </c>
      <c r="E507">
        <f t="shared" ca="1" si="147"/>
        <v>3209485327.5999999</v>
      </c>
      <c r="F507">
        <f ca="1">SUM($E$2:E507)/SUM($D$2:D507)</f>
        <v>241.02206623671395</v>
      </c>
      <c r="G507">
        <f ca="1">_xlfn.STDEV.P($C$2:C507)</f>
        <v>45.318965511263038</v>
      </c>
      <c r="H507">
        <f t="shared" ca="1" si="148"/>
        <v>286.34103174797701</v>
      </c>
      <c r="I507">
        <f t="shared" ca="1" si="149"/>
        <v>195.70310072545092</v>
      </c>
      <c r="J507">
        <f t="shared" ca="1" si="158"/>
        <v>321.19449999999995</v>
      </c>
      <c r="K507">
        <f t="shared" ca="1" si="159"/>
        <v>8.1805266044623259</v>
      </c>
      <c r="L507">
        <f t="shared" ca="1" si="160"/>
        <v>337.55555320892461</v>
      </c>
      <c r="M507">
        <f t="shared" ca="1" si="161"/>
        <v>304.83344679107529</v>
      </c>
      <c r="N507">
        <f t="shared" ca="1" si="150"/>
        <v>-7.6200000000000045</v>
      </c>
      <c r="O507">
        <f t="shared" ca="1" si="151"/>
        <v>0</v>
      </c>
      <c r="P507">
        <f t="shared" ca="1" si="152"/>
        <v>7.6200000000000045</v>
      </c>
      <c r="Q507">
        <f t="shared" ca="1" si="156"/>
        <v>2.1010655595017984</v>
      </c>
      <c r="R507">
        <f t="shared" ca="1" si="157"/>
        <v>1.5884814535768241</v>
      </c>
      <c r="S507">
        <f t="shared" ca="1" si="154"/>
        <v>1.3226881275640805</v>
      </c>
      <c r="T507">
        <f t="shared" ca="1" si="155"/>
        <v>56.946436840457345</v>
      </c>
      <c r="U507">
        <f>70</f>
        <v>70</v>
      </c>
      <c r="V507">
        <f>30</f>
        <v>30</v>
      </c>
      <c r="W507">
        <f t="shared" ca="1" si="153"/>
        <v>325.74389219098867</v>
      </c>
      <c r="X507">
        <f t="shared" ca="1" si="163"/>
        <v>320.61109782968293</v>
      </c>
      <c r="Y507">
        <f t="shared" ca="1" si="162"/>
        <v>5.0753538064862482</v>
      </c>
      <c r="Z507">
        <f t="shared" ca="1" si="164"/>
        <v>4.6500761078212038</v>
      </c>
      <c r="AA507">
        <f t="shared" ca="1" si="165"/>
        <v>0.42527769866504439</v>
      </c>
      <c r="AB507">
        <f t="shared" ca="1" si="166"/>
        <v>308.41959999999995</v>
      </c>
    </row>
    <row r="508" spans="1:28" x14ac:dyDescent="0.25">
      <c r="A508" s="20">
        <f t="shared" ca="1" si="146"/>
        <v>46027</v>
      </c>
      <c r="B508" vm="1510">
        <f ca="1"/>
        <v>46030</v>
      </c>
      <c r="C508" vm="1511">
        <f ca="1"/>
        <v>329.79</v>
      </c>
      <c r="D508" vm="1512">
        <f ca="1"/>
        <v>11737068</v>
      </c>
      <c r="E508">
        <f t="shared" ca="1" si="147"/>
        <v>3870767655.7200003</v>
      </c>
      <c r="F508">
        <f ca="1">SUM($E$2:E508)/SUM($D$2:D508)</f>
        <v>241.24560283831607</v>
      </c>
      <c r="G508">
        <f ca="1">_xlfn.STDEV.P($C$2:C508)</f>
        <v>45.437404073492928</v>
      </c>
      <c r="H508">
        <f t="shared" ca="1" si="148"/>
        <v>286.683006911809</v>
      </c>
      <c r="I508">
        <f t="shared" ca="1" si="149"/>
        <v>195.80819876482315</v>
      </c>
      <c r="J508">
        <f t="shared" ca="1" si="158"/>
        <v>322.65849999999995</v>
      </c>
      <c r="K508">
        <f t="shared" ca="1" si="159"/>
        <v>6.7849192486371122</v>
      </c>
      <c r="L508">
        <f t="shared" ca="1" si="160"/>
        <v>336.22833849727419</v>
      </c>
      <c r="M508">
        <f t="shared" ca="1" si="161"/>
        <v>309.0886615027257</v>
      </c>
      <c r="N508">
        <f t="shared" ca="1" si="150"/>
        <v>2.8000000000000114</v>
      </c>
      <c r="O508">
        <f t="shared" ca="1" si="151"/>
        <v>2.8000000000000114</v>
      </c>
      <c r="P508">
        <f t="shared" ca="1" si="152"/>
        <v>0</v>
      </c>
      <c r="Q508">
        <f t="shared" ca="1" si="156"/>
        <v>2.1509894481088137</v>
      </c>
      <c r="R508">
        <f t="shared" ca="1" si="157"/>
        <v>1.4750184926070509</v>
      </c>
      <c r="S508">
        <f t="shared" ca="1" si="154"/>
        <v>1.4582796479432636</v>
      </c>
      <c r="T508">
        <f t="shared" ca="1" si="155"/>
        <v>59.321145548405902</v>
      </c>
      <c r="U508">
        <f>70</f>
        <v>70</v>
      </c>
      <c r="V508">
        <f>30</f>
        <v>30</v>
      </c>
      <c r="W508">
        <f t="shared" ca="1" si="153"/>
        <v>326.36637031545195</v>
      </c>
      <c r="X508">
        <f t="shared" ca="1" si="163"/>
        <v>321.2910165089657</v>
      </c>
      <c r="Y508">
        <f t="shared" ca="1" si="162"/>
        <v>4.9246484851150285</v>
      </c>
      <c r="Z508">
        <f t="shared" ca="1" si="164"/>
        <v>4.7049905832799688</v>
      </c>
      <c r="AA508">
        <f t="shared" ca="1" si="165"/>
        <v>0.21965790183505973</v>
      </c>
      <c r="AB508">
        <f t="shared" ca="1" si="166"/>
        <v>308.81259999999997</v>
      </c>
    </row>
    <row r="509" spans="1:28" x14ac:dyDescent="0.25">
      <c r="A509" s="20">
        <f t="shared" ca="1" si="146"/>
        <v>46027</v>
      </c>
      <c r="B509" vm="1513">
        <f ca="1"/>
        <v>46031</v>
      </c>
      <c r="C509" vm="1514">
        <f ca="1"/>
        <v>329.19</v>
      </c>
      <c r="D509" vm="1515">
        <f ca="1"/>
        <v>6738143</v>
      </c>
      <c r="E509">
        <f t="shared" ca="1" si="147"/>
        <v>2218129294.1700001</v>
      </c>
      <c r="F509">
        <f ca="1">SUM($E$2:E509)/SUM($D$2:D509)</f>
        <v>241.37255903789247</v>
      </c>
      <c r="G509">
        <f ca="1">_xlfn.STDEV.P($C$2:C509)</f>
        <v>45.552200393946258</v>
      </c>
      <c r="H509">
        <f t="shared" ca="1" si="148"/>
        <v>286.92475943183871</v>
      </c>
      <c r="I509">
        <f t="shared" ca="1" si="149"/>
        <v>195.82035864394621</v>
      </c>
      <c r="J509">
        <f t="shared" ca="1" si="158"/>
        <v>323.6124999999999</v>
      </c>
      <c r="K509">
        <f t="shared" ca="1" si="159"/>
        <v>6.2477818168994208</v>
      </c>
      <c r="L509">
        <f t="shared" ca="1" si="160"/>
        <v>336.10806363379874</v>
      </c>
      <c r="M509">
        <f t="shared" ca="1" si="161"/>
        <v>311.11693636620106</v>
      </c>
      <c r="N509">
        <f t="shared" ca="1" si="150"/>
        <v>-0.60000000000002274</v>
      </c>
      <c r="O509">
        <f t="shared" ca="1" si="151"/>
        <v>0</v>
      </c>
      <c r="P509">
        <f t="shared" ca="1" si="152"/>
        <v>0.60000000000002274</v>
      </c>
      <c r="Q509">
        <f t="shared" ca="1" si="156"/>
        <v>1.9973473446724699</v>
      </c>
      <c r="R509">
        <f t="shared" ca="1" si="157"/>
        <v>1.4125171717065488</v>
      </c>
      <c r="S509">
        <f t="shared" ca="1" si="154"/>
        <v>1.4140340271115797</v>
      </c>
      <c r="T509">
        <f t="shared" ca="1" si="155"/>
        <v>58.575563195498454</v>
      </c>
      <c r="U509">
        <f>70</f>
        <v>70</v>
      </c>
      <c r="V509">
        <f>30</f>
        <v>30</v>
      </c>
      <c r="W509">
        <f t="shared" ca="1" si="153"/>
        <v>326.80077488230552</v>
      </c>
      <c r="X509">
        <f t="shared" ca="1" si="163"/>
        <v>321.87612639719049</v>
      </c>
      <c r="Y509">
        <f t="shared" ca="1" si="162"/>
        <v>4.3755243901932204</v>
      </c>
      <c r="Z509">
        <f t="shared" ca="1" si="164"/>
        <v>4.6390973446626189</v>
      </c>
      <c r="AA509">
        <f t="shared" ca="1" si="165"/>
        <v>-0.26357295446939855</v>
      </c>
      <c r="AB509">
        <f t="shared" ca="1" si="166"/>
        <v>309.18920000000003</v>
      </c>
    </row>
    <row r="510" spans="1:28" x14ac:dyDescent="0.25">
      <c r="A510" s="20">
        <f t="shared" ca="1" si="146"/>
        <v>46034</v>
      </c>
      <c r="B510" vm="1516">
        <f ca="1"/>
        <v>46034</v>
      </c>
      <c r="C510" vm="1517">
        <f ca="1"/>
        <v>324.49</v>
      </c>
      <c r="D510" vm="1518">
        <f ca="1"/>
        <v>12805062</v>
      </c>
      <c r="E510">
        <f t="shared" ca="1" si="147"/>
        <v>4155114568.3800001</v>
      </c>
      <c r="F510">
        <f ca="1">SUM($E$2:E510)/SUM($D$2:D510)</f>
        <v>241.59995856431075</v>
      </c>
      <c r="G510">
        <f ca="1">_xlfn.STDEV.P($C$2:C510)</f>
        <v>45.648798212895414</v>
      </c>
      <c r="H510">
        <f t="shared" ca="1" si="148"/>
        <v>287.24875677720615</v>
      </c>
      <c r="I510">
        <f t="shared" ca="1" si="149"/>
        <v>195.95116035141535</v>
      </c>
      <c r="J510">
        <f t="shared" ca="1" si="158"/>
        <v>323.96799999999996</v>
      </c>
      <c r="K510">
        <f t="shared" ca="1" si="159"/>
        <v>6.0743599186295096</v>
      </c>
      <c r="L510">
        <f t="shared" ca="1" si="160"/>
        <v>336.11671983725898</v>
      </c>
      <c r="M510">
        <f t="shared" ca="1" si="161"/>
        <v>311.81928016274094</v>
      </c>
      <c r="N510">
        <f t="shared" ca="1" si="150"/>
        <v>-4.6999999999999886</v>
      </c>
      <c r="O510">
        <f t="shared" ca="1" si="151"/>
        <v>0</v>
      </c>
      <c r="P510">
        <f t="shared" ca="1" si="152"/>
        <v>4.6999999999999886</v>
      </c>
      <c r="Q510">
        <f t="shared" ca="1" si="156"/>
        <v>1.8546796771958649</v>
      </c>
      <c r="R510">
        <f t="shared" ca="1" si="157"/>
        <v>1.6473373737275085</v>
      </c>
      <c r="S510">
        <f t="shared" ca="1" si="154"/>
        <v>1.1258651122563881</v>
      </c>
      <c r="T510">
        <f t="shared" ca="1" si="155"/>
        <v>52.960326869534903</v>
      </c>
      <c r="U510">
        <f>70</f>
        <v>70</v>
      </c>
      <c r="V510">
        <f>30</f>
        <v>30</v>
      </c>
      <c r="W510">
        <f t="shared" ca="1" si="153"/>
        <v>326.44527105425851</v>
      </c>
      <c r="X510">
        <f t="shared" ca="1" si="163"/>
        <v>322.06974666406529</v>
      </c>
      <c r="Y510">
        <f t="shared" ca="1" si="162"/>
        <v>2.811332869782234</v>
      </c>
      <c r="Z510">
        <f t="shared" ca="1" si="164"/>
        <v>4.2735444496865425</v>
      </c>
      <c r="AA510">
        <f t="shared" ca="1" si="165"/>
        <v>-1.4622115799043085</v>
      </c>
      <c r="AB510">
        <f t="shared" ca="1" si="166"/>
        <v>309.52749999999997</v>
      </c>
    </row>
    <row r="511" spans="1:28" x14ac:dyDescent="0.25">
      <c r="A511" s="20">
        <f t="shared" ca="1" si="146"/>
        <v>46034</v>
      </c>
      <c r="B511" vm="1519">
        <f ca="1"/>
        <v>46035</v>
      </c>
      <c r="C511" vm="1520">
        <f ca="1"/>
        <v>310.89999999999998</v>
      </c>
      <c r="D511" vm="1521">
        <f ca="1"/>
        <v>19371171</v>
      </c>
      <c r="E511">
        <f t="shared" ca="1" si="147"/>
        <v>6022497063.8999996</v>
      </c>
      <c r="F511">
        <f ca="1">SUM($E$2:E511)/SUM($D$2:D511)</f>
        <v>241.8855935096461</v>
      </c>
      <c r="G511">
        <f ca="1">_xlfn.STDEV.P($C$2:C511)</f>
        <v>45.701154258085076</v>
      </c>
      <c r="H511">
        <f t="shared" ca="1" si="148"/>
        <v>287.5867477677312</v>
      </c>
      <c r="I511">
        <f t="shared" ca="1" si="149"/>
        <v>196.18443925156103</v>
      </c>
      <c r="J511">
        <f t="shared" ca="1" si="158"/>
        <v>323.58699999999988</v>
      </c>
      <c r="K511">
        <f t="shared" ca="1" si="159"/>
        <v>6.6461220192482884</v>
      </c>
      <c r="L511">
        <f t="shared" ca="1" si="160"/>
        <v>336.87924403849644</v>
      </c>
      <c r="M511">
        <f t="shared" ca="1" si="161"/>
        <v>310.29475596150331</v>
      </c>
      <c r="N511">
        <f t="shared" ca="1" si="150"/>
        <v>-13.590000000000032</v>
      </c>
      <c r="O511">
        <f t="shared" ca="1" si="151"/>
        <v>0</v>
      </c>
      <c r="P511">
        <f t="shared" ca="1" si="152"/>
        <v>13.590000000000032</v>
      </c>
      <c r="Q511">
        <f t="shared" ca="1" si="156"/>
        <v>1.7222025573961603</v>
      </c>
      <c r="R511">
        <f t="shared" ca="1" si="157"/>
        <v>2.5003847041755458</v>
      </c>
      <c r="S511">
        <f t="shared" ca="1" si="154"/>
        <v>0.68877503310596511</v>
      </c>
      <c r="T511">
        <f t="shared" ca="1" si="155"/>
        <v>40.785481760657149</v>
      </c>
      <c r="U511">
        <f>70</f>
        <v>70</v>
      </c>
      <c r="V511">
        <f>30</f>
        <v>30</v>
      </c>
      <c r="W511">
        <f t="shared" ca="1" si="153"/>
        <v>324.05369089206494</v>
      </c>
      <c r="X511">
        <f t="shared" ca="1" si="163"/>
        <v>321.2423580222827</v>
      </c>
      <c r="Y511">
        <f t="shared" ca="1" si="162"/>
        <v>1.3120793096906027</v>
      </c>
      <c r="Z511">
        <f t="shared" ca="1" si="164"/>
        <v>3.6812514216873549</v>
      </c>
      <c r="AA511">
        <f t="shared" ca="1" si="165"/>
        <v>-2.3691721119967522</v>
      </c>
      <c r="AB511">
        <f t="shared" ca="1" si="166"/>
        <v>309.71410000000003</v>
      </c>
    </row>
    <row r="512" spans="1:28" x14ac:dyDescent="0.25">
      <c r="A512" s="20">
        <f t="shared" ca="1" si="146"/>
        <v>46034</v>
      </c>
      <c r="B512" vm="1522">
        <f ca="1"/>
        <v>46036</v>
      </c>
      <c r="C512" vm="1523">
        <f ca="1"/>
        <v>307.87</v>
      </c>
      <c r="D512" vm="1524">
        <f ca="1"/>
        <v>25951464</v>
      </c>
      <c r="E512">
        <f t="shared" ca="1" si="147"/>
        <v>7989677221.6800003</v>
      </c>
      <c r="F512">
        <f ca="1">SUM($E$2:E512)/SUM($D$2:D512)</f>
        <v>242.24794799315146</v>
      </c>
      <c r="G512">
        <f ca="1">_xlfn.STDEV.P($C$2:C512)</f>
        <v>45.744372009545827</v>
      </c>
      <c r="H512">
        <f t="shared" ca="1" si="148"/>
        <v>287.99232000269728</v>
      </c>
      <c r="I512">
        <f t="shared" ca="1" si="149"/>
        <v>196.50357598360563</v>
      </c>
      <c r="J512">
        <f t="shared" ca="1" si="158"/>
        <v>322.97949999999992</v>
      </c>
      <c r="K512">
        <f t="shared" ca="1" si="159"/>
        <v>7.4909323957632168</v>
      </c>
      <c r="L512">
        <f t="shared" ca="1" si="160"/>
        <v>337.96136479152636</v>
      </c>
      <c r="M512">
        <f t="shared" ca="1" si="161"/>
        <v>307.99763520847347</v>
      </c>
      <c r="N512">
        <f t="shared" ca="1" si="150"/>
        <v>-3.0299999999999727</v>
      </c>
      <c r="O512">
        <f t="shared" ca="1" si="151"/>
        <v>0</v>
      </c>
      <c r="P512">
        <f t="shared" ca="1" si="152"/>
        <v>3.0299999999999727</v>
      </c>
      <c r="Q512">
        <f t="shared" ca="1" si="156"/>
        <v>1.5991880890107204</v>
      </c>
      <c r="R512">
        <f t="shared" ca="1" si="157"/>
        <v>2.5382143681630049</v>
      </c>
      <c r="S512">
        <f t="shared" ca="1" si="154"/>
        <v>0.63004453409036099</v>
      </c>
      <c r="T512">
        <f t="shared" ca="1" si="155"/>
        <v>38.651982870023524</v>
      </c>
      <c r="U512">
        <f>70</f>
        <v>70</v>
      </c>
      <c r="V512">
        <f>30</f>
        <v>30</v>
      </c>
      <c r="W512">
        <f t="shared" ca="1" si="153"/>
        <v>321.56389229328568</v>
      </c>
      <c r="X512">
        <f t="shared" ca="1" si="163"/>
        <v>320.25181298359507</v>
      </c>
      <c r="Y512">
        <f t="shared" ca="1" si="162"/>
        <v>0.23338117218651178</v>
      </c>
      <c r="Z512">
        <f t="shared" ca="1" si="164"/>
        <v>2.9916773717871861</v>
      </c>
      <c r="AA512">
        <f t="shared" ca="1" si="165"/>
        <v>-2.7582961996006743</v>
      </c>
      <c r="AB512">
        <f t="shared" ca="1" si="166"/>
        <v>309.87810000000002</v>
      </c>
    </row>
    <row r="513" spans="1:28" x14ac:dyDescent="0.25">
      <c r="A513" s="20">
        <f t="shared" ca="1" si="146"/>
        <v>46034</v>
      </c>
      <c r="B513" vm="1525">
        <f ca="1"/>
        <v>46037</v>
      </c>
      <c r="C513" vm="1526">
        <f ca="1"/>
        <v>309.26</v>
      </c>
      <c r="D513" vm="1527">
        <f ca="1"/>
        <v>14751447</v>
      </c>
      <c r="E513">
        <f t="shared" ca="1" si="147"/>
        <v>4562032499.2200003</v>
      </c>
      <c r="F513">
        <f ca="1">SUM($E$2:E513)/SUM($D$2:D513)</f>
        <v>242.45647603150422</v>
      </c>
      <c r="G513">
        <f ca="1">_xlfn.STDEV.P($C$2:C513)</f>
        <v>45.790868303867839</v>
      </c>
      <c r="H513">
        <f t="shared" ca="1" si="148"/>
        <v>288.24734433537208</v>
      </c>
      <c r="I513">
        <f t="shared" ca="1" si="149"/>
        <v>196.66560772763637</v>
      </c>
      <c r="J513">
        <f t="shared" ca="1" si="158"/>
        <v>322.66499999999996</v>
      </c>
      <c r="K513">
        <f t="shared" ca="1" si="159"/>
        <v>7.9379710386550562</v>
      </c>
      <c r="L513">
        <f t="shared" ca="1" si="160"/>
        <v>338.54094207731009</v>
      </c>
      <c r="M513">
        <f t="shared" ca="1" si="161"/>
        <v>306.78905792268984</v>
      </c>
      <c r="N513">
        <f t="shared" ca="1" si="150"/>
        <v>1.3899999999999864</v>
      </c>
      <c r="O513">
        <f t="shared" ca="1" si="151"/>
        <v>1.3899999999999864</v>
      </c>
      <c r="P513">
        <f t="shared" ca="1" si="152"/>
        <v>0</v>
      </c>
      <c r="Q513">
        <f t="shared" ca="1" si="156"/>
        <v>1.5842460826528109</v>
      </c>
      <c r="R513">
        <f t="shared" ca="1" si="157"/>
        <v>2.3569133418656478</v>
      </c>
      <c r="S513">
        <f t="shared" ca="1" si="154"/>
        <v>0.67216984795833801</v>
      </c>
      <c r="T513">
        <f t="shared" ca="1" si="155"/>
        <v>40.197462523261876</v>
      </c>
      <c r="U513">
        <f>70</f>
        <v>70</v>
      </c>
      <c r="V513">
        <f>30</f>
        <v>30</v>
      </c>
      <c r="W513">
        <f t="shared" ca="1" si="153"/>
        <v>319.67098578662637</v>
      </c>
      <c r="X513">
        <f t="shared" ca="1" si="163"/>
        <v>319.43760461443986</v>
      </c>
      <c r="Y513">
        <f t="shared" ca="1" si="162"/>
        <v>-0.35834393465796666</v>
      </c>
      <c r="Z513">
        <f t="shared" ca="1" si="164"/>
        <v>2.3216731104981556</v>
      </c>
      <c r="AA513">
        <f t="shared" ca="1" si="165"/>
        <v>-2.6800170451561223</v>
      </c>
      <c r="AB513">
        <f t="shared" ca="1" si="166"/>
        <v>310.00830000000008</v>
      </c>
    </row>
    <row r="514" spans="1:28" x14ac:dyDescent="0.25">
      <c r="A514" s="20">
        <f t="shared" ca="1" si="146"/>
        <v>46034</v>
      </c>
      <c r="B514" vm="1528">
        <f ca="1"/>
        <v>46038</v>
      </c>
      <c r="C514" vm="1529">
        <f ca="1"/>
        <v>312.47000000000003</v>
      </c>
      <c r="D514" vm="1530">
        <f ca="1"/>
        <v>14652508</v>
      </c>
      <c r="E514">
        <f t="shared" ca="1" si="147"/>
        <v>4578469174.7600002</v>
      </c>
      <c r="F514">
        <f ca="1">SUM($E$2:E514)/SUM($D$2:D514)</f>
        <v>242.67221595461311</v>
      </c>
      <c r="G514">
        <f ca="1">_xlfn.STDEV.P($C$2:C514)</f>
        <v>45.845896181633854</v>
      </c>
      <c r="H514">
        <f t="shared" ca="1" si="148"/>
        <v>288.51811213624694</v>
      </c>
      <c r="I514">
        <f t="shared" ca="1" si="149"/>
        <v>196.82631977297925</v>
      </c>
      <c r="J514">
        <f t="shared" ca="1" si="158"/>
        <v>322.53949999999998</v>
      </c>
      <c r="K514">
        <f t="shared" ca="1" si="159"/>
        <v>8.0843581752210412</v>
      </c>
      <c r="L514">
        <f t="shared" ca="1" si="160"/>
        <v>338.70821635044206</v>
      </c>
      <c r="M514">
        <f t="shared" ca="1" si="161"/>
        <v>306.37078364955789</v>
      </c>
      <c r="N514">
        <f t="shared" ca="1" si="150"/>
        <v>3.2100000000000364</v>
      </c>
      <c r="O514">
        <f t="shared" ca="1" si="151"/>
        <v>3.2100000000000364</v>
      </c>
      <c r="P514">
        <f t="shared" ca="1" si="152"/>
        <v>0</v>
      </c>
      <c r="Q514">
        <f t="shared" ca="1" si="156"/>
        <v>1.700371362463327</v>
      </c>
      <c r="R514">
        <f t="shared" ca="1" si="157"/>
        <v>2.1885623888752446</v>
      </c>
      <c r="S514">
        <f t="shared" ca="1" si="154"/>
        <v>0.77693529373736026</v>
      </c>
      <c r="T514">
        <f t="shared" ca="1" si="155"/>
        <v>43.723330639871634</v>
      </c>
      <c r="U514">
        <f>70</f>
        <v>70</v>
      </c>
      <c r="V514">
        <f>30</f>
        <v>30</v>
      </c>
      <c r="W514">
        <f t="shared" ca="1" si="153"/>
        <v>318.56314181945305</v>
      </c>
      <c r="X514">
        <f t="shared" ca="1" si="163"/>
        <v>318.92148575411102</v>
      </c>
      <c r="Y514">
        <f t="shared" ca="1" si="162"/>
        <v>-1.5940448709644102</v>
      </c>
      <c r="Z514">
        <f t="shared" ca="1" si="164"/>
        <v>1.5385295142056425</v>
      </c>
      <c r="AA514">
        <f t="shared" ca="1" si="165"/>
        <v>-3.1325743851700527</v>
      </c>
      <c r="AB514">
        <f t="shared" ca="1" si="166"/>
        <v>310.18400000000003</v>
      </c>
    </row>
    <row r="515" spans="1:28" x14ac:dyDescent="0.25">
      <c r="A515" s="20">
        <f t="shared" ref="A515:A526" ca="1" si="167">B515 - WEEKDAY(B515, 2) + 1</f>
        <v>46041</v>
      </c>
      <c r="B515" vm="1531">
        <f ca="1"/>
        <v>46042</v>
      </c>
      <c r="C515" vm="1532">
        <f ca="1"/>
        <v>302.74</v>
      </c>
      <c r="D515" vm="1533">
        <f ca="1"/>
        <v>12900620</v>
      </c>
      <c r="E515">
        <f t="shared" ref="E515:E523" ca="1" si="168">C515*D515</f>
        <v>3905533698.8000002</v>
      </c>
      <c r="F515">
        <f ca="1">SUM($E$2:E515)/SUM($D$2:D515)</f>
        <v>242.8347379591012</v>
      </c>
      <c r="G515">
        <f ca="1">_xlfn.STDEV.P($C$2:C515)</f>
        <v>45.874111039504783</v>
      </c>
      <c r="H515">
        <f t="shared" ref="H515:H523" ca="1" si="169">F515 + G515</f>
        <v>288.70884899860596</v>
      </c>
      <c r="I515">
        <f t="shared" ref="I515:I523" ca="1" si="170">F515 - G515</f>
        <v>196.96062691959642</v>
      </c>
      <c r="J515">
        <f t="shared" ref="J515:J523" ca="1" si="171">AVERAGE(C496:C515)</f>
        <v>322.02649999999994</v>
      </c>
      <c r="K515">
        <f t="shared" ref="K515:K523" ca="1" si="172">_xlfn.STDEV.S(C496:C515)</f>
        <v>8.9957149301911112</v>
      </c>
      <c r="L515">
        <f t="shared" ref="L515:L523" ca="1" si="173">J515 + 2*K515</f>
        <v>340.01792986038214</v>
      </c>
      <c r="M515">
        <f t="shared" ref="M515:M523" ca="1" si="174">J515-2*K515</f>
        <v>304.03507013961774</v>
      </c>
      <c r="N515">
        <f t="shared" ref="N515:N523" ca="1" si="175">C515-C514</f>
        <v>-9.7300000000000182</v>
      </c>
      <c r="O515">
        <f t="shared" ref="O515:O523" ca="1" si="176">MAX(N515,0)</f>
        <v>0</v>
      </c>
      <c r="P515">
        <f t="shared" ref="P515:P523" ca="1" si="177">MAX(-N515,0)</f>
        <v>9.7300000000000182</v>
      </c>
      <c r="Q515">
        <f t="shared" ref="Q515:Q523" ca="1" si="178">(Q514*13+O515)/14</f>
        <v>1.5789162651445179</v>
      </c>
      <c r="R515">
        <f t="shared" ref="R515:R523" ca="1" si="179">(R514*13+P515)/14</f>
        <v>2.7272365039555857</v>
      </c>
      <c r="S515">
        <f t="shared" ref="S515:S523" ca="1" si="180">IF(R515=0,NA(),Q515/R515)</f>
        <v>0.57894365334816278</v>
      </c>
      <c r="T515">
        <f t="shared" ref="T515:T523" ca="1" si="181">100-(100/(1+S515))</f>
        <v>36.666517650614587</v>
      </c>
      <c r="U515">
        <f>70</f>
        <v>70</v>
      </c>
      <c r="V515">
        <f>30</f>
        <v>30</v>
      </c>
      <c r="W515">
        <f t="shared" ref="W515:W523" ca="1" si="182">C515*(2/(12+1)) + W514*(1-(2/(12+1)))</f>
        <v>316.12881230876798</v>
      </c>
      <c r="X515">
        <f t="shared" ref="X515:X523" ca="1" si="183">C515*(2/(26+1)) + X514*(1-(2/(26+1)))</f>
        <v>317.72285717973239</v>
      </c>
      <c r="Y515">
        <f t="shared" ref="Y515:Y523" ca="1" si="184">W516-X516</f>
        <v>-2.5998613325041333</v>
      </c>
      <c r="Z515">
        <f t="shared" ref="Z515:Z523" ca="1" si="185">Y515*(2/(9+1)) + Z514*(1-(2/(9+1)))</f>
        <v>0.7108513448636874</v>
      </c>
      <c r="AA515">
        <f t="shared" ref="AA515:AA523" ca="1" si="186">Y515-Z515</f>
        <v>-3.3107126773678206</v>
      </c>
      <c r="AB515">
        <f t="shared" ref="AB515:AB523" ca="1" si="187">AVERAGE(C416:C515)</f>
        <v>310.22570000000007</v>
      </c>
    </row>
    <row r="516" spans="1:28" x14ac:dyDescent="0.25">
      <c r="A516" s="20">
        <f t="shared" ca="1" si="167"/>
        <v>46041</v>
      </c>
      <c r="B516" vm="1534">
        <f ca="1"/>
        <v>46043</v>
      </c>
      <c r="C516" vm="1535">
        <f ca="1"/>
        <v>302.04000000000002</v>
      </c>
      <c r="D516" vm="1536">
        <f ca="1"/>
        <v>10270144</v>
      </c>
      <c r="E516">
        <f t="shared" ca="1" si="168"/>
        <v>3101994293.7600002</v>
      </c>
      <c r="F516">
        <f ca="1">SUM($E$2:E516)/SUM($D$2:D516)</f>
        <v>242.96198930154188</v>
      </c>
      <c r="G516">
        <f ca="1">_xlfn.STDEV.P($C$2:C516)</f>
        <v>45.900197804388711</v>
      </c>
      <c r="H516">
        <f t="shared" ca="1" si="169"/>
        <v>288.86218710593062</v>
      </c>
      <c r="I516">
        <f t="shared" ca="1" si="170"/>
        <v>197.06179149715317</v>
      </c>
      <c r="J516">
        <f t="shared" ca="1" si="171"/>
        <v>321.26799999999997</v>
      </c>
      <c r="K516">
        <f t="shared" ca="1" si="172"/>
        <v>10.006024290659264</v>
      </c>
      <c r="L516">
        <f t="shared" ca="1" si="173"/>
        <v>341.28004858131851</v>
      </c>
      <c r="M516">
        <f t="shared" ca="1" si="174"/>
        <v>301.25595141868143</v>
      </c>
      <c r="N516">
        <f t="shared" ca="1" si="175"/>
        <v>-0.69999999999998863</v>
      </c>
      <c r="O516">
        <f t="shared" ca="1" si="176"/>
        <v>0</v>
      </c>
      <c r="P516">
        <f t="shared" ca="1" si="177"/>
        <v>0.69999999999998863</v>
      </c>
      <c r="Q516">
        <f t="shared" ca="1" si="178"/>
        <v>1.4661365319199096</v>
      </c>
      <c r="R516">
        <f t="shared" ca="1" si="179"/>
        <v>2.5824338965301861</v>
      </c>
      <c r="S516">
        <f t="shared" ca="1" si="180"/>
        <v>0.5677343895965129</v>
      </c>
      <c r="T516">
        <f t="shared" ca="1" si="181"/>
        <v>36.213684751957921</v>
      </c>
      <c r="U516">
        <f>70</f>
        <v>70</v>
      </c>
      <c r="V516">
        <f>30</f>
        <v>30</v>
      </c>
      <c r="W516">
        <f t="shared" ca="1" si="182"/>
        <v>313.96130272280362</v>
      </c>
      <c r="X516">
        <f t="shared" ca="1" si="183"/>
        <v>316.56116405530776</v>
      </c>
      <c r="Y516">
        <f t="shared" ca="1" si="184"/>
        <v>-3.2314285165309116</v>
      </c>
      <c r="Z516">
        <f t="shared" ca="1" si="185"/>
        <v>-7.7604627415232441E-2</v>
      </c>
      <c r="AA516">
        <f t="shared" ca="1" si="186"/>
        <v>-3.1538238891156789</v>
      </c>
      <c r="AB516">
        <f t="shared" ca="1" si="187"/>
        <v>310.25330000000008</v>
      </c>
    </row>
    <row r="517" spans="1:28" x14ac:dyDescent="0.25">
      <c r="A517" s="20">
        <f t="shared" ca="1" si="167"/>
        <v>46041</v>
      </c>
      <c r="B517" vm="1537">
        <f ca="1"/>
        <v>46044</v>
      </c>
      <c r="C517" vm="1538">
        <f ca="1"/>
        <v>303.63</v>
      </c>
      <c r="D517" vm="1539">
        <f ca="1"/>
        <v>10535822</v>
      </c>
      <c r="E517">
        <f t="shared" ca="1" si="168"/>
        <v>3198991633.8600001</v>
      </c>
      <c r="F517">
        <f ca="1">SUM($E$2:E517)/SUM($D$2:D517)</f>
        <v>243.09546345605531</v>
      </c>
      <c r="G517">
        <f ca="1">_xlfn.STDEV.P($C$2:C517)</f>
        <v>45.929813684491776</v>
      </c>
      <c r="H517">
        <f t="shared" ca="1" si="169"/>
        <v>289.02527714054708</v>
      </c>
      <c r="I517">
        <f t="shared" ca="1" si="170"/>
        <v>197.16564977156355</v>
      </c>
      <c r="J517">
        <f t="shared" ca="1" si="171"/>
        <v>320.29500000000002</v>
      </c>
      <c r="K517">
        <f t="shared" ca="1" si="172"/>
        <v>10.738849051335459</v>
      </c>
      <c r="L517">
        <f t="shared" ca="1" si="173"/>
        <v>341.77269810267092</v>
      </c>
      <c r="M517">
        <f t="shared" ca="1" si="174"/>
        <v>298.81730189732912</v>
      </c>
      <c r="N517">
        <f t="shared" ca="1" si="175"/>
        <v>1.589999999999975</v>
      </c>
      <c r="O517">
        <f t="shared" ca="1" si="176"/>
        <v>1.589999999999975</v>
      </c>
      <c r="P517">
        <f t="shared" ca="1" si="177"/>
        <v>0</v>
      </c>
      <c r="Q517">
        <f t="shared" ca="1" si="178"/>
        <v>1.4749839224970569</v>
      </c>
      <c r="R517">
        <f t="shared" ca="1" si="179"/>
        <v>2.3979743324923155</v>
      </c>
      <c r="S517">
        <f t="shared" ca="1" si="180"/>
        <v>0.61509579252420277</v>
      </c>
      <c r="T517">
        <f t="shared" ca="1" si="181"/>
        <v>38.084167847585142</v>
      </c>
      <c r="U517">
        <f>70</f>
        <v>70</v>
      </c>
      <c r="V517">
        <f>30</f>
        <v>30</v>
      </c>
      <c r="W517">
        <f t="shared" ca="1" si="182"/>
        <v>312.37187153468</v>
      </c>
      <c r="X517">
        <f t="shared" ca="1" si="183"/>
        <v>315.60330005121091</v>
      </c>
      <c r="Y517">
        <f t="shared" ca="1" si="184"/>
        <v>-4.1608737061070542</v>
      </c>
      <c r="Z517">
        <f t="shared" ca="1" si="185"/>
        <v>-0.89425844315359682</v>
      </c>
      <c r="AA517">
        <f t="shared" ca="1" si="186"/>
        <v>-3.2666152629534575</v>
      </c>
      <c r="AB517">
        <f t="shared" ca="1" si="187"/>
        <v>310.27890000000008</v>
      </c>
    </row>
    <row r="518" spans="1:28" x14ac:dyDescent="0.25">
      <c r="A518" s="20">
        <f t="shared" ca="1" si="167"/>
        <v>46041</v>
      </c>
      <c r="B518" vm="1540">
        <f ca="1"/>
        <v>46045</v>
      </c>
      <c r="C518" vm="1541">
        <f ca="1"/>
        <v>297.72000000000003</v>
      </c>
      <c r="D518" vm="1542">
        <f ca="1"/>
        <v>11107925</v>
      </c>
      <c r="E518">
        <f t="shared" ca="1" si="168"/>
        <v>3307051431.0000005</v>
      </c>
      <c r="F518">
        <f ca="1">SUM($E$2:E518)/SUM($D$2:D518)</f>
        <v>243.22187405994936</v>
      </c>
      <c r="G518">
        <f ca="1">_xlfn.STDEV.P($C$2:C518)</f>
        <v>45.945048161254604</v>
      </c>
      <c r="H518">
        <f t="shared" ca="1" si="169"/>
        <v>289.16692222120395</v>
      </c>
      <c r="I518">
        <f t="shared" ca="1" si="170"/>
        <v>197.27682589869477</v>
      </c>
      <c r="J518">
        <f t="shared" ca="1" si="171"/>
        <v>318.8845</v>
      </c>
      <c r="K518">
        <f t="shared" ca="1" si="172"/>
        <v>11.763507118918326</v>
      </c>
      <c r="L518">
        <f t="shared" ca="1" si="173"/>
        <v>342.41151423783663</v>
      </c>
      <c r="M518">
        <f t="shared" ca="1" si="174"/>
        <v>295.35748576216338</v>
      </c>
      <c r="N518">
        <f t="shared" ca="1" si="175"/>
        <v>-5.9099999999999682</v>
      </c>
      <c r="O518">
        <f t="shared" ca="1" si="176"/>
        <v>0</v>
      </c>
      <c r="P518">
        <f t="shared" ca="1" si="177"/>
        <v>5.9099999999999682</v>
      </c>
      <c r="Q518">
        <f t="shared" ca="1" si="178"/>
        <v>1.3696279280329815</v>
      </c>
      <c r="R518">
        <f t="shared" ca="1" si="179"/>
        <v>2.6488333087428622</v>
      </c>
      <c r="S518">
        <f t="shared" ca="1" si="180"/>
        <v>0.51706837252171511</v>
      </c>
      <c r="T518">
        <f t="shared" ca="1" si="181"/>
        <v>34.083392804651851</v>
      </c>
      <c r="U518">
        <f>70</f>
        <v>70</v>
      </c>
      <c r="V518">
        <f>30</f>
        <v>30</v>
      </c>
      <c r="W518">
        <f t="shared" ca="1" si="182"/>
        <v>310.11773745242158</v>
      </c>
      <c r="X518">
        <f t="shared" ca="1" si="183"/>
        <v>314.27861115852863</v>
      </c>
      <c r="Y518">
        <f t="shared" ca="1" si="184"/>
        <v>-4.5768108351925889</v>
      </c>
      <c r="Z518">
        <f t="shared" ca="1" si="185"/>
        <v>-1.6307689215613954</v>
      </c>
      <c r="AA518">
        <f t="shared" ca="1" si="186"/>
        <v>-2.9460419136311935</v>
      </c>
      <c r="AB518">
        <f t="shared" ca="1" si="187"/>
        <v>310.2419000000001</v>
      </c>
    </row>
    <row r="519" spans="1:28" x14ac:dyDescent="0.25">
      <c r="A519" s="20">
        <f t="shared" ca="1" si="167"/>
        <v>46048</v>
      </c>
      <c r="B519" vm="1543">
        <f ca="1"/>
        <v>46048</v>
      </c>
      <c r="C519" vm="1544">
        <f ca="1"/>
        <v>301.04000000000002</v>
      </c>
      <c r="D519" vm="1545">
        <f ca="1"/>
        <v>11752666</v>
      </c>
      <c r="E519">
        <f t="shared" ca="1" si="168"/>
        <v>3538022572.6400003</v>
      </c>
      <c r="F519">
        <f ca="1">SUM($E$2:E519)/SUM($D$2:D519)</f>
        <v>243.36309566357815</v>
      </c>
      <c r="G519">
        <f ca="1">_xlfn.STDEV.P($C$2:C519)</f>
        <v>45.967620727333127</v>
      </c>
      <c r="H519">
        <f t="shared" ca="1" si="169"/>
        <v>289.33071639091128</v>
      </c>
      <c r="I519">
        <f t="shared" ca="1" si="170"/>
        <v>197.39547493624502</v>
      </c>
      <c r="J519">
        <f t="shared" ca="1" si="171"/>
        <v>317.47800000000007</v>
      </c>
      <c r="K519">
        <f t="shared" ca="1" si="172"/>
        <v>12.144506490374027</v>
      </c>
      <c r="L519">
        <f t="shared" ca="1" si="173"/>
        <v>341.76701298074812</v>
      </c>
      <c r="M519">
        <f t="shared" ca="1" si="174"/>
        <v>293.18898701925201</v>
      </c>
      <c r="N519">
        <f t="shared" ca="1" si="175"/>
        <v>3.3199999999999932</v>
      </c>
      <c r="O519">
        <f t="shared" ca="1" si="176"/>
        <v>3.3199999999999932</v>
      </c>
      <c r="P519">
        <f t="shared" ca="1" si="177"/>
        <v>0</v>
      </c>
      <c r="Q519">
        <f t="shared" ca="1" si="178"/>
        <v>1.5089402188877681</v>
      </c>
      <c r="R519">
        <f t="shared" ca="1" si="179"/>
        <v>2.4596309295469436</v>
      </c>
      <c r="S519">
        <f t="shared" ca="1" si="180"/>
        <v>0.61348237280692763</v>
      </c>
      <c r="T519">
        <f t="shared" ca="1" si="181"/>
        <v>38.022254419778413</v>
      </c>
      <c r="U519">
        <f>70</f>
        <v>70</v>
      </c>
      <c r="V519">
        <f>30</f>
        <v>30</v>
      </c>
      <c r="W519">
        <f t="shared" ca="1" si="182"/>
        <v>308.72116245974132</v>
      </c>
      <c r="X519">
        <f t="shared" ca="1" si="183"/>
        <v>313.29797329493391</v>
      </c>
      <c r="Y519">
        <f t="shared" ca="1" si="184"/>
        <v>-4.908763733077933</v>
      </c>
      <c r="Z519">
        <f t="shared" ca="1" si="185"/>
        <v>-2.286367883864703</v>
      </c>
      <c r="AA519">
        <f t="shared" ca="1" si="186"/>
        <v>-2.62239584921323</v>
      </c>
      <c r="AB519">
        <f t="shared" ca="1" si="187"/>
        <v>310.25530000000009</v>
      </c>
    </row>
    <row r="520" spans="1:28" x14ac:dyDescent="0.25">
      <c r="A520" s="20">
        <f t="shared" ca="1" si="167"/>
        <v>46048</v>
      </c>
      <c r="B520" vm="1546">
        <f ca="1"/>
        <v>46049</v>
      </c>
      <c r="C520" vm="1547">
        <f ca="1"/>
        <v>300.31</v>
      </c>
      <c r="D520" vm="1548">
        <f ca="1"/>
        <v>11527448</v>
      </c>
      <c r="E520">
        <f t="shared" ca="1" si="168"/>
        <v>3461807908.8800001</v>
      </c>
      <c r="F520">
        <f ca="1">SUM($E$2:E520)/SUM($D$2:D520)</f>
        <v>243.49919776407026</v>
      </c>
      <c r="G520">
        <f ca="1">_xlfn.STDEV.P($C$2:C520)</f>
        <v>45.988128030964234</v>
      </c>
      <c r="H520">
        <f t="shared" ca="1" si="169"/>
        <v>289.48732579503451</v>
      </c>
      <c r="I520">
        <f t="shared" ca="1" si="170"/>
        <v>197.51106973310601</v>
      </c>
      <c r="J520">
        <f t="shared" ca="1" si="171"/>
        <v>316.09800000000007</v>
      </c>
      <c r="K520">
        <f t="shared" ca="1" si="172"/>
        <v>12.460711562008765</v>
      </c>
      <c r="L520">
        <f t="shared" ca="1" si="173"/>
        <v>341.01942312401758</v>
      </c>
      <c r="M520">
        <f t="shared" ca="1" si="174"/>
        <v>291.17657687598256</v>
      </c>
      <c r="N520">
        <f t="shared" ca="1" si="175"/>
        <v>-0.73000000000001819</v>
      </c>
      <c r="O520">
        <f t="shared" ca="1" si="176"/>
        <v>0</v>
      </c>
      <c r="P520">
        <f t="shared" ca="1" si="177"/>
        <v>0.73000000000001819</v>
      </c>
      <c r="Q520">
        <f t="shared" ca="1" si="178"/>
        <v>1.4011587746814989</v>
      </c>
      <c r="R520">
        <f t="shared" ca="1" si="179"/>
        <v>2.3360858631507346</v>
      </c>
      <c r="S520">
        <f t="shared" ca="1" si="180"/>
        <v>0.59978907316006036</v>
      </c>
      <c r="T520">
        <f t="shared" ca="1" si="181"/>
        <v>37.491759583986791</v>
      </c>
      <c r="U520">
        <f>70</f>
        <v>70</v>
      </c>
      <c r="V520">
        <f>30</f>
        <v>30</v>
      </c>
      <c r="W520">
        <f t="shared" ca="1" si="182"/>
        <v>307.42713746593495</v>
      </c>
      <c r="X520">
        <f t="shared" ca="1" si="183"/>
        <v>312.33590119901288</v>
      </c>
      <c r="Y520">
        <f t="shared" ca="1" si="184"/>
        <v>-5.07620530568812</v>
      </c>
      <c r="Z520">
        <f t="shared" ca="1" si="185"/>
        <v>-2.8443353682293866</v>
      </c>
      <c r="AA520">
        <f t="shared" ca="1" si="186"/>
        <v>-2.2318699374587334</v>
      </c>
      <c r="AB520">
        <f t="shared" ca="1" si="187"/>
        <v>310.26330000000019</v>
      </c>
    </row>
    <row r="521" spans="1:28" x14ac:dyDescent="0.25">
      <c r="A521" s="20">
        <f t="shared" ca="1" si="167"/>
        <v>46048</v>
      </c>
      <c r="B521" vm="1549">
        <f ca="1"/>
        <v>46050</v>
      </c>
      <c r="C521" vm="1550">
        <f ca="1"/>
        <v>300.77</v>
      </c>
      <c r="D521" vm="1551">
        <f ca="1"/>
        <v>9556743</v>
      </c>
      <c r="E521">
        <f t="shared" ca="1" si="168"/>
        <v>2874381592.1099997</v>
      </c>
      <c r="F521">
        <f ca="1">SUM($E$2:E521)/SUM($D$2:D521)</f>
        <v>243.61244954779349</v>
      </c>
      <c r="G521">
        <f ca="1">_xlfn.STDEV.P($C$2:C521)</f>
        <v>46.009369273639997</v>
      </c>
      <c r="H521">
        <f t="shared" ca="1" si="169"/>
        <v>289.62181882143346</v>
      </c>
      <c r="I521">
        <f t="shared" ca="1" si="170"/>
        <v>197.60308027415348</v>
      </c>
      <c r="J521">
        <f t="shared" ca="1" si="171"/>
        <v>314.94900000000007</v>
      </c>
      <c r="K521">
        <f t="shared" ca="1" si="172"/>
        <v>12.773549521116719</v>
      </c>
      <c r="L521">
        <f t="shared" ca="1" si="173"/>
        <v>340.49609904223348</v>
      </c>
      <c r="M521">
        <f t="shared" ca="1" si="174"/>
        <v>289.40190095776666</v>
      </c>
      <c r="N521">
        <f t="shared" ca="1" si="175"/>
        <v>0.45999999999997954</v>
      </c>
      <c r="O521">
        <f t="shared" ca="1" si="176"/>
        <v>0.45999999999997954</v>
      </c>
      <c r="P521">
        <f t="shared" ca="1" si="177"/>
        <v>0</v>
      </c>
      <c r="Q521">
        <f t="shared" ca="1" si="178"/>
        <v>1.333933147918533</v>
      </c>
      <c r="R521">
        <f t="shared" ca="1" si="179"/>
        <v>2.1692225872113964</v>
      </c>
      <c r="S521">
        <f t="shared" ca="1" si="180"/>
        <v>0.61493604011995184</v>
      </c>
      <c r="T521">
        <f t="shared" ca="1" si="181"/>
        <v>38.078043021089343</v>
      </c>
      <c r="U521">
        <f>70</f>
        <v>70</v>
      </c>
      <c r="V521">
        <f>30</f>
        <v>30</v>
      </c>
      <c r="W521">
        <f t="shared" ca="1" si="182"/>
        <v>306.40296247117567</v>
      </c>
      <c r="X521">
        <f t="shared" ca="1" si="183"/>
        <v>311.47916777686379</v>
      </c>
      <c r="Y521">
        <f t="shared" ca="1" si="184"/>
        <v>-4.6988309787508911</v>
      </c>
      <c r="Z521">
        <f t="shared" ca="1" si="185"/>
        <v>-3.2152344903336876</v>
      </c>
      <c r="AA521">
        <f t="shared" ca="1" si="186"/>
        <v>-1.4835964884172035</v>
      </c>
      <c r="AB521">
        <f t="shared" ca="1" si="187"/>
        <v>310.23280000000011</v>
      </c>
    </row>
    <row r="522" spans="1:28" x14ac:dyDescent="0.25">
      <c r="A522" s="20">
        <f t="shared" ca="1" si="167"/>
        <v>46048</v>
      </c>
      <c r="B522" vm="1552">
        <f ca="1"/>
        <v>46051</v>
      </c>
      <c r="C522" vm="1553">
        <f ca="1"/>
        <v>306.42</v>
      </c>
      <c r="D522" vm="1554">
        <f ca="1"/>
        <v>11579987</v>
      </c>
      <c r="E522">
        <f t="shared" ca="1" si="168"/>
        <v>3548339616.54</v>
      </c>
      <c r="F522">
        <f ca="1">SUM($E$2:E522)/SUM($D$2:D522)</f>
        <v>243.76258471244674</v>
      </c>
      <c r="G522">
        <f ca="1">_xlfn.STDEV.P($C$2:C522)</f>
        <v>46.04407584652958</v>
      </c>
      <c r="H522">
        <f t="shared" ca="1" si="169"/>
        <v>289.80666055897632</v>
      </c>
      <c r="I522">
        <f t="shared" ca="1" si="170"/>
        <v>197.71850886591716</v>
      </c>
      <c r="J522">
        <f t="shared" ca="1" si="171"/>
        <v>314.09899999999999</v>
      </c>
      <c r="K522">
        <f t="shared" ca="1" si="172"/>
        <v>12.745781097660268</v>
      </c>
      <c r="L522">
        <f t="shared" ca="1" si="173"/>
        <v>339.5905621953205</v>
      </c>
      <c r="M522">
        <f t="shared" ca="1" si="174"/>
        <v>288.60743780467948</v>
      </c>
      <c r="N522">
        <f t="shared" ca="1" si="175"/>
        <v>5.6500000000000341</v>
      </c>
      <c r="O522">
        <f t="shared" ca="1" si="176"/>
        <v>5.6500000000000341</v>
      </c>
      <c r="P522">
        <f t="shared" ca="1" si="177"/>
        <v>0</v>
      </c>
      <c r="Q522">
        <f t="shared" ca="1" si="178"/>
        <v>1.642223637352926</v>
      </c>
      <c r="R522">
        <f t="shared" ca="1" si="179"/>
        <v>2.0142781166962966</v>
      </c>
      <c r="S522">
        <f t="shared" ca="1" si="180"/>
        <v>0.81529140575999848</v>
      </c>
      <c r="T522">
        <f t="shared" ca="1" si="181"/>
        <v>44.912425805192676</v>
      </c>
      <c r="U522">
        <f>70</f>
        <v>70</v>
      </c>
      <c r="V522">
        <f>30</f>
        <v>30</v>
      </c>
      <c r="W522">
        <f t="shared" ca="1" si="182"/>
        <v>306.40558362945632</v>
      </c>
      <c r="X522">
        <f t="shared" ca="1" si="183"/>
        <v>311.10441460820721</v>
      </c>
      <c r="Y522">
        <f t="shared" ca="1" si="184"/>
        <v>-4.391898603187542</v>
      </c>
      <c r="Z522">
        <f t="shared" ca="1" si="185"/>
        <v>-3.4505673129044587</v>
      </c>
      <c r="AA522">
        <f t="shared" ca="1" si="186"/>
        <v>-0.94133129028308327</v>
      </c>
      <c r="AB522">
        <f t="shared" ca="1" si="187"/>
        <v>310.35320000000013</v>
      </c>
    </row>
    <row r="523" spans="1:28" x14ac:dyDescent="0.25">
      <c r="A523" s="20">
        <f t="shared" ca="1" si="167"/>
        <v>46048</v>
      </c>
      <c r="B523" vm="1555">
        <f ca="1"/>
        <v>46052</v>
      </c>
      <c r="C523" vm="1556">
        <f ca="1"/>
        <v>305.89</v>
      </c>
      <c r="D523" vm="1557">
        <f ca="1"/>
        <v>11953180</v>
      </c>
      <c r="E523">
        <f t="shared" ca="1" si="168"/>
        <v>3656358230.1999998</v>
      </c>
      <c r="F523">
        <f ca="1">SUM($E$2:E523)/SUM($D$2:D523)</f>
        <v>243.91550283878937</v>
      </c>
      <c r="G523">
        <f ca="1">_xlfn.STDEV.P($C$2:C523)</f>
        <v>46.07697700187537</v>
      </c>
      <c r="H523">
        <f t="shared" ca="1" si="169"/>
        <v>289.99247984066471</v>
      </c>
      <c r="I523">
        <f t="shared" ca="1" si="170"/>
        <v>197.83852583691399</v>
      </c>
      <c r="J523">
        <f t="shared" ca="1" si="171"/>
        <v>313.28250000000003</v>
      </c>
      <c r="K523">
        <f t="shared" ca="1" si="172"/>
        <v>12.721195274443609</v>
      </c>
      <c r="L523">
        <f t="shared" ca="1" si="173"/>
        <v>338.72489054888723</v>
      </c>
      <c r="M523">
        <f t="shared" ca="1" si="174"/>
        <v>287.84010945111282</v>
      </c>
      <c r="N523">
        <f t="shared" ca="1" si="175"/>
        <v>-0.53000000000002956</v>
      </c>
      <c r="O523">
        <f t="shared" ca="1" si="176"/>
        <v>0</v>
      </c>
      <c r="P523">
        <f t="shared" ca="1" si="177"/>
        <v>0.53000000000002956</v>
      </c>
      <c r="Q523">
        <f t="shared" ca="1" si="178"/>
        <v>1.5249219489705741</v>
      </c>
      <c r="R523">
        <f t="shared" ca="1" si="179"/>
        <v>1.908258251217992</v>
      </c>
      <c r="S523">
        <f t="shared" ca="1" si="180"/>
        <v>0.79911717818972128</v>
      </c>
      <c r="T523">
        <f t="shared" ca="1" si="181"/>
        <v>44.417183487392194</v>
      </c>
      <c r="U523">
        <f>70</f>
        <v>70</v>
      </c>
      <c r="V523">
        <f>30</f>
        <v>30</v>
      </c>
      <c r="W523">
        <f t="shared" ca="1" si="182"/>
        <v>306.32626307107842</v>
      </c>
      <c r="X523">
        <f t="shared" ca="1" si="183"/>
        <v>310.71816167426596</v>
      </c>
      <c r="Y523">
        <f t="shared" ca="1" si="184"/>
        <v>-3.9218872137497556</v>
      </c>
      <c r="Z523">
        <f t="shared" ca="1" si="185"/>
        <v>-3.5448312930735182</v>
      </c>
      <c r="AA523">
        <f t="shared" ca="1" si="186"/>
        <v>-0.37705592067623739</v>
      </c>
      <c r="AB523">
        <f t="shared" ca="1" si="187"/>
        <v>310.48300000000012</v>
      </c>
    </row>
    <row r="524" spans="1:28" x14ac:dyDescent="0.25">
      <c r="A524" s="20">
        <f t="shared" ca="1" si="167"/>
        <v>46055</v>
      </c>
      <c r="B524" vm="1558">
        <f ca="1"/>
        <v>46055</v>
      </c>
      <c r="C524" vm="1559">
        <f ca="1"/>
        <v>308.14</v>
      </c>
      <c r="D524" vm="1560">
        <f ca="1"/>
        <v>9839360</v>
      </c>
      <c r="E524">
        <f t="shared" ref="E524:E525" ca="1" si="188">C524*D524</f>
        <v>3031900390.4000001</v>
      </c>
      <c r="F524">
        <f ca="1">SUM($E$2:E524)/SUM($D$2:D524)</f>
        <v>244.04536444074529</v>
      </c>
      <c r="G524">
        <f ca="1">_xlfn.STDEV.P($C$2:C524)</f>
        <v>46.115200592693526</v>
      </c>
      <c r="H524">
        <f t="shared" ref="H524:H525" ca="1" si="189">F524 + G524</f>
        <v>290.16056503343884</v>
      </c>
      <c r="I524">
        <f t="shared" ref="I524:I525" ca="1" si="190">F524 - G524</f>
        <v>197.93016384805176</v>
      </c>
      <c r="J524">
        <f t="shared" ref="J524:J525" ca="1" si="191">AVERAGE(C505:C524)</f>
        <v>312.41550000000007</v>
      </c>
      <c r="K524">
        <f t="shared" ref="K524:K525" ca="1" si="192">_xlfn.STDEV.S(C505:C524)</f>
        <v>12.433782282238392</v>
      </c>
      <c r="L524">
        <f t="shared" ref="L524:L525" ca="1" si="193">J524 + 2*K524</f>
        <v>337.28306456447683</v>
      </c>
      <c r="M524">
        <f t="shared" ref="M524:M525" ca="1" si="194">J524-2*K524</f>
        <v>287.5479354355233</v>
      </c>
      <c r="N524">
        <f t="shared" ref="N524:N525" ca="1" si="195">C524-C523</f>
        <v>2.25</v>
      </c>
      <c r="O524">
        <f t="shared" ref="O524:O525" ca="1" si="196">MAX(N524,0)</f>
        <v>2.25</v>
      </c>
      <c r="P524">
        <f t="shared" ref="P524:P525" ca="1" si="197">MAX(-N524,0)</f>
        <v>0</v>
      </c>
      <c r="Q524">
        <f t="shared" ref="Q524:Q525" ca="1" si="198">(Q523*13+O524)/14</f>
        <v>1.5767132383298186</v>
      </c>
      <c r="R524">
        <f t="shared" ref="R524:R525" ca="1" si="199">(R523*13+P524)/14</f>
        <v>1.7719540904167068</v>
      </c>
      <c r="S524">
        <f t="shared" ref="S524:S525" ca="1" si="200">IF(R524=0,NA(),Q524/R524)</f>
        <v>0.88981607754805103</v>
      </c>
      <c r="T524">
        <f t="shared" ref="T524:T525" ca="1" si="201">100-(100/(1+S524))</f>
        <v>47.084797728176078</v>
      </c>
      <c r="U524">
        <f>70</f>
        <v>70</v>
      </c>
      <c r="V524">
        <f>30</f>
        <v>30</v>
      </c>
      <c r="W524">
        <f t="shared" ref="W524:W525" ca="1" si="202">C524*(2/(12+1)) + W523*(1-(2/(12+1)))</f>
        <v>306.60529952168173</v>
      </c>
      <c r="X524">
        <f t="shared" ref="X524:X525" ca="1" si="203">C524*(2/(26+1)) + X523*(1-(2/(26+1)))</f>
        <v>310.52718673543148</v>
      </c>
      <c r="Y524">
        <f t="shared" ref="Y524:Y525" ca="1" si="204">W525-X525</f>
        <v>-2.9736801455150044</v>
      </c>
      <c r="Z524">
        <f t="shared" ref="Z524:Z525" ca="1" si="205">Y524*(2/(9+1)) + Z523*(1-(2/(9+1)))</f>
        <v>-3.4306010635618156</v>
      </c>
      <c r="AA524">
        <f t="shared" ref="AA524:AA525" ca="1" si="206">Y524-Z524</f>
        <v>0.45692091804681123</v>
      </c>
      <c r="AB524">
        <f t="shared" ref="AB524:AB525" ca="1" si="207">AVERAGE(C425:C524)</f>
        <v>310.58590000000009</v>
      </c>
    </row>
    <row r="525" spans="1:28" x14ac:dyDescent="0.25">
      <c r="A525" s="20">
        <f t="shared" ca="1" si="167"/>
        <v>46055</v>
      </c>
      <c r="B525" vm="1561">
        <f ca="1"/>
        <v>46056</v>
      </c>
      <c r="C525" vm="1562">
        <f ca="1"/>
        <v>314.85000000000002</v>
      </c>
      <c r="D525" vm="1563">
        <f ca="1"/>
        <v>12687963</v>
      </c>
      <c r="E525">
        <f t="shared" ca="1" si="188"/>
        <v>3994805150.5500002</v>
      </c>
      <c r="F525">
        <f ca="1">SUM($E$2:E525)/SUM($D$2:D525)</f>
        <v>244.22949924683118</v>
      </c>
      <c r="G525">
        <f ca="1">_xlfn.STDEV.P($C$2:C525)</f>
        <v>46.1712825016075</v>
      </c>
      <c r="H525">
        <f t="shared" ca="1" si="189"/>
        <v>290.4007817484387</v>
      </c>
      <c r="I525">
        <f t="shared" ca="1" si="190"/>
        <v>198.05821674522369</v>
      </c>
      <c r="J525">
        <f t="shared" ca="1" si="191"/>
        <v>311.45600000000013</v>
      </c>
      <c r="K525">
        <f t="shared" ca="1" si="192"/>
        <v>11.372346145017978</v>
      </c>
      <c r="L525">
        <f t="shared" ca="1" si="193"/>
        <v>334.2006922900361</v>
      </c>
      <c r="M525">
        <f t="shared" ca="1" si="194"/>
        <v>288.71130770996416</v>
      </c>
      <c r="N525">
        <f t="shared" ca="1" si="195"/>
        <v>6.7100000000000364</v>
      </c>
      <c r="O525">
        <f t="shared" ca="1" si="196"/>
        <v>6.7100000000000364</v>
      </c>
      <c r="P525">
        <f t="shared" ca="1" si="197"/>
        <v>0</v>
      </c>
      <c r="Q525">
        <f t="shared" ca="1" si="198"/>
        <v>1.9433765784491199</v>
      </c>
      <c r="R525">
        <f t="shared" ca="1" si="199"/>
        <v>1.6453859411012277</v>
      </c>
      <c r="S525">
        <f t="shared" ca="1" si="200"/>
        <v>1.1811068332992152</v>
      </c>
      <c r="T525">
        <f t="shared" ca="1" si="201"/>
        <v>54.151718534237659</v>
      </c>
      <c r="U525">
        <f>70</f>
        <v>70</v>
      </c>
      <c r="V525">
        <f>30</f>
        <v>30</v>
      </c>
      <c r="W525">
        <f t="shared" ca="1" si="202"/>
        <v>307.87371497988454</v>
      </c>
      <c r="X525">
        <f t="shared" ca="1" si="203"/>
        <v>310.84739512539954</v>
      </c>
      <c r="Y525">
        <f t="shared" ca="1" si="204"/>
        <v>-2.0038463439577185</v>
      </c>
      <c r="Z525">
        <f t="shared" ca="1" si="205"/>
        <v>-3.1452501196409961</v>
      </c>
      <c r="AA525">
        <f t="shared" ca="1" si="206"/>
        <v>1.1414037756832776</v>
      </c>
      <c r="AB525">
        <f t="shared" ca="1" si="207"/>
        <v>310.7290000000001</v>
      </c>
    </row>
    <row r="526" spans="1:28" x14ac:dyDescent="0.25">
      <c r="A526" s="20">
        <f t="shared" ca="1" si="167"/>
        <v>46055</v>
      </c>
      <c r="B526" vm="1564">
        <f ca="1"/>
        <v>46057</v>
      </c>
      <c r="C526" vm="1565">
        <f ca="1"/>
        <v>317.27</v>
      </c>
      <c r="D526" vm="1566">
        <f ca="1"/>
        <v>9848802</v>
      </c>
      <c r="E526">
        <f t="shared" ref="E526" ca="1" si="208">C526*D526</f>
        <v>3124729410.54</v>
      </c>
      <c r="F526">
        <f ca="1">SUM($E$2:E526)/SUM($D$2:D526)</f>
        <v>244.3766469974783</v>
      </c>
      <c r="G526">
        <f ca="1">_xlfn.STDEV.P($C$2:C526)</f>
        <v>46.233739667543709</v>
      </c>
      <c r="H526">
        <f t="shared" ref="H526" ca="1" si="209">F526 + G526</f>
        <v>290.61038666502202</v>
      </c>
      <c r="I526">
        <f t="shared" ref="I526" ca="1" si="210">F526 - G526</f>
        <v>198.14290732993459</v>
      </c>
      <c r="J526">
        <f t="shared" ref="J526" ca="1" si="211">AVERAGE(C507:C526)</f>
        <v>310.58900000000011</v>
      </c>
      <c r="K526">
        <f t="shared" ref="K526" ca="1" si="212">_xlfn.STDEV.S(C507:C526)</f>
        <v>10.104548168236448</v>
      </c>
      <c r="L526">
        <f t="shared" ref="L526" ca="1" si="213">J526 + 2*K526</f>
        <v>330.79809633647301</v>
      </c>
      <c r="M526">
        <f t="shared" ref="M526" ca="1" si="214">J526-2*K526</f>
        <v>290.37990366352722</v>
      </c>
      <c r="N526">
        <f t="shared" ref="N526" ca="1" si="215">C526-C525</f>
        <v>2.4199999999999591</v>
      </c>
      <c r="O526">
        <f t="shared" ref="O526" ca="1" si="216">MAX(N526,0)</f>
        <v>2.4199999999999591</v>
      </c>
      <c r="P526">
        <f t="shared" ref="P526" ca="1" si="217">MAX(-N526,0)</f>
        <v>0</v>
      </c>
      <c r="Q526">
        <f t="shared" ref="Q526" ca="1" si="218">(Q525*13+O526)/14</f>
        <v>1.9774211085598943</v>
      </c>
      <c r="R526">
        <f t="shared" ref="R526" ca="1" si="219">(R525*13+P526)/14</f>
        <v>1.5278583738797114</v>
      </c>
      <c r="S526">
        <f t="shared" ref="S526" ca="1" si="220">IF(R526=0,NA(),Q526/R526)</f>
        <v>1.2942437220398919</v>
      </c>
      <c r="T526">
        <f t="shared" ref="T526" ca="1" si="221">100-(100/(1+S526))</f>
        <v>56.412651786146533</v>
      </c>
      <c r="U526">
        <f>70</f>
        <v>70</v>
      </c>
      <c r="V526">
        <f>30</f>
        <v>30</v>
      </c>
      <c r="W526">
        <f t="shared" ref="W526" ca="1" si="222">C526*(2/(12+1)) + W525*(1-(2/(12+1)))</f>
        <v>309.3192972906715</v>
      </c>
      <c r="X526">
        <f t="shared" ref="X526" ca="1" si="223">C526*(2/(26+1)) + X525*(1-(2/(26+1)))</f>
        <v>311.32314363462922</v>
      </c>
      <c r="Y526">
        <f t="shared" ref="Y526" ca="1" si="224">W527-X527</f>
        <v>-1.7883486778491715</v>
      </c>
      <c r="Z526">
        <f t="shared" ref="Z526" ca="1" si="225">Y526*(2/(9+1)) + Z525*(1-(2/(9+1)))</f>
        <v>-2.8738698312826316</v>
      </c>
      <c r="AA526">
        <f t="shared" ref="AA526" ca="1" si="226">Y526-Z526</f>
        <v>1.0855211534334601</v>
      </c>
      <c r="AB526">
        <f t="shared" ref="AB526" ca="1" si="227">AVERAGE(C427:C526)</f>
        <v>310.84610000000009</v>
      </c>
    </row>
    <row r="527" spans="1:28" x14ac:dyDescent="0.25">
      <c r="B527" vm="1567">
        <f ca="1"/>
        <v>46058</v>
      </c>
      <c r="C527" vm="1568">
        <f ca="1"/>
        <v>310.16000000000003</v>
      </c>
      <c r="D527" vm="1569">
        <f ca="1"/>
        <v>9387999</v>
      </c>
      <c r="E527">
        <f t="shared" ref="E527" ca="1" si="228">C527*D527</f>
        <v>2911781769.8400002</v>
      </c>
      <c r="F527">
        <f ca="1">SUM($E$2:E527)/SUM($D$2:D527)</f>
        <v>244.50273167841894</v>
      </c>
      <c r="G527">
        <f ca="1">_xlfn.STDEV.P($C$2:C527)</f>
        <v>46.275587128958499</v>
      </c>
      <c r="H527">
        <f t="shared" ref="H527" ca="1" si="229">F527 + G527</f>
        <v>290.77831880737745</v>
      </c>
      <c r="I527">
        <f t="shared" ref="I527" ca="1" si="230">F527 - G527</f>
        <v>198.22714454946043</v>
      </c>
      <c r="J527">
        <f t="shared" ref="J527" ca="1" si="231">AVERAGE(C508:C527)</f>
        <v>309.74750000000006</v>
      </c>
      <c r="K527">
        <f t="shared" ref="K527" ca="1" si="232">_xlfn.STDEV.S(C508:C527)</f>
        <v>9.3385583667084866</v>
      </c>
      <c r="L527">
        <f t="shared" ref="L527" ca="1" si="233">J527 + 2*K527</f>
        <v>328.42461673341705</v>
      </c>
      <c r="M527">
        <f t="shared" ref="M527" ca="1" si="234">J527-2*K527</f>
        <v>291.07038326658306</v>
      </c>
      <c r="N527">
        <f t="shared" ref="N527" ca="1" si="235">C527-C526</f>
        <v>-7.1099999999999568</v>
      </c>
      <c r="O527">
        <f t="shared" ref="O527" ca="1" si="236">MAX(N527,0)</f>
        <v>0</v>
      </c>
      <c r="P527">
        <f t="shared" ref="P527" ca="1" si="237">MAX(-N527,0)</f>
        <v>7.1099999999999568</v>
      </c>
      <c r="Q527">
        <f t="shared" ref="Q527" ca="1" si="238">(Q526*13+O527)/14</f>
        <v>1.8361767436627592</v>
      </c>
      <c r="R527">
        <f t="shared" ref="R527" ca="1" si="239">(R526*13+P527)/14</f>
        <v>1.926582775745443</v>
      </c>
      <c r="S527">
        <f t="shared" ref="S527" ca="1" si="240">IF(R527=0,NA(),Q527/R527)</f>
        <v>0.95307441070228427</v>
      </c>
      <c r="T527">
        <f t="shared" ref="T527" ca="1" si="241">100-(100/(1+S527))</f>
        <v>48.798673797563033</v>
      </c>
      <c r="U527">
        <f>70</f>
        <v>70</v>
      </c>
      <c r="V527">
        <f>30</f>
        <v>30</v>
      </c>
      <c r="W527">
        <f t="shared" ref="W527" ca="1" si="242">C527*(2/(12+1)) + W526*(1-(2/(12+1)))</f>
        <v>309.44863616902973</v>
      </c>
      <c r="X527">
        <f t="shared" ref="X527" ca="1" si="243">C527*(2/(26+1)) + X526*(1-(2/(26+1)))</f>
        <v>311.2369848468789</v>
      </c>
      <c r="Y527">
        <f t="shared" ref="Y527" si="244">W528-X528</f>
        <v>0</v>
      </c>
      <c r="Z527">
        <f t="shared" ref="Z527" ca="1" si="245">Y527*(2/(9+1)) + Z526*(1-(2/(9+1)))</f>
        <v>-2.2990958650261053</v>
      </c>
      <c r="AA527">
        <f t="shared" ref="AA527" ca="1" si="246">Y527-Z527</f>
        <v>2.2990958650261053</v>
      </c>
      <c r="AB527">
        <f t="shared" ref="AB527" ca="1" si="247">AVERAGE(C428:C527)</f>
        <v>310.87860000000006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C74F-093F-4E97-A7F8-1F256B981ABB}">
  <dimension ref="A1:G120"/>
  <sheetViews>
    <sheetView workbookViewId="0">
      <selection activeCell="J115" sqref="J115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7" x14ac:dyDescent="0.25">
      <c r="A1" t="s">
        <v>45</v>
      </c>
      <c r="B1" t="s">
        <v>46</v>
      </c>
      <c r="C1" t="s">
        <v>47</v>
      </c>
      <c r="D1" t="s">
        <v>48</v>
      </c>
      <c r="E1" t="s">
        <v>51</v>
      </c>
      <c r="F1" t="s">
        <v>52</v>
      </c>
      <c r="G1" t="s">
        <v>6</v>
      </c>
    </row>
    <row r="2" spans="1:7" x14ac:dyDescent="0.25">
      <c r="A2" s="23">
        <v>45292</v>
      </c>
      <c r="B2">
        <v>171.77250000000001</v>
      </c>
    </row>
    <row r="3" spans="1:7" x14ac:dyDescent="0.25">
      <c r="A3" s="23">
        <v>45299</v>
      </c>
      <c r="B3">
        <v>170.61</v>
      </c>
    </row>
    <row r="4" spans="1:7" x14ac:dyDescent="0.25">
      <c r="A4" s="23">
        <v>45306</v>
      </c>
      <c r="B4">
        <v>168.20249999999999</v>
      </c>
    </row>
    <row r="5" spans="1:7" x14ac:dyDescent="0.25">
      <c r="A5" s="23">
        <v>45313</v>
      </c>
      <c r="B5">
        <v>170.964</v>
      </c>
    </row>
    <row r="6" spans="1:7" x14ac:dyDescent="0.25">
      <c r="A6" s="23">
        <v>45320</v>
      </c>
      <c r="B6">
        <v>174.364</v>
      </c>
    </row>
    <row r="7" spans="1:7" x14ac:dyDescent="0.25">
      <c r="A7" s="23">
        <v>45327</v>
      </c>
      <c r="B7">
        <v>174.96799999999999</v>
      </c>
    </row>
    <row r="8" spans="1:7" x14ac:dyDescent="0.25">
      <c r="A8" s="23">
        <v>45334</v>
      </c>
      <c r="B8">
        <v>176.99600000000001</v>
      </c>
    </row>
    <row r="9" spans="1:7" x14ac:dyDescent="0.25">
      <c r="A9" s="23">
        <v>45341</v>
      </c>
      <c r="B9">
        <v>181.92250000000001</v>
      </c>
    </row>
    <row r="10" spans="1:7" x14ac:dyDescent="0.25">
      <c r="A10" s="23">
        <v>45348</v>
      </c>
      <c r="B10">
        <v>184.50800000000001</v>
      </c>
    </row>
    <row r="11" spans="1:7" x14ac:dyDescent="0.25">
      <c r="A11" s="23">
        <v>45355</v>
      </c>
      <c r="B11">
        <v>188.17000000000002</v>
      </c>
    </row>
    <row r="12" spans="1:7" x14ac:dyDescent="0.25">
      <c r="A12" s="23">
        <v>45362</v>
      </c>
      <c r="B12">
        <v>189.55600000000001</v>
      </c>
    </row>
    <row r="13" spans="1:7" x14ac:dyDescent="0.25">
      <c r="A13" s="23">
        <v>45369</v>
      </c>
      <c r="B13">
        <v>195.69200000000001</v>
      </c>
    </row>
    <row r="14" spans="1:7" x14ac:dyDescent="0.25">
      <c r="A14" s="23">
        <v>45376</v>
      </c>
      <c r="B14">
        <v>197.5925</v>
      </c>
    </row>
    <row r="15" spans="1:7" x14ac:dyDescent="0.25">
      <c r="A15" s="23">
        <v>45383</v>
      </c>
      <c r="B15">
        <v>197.84</v>
      </c>
    </row>
    <row r="16" spans="1:7" x14ac:dyDescent="0.25">
      <c r="A16" s="23">
        <v>45390</v>
      </c>
      <c r="B16">
        <v>193.864</v>
      </c>
    </row>
    <row r="17" spans="1:2" x14ac:dyDescent="0.25">
      <c r="A17" s="23">
        <v>45397</v>
      </c>
      <c r="B17">
        <v>182.16400000000002</v>
      </c>
    </row>
    <row r="18" spans="1:2" x14ac:dyDescent="0.25">
      <c r="A18" s="23">
        <v>45404</v>
      </c>
      <c r="B18">
        <v>192.298</v>
      </c>
    </row>
    <row r="19" spans="1:2" x14ac:dyDescent="0.25">
      <c r="A19" s="23">
        <v>45411</v>
      </c>
      <c r="B19">
        <v>191.81</v>
      </c>
    </row>
    <row r="20" spans="1:2" x14ac:dyDescent="0.25">
      <c r="A20" s="23">
        <v>45418</v>
      </c>
      <c r="B20">
        <v>195.13400000000001</v>
      </c>
    </row>
    <row r="21" spans="1:2" x14ac:dyDescent="0.25">
      <c r="A21" s="23">
        <v>45425</v>
      </c>
      <c r="B21">
        <v>201.922</v>
      </c>
    </row>
    <row r="22" spans="1:2" x14ac:dyDescent="0.25">
      <c r="A22" s="23">
        <v>45432</v>
      </c>
      <c r="B22">
        <v>198.208</v>
      </c>
    </row>
    <row r="23" spans="1:2" x14ac:dyDescent="0.25">
      <c r="A23" s="23">
        <v>45439</v>
      </c>
      <c r="B23">
        <v>199.89250000000001</v>
      </c>
    </row>
    <row r="24" spans="1:2" x14ac:dyDescent="0.25">
      <c r="A24" s="23">
        <v>45446</v>
      </c>
      <c r="B24">
        <v>199.01999999999998</v>
      </c>
    </row>
    <row r="25" spans="1:2" x14ac:dyDescent="0.25">
      <c r="A25" s="23">
        <v>45453</v>
      </c>
      <c r="B25">
        <v>194.58799999999999</v>
      </c>
    </row>
    <row r="26" spans="1:2" x14ac:dyDescent="0.25">
      <c r="A26" s="23">
        <v>45460</v>
      </c>
      <c r="B26">
        <v>196.73750000000001</v>
      </c>
    </row>
    <row r="27" spans="1:2" x14ac:dyDescent="0.25">
      <c r="A27" s="23">
        <v>45467</v>
      </c>
      <c r="B27">
        <v>199.16200000000001</v>
      </c>
    </row>
    <row r="28" spans="1:2" x14ac:dyDescent="0.25">
      <c r="A28" s="23">
        <v>45474</v>
      </c>
      <c r="B28">
        <v>206.94</v>
      </c>
    </row>
    <row r="29" spans="1:2" x14ac:dyDescent="0.25">
      <c r="A29" s="23">
        <v>45481</v>
      </c>
      <c r="B29">
        <v>206.59799999999998</v>
      </c>
    </row>
    <row r="30" spans="1:2" x14ac:dyDescent="0.25">
      <c r="A30" s="23">
        <v>45488</v>
      </c>
      <c r="B30">
        <v>212.06</v>
      </c>
    </row>
    <row r="31" spans="1:2" x14ac:dyDescent="0.25">
      <c r="A31" s="23">
        <v>45495</v>
      </c>
      <c r="B31">
        <v>210.02199999999999</v>
      </c>
    </row>
    <row r="32" spans="1:2" x14ac:dyDescent="0.25">
      <c r="A32" s="23">
        <v>45502</v>
      </c>
      <c r="B32">
        <v>209.18799999999999</v>
      </c>
    </row>
    <row r="33" spans="1:2" x14ac:dyDescent="0.25">
      <c r="A33" s="23">
        <v>45509</v>
      </c>
      <c r="B33">
        <v>201.1</v>
      </c>
    </row>
    <row r="34" spans="1:2" x14ac:dyDescent="0.25">
      <c r="A34" s="23">
        <v>45516</v>
      </c>
      <c r="B34">
        <v>209.97800000000001</v>
      </c>
    </row>
    <row r="35" spans="1:2" x14ac:dyDescent="0.25">
      <c r="A35" s="23">
        <v>45523</v>
      </c>
      <c r="B35">
        <v>215.90199999999999</v>
      </c>
    </row>
    <row r="36" spans="1:2" x14ac:dyDescent="0.25">
      <c r="A36" s="23">
        <v>45530</v>
      </c>
      <c r="B36">
        <v>221.53</v>
      </c>
    </row>
    <row r="37" spans="1:2" x14ac:dyDescent="0.25">
      <c r="A37" s="23">
        <v>45537</v>
      </c>
      <c r="B37">
        <v>217.43</v>
      </c>
    </row>
    <row r="38" spans="1:2" x14ac:dyDescent="0.25">
      <c r="A38" s="23">
        <v>45544</v>
      </c>
      <c r="B38">
        <v>208.10399999999998</v>
      </c>
    </row>
    <row r="39" spans="1:2" x14ac:dyDescent="0.25">
      <c r="A39" s="23">
        <v>45551</v>
      </c>
      <c r="B39">
        <v>209.24199999999999</v>
      </c>
    </row>
    <row r="40" spans="1:2" x14ac:dyDescent="0.25">
      <c r="A40" s="23">
        <v>45558</v>
      </c>
      <c r="B40">
        <v>210.7</v>
      </c>
    </row>
    <row r="41" spans="1:2" x14ac:dyDescent="0.25">
      <c r="A41" s="23">
        <v>45565</v>
      </c>
      <c r="B41">
        <v>208.328</v>
      </c>
    </row>
    <row r="42" spans="1:2" x14ac:dyDescent="0.25">
      <c r="A42" s="23">
        <v>45572</v>
      </c>
      <c r="B42">
        <v>214.04599999999999</v>
      </c>
    </row>
    <row r="43" spans="1:2" x14ac:dyDescent="0.25">
      <c r="A43" s="23">
        <v>45579</v>
      </c>
      <c r="B43">
        <v>223.45999999999998</v>
      </c>
    </row>
    <row r="44" spans="1:2" x14ac:dyDescent="0.25">
      <c r="A44" s="23">
        <v>45586</v>
      </c>
      <c r="B44">
        <v>223.56399999999999</v>
      </c>
    </row>
    <row r="45" spans="1:2" x14ac:dyDescent="0.25">
      <c r="A45" s="23">
        <v>45593</v>
      </c>
      <c r="B45">
        <v>223.53399999999999</v>
      </c>
    </row>
    <row r="46" spans="1:2" x14ac:dyDescent="0.25">
      <c r="A46" s="23">
        <v>45600</v>
      </c>
      <c r="B46">
        <v>232.33799999999999</v>
      </c>
    </row>
    <row r="47" spans="1:2" x14ac:dyDescent="0.25">
      <c r="A47" s="23">
        <v>45607</v>
      </c>
      <c r="B47">
        <v>241.43799999999999</v>
      </c>
    </row>
    <row r="48" spans="1:2" x14ac:dyDescent="0.25">
      <c r="A48" s="23">
        <v>45614</v>
      </c>
      <c r="B48">
        <v>244.44200000000001</v>
      </c>
    </row>
    <row r="49" spans="1:2" x14ac:dyDescent="0.25">
      <c r="A49" s="23">
        <v>45621</v>
      </c>
      <c r="B49">
        <v>249.9425</v>
      </c>
    </row>
    <row r="50" spans="1:2" x14ac:dyDescent="0.25">
      <c r="A50" s="23">
        <v>45628</v>
      </c>
      <c r="B50">
        <v>245.46199999999999</v>
      </c>
    </row>
    <row r="51" spans="1:2" x14ac:dyDescent="0.25">
      <c r="A51" s="23">
        <v>45635</v>
      </c>
      <c r="B51">
        <v>242.334</v>
      </c>
    </row>
    <row r="52" spans="1:2" x14ac:dyDescent="0.25">
      <c r="A52" s="23">
        <v>45642</v>
      </c>
      <c r="B52">
        <v>235.774</v>
      </c>
    </row>
    <row r="53" spans="1:2" x14ac:dyDescent="0.25">
      <c r="A53" s="23">
        <v>45649</v>
      </c>
      <c r="B53">
        <v>241.2525</v>
      </c>
    </row>
    <row r="54" spans="1:2" x14ac:dyDescent="0.25">
      <c r="A54" s="23">
        <v>45656</v>
      </c>
      <c r="B54">
        <v>240.57749999999999</v>
      </c>
    </row>
    <row r="55" spans="1:2" x14ac:dyDescent="0.25">
      <c r="A55" s="23">
        <v>45663</v>
      </c>
      <c r="B55">
        <v>241.755</v>
      </c>
    </row>
    <row r="56" spans="1:2" x14ac:dyDescent="0.25">
      <c r="A56" s="23">
        <v>45670</v>
      </c>
      <c r="B56">
        <v>251.49200000000002</v>
      </c>
    </row>
    <row r="57" spans="1:2" x14ac:dyDescent="0.25">
      <c r="A57" s="23">
        <v>45677</v>
      </c>
      <c r="B57">
        <v>264.16499999999996</v>
      </c>
    </row>
    <row r="58" spans="1:2" x14ac:dyDescent="0.25">
      <c r="A58" s="23">
        <v>45684</v>
      </c>
      <c r="B58">
        <v>267.02</v>
      </c>
    </row>
    <row r="59" spans="1:2" x14ac:dyDescent="0.25">
      <c r="A59" s="23">
        <v>45691</v>
      </c>
      <c r="B59">
        <v>271.57600000000002</v>
      </c>
    </row>
    <row r="60" spans="1:2" x14ac:dyDescent="0.25">
      <c r="A60" s="23">
        <v>45698</v>
      </c>
      <c r="B60">
        <v>274.87799999999999</v>
      </c>
    </row>
    <row r="61" spans="1:2" x14ac:dyDescent="0.25">
      <c r="A61" s="23">
        <v>45705</v>
      </c>
      <c r="B61">
        <v>272.56</v>
      </c>
    </row>
    <row r="62" spans="1:2" x14ac:dyDescent="0.25">
      <c r="A62" s="23">
        <v>45712</v>
      </c>
      <c r="B62">
        <v>260.24599999999998</v>
      </c>
    </row>
    <row r="63" spans="1:2" x14ac:dyDescent="0.25">
      <c r="A63" s="23">
        <v>45719</v>
      </c>
      <c r="B63">
        <v>250.244</v>
      </c>
    </row>
    <row r="64" spans="1:2" x14ac:dyDescent="0.25">
      <c r="A64" s="23">
        <v>45726</v>
      </c>
      <c r="B64">
        <v>229.37799999999999</v>
      </c>
    </row>
    <row r="65" spans="1:2" x14ac:dyDescent="0.25">
      <c r="A65" s="23">
        <v>45733</v>
      </c>
      <c r="B65">
        <v>237.73</v>
      </c>
    </row>
    <row r="66" spans="1:2" x14ac:dyDescent="0.25">
      <c r="A66" s="23">
        <v>45740</v>
      </c>
      <c r="B66">
        <v>248.238</v>
      </c>
    </row>
    <row r="67" spans="1:2" x14ac:dyDescent="0.25">
      <c r="A67" s="23">
        <v>45747</v>
      </c>
      <c r="B67">
        <v>234.75</v>
      </c>
    </row>
    <row r="68" spans="1:2" x14ac:dyDescent="0.25">
      <c r="A68" s="23">
        <v>45754</v>
      </c>
      <c r="B68">
        <v>225.792</v>
      </c>
    </row>
    <row r="69" spans="1:2" x14ac:dyDescent="0.25">
      <c r="A69" s="23">
        <v>45761</v>
      </c>
      <c r="B69">
        <v>232.35500000000002</v>
      </c>
    </row>
    <row r="70" spans="1:2" x14ac:dyDescent="0.25">
      <c r="A70" s="23">
        <v>45768</v>
      </c>
      <c r="B70">
        <v>238.73</v>
      </c>
    </row>
    <row r="71" spans="1:2" x14ac:dyDescent="0.25">
      <c r="A71" s="23">
        <v>45775</v>
      </c>
      <c r="B71">
        <v>246.37199999999999</v>
      </c>
    </row>
    <row r="72" spans="1:2" x14ac:dyDescent="0.25">
      <c r="A72" s="23">
        <v>45782</v>
      </c>
      <c r="B72">
        <v>251.55</v>
      </c>
    </row>
    <row r="73" spans="1:2" x14ac:dyDescent="0.25">
      <c r="A73" s="23">
        <v>45789</v>
      </c>
      <c r="B73">
        <v>264.75</v>
      </c>
    </row>
    <row r="74" spans="1:2" x14ac:dyDescent="0.25">
      <c r="A74" s="23">
        <v>45796</v>
      </c>
      <c r="B74">
        <v>262.596</v>
      </c>
    </row>
    <row r="75" spans="1:2" x14ac:dyDescent="0.25">
      <c r="A75" s="23">
        <v>45803</v>
      </c>
      <c r="B75">
        <v>264.28750000000002</v>
      </c>
    </row>
    <row r="76" spans="1:2" x14ac:dyDescent="0.25">
      <c r="A76" s="23">
        <v>45810</v>
      </c>
      <c r="B76">
        <v>264.56600000000003</v>
      </c>
    </row>
    <row r="77" spans="1:2" x14ac:dyDescent="0.25">
      <c r="A77" s="23">
        <v>45817</v>
      </c>
      <c r="B77">
        <v>267.33600000000001</v>
      </c>
    </row>
    <row r="78" spans="1:2" x14ac:dyDescent="0.25">
      <c r="A78" s="23">
        <v>45824</v>
      </c>
      <c r="B78">
        <v>272.20999999999998</v>
      </c>
    </row>
    <row r="79" spans="1:2" x14ac:dyDescent="0.25">
      <c r="A79" s="23">
        <v>45831</v>
      </c>
      <c r="B79">
        <v>283.89</v>
      </c>
    </row>
    <row r="80" spans="1:2" x14ac:dyDescent="0.25">
      <c r="A80" s="23">
        <v>45838</v>
      </c>
      <c r="B80">
        <v>292.08000000000004</v>
      </c>
    </row>
    <row r="81" spans="1:2" x14ac:dyDescent="0.25">
      <c r="A81" s="23">
        <v>45845</v>
      </c>
      <c r="B81">
        <v>286.59199999999998</v>
      </c>
    </row>
    <row r="82" spans="1:2" x14ac:dyDescent="0.25">
      <c r="A82" s="23">
        <v>45852</v>
      </c>
      <c r="B82">
        <v>288.44799999999998</v>
      </c>
    </row>
    <row r="83" spans="1:2" x14ac:dyDescent="0.25">
      <c r="A83" s="23">
        <v>45859</v>
      </c>
      <c r="B83">
        <v>294.86599999999999</v>
      </c>
    </row>
    <row r="84" spans="1:2" x14ac:dyDescent="0.25">
      <c r="A84" s="23">
        <v>45866</v>
      </c>
      <c r="B84">
        <v>296.11200000000002</v>
      </c>
    </row>
    <row r="85" spans="1:2" x14ac:dyDescent="0.25">
      <c r="A85" s="23">
        <v>45873</v>
      </c>
      <c r="B85">
        <v>290.536</v>
      </c>
    </row>
    <row r="86" spans="1:2" x14ac:dyDescent="0.25">
      <c r="A86" s="23">
        <v>45880</v>
      </c>
      <c r="B86">
        <v>291.51800000000003</v>
      </c>
    </row>
    <row r="87" spans="1:2" x14ac:dyDescent="0.25">
      <c r="A87" s="23">
        <v>45887</v>
      </c>
      <c r="B87">
        <v>292.428</v>
      </c>
    </row>
    <row r="88" spans="1:2" x14ac:dyDescent="0.25">
      <c r="A88" s="23">
        <v>45894</v>
      </c>
      <c r="B88">
        <v>299.048</v>
      </c>
    </row>
    <row r="89" spans="1:2" x14ac:dyDescent="0.25">
      <c r="A89" s="23">
        <v>45901</v>
      </c>
      <c r="B89">
        <v>299.35249999999996</v>
      </c>
    </row>
    <row r="90" spans="1:2" x14ac:dyDescent="0.25">
      <c r="A90" s="23">
        <v>45908</v>
      </c>
      <c r="B90">
        <v>300.75400000000002</v>
      </c>
    </row>
    <row r="91" spans="1:2" x14ac:dyDescent="0.25">
      <c r="A91" s="23">
        <v>45915</v>
      </c>
      <c r="B91">
        <v>311.57</v>
      </c>
    </row>
    <row r="92" spans="1:2" x14ac:dyDescent="0.25">
      <c r="A92" s="23">
        <v>45922</v>
      </c>
      <c r="B92">
        <v>313.62200000000001</v>
      </c>
    </row>
    <row r="93" spans="1:2" x14ac:dyDescent="0.25">
      <c r="A93" s="23">
        <v>45929</v>
      </c>
      <c r="B93">
        <v>311.88200000000001</v>
      </c>
    </row>
    <row r="94" spans="1:2" x14ac:dyDescent="0.25">
      <c r="A94" s="23">
        <v>45936</v>
      </c>
      <c r="B94">
        <v>305.464</v>
      </c>
    </row>
    <row r="95" spans="1:2" x14ac:dyDescent="0.25">
      <c r="A95" s="23">
        <v>45943</v>
      </c>
      <c r="B95">
        <v>302.36799999999999</v>
      </c>
    </row>
    <row r="96" spans="1:2" x14ac:dyDescent="0.25">
      <c r="A96" s="23">
        <v>45950</v>
      </c>
      <c r="B96">
        <v>297.70800000000003</v>
      </c>
    </row>
    <row r="97" spans="1:7" x14ac:dyDescent="0.25">
      <c r="A97" s="23">
        <v>45957</v>
      </c>
      <c r="B97">
        <v>307.11599999999999</v>
      </c>
    </row>
    <row r="98" spans="1:7" x14ac:dyDescent="0.25">
      <c r="A98" s="23">
        <v>45964</v>
      </c>
      <c r="B98">
        <v>311.58199999999999</v>
      </c>
    </row>
    <row r="99" spans="1:7" x14ac:dyDescent="0.25">
      <c r="A99" s="23">
        <v>45971</v>
      </c>
      <c r="B99">
        <v>313.202</v>
      </c>
    </row>
    <row r="100" spans="1:7" x14ac:dyDescent="0.25">
      <c r="A100" s="23">
        <v>45978</v>
      </c>
      <c r="B100">
        <v>299.89</v>
      </c>
    </row>
    <row r="101" spans="1:7" x14ac:dyDescent="0.25">
      <c r="A101" s="23">
        <v>45985</v>
      </c>
      <c r="B101">
        <v>305.43</v>
      </c>
    </row>
    <row r="102" spans="1:7" x14ac:dyDescent="0.25">
      <c r="A102" s="23">
        <v>45992</v>
      </c>
      <c r="B102">
        <v>312.01400000000001</v>
      </c>
    </row>
    <row r="103" spans="1:7" x14ac:dyDescent="0.25">
      <c r="A103" s="23">
        <v>45999</v>
      </c>
      <c r="B103">
        <v>312.346</v>
      </c>
    </row>
    <row r="104" spans="1:7" x14ac:dyDescent="0.25">
      <c r="A104" s="23">
        <v>46006</v>
      </c>
      <c r="B104">
        <v>316.15199999999999</v>
      </c>
    </row>
    <row r="105" spans="1:7" x14ac:dyDescent="0.25">
      <c r="A105" s="23">
        <v>46013</v>
      </c>
      <c r="B105">
        <v>326.52499999999998</v>
      </c>
    </row>
    <row r="106" spans="1:7" x14ac:dyDescent="0.25">
      <c r="A106" s="23">
        <v>46020</v>
      </c>
      <c r="B106">
        <v>323.71750000000003</v>
      </c>
    </row>
    <row r="107" spans="1:7" x14ac:dyDescent="0.25">
      <c r="A107" s="23">
        <v>46027</v>
      </c>
      <c r="B107">
        <v>330.92400000000004</v>
      </c>
    </row>
    <row r="108" spans="1:7" x14ac:dyDescent="0.25">
      <c r="A108" s="23">
        <v>46034</v>
      </c>
      <c r="B108">
        <v>312.99799999999999</v>
      </c>
    </row>
    <row r="109" spans="1:7" x14ac:dyDescent="0.25">
      <c r="A109" s="23">
        <v>46041</v>
      </c>
      <c r="B109">
        <v>301.53250000000003</v>
      </c>
    </row>
    <row r="110" spans="1:7" x14ac:dyDescent="0.25">
      <c r="A110" s="23">
        <v>46048</v>
      </c>
      <c r="B110">
        <v>302.88600000000002</v>
      </c>
    </row>
    <row r="111" spans="1:7" x14ac:dyDescent="0.25">
      <c r="A111" s="23">
        <v>46055</v>
      </c>
      <c r="B111">
        <v>313.42</v>
      </c>
      <c r="C111">
        <f>_xlfn.FORECAST.ETS(Forecast[[#This Row],[Week]],B2:B110,A2:A110,1,1,1)</f>
        <v>302.50001525154153</v>
      </c>
      <c r="D111">
        <v>309.94538037737499</v>
      </c>
      <c r="E111">
        <f>_xlfn.FORECAST.ETS.CONFINT(Forecast[[#This Row],[Week]],B2:B110,A2:A110,0.95,1,1,1)</f>
        <v>12.812122138188176</v>
      </c>
      <c r="F111">
        <f>Forecast[[#This Row],[XL Forecast]]-Forecast[[#This Row],[CI/PI]]</f>
        <v>289.68789311335337</v>
      </c>
      <c r="G111">
        <f>Forecast[[#This Row],[XL Forecast]]+Forecast[[#This Row],[CI/PI]]</f>
        <v>315.31213738972968</v>
      </c>
    </row>
    <row r="112" spans="1:7" x14ac:dyDescent="0.25">
      <c r="A112" s="23">
        <v>46062</v>
      </c>
      <c r="C112">
        <f>_xlfn.FORECAST.ETS(Forecast[[#This Row],[Week]],B3:B111,A3:A111,1,1,1)</f>
        <v>312.31346462843186</v>
      </c>
      <c r="D112">
        <v>305.41518568640902</v>
      </c>
      <c r="E112">
        <f>_xlfn.FORECAST.ETS.CONFINT(Forecast[[#This Row],[Week]],B3:B111,A3:A111,0.95,1,1,1)</f>
        <v>13.135637177661316</v>
      </c>
      <c r="F112">
        <f>Forecast[[#This Row],[XL Forecast]]-Forecast[[#This Row],[CI/PI]]</f>
        <v>299.17782745077056</v>
      </c>
      <c r="G112">
        <f>Forecast[[#This Row],[XL Forecast]]+Forecast[[#This Row],[CI/PI]]</f>
        <v>325.44910180609315</v>
      </c>
    </row>
    <row r="113" spans="1:7" x14ac:dyDescent="0.25">
      <c r="A113" s="23">
        <v>46069</v>
      </c>
      <c r="C113">
        <f>_xlfn.FORECAST.ETS(Forecast[[#This Row],[Week]],B4:B112,A4:A112,1,1,1)</f>
        <v>309.89487529477998</v>
      </c>
      <c r="D113">
        <v>306.99768268754201</v>
      </c>
      <c r="E113">
        <f>_xlfn.FORECAST.ETS.CONFINT(Forecast[[#This Row],[Week]],B4:B112,A4:A112,0.95,1,1,1)</f>
        <v>16.501153182095695</v>
      </c>
      <c r="F113">
        <f>Forecast[[#This Row],[XL Forecast]]-Forecast[[#This Row],[CI/PI]]</f>
        <v>293.39372211268426</v>
      </c>
      <c r="G113">
        <f>Forecast[[#This Row],[XL Forecast]]+Forecast[[#This Row],[CI/PI]]</f>
        <v>326.3960284768757</v>
      </c>
    </row>
    <row r="114" spans="1:7" x14ac:dyDescent="0.25">
      <c r="A114" s="23">
        <v>46076</v>
      </c>
      <c r="C114">
        <f>_xlfn.FORECAST.ETS(Forecast[[#This Row],[Week]],B5:B113,A5:A113,1,1,1)</f>
        <v>319.15766268122877</v>
      </c>
      <c r="D114">
        <v>307.21357313097002</v>
      </c>
      <c r="E114">
        <f>_xlfn.FORECAST.ETS.CONFINT(Forecast[[#This Row],[Week]],B5:B113,A5:A113,0.95,1,1,1)</f>
        <v>18.1317785000303</v>
      </c>
      <c r="F114">
        <f>Forecast[[#This Row],[XL Forecast]]-Forecast[[#This Row],[CI/PI]]</f>
        <v>301.02588418119848</v>
      </c>
      <c r="G114">
        <f>Forecast[[#This Row],[XL Forecast]]+Forecast[[#This Row],[CI/PI]]</f>
        <v>337.28944118125906</v>
      </c>
    </row>
    <row r="115" spans="1:7" x14ac:dyDescent="0.25">
      <c r="A115" s="23">
        <v>46083</v>
      </c>
      <c r="C115">
        <f>_xlfn.FORECAST.ETS(Forecast[[#This Row],[Week]],B6:B114,A6:A114,1,1,1)</f>
        <v>325.37188248945682</v>
      </c>
      <c r="D115">
        <v>303.05160556016199</v>
      </c>
      <c r="E115">
        <f>_xlfn.FORECAST.ETS.CONFINT(Forecast[[#This Row],[Week]],B6:B114,A6:A114,0.95,1,1,1)</f>
        <v>20.847941988765207</v>
      </c>
      <c r="F115">
        <f>Forecast[[#This Row],[XL Forecast]]-Forecast[[#This Row],[CI/PI]]</f>
        <v>304.52394050069159</v>
      </c>
      <c r="G115">
        <f>Forecast[[#This Row],[XL Forecast]]+Forecast[[#This Row],[CI/PI]]</f>
        <v>346.21982447822205</v>
      </c>
    </row>
    <row r="116" spans="1:7" x14ac:dyDescent="0.25">
      <c r="A116" s="23">
        <v>46090</v>
      </c>
      <c r="C116">
        <f>_xlfn.FORECAST.ETS(Forecast[[#This Row],[Week]],B7:B115,A7:A115,1,1,1)</f>
        <v>336.39070712130842</v>
      </c>
      <c r="D116">
        <v>304.89567881271103</v>
      </c>
      <c r="E116">
        <f>_xlfn.FORECAST.ETS.CONFINT(Forecast[[#This Row],[Week]],B7:B115,A7:A115,0.95,1,1,1)</f>
        <v>17.894855241817837</v>
      </c>
      <c r="F116">
        <f>Forecast[[#This Row],[XL Forecast]]-Forecast[[#This Row],[CI/PI]]</f>
        <v>318.4958518794906</v>
      </c>
      <c r="G116">
        <f>Forecast[[#This Row],[XL Forecast]]+Forecast[[#This Row],[CI/PI]]</f>
        <v>354.28556236312625</v>
      </c>
    </row>
    <row r="117" spans="1:7" x14ac:dyDescent="0.25">
      <c r="A117" s="23">
        <v>46097</v>
      </c>
      <c r="C117">
        <f>_xlfn.FORECAST.ETS(Forecast[[#This Row],[Week]],B8:B116,A8:A116,1,1,1)</f>
        <v>341.49042526138277</v>
      </c>
      <c r="D117">
        <v>307.135848286986</v>
      </c>
      <c r="E117">
        <f>_xlfn.FORECAST.ETS.CONFINT(Forecast[[#This Row],[Week]],B8:B116,A8:A116,0.95,1,1,1)</f>
        <v>28.700673755592959</v>
      </c>
      <c r="F117">
        <f>Forecast[[#This Row],[XL Forecast]]-Forecast[[#This Row],[CI/PI]]</f>
        <v>312.78975150578981</v>
      </c>
      <c r="G117">
        <f>Forecast[[#This Row],[XL Forecast]]+Forecast[[#This Row],[CI/PI]]</f>
        <v>370.19109901697573</v>
      </c>
    </row>
    <row r="118" spans="1:7" x14ac:dyDescent="0.25">
      <c r="A118" s="23">
        <v>46104</v>
      </c>
      <c r="C118">
        <f>_xlfn.FORECAST.ETS(Forecast[[#This Row],[Week]],B9:B117,A9:A117,1,1,1)</f>
        <v>340.04438620023973</v>
      </c>
      <c r="D118">
        <v>315.06425698562401</v>
      </c>
      <c r="E118">
        <f>_xlfn.FORECAST.ETS.CONFINT(Forecast[[#This Row],[Week]],B9:B117,A9:A117,0.95,1,1,1)</f>
        <v>24.549786718581529</v>
      </c>
      <c r="F118">
        <f>Forecast[[#This Row],[XL Forecast]]-Forecast[[#This Row],[CI/PI]]</f>
        <v>315.49459948165821</v>
      </c>
      <c r="G118">
        <f>Forecast[[#This Row],[XL Forecast]]+Forecast[[#This Row],[CI/PI]]</f>
        <v>364.59417291882124</v>
      </c>
    </row>
    <row r="119" spans="1:7" x14ac:dyDescent="0.25">
      <c r="A119" s="23">
        <v>46111</v>
      </c>
      <c r="C119">
        <f>_xlfn.FORECAST.ETS(Forecast[[#This Row],[Week]],B10:B118,A10:A118,1,1,1)</f>
        <v>331.68725074782708</v>
      </c>
      <c r="D119">
        <v>314.29336766854902</v>
      </c>
      <c r="E119">
        <f>_xlfn.FORECAST.ETS.CONFINT(Forecast[[#This Row],[Week]],B10:B118,A10:A118,0.95,1,1,1)</f>
        <v>31.193638489209008</v>
      </c>
      <c r="F119">
        <f>Forecast[[#This Row],[XL Forecast]]-Forecast[[#This Row],[CI/PI]]</f>
        <v>300.4936122586181</v>
      </c>
      <c r="G119">
        <f>Forecast[[#This Row],[XL Forecast]]+Forecast[[#This Row],[CI/PI]]</f>
        <v>362.88088923703606</v>
      </c>
    </row>
    <row r="120" spans="1:7" x14ac:dyDescent="0.25">
      <c r="A120" s="23">
        <v>46118</v>
      </c>
      <c r="C120">
        <f>_xlfn.FORECAST.ETS(Forecast[[#This Row],[Week]],B11:B119,A11:A119,1,1,1)</f>
        <v>333.00460971770406</v>
      </c>
      <c r="D120">
        <v>319.61081870599202</v>
      </c>
      <c r="E120">
        <f>_xlfn.FORECAST.ETS.CONFINT(Forecast[[#This Row],[Week]],B11:B119,A11:A119,0.95,1,1,1)</f>
        <v>28.616468745367268</v>
      </c>
      <c r="F120">
        <f>Forecast[[#This Row],[XL Forecast]]-Forecast[[#This Row],[CI/PI]]</f>
        <v>304.38814097233677</v>
      </c>
      <c r="G120">
        <f>Forecast[[#This Row],[XL Forecast]]+Forecast[[#This Row],[CI/PI]]</f>
        <v>361.62107846307134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DFBF-692F-4782-B796-FD8BE54A073B}">
  <dimension ref="A1:B526"/>
  <sheetViews>
    <sheetView workbookViewId="0">
      <selection activeCell="C1" sqref="C1:C1048576"/>
    </sheetView>
  </sheetViews>
  <sheetFormatPr defaultRowHeight="15" x14ac:dyDescent="0.25"/>
  <cols>
    <col min="1" max="1" width="10.42578125" style="20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172.08</v>
      </c>
    </row>
    <row r="3" spans="1:2" x14ac:dyDescent="0.25">
      <c r="A3" s="20">
        <v>45292</v>
      </c>
      <c r="B3" vm="5">
        <v>171.33</v>
      </c>
    </row>
    <row r="4" spans="1:2" x14ac:dyDescent="0.25">
      <c r="A4" s="20">
        <v>45292</v>
      </c>
      <c r="B4" vm="8">
        <v>171.41</v>
      </c>
    </row>
    <row r="5" spans="1:2" x14ac:dyDescent="0.25">
      <c r="A5" s="20">
        <v>45292</v>
      </c>
      <c r="B5" vm="11">
        <v>172.27</v>
      </c>
    </row>
    <row r="6" spans="1:2" x14ac:dyDescent="0.25">
      <c r="A6" s="20">
        <v>45299</v>
      </c>
      <c r="B6" vm="14">
        <v>172.02</v>
      </c>
    </row>
    <row r="7" spans="1:2" x14ac:dyDescent="0.25">
      <c r="A7" s="20">
        <v>45299</v>
      </c>
      <c r="B7" vm="17">
        <v>170.66</v>
      </c>
    </row>
    <row r="8" spans="1:2" x14ac:dyDescent="0.25">
      <c r="A8" s="20">
        <v>45299</v>
      </c>
      <c r="B8" vm="20">
        <v>171.02</v>
      </c>
    </row>
    <row r="9" spans="1:2" x14ac:dyDescent="0.25">
      <c r="A9" s="20">
        <v>45299</v>
      </c>
      <c r="B9" vm="23">
        <v>170.3</v>
      </c>
    </row>
    <row r="10" spans="1:2" x14ac:dyDescent="0.25">
      <c r="A10" s="20">
        <v>45299</v>
      </c>
      <c r="B10" vm="26">
        <v>169.05</v>
      </c>
    </row>
    <row r="11" spans="1:2" x14ac:dyDescent="0.25">
      <c r="A11" s="20">
        <v>45306</v>
      </c>
      <c r="B11" vm="29">
        <v>167.99</v>
      </c>
    </row>
    <row r="12" spans="1:2" x14ac:dyDescent="0.25">
      <c r="A12" s="20">
        <v>45306</v>
      </c>
      <c r="B12" vm="32">
        <v>167.09</v>
      </c>
    </row>
    <row r="13" spans="1:2" x14ac:dyDescent="0.25">
      <c r="A13" s="20">
        <v>45306</v>
      </c>
      <c r="B13" vm="35">
        <v>167.42</v>
      </c>
    </row>
    <row r="14" spans="1:2" x14ac:dyDescent="0.25">
      <c r="A14" s="20">
        <v>45306</v>
      </c>
      <c r="B14" vm="38">
        <v>170.31</v>
      </c>
    </row>
    <row r="15" spans="1:2" x14ac:dyDescent="0.25">
      <c r="A15" s="20">
        <v>45313</v>
      </c>
      <c r="B15" vm="41">
        <v>170.11</v>
      </c>
    </row>
    <row r="16" spans="1:2" x14ac:dyDescent="0.25">
      <c r="A16" s="20">
        <v>45313</v>
      </c>
      <c r="B16" vm="44">
        <v>168.99</v>
      </c>
    </row>
    <row r="17" spans="1:2" x14ac:dyDescent="0.25">
      <c r="A17" s="20">
        <v>45313</v>
      </c>
      <c r="B17" vm="47">
        <v>170.5</v>
      </c>
    </row>
    <row r="18" spans="1:2" x14ac:dyDescent="0.25">
      <c r="A18" s="20">
        <v>45313</v>
      </c>
      <c r="B18" vm="50">
        <v>172.94</v>
      </c>
    </row>
    <row r="19" spans="1:2" x14ac:dyDescent="0.25">
      <c r="A19" s="20">
        <v>45313</v>
      </c>
      <c r="B19" vm="53">
        <v>172.28</v>
      </c>
    </row>
    <row r="20" spans="1:2" x14ac:dyDescent="0.25">
      <c r="A20" s="20">
        <v>45320</v>
      </c>
      <c r="B20" vm="56">
        <v>172.73</v>
      </c>
    </row>
    <row r="21" spans="1:2" x14ac:dyDescent="0.25">
      <c r="A21" s="20">
        <v>45320</v>
      </c>
      <c r="B21" vm="59">
        <v>176.27</v>
      </c>
    </row>
    <row r="22" spans="1:2" x14ac:dyDescent="0.25">
      <c r="A22" s="20">
        <v>45320</v>
      </c>
      <c r="B22" vm="62">
        <v>174.36</v>
      </c>
    </row>
    <row r="23" spans="1:2" x14ac:dyDescent="0.25">
      <c r="A23" s="20">
        <v>45320</v>
      </c>
      <c r="B23" vm="65">
        <v>173.73</v>
      </c>
    </row>
    <row r="24" spans="1:2" x14ac:dyDescent="0.25">
      <c r="A24" s="20">
        <v>45320</v>
      </c>
      <c r="B24" vm="68">
        <v>174.73</v>
      </c>
    </row>
    <row r="25" spans="1:2" x14ac:dyDescent="0.25">
      <c r="A25" s="20">
        <v>45327</v>
      </c>
      <c r="B25" vm="71">
        <v>174.5</v>
      </c>
    </row>
    <row r="26" spans="1:2" x14ac:dyDescent="0.25">
      <c r="A26" s="20">
        <v>45327</v>
      </c>
      <c r="B26" vm="74">
        <v>175.1</v>
      </c>
    </row>
    <row r="27" spans="1:2" x14ac:dyDescent="0.25">
      <c r="A27" s="20">
        <v>45327</v>
      </c>
      <c r="B27" vm="77">
        <v>175.43</v>
      </c>
    </row>
    <row r="28" spans="1:2" x14ac:dyDescent="0.25">
      <c r="A28" s="20">
        <v>45327</v>
      </c>
      <c r="B28" vm="80">
        <v>174.8</v>
      </c>
    </row>
    <row r="29" spans="1:2" x14ac:dyDescent="0.25">
      <c r="A29" s="20">
        <v>45327</v>
      </c>
      <c r="B29" vm="83">
        <v>175.01</v>
      </c>
    </row>
    <row r="30" spans="1:2" x14ac:dyDescent="0.25">
      <c r="A30" s="20">
        <v>45334</v>
      </c>
      <c r="B30" vm="86">
        <v>175.79</v>
      </c>
    </row>
    <row r="31" spans="1:2" x14ac:dyDescent="0.25">
      <c r="A31" s="20">
        <v>45334</v>
      </c>
      <c r="B31" vm="89">
        <v>174.26</v>
      </c>
    </row>
    <row r="32" spans="1:2" x14ac:dyDescent="0.25">
      <c r="A32" s="20">
        <v>45334</v>
      </c>
      <c r="B32" vm="92">
        <v>176.03</v>
      </c>
    </row>
    <row r="33" spans="1:2" x14ac:dyDescent="0.25">
      <c r="A33" s="20">
        <v>45334</v>
      </c>
      <c r="B33" vm="95">
        <v>179.87</v>
      </c>
    </row>
    <row r="34" spans="1:2" x14ac:dyDescent="0.25">
      <c r="A34" s="20">
        <v>45334</v>
      </c>
      <c r="B34" vm="98">
        <v>179.03</v>
      </c>
    </row>
    <row r="35" spans="1:2" x14ac:dyDescent="0.25">
      <c r="A35" s="20">
        <v>45341</v>
      </c>
      <c r="B35" vm="101">
        <v>179.73</v>
      </c>
    </row>
    <row r="36" spans="1:2" x14ac:dyDescent="0.25">
      <c r="A36" s="20">
        <v>45341</v>
      </c>
      <c r="B36" vm="104">
        <v>180.9</v>
      </c>
    </row>
    <row r="37" spans="1:2" x14ac:dyDescent="0.25">
      <c r="A37" s="20">
        <v>45341</v>
      </c>
      <c r="B37" vm="107">
        <v>183.07</v>
      </c>
    </row>
    <row r="38" spans="1:2" x14ac:dyDescent="0.25">
      <c r="A38" s="20">
        <v>45341</v>
      </c>
      <c r="B38" vm="110">
        <v>183.99</v>
      </c>
    </row>
    <row r="39" spans="1:2" x14ac:dyDescent="0.25">
      <c r="A39" s="20">
        <v>45348</v>
      </c>
      <c r="B39" vm="113">
        <v>183.36</v>
      </c>
    </row>
    <row r="40" spans="1:2" x14ac:dyDescent="0.25">
      <c r="A40" s="20">
        <v>45348</v>
      </c>
      <c r="B40" vm="116">
        <v>183.45</v>
      </c>
    </row>
    <row r="41" spans="1:2" x14ac:dyDescent="0.25">
      <c r="A41" s="20">
        <v>45348</v>
      </c>
      <c r="B41" vm="119">
        <v>184.38</v>
      </c>
    </row>
    <row r="42" spans="1:2" x14ac:dyDescent="0.25">
      <c r="A42" s="20">
        <v>45348</v>
      </c>
      <c r="B42" vm="122">
        <v>186.06</v>
      </c>
    </row>
    <row r="43" spans="1:2" x14ac:dyDescent="0.25">
      <c r="A43" s="20">
        <v>45348</v>
      </c>
      <c r="B43" vm="125">
        <v>185.29</v>
      </c>
    </row>
    <row r="44" spans="1:2" x14ac:dyDescent="0.25">
      <c r="A44" s="20">
        <v>45355</v>
      </c>
      <c r="B44" vm="128">
        <v>186.68</v>
      </c>
    </row>
    <row r="45" spans="1:2" x14ac:dyDescent="0.25">
      <c r="A45" s="20">
        <v>45355</v>
      </c>
      <c r="B45" vm="131">
        <v>188.55</v>
      </c>
    </row>
    <row r="46" spans="1:2" x14ac:dyDescent="0.25">
      <c r="A46" s="20">
        <v>45355</v>
      </c>
      <c r="B46" vm="134">
        <v>189.53</v>
      </c>
    </row>
    <row r="47" spans="1:2" x14ac:dyDescent="0.25">
      <c r="A47" s="20">
        <v>45355</v>
      </c>
      <c r="B47" vm="137">
        <v>187.87</v>
      </c>
    </row>
    <row r="48" spans="1:2" x14ac:dyDescent="0.25">
      <c r="A48" s="20">
        <v>45355</v>
      </c>
      <c r="B48" vm="140">
        <v>188.22</v>
      </c>
    </row>
    <row r="49" spans="1:2" x14ac:dyDescent="0.25">
      <c r="A49" s="20">
        <v>45362</v>
      </c>
      <c r="B49" vm="143">
        <v>188.29</v>
      </c>
    </row>
    <row r="50" spans="1:2" x14ac:dyDescent="0.25">
      <c r="A50" s="20">
        <v>45362</v>
      </c>
      <c r="B50" vm="146">
        <v>189.84</v>
      </c>
    </row>
    <row r="51" spans="1:2" x14ac:dyDescent="0.25">
      <c r="A51" s="20">
        <v>45362</v>
      </c>
      <c r="B51" vm="149">
        <v>191.38</v>
      </c>
    </row>
    <row r="52" spans="1:2" x14ac:dyDescent="0.25">
      <c r="A52" s="20">
        <v>45362</v>
      </c>
      <c r="B52" vm="152">
        <v>187.97</v>
      </c>
    </row>
    <row r="53" spans="1:2" x14ac:dyDescent="0.25">
      <c r="A53" s="20">
        <v>45362</v>
      </c>
      <c r="B53" vm="155">
        <v>190.3</v>
      </c>
    </row>
    <row r="54" spans="1:2" x14ac:dyDescent="0.25">
      <c r="A54" s="20">
        <v>45369</v>
      </c>
      <c r="B54" vm="158">
        <v>192.66</v>
      </c>
    </row>
    <row r="55" spans="1:2" x14ac:dyDescent="0.25">
      <c r="A55" s="20">
        <v>45369</v>
      </c>
      <c r="B55" vm="161">
        <v>193.79</v>
      </c>
    </row>
    <row r="56" spans="1:2" x14ac:dyDescent="0.25">
      <c r="A56" s="20">
        <v>45369</v>
      </c>
      <c r="B56" vm="164">
        <v>196.33</v>
      </c>
    </row>
    <row r="57" spans="1:2" x14ac:dyDescent="0.25">
      <c r="A57" s="20">
        <v>45369</v>
      </c>
      <c r="B57" vm="167">
        <v>199.06</v>
      </c>
    </row>
    <row r="58" spans="1:2" x14ac:dyDescent="0.25">
      <c r="A58" s="20">
        <v>45369</v>
      </c>
      <c r="B58" vm="170">
        <v>196.62</v>
      </c>
    </row>
    <row r="59" spans="1:2" x14ac:dyDescent="0.25">
      <c r="A59" s="20">
        <v>45376</v>
      </c>
      <c r="B59" vm="173">
        <v>194.82</v>
      </c>
    </row>
    <row r="60" spans="1:2" x14ac:dyDescent="0.25">
      <c r="A60" s="20">
        <v>45376</v>
      </c>
      <c r="B60" vm="176">
        <v>195.73</v>
      </c>
    </row>
    <row r="61" spans="1:2" x14ac:dyDescent="0.25">
      <c r="A61" s="20">
        <v>45376</v>
      </c>
      <c r="B61" vm="179">
        <v>199.52</v>
      </c>
    </row>
    <row r="62" spans="1:2" x14ac:dyDescent="0.25">
      <c r="A62" s="20">
        <v>45376</v>
      </c>
      <c r="B62" vm="182">
        <v>200.3</v>
      </c>
    </row>
    <row r="63" spans="1:2" x14ac:dyDescent="0.25">
      <c r="A63" s="20">
        <v>45383</v>
      </c>
      <c r="B63" vm="185">
        <v>198.94</v>
      </c>
    </row>
    <row r="64" spans="1:2" x14ac:dyDescent="0.25">
      <c r="A64" s="20">
        <v>45383</v>
      </c>
      <c r="B64" vm="188">
        <v>198.86</v>
      </c>
    </row>
    <row r="65" spans="1:2" x14ac:dyDescent="0.25">
      <c r="A65" s="20">
        <v>45383</v>
      </c>
      <c r="B65" vm="191">
        <v>198.3</v>
      </c>
    </row>
    <row r="66" spans="1:2" x14ac:dyDescent="0.25">
      <c r="A66" s="20">
        <v>45383</v>
      </c>
      <c r="B66" vm="194">
        <v>195.65</v>
      </c>
    </row>
    <row r="67" spans="1:2" x14ac:dyDescent="0.25">
      <c r="A67" s="20">
        <v>45383</v>
      </c>
      <c r="B67" vm="197">
        <v>197.45</v>
      </c>
    </row>
    <row r="68" spans="1:2" x14ac:dyDescent="0.25">
      <c r="A68" s="20">
        <v>45390</v>
      </c>
      <c r="B68" vm="200">
        <v>198.48</v>
      </c>
    </row>
    <row r="69" spans="1:2" x14ac:dyDescent="0.25">
      <c r="A69" s="20">
        <v>45390</v>
      </c>
      <c r="B69" vm="203">
        <v>197.15</v>
      </c>
    </row>
    <row r="70" spans="1:2" x14ac:dyDescent="0.25">
      <c r="A70" s="20">
        <v>45390</v>
      </c>
      <c r="B70" vm="206">
        <v>195.47</v>
      </c>
    </row>
    <row r="71" spans="1:2" x14ac:dyDescent="0.25">
      <c r="A71" s="20">
        <v>45390</v>
      </c>
      <c r="B71" vm="209">
        <v>195.43</v>
      </c>
    </row>
    <row r="72" spans="1:2" x14ac:dyDescent="0.25">
      <c r="A72" s="20">
        <v>45390</v>
      </c>
      <c r="B72" vm="212">
        <v>182.79</v>
      </c>
    </row>
    <row r="73" spans="1:2" x14ac:dyDescent="0.25">
      <c r="A73" s="20">
        <v>45397</v>
      </c>
      <c r="B73" vm="215">
        <v>182.89</v>
      </c>
    </row>
    <row r="74" spans="1:2" x14ac:dyDescent="0.25">
      <c r="A74" s="20">
        <v>45397</v>
      </c>
      <c r="B74" vm="218">
        <v>180.8</v>
      </c>
    </row>
    <row r="75" spans="1:2" x14ac:dyDescent="0.25">
      <c r="A75" s="20">
        <v>45397</v>
      </c>
      <c r="B75" vm="221">
        <v>180.08</v>
      </c>
    </row>
    <row r="76" spans="1:2" x14ac:dyDescent="0.25">
      <c r="A76" s="20">
        <v>45397</v>
      </c>
      <c r="B76" vm="224">
        <v>181.25</v>
      </c>
    </row>
    <row r="77" spans="1:2" x14ac:dyDescent="0.25">
      <c r="A77" s="20">
        <v>45397</v>
      </c>
      <c r="B77" vm="227">
        <v>185.8</v>
      </c>
    </row>
    <row r="78" spans="1:2" x14ac:dyDescent="0.25">
      <c r="A78" s="20">
        <v>45404</v>
      </c>
      <c r="B78" vm="230">
        <v>189.41</v>
      </c>
    </row>
    <row r="79" spans="1:2" x14ac:dyDescent="0.25">
      <c r="A79" s="20">
        <v>45404</v>
      </c>
      <c r="B79" vm="233">
        <v>192.14</v>
      </c>
    </row>
    <row r="80" spans="1:2" x14ac:dyDescent="0.25">
      <c r="A80" s="20">
        <v>45404</v>
      </c>
      <c r="B80" vm="236">
        <v>193.08</v>
      </c>
    </row>
    <row r="81" spans="1:2" x14ac:dyDescent="0.25">
      <c r="A81" s="20">
        <v>45404</v>
      </c>
      <c r="B81" vm="239">
        <v>193.37</v>
      </c>
    </row>
    <row r="82" spans="1:2" x14ac:dyDescent="0.25">
      <c r="A82" s="20">
        <v>45404</v>
      </c>
      <c r="B82" vm="242">
        <v>193.49</v>
      </c>
    </row>
    <row r="83" spans="1:2" x14ac:dyDescent="0.25">
      <c r="A83" s="20">
        <v>45411</v>
      </c>
      <c r="B83" vm="245">
        <v>193.28</v>
      </c>
    </row>
    <row r="84" spans="1:2" x14ac:dyDescent="0.25">
      <c r="A84" s="20">
        <v>45411</v>
      </c>
      <c r="B84" vm="248">
        <v>191.74</v>
      </c>
    </row>
    <row r="85" spans="1:2" x14ac:dyDescent="0.25">
      <c r="A85" s="20">
        <v>45411</v>
      </c>
      <c r="B85" vm="251">
        <v>191.86</v>
      </c>
    </row>
    <row r="86" spans="1:2" x14ac:dyDescent="0.25">
      <c r="A86" s="20">
        <v>45411</v>
      </c>
      <c r="B86" vm="254">
        <v>191.66</v>
      </c>
    </row>
    <row r="87" spans="1:2" x14ac:dyDescent="0.25">
      <c r="A87" s="20">
        <v>45411</v>
      </c>
      <c r="B87" vm="257">
        <v>190.51</v>
      </c>
    </row>
    <row r="88" spans="1:2" x14ac:dyDescent="0.25">
      <c r="A88" s="20">
        <v>45418</v>
      </c>
      <c r="B88" vm="260">
        <v>192</v>
      </c>
    </row>
    <row r="89" spans="1:2" x14ac:dyDescent="0.25">
      <c r="A89" s="20">
        <v>45418</v>
      </c>
      <c r="B89" vm="263">
        <v>191.75</v>
      </c>
    </row>
    <row r="90" spans="1:2" x14ac:dyDescent="0.25">
      <c r="A90" s="20">
        <v>45418</v>
      </c>
      <c r="B90" vm="194">
        <v>195.65</v>
      </c>
    </row>
    <row r="91" spans="1:2" x14ac:dyDescent="0.25">
      <c r="A91" s="20">
        <v>45418</v>
      </c>
      <c r="B91" vm="268">
        <v>197.5</v>
      </c>
    </row>
    <row r="92" spans="1:2" x14ac:dyDescent="0.25">
      <c r="A92" s="20">
        <v>45418</v>
      </c>
      <c r="B92" vm="271">
        <v>198.77</v>
      </c>
    </row>
    <row r="93" spans="1:2" x14ac:dyDescent="0.25">
      <c r="A93" s="20">
        <v>45425</v>
      </c>
      <c r="B93" vm="274">
        <v>198.73</v>
      </c>
    </row>
    <row r="94" spans="1:2" x14ac:dyDescent="0.25">
      <c r="A94" s="20">
        <v>45425</v>
      </c>
      <c r="B94" vm="277">
        <v>201.51</v>
      </c>
    </row>
    <row r="95" spans="1:2" x14ac:dyDescent="0.25">
      <c r="A95" s="20">
        <v>45425</v>
      </c>
      <c r="B95" vm="280">
        <v>202.11</v>
      </c>
    </row>
    <row r="96" spans="1:2" x14ac:dyDescent="0.25">
      <c r="A96" s="20">
        <v>45425</v>
      </c>
      <c r="B96" vm="283">
        <v>202.47</v>
      </c>
    </row>
    <row r="97" spans="1:2" x14ac:dyDescent="0.25">
      <c r="A97" s="20">
        <v>45425</v>
      </c>
      <c r="B97" vm="286">
        <v>204.79</v>
      </c>
    </row>
    <row r="98" spans="1:2" x14ac:dyDescent="0.25">
      <c r="A98" s="20">
        <v>45432</v>
      </c>
      <c r="B98" vm="289">
        <v>195.58</v>
      </c>
    </row>
    <row r="99" spans="1:2" x14ac:dyDescent="0.25">
      <c r="A99" s="20">
        <v>45432</v>
      </c>
      <c r="B99" vm="179">
        <v>199.52</v>
      </c>
    </row>
    <row r="100" spans="1:2" x14ac:dyDescent="0.25">
      <c r="A100" s="20">
        <v>45432</v>
      </c>
      <c r="B100" vm="294">
        <v>198.31</v>
      </c>
    </row>
    <row r="101" spans="1:2" x14ac:dyDescent="0.25">
      <c r="A101" s="20">
        <v>45432</v>
      </c>
      <c r="B101" vm="297">
        <v>196.92</v>
      </c>
    </row>
    <row r="102" spans="1:2" x14ac:dyDescent="0.25">
      <c r="A102" s="20">
        <v>45432</v>
      </c>
      <c r="B102" vm="300">
        <v>200.71</v>
      </c>
    </row>
    <row r="103" spans="1:2" x14ac:dyDescent="0.25">
      <c r="A103" s="20">
        <v>45439</v>
      </c>
      <c r="B103" vm="303">
        <v>199.5</v>
      </c>
    </row>
    <row r="104" spans="1:2" x14ac:dyDescent="0.25">
      <c r="A104" s="20">
        <v>45439</v>
      </c>
      <c r="B104" vm="306">
        <v>198.11</v>
      </c>
    </row>
    <row r="105" spans="1:2" x14ac:dyDescent="0.25">
      <c r="A105" s="20">
        <v>45439</v>
      </c>
      <c r="B105" vm="309">
        <v>199.33</v>
      </c>
    </row>
    <row r="106" spans="1:2" x14ac:dyDescent="0.25">
      <c r="A106" s="20">
        <v>45439</v>
      </c>
      <c r="B106" vm="312">
        <v>202.63</v>
      </c>
    </row>
    <row r="107" spans="1:2" x14ac:dyDescent="0.25">
      <c r="A107" s="20">
        <v>45446</v>
      </c>
      <c r="B107" vm="315">
        <v>201.82</v>
      </c>
    </row>
    <row r="108" spans="1:2" x14ac:dyDescent="0.25">
      <c r="A108" s="20">
        <v>45446</v>
      </c>
      <c r="B108" vm="318">
        <v>199.16</v>
      </c>
    </row>
    <row r="109" spans="1:2" x14ac:dyDescent="0.25">
      <c r="A109" s="20">
        <v>45446</v>
      </c>
      <c r="B109" vm="321">
        <v>197.26</v>
      </c>
    </row>
    <row r="110" spans="1:2" x14ac:dyDescent="0.25">
      <c r="A110" s="20">
        <v>45446</v>
      </c>
      <c r="B110" vm="324">
        <v>196.91</v>
      </c>
    </row>
    <row r="111" spans="1:2" x14ac:dyDescent="0.25">
      <c r="A111" s="20">
        <v>45446</v>
      </c>
      <c r="B111" vm="327">
        <v>199.95</v>
      </c>
    </row>
    <row r="112" spans="1:2" x14ac:dyDescent="0.25">
      <c r="A112" s="20">
        <v>45453</v>
      </c>
      <c r="B112" vm="330">
        <v>199.61</v>
      </c>
    </row>
    <row r="113" spans="1:2" x14ac:dyDescent="0.25">
      <c r="A113" s="20">
        <v>45453</v>
      </c>
      <c r="B113" vm="333">
        <v>194.36</v>
      </c>
    </row>
    <row r="114" spans="1:2" x14ac:dyDescent="0.25">
      <c r="A114" s="20">
        <v>45453</v>
      </c>
      <c r="B114" vm="336">
        <v>191.53</v>
      </c>
    </row>
    <row r="115" spans="1:2" x14ac:dyDescent="0.25">
      <c r="A115" s="20">
        <v>45453</v>
      </c>
      <c r="B115" vm="339">
        <v>193.66</v>
      </c>
    </row>
    <row r="116" spans="1:2" x14ac:dyDescent="0.25">
      <c r="A116" s="20">
        <v>45453</v>
      </c>
      <c r="B116" vm="342">
        <v>193.78</v>
      </c>
    </row>
    <row r="117" spans="1:2" x14ac:dyDescent="0.25">
      <c r="A117" s="20">
        <v>45460</v>
      </c>
      <c r="B117" vm="345">
        <v>194.98</v>
      </c>
    </row>
    <row r="118" spans="1:2" x14ac:dyDescent="0.25">
      <c r="A118" s="20">
        <v>45460</v>
      </c>
      <c r="B118" vm="348">
        <v>197</v>
      </c>
    </row>
    <row r="119" spans="1:2" x14ac:dyDescent="0.25">
      <c r="A119" s="20">
        <v>45460</v>
      </c>
      <c r="B119" vm="351">
        <v>198.67</v>
      </c>
    </row>
    <row r="120" spans="1:2" x14ac:dyDescent="0.25">
      <c r="A120" s="20">
        <v>45460</v>
      </c>
      <c r="B120" vm="354">
        <v>196.3</v>
      </c>
    </row>
    <row r="121" spans="1:2" x14ac:dyDescent="0.25">
      <c r="A121" s="20">
        <v>45467</v>
      </c>
      <c r="B121" vm="357">
        <v>198.88</v>
      </c>
    </row>
    <row r="122" spans="1:2" x14ac:dyDescent="0.25">
      <c r="A122" s="20">
        <v>45467</v>
      </c>
      <c r="B122" vm="360">
        <v>198.07</v>
      </c>
    </row>
    <row r="123" spans="1:2" x14ac:dyDescent="0.25">
      <c r="A123" s="20">
        <v>45467</v>
      </c>
      <c r="B123" vm="363">
        <v>197.43</v>
      </c>
    </row>
    <row r="124" spans="1:2" x14ac:dyDescent="0.25">
      <c r="A124" s="20">
        <v>45467</v>
      </c>
      <c r="B124" vm="366">
        <v>199.17</v>
      </c>
    </row>
    <row r="125" spans="1:2" x14ac:dyDescent="0.25">
      <c r="A125" s="20">
        <v>45467</v>
      </c>
      <c r="B125" vm="369">
        <v>202.26</v>
      </c>
    </row>
    <row r="126" spans="1:2" x14ac:dyDescent="0.25">
      <c r="A126" s="20">
        <v>45474</v>
      </c>
      <c r="B126" vm="372">
        <v>205.45</v>
      </c>
    </row>
    <row r="127" spans="1:2" x14ac:dyDescent="0.25">
      <c r="A127" s="20">
        <v>45474</v>
      </c>
      <c r="B127" vm="375">
        <v>208.83</v>
      </c>
    </row>
    <row r="128" spans="1:2" x14ac:dyDescent="0.25">
      <c r="A128" s="20">
        <v>45474</v>
      </c>
      <c r="B128" vm="378">
        <v>208.69</v>
      </c>
    </row>
    <row r="129" spans="1:2" x14ac:dyDescent="0.25">
      <c r="A129" s="20">
        <v>45474</v>
      </c>
      <c r="B129" vm="286">
        <v>204.79</v>
      </c>
    </row>
    <row r="130" spans="1:2" x14ac:dyDescent="0.25">
      <c r="A130" s="20">
        <v>45481</v>
      </c>
      <c r="B130" vm="383">
        <v>205.17</v>
      </c>
    </row>
    <row r="131" spans="1:2" x14ac:dyDescent="0.25">
      <c r="A131" s="20">
        <v>45481</v>
      </c>
      <c r="B131" vm="386">
        <v>207.63</v>
      </c>
    </row>
    <row r="132" spans="1:2" x14ac:dyDescent="0.25">
      <c r="A132" s="20">
        <v>45481</v>
      </c>
      <c r="B132" vm="389">
        <v>207.8</v>
      </c>
    </row>
    <row r="133" spans="1:2" x14ac:dyDescent="0.25">
      <c r="A133" s="20">
        <v>45481</v>
      </c>
      <c r="B133" vm="392">
        <v>207.45</v>
      </c>
    </row>
    <row r="134" spans="1:2" x14ac:dyDescent="0.25">
      <c r="A134" s="20">
        <v>45481</v>
      </c>
      <c r="B134" vm="395">
        <v>204.94</v>
      </c>
    </row>
    <row r="135" spans="1:2" x14ac:dyDescent="0.25">
      <c r="A135" s="20">
        <v>45488</v>
      </c>
      <c r="B135" vm="398">
        <v>210.05</v>
      </c>
    </row>
    <row r="136" spans="1:2" x14ac:dyDescent="0.25">
      <c r="A136" s="20">
        <v>45488</v>
      </c>
      <c r="B136" vm="401">
        <v>213.62</v>
      </c>
    </row>
    <row r="137" spans="1:2" x14ac:dyDescent="0.25">
      <c r="A137" s="20">
        <v>45488</v>
      </c>
      <c r="B137" vm="404">
        <v>216.87</v>
      </c>
    </row>
    <row r="138" spans="1:2" x14ac:dyDescent="0.25">
      <c r="A138" s="20">
        <v>45488</v>
      </c>
      <c r="B138" vm="407">
        <v>209.98</v>
      </c>
    </row>
    <row r="139" spans="1:2" x14ac:dyDescent="0.25">
      <c r="A139" s="20">
        <v>45488</v>
      </c>
      <c r="B139" vm="410">
        <v>209.78</v>
      </c>
    </row>
    <row r="140" spans="1:2" x14ac:dyDescent="0.25">
      <c r="A140" s="20">
        <v>45495</v>
      </c>
      <c r="B140" vm="413">
        <v>210.28</v>
      </c>
    </row>
    <row r="141" spans="1:2" x14ac:dyDescent="0.25">
      <c r="A141" s="20">
        <v>45495</v>
      </c>
      <c r="B141" vm="416">
        <v>210.33</v>
      </c>
    </row>
    <row r="142" spans="1:2" x14ac:dyDescent="0.25">
      <c r="A142" s="20">
        <v>45495</v>
      </c>
      <c r="B142" vm="419">
        <v>208.59</v>
      </c>
    </row>
    <row r="143" spans="1:2" x14ac:dyDescent="0.25">
      <c r="A143" s="20">
        <v>45495</v>
      </c>
      <c r="B143" vm="422">
        <v>208.67</v>
      </c>
    </row>
    <row r="144" spans="1:2" x14ac:dyDescent="0.25">
      <c r="A144" s="20">
        <v>45495</v>
      </c>
      <c r="B144" vm="425">
        <v>212.24</v>
      </c>
    </row>
    <row r="145" spans="1:2" x14ac:dyDescent="0.25">
      <c r="A145" s="20">
        <v>45502</v>
      </c>
      <c r="B145" vm="428">
        <v>210.85</v>
      </c>
    </row>
    <row r="146" spans="1:2" x14ac:dyDescent="0.25">
      <c r="A146" s="20">
        <v>45502</v>
      </c>
      <c r="B146" vm="431">
        <v>215.19</v>
      </c>
    </row>
    <row r="147" spans="1:2" x14ac:dyDescent="0.25">
      <c r="A147" s="20">
        <v>45502</v>
      </c>
      <c r="B147" vm="434">
        <v>212.8</v>
      </c>
    </row>
    <row r="148" spans="1:2" x14ac:dyDescent="0.25">
      <c r="A148" s="20">
        <v>45502</v>
      </c>
      <c r="B148" vm="437">
        <v>207.96</v>
      </c>
    </row>
    <row r="149" spans="1:2" x14ac:dyDescent="0.25">
      <c r="A149" s="20">
        <v>45502</v>
      </c>
      <c r="B149" vm="440">
        <v>199.14</v>
      </c>
    </row>
    <row r="150" spans="1:2" x14ac:dyDescent="0.25">
      <c r="A150" s="20">
        <v>45509</v>
      </c>
      <c r="B150" vm="443">
        <v>194.9</v>
      </c>
    </row>
    <row r="151" spans="1:2" x14ac:dyDescent="0.25">
      <c r="A151" s="20">
        <v>45509</v>
      </c>
      <c r="B151" vm="446">
        <v>200.34</v>
      </c>
    </row>
    <row r="152" spans="1:2" x14ac:dyDescent="0.25">
      <c r="A152" s="20">
        <v>45509</v>
      </c>
      <c r="B152" vm="449">
        <v>200.4</v>
      </c>
    </row>
    <row r="153" spans="1:2" x14ac:dyDescent="0.25">
      <c r="A153" s="20">
        <v>45509</v>
      </c>
      <c r="B153" vm="452">
        <v>204.06</v>
      </c>
    </row>
    <row r="154" spans="1:2" x14ac:dyDescent="0.25">
      <c r="A154" s="20">
        <v>45509</v>
      </c>
      <c r="B154" vm="455">
        <v>205.8</v>
      </c>
    </row>
    <row r="155" spans="1:2" x14ac:dyDescent="0.25">
      <c r="A155" s="20">
        <v>45516</v>
      </c>
      <c r="B155" vm="458">
        <v>206.19</v>
      </c>
    </row>
    <row r="156" spans="1:2" x14ac:dyDescent="0.25">
      <c r="A156" s="20">
        <v>45516</v>
      </c>
      <c r="B156" vm="461">
        <v>207.94</v>
      </c>
    </row>
    <row r="157" spans="1:2" x14ac:dyDescent="0.25">
      <c r="A157" s="20">
        <v>45516</v>
      </c>
      <c r="B157" vm="464">
        <v>210.24</v>
      </c>
    </row>
    <row r="158" spans="1:2" x14ac:dyDescent="0.25">
      <c r="A158" s="20">
        <v>45516</v>
      </c>
      <c r="B158" vm="467">
        <v>211.55</v>
      </c>
    </row>
    <row r="159" spans="1:2" x14ac:dyDescent="0.25">
      <c r="A159" s="20">
        <v>45516</v>
      </c>
      <c r="B159" vm="470">
        <v>213.97</v>
      </c>
    </row>
    <row r="160" spans="1:2" x14ac:dyDescent="0.25">
      <c r="A160" s="20">
        <v>45523</v>
      </c>
      <c r="B160" vm="473">
        <v>215.45</v>
      </c>
    </row>
    <row r="161" spans="1:2" x14ac:dyDescent="0.25">
      <c r="A161" s="20">
        <v>45523</v>
      </c>
      <c r="B161" vm="476">
        <v>214.52</v>
      </c>
    </row>
    <row r="162" spans="1:2" x14ac:dyDescent="0.25">
      <c r="A162" s="20">
        <v>45523</v>
      </c>
      <c r="B162" vm="479">
        <v>214.6</v>
      </c>
    </row>
    <row r="163" spans="1:2" x14ac:dyDescent="0.25">
      <c r="A163" s="20">
        <v>45523</v>
      </c>
      <c r="B163" vm="482">
        <v>216.63</v>
      </c>
    </row>
    <row r="164" spans="1:2" x14ac:dyDescent="0.25">
      <c r="A164" s="20">
        <v>45523</v>
      </c>
      <c r="B164" vm="485">
        <v>218.31</v>
      </c>
    </row>
    <row r="165" spans="1:2" x14ac:dyDescent="0.25">
      <c r="A165" s="20">
        <v>45530</v>
      </c>
      <c r="B165" vm="488">
        <v>219.17</v>
      </c>
    </row>
    <row r="166" spans="1:2" x14ac:dyDescent="0.25">
      <c r="A166" s="20">
        <v>45530</v>
      </c>
      <c r="B166" vm="491">
        <v>220.18</v>
      </c>
    </row>
    <row r="167" spans="1:2" x14ac:dyDescent="0.25">
      <c r="A167" s="20">
        <v>45530</v>
      </c>
      <c r="B167" vm="494">
        <v>221.29</v>
      </c>
    </row>
    <row r="168" spans="1:2" x14ac:dyDescent="0.25">
      <c r="A168" s="20">
        <v>45530</v>
      </c>
      <c r="B168" vm="497">
        <v>222.21</v>
      </c>
    </row>
    <row r="169" spans="1:2" x14ac:dyDescent="0.25">
      <c r="A169" s="20">
        <v>45530</v>
      </c>
      <c r="B169" vm="500">
        <v>224.8</v>
      </c>
    </row>
    <row r="170" spans="1:2" x14ac:dyDescent="0.25">
      <c r="A170" s="20">
        <v>45537</v>
      </c>
      <c r="B170" vm="503">
        <v>220.3</v>
      </c>
    </row>
    <row r="171" spans="1:2" x14ac:dyDescent="0.25">
      <c r="A171" s="20">
        <v>45537</v>
      </c>
      <c r="B171" vm="506">
        <v>219.33</v>
      </c>
    </row>
    <row r="172" spans="1:2" x14ac:dyDescent="0.25">
      <c r="A172" s="20">
        <v>45537</v>
      </c>
      <c r="B172" vm="509">
        <v>217.63</v>
      </c>
    </row>
    <row r="173" spans="1:2" x14ac:dyDescent="0.25">
      <c r="A173" s="20">
        <v>45537</v>
      </c>
      <c r="B173" vm="512">
        <v>212.46</v>
      </c>
    </row>
    <row r="174" spans="1:2" x14ac:dyDescent="0.25">
      <c r="A174" s="20">
        <v>45544</v>
      </c>
      <c r="B174" vm="515">
        <v>216.81</v>
      </c>
    </row>
    <row r="175" spans="1:2" x14ac:dyDescent="0.25">
      <c r="A175" s="20">
        <v>45544</v>
      </c>
      <c r="B175" vm="518">
        <v>205.56</v>
      </c>
    </row>
    <row r="176" spans="1:2" x14ac:dyDescent="0.25">
      <c r="A176" s="20">
        <v>45544</v>
      </c>
      <c r="B176" vm="521">
        <v>207.23</v>
      </c>
    </row>
    <row r="177" spans="1:2" x14ac:dyDescent="0.25">
      <c r="A177" s="20">
        <v>45544</v>
      </c>
      <c r="B177" vm="524">
        <v>206.6</v>
      </c>
    </row>
    <row r="178" spans="1:2" x14ac:dyDescent="0.25">
      <c r="A178" s="20">
        <v>45544</v>
      </c>
      <c r="B178" vm="527">
        <v>204.32</v>
      </c>
    </row>
    <row r="179" spans="1:2" x14ac:dyDescent="0.25">
      <c r="A179" s="20">
        <v>45551</v>
      </c>
      <c r="B179" vm="530">
        <v>207.86</v>
      </c>
    </row>
    <row r="180" spans="1:2" x14ac:dyDescent="0.25">
      <c r="A180" s="20">
        <v>45551</v>
      </c>
      <c r="B180" vm="533">
        <v>209.25</v>
      </c>
    </row>
    <row r="181" spans="1:2" x14ac:dyDescent="0.25">
      <c r="A181" s="20">
        <v>45551</v>
      </c>
      <c r="B181" vm="536">
        <v>207.53</v>
      </c>
    </row>
    <row r="182" spans="1:2" x14ac:dyDescent="0.25">
      <c r="A182" s="20">
        <v>45551</v>
      </c>
      <c r="B182" vm="539">
        <v>210.48</v>
      </c>
    </row>
    <row r="183" spans="1:2" x14ac:dyDescent="0.25">
      <c r="A183" s="20">
        <v>45551</v>
      </c>
      <c r="B183" vm="542">
        <v>211.09</v>
      </c>
    </row>
    <row r="184" spans="1:2" x14ac:dyDescent="0.25">
      <c r="A184" s="20">
        <v>45558</v>
      </c>
      <c r="B184" vm="545">
        <v>211.44</v>
      </c>
    </row>
    <row r="185" spans="1:2" x14ac:dyDescent="0.25">
      <c r="A185" s="20">
        <v>45558</v>
      </c>
      <c r="B185" vm="548">
        <v>211.59</v>
      </c>
    </row>
    <row r="186" spans="1:2" x14ac:dyDescent="0.25">
      <c r="A186" s="20">
        <v>45558</v>
      </c>
      <c r="B186" vm="551">
        <v>210.19</v>
      </c>
    </row>
    <row r="187" spans="1:2" x14ac:dyDescent="0.25">
      <c r="A187" s="20">
        <v>45558</v>
      </c>
      <c r="B187" vm="410">
        <v>209.78</v>
      </c>
    </row>
    <row r="188" spans="1:2" x14ac:dyDescent="0.25">
      <c r="A188" s="20">
        <v>45558</v>
      </c>
      <c r="B188" vm="556">
        <v>210.5</v>
      </c>
    </row>
    <row r="189" spans="1:2" x14ac:dyDescent="0.25">
      <c r="A189" s="20">
        <v>45565</v>
      </c>
      <c r="B189" vm="559">
        <v>210.86</v>
      </c>
    </row>
    <row r="190" spans="1:2" x14ac:dyDescent="0.25">
      <c r="A190" s="20">
        <v>45565</v>
      </c>
      <c r="B190" vm="562">
        <v>207.04</v>
      </c>
    </row>
    <row r="191" spans="1:2" x14ac:dyDescent="0.25">
      <c r="A191" s="20">
        <v>45565</v>
      </c>
      <c r="B191" vm="565">
        <v>207.29</v>
      </c>
    </row>
    <row r="192" spans="1:2" x14ac:dyDescent="0.25">
      <c r="A192" s="20">
        <v>45565</v>
      </c>
      <c r="B192" vm="568">
        <v>205.23</v>
      </c>
    </row>
    <row r="193" spans="1:2" x14ac:dyDescent="0.25">
      <c r="A193" s="20">
        <v>45565</v>
      </c>
      <c r="B193" vm="571">
        <v>211.22</v>
      </c>
    </row>
    <row r="194" spans="1:2" x14ac:dyDescent="0.25">
      <c r="A194" s="20">
        <v>45572</v>
      </c>
      <c r="B194" vm="574">
        <v>210.93</v>
      </c>
    </row>
    <row r="195" spans="1:2" x14ac:dyDescent="0.25">
      <c r="A195" s="20">
        <v>45572</v>
      </c>
      <c r="B195" vm="577">
        <v>210.75</v>
      </c>
    </row>
    <row r="196" spans="1:2" x14ac:dyDescent="0.25">
      <c r="A196" s="20">
        <v>45572</v>
      </c>
      <c r="B196" vm="580">
        <v>213.42</v>
      </c>
    </row>
    <row r="197" spans="1:2" x14ac:dyDescent="0.25">
      <c r="A197" s="20">
        <v>45572</v>
      </c>
      <c r="B197" vm="583">
        <v>212.84</v>
      </c>
    </row>
    <row r="198" spans="1:2" x14ac:dyDescent="0.25">
      <c r="A198" s="20">
        <v>45572</v>
      </c>
      <c r="B198" vm="586">
        <v>222.29</v>
      </c>
    </row>
    <row r="199" spans="1:2" x14ac:dyDescent="0.25">
      <c r="A199" s="20">
        <v>45579</v>
      </c>
      <c r="B199" vm="589">
        <v>221.48</v>
      </c>
    </row>
    <row r="200" spans="1:2" x14ac:dyDescent="0.25">
      <c r="A200" s="20">
        <v>45579</v>
      </c>
      <c r="B200" vm="592">
        <v>222.39</v>
      </c>
    </row>
    <row r="201" spans="1:2" x14ac:dyDescent="0.25">
      <c r="A201" s="20">
        <v>45579</v>
      </c>
      <c r="B201" vm="595">
        <v>223.64</v>
      </c>
    </row>
    <row r="202" spans="1:2" x14ac:dyDescent="0.25">
      <c r="A202" s="20">
        <v>45579</v>
      </c>
      <c r="B202" vm="598">
        <v>224.42</v>
      </c>
    </row>
    <row r="203" spans="1:2" x14ac:dyDescent="0.25">
      <c r="A203" s="20">
        <v>45579</v>
      </c>
      <c r="B203" vm="601">
        <v>225.37</v>
      </c>
    </row>
    <row r="204" spans="1:2" x14ac:dyDescent="0.25">
      <c r="A204" s="20">
        <v>45586</v>
      </c>
      <c r="B204" vm="604">
        <v>223</v>
      </c>
    </row>
    <row r="205" spans="1:2" x14ac:dyDescent="0.25">
      <c r="A205" s="20">
        <v>45586</v>
      </c>
      <c r="B205" vm="607">
        <v>224.12</v>
      </c>
    </row>
    <row r="206" spans="1:2" x14ac:dyDescent="0.25">
      <c r="A206" s="20">
        <v>45586</v>
      </c>
      <c r="B206" vm="610">
        <v>223.41</v>
      </c>
    </row>
    <row r="207" spans="1:2" x14ac:dyDescent="0.25">
      <c r="A207" s="20">
        <v>45586</v>
      </c>
      <c r="B207" vm="613">
        <v>224.98</v>
      </c>
    </row>
    <row r="208" spans="1:2" x14ac:dyDescent="0.25">
      <c r="A208" s="20">
        <v>45586</v>
      </c>
      <c r="B208" vm="616">
        <v>222.31</v>
      </c>
    </row>
    <row r="209" spans="1:2" x14ac:dyDescent="0.25">
      <c r="A209" s="20">
        <v>45593</v>
      </c>
      <c r="B209" vm="619">
        <v>225.5</v>
      </c>
    </row>
    <row r="210" spans="1:2" x14ac:dyDescent="0.25">
      <c r="A210" s="20">
        <v>45593</v>
      </c>
      <c r="B210" vm="622">
        <v>222.9</v>
      </c>
    </row>
    <row r="211" spans="1:2" x14ac:dyDescent="0.25">
      <c r="A211" s="20">
        <v>45593</v>
      </c>
      <c r="B211" vm="625">
        <v>224.41</v>
      </c>
    </row>
    <row r="212" spans="1:2" x14ac:dyDescent="0.25">
      <c r="A212" s="20">
        <v>45593</v>
      </c>
      <c r="B212" vm="628">
        <v>221.92</v>
      </c>
    </row>
    <row r="213" spans="1:2" x14ac:dyDescent="0.25">
      <c r="A213" s="20">
        <v>45593</v>
      </c>
      <c r="B213" vm="631">
        <v>222.94</v>
      </c>
    </row>
    <row r="214" spans="1:2" x14ac:dyDescent="0.25">
      <c r="A214" s="20">
        <v>45600</v>
      </c>
      <c r="B214" vm="634">
        <v>219.78</v>
      </c>
    </row>
    <row r="215" spans="1:2" x14ac:dyDescent="0.25">
      <c r="A215" s="20">
        <v>45600</v>
      </c>
      <c r="B215" vm="637">
        <v>221.49</v>
      </c>
    </row>
    <row r="216" spans="1:2" x14ac:dyDescent="0.25">
      <c r="A216" s="20">
        <v>45600</v>
      </c>
      <c r="B216" vm="640">
        <v>247.06</v>
      </c>
    </row>
    <row r="217" spans="1:2" x14ac:dyDescent="0.25">
      <c r="A217" s="20">
        <v>45600</v>
      </c>
      <c r="B217" vm="643">
        <v>236.38</v>
      </c>
    </row>
    <row r="218" spans="1:2" x14ac:dyDescent="0.25">
      <c r="A218" s="20">
        <v>45600</v>
      </c>
      <c r="B218" vm="646">
        <v>236.98</v>
      </c>
    </row>
    <row r="219" spans="1:2" x14ac:dyDescent="0.25">
      <c r="A219" s="20">
        <v>45607</v>
      </c>
      <c r="B219" vm="649">
        <v>239.29</v>
      </c>
    </row>
    <row r="220" spans="1:2" x14ac:dyDescent="0.25">
      <c r="A220" s="20">
        <v>45607</v>
      </c>
      <c r="B220" vm="652">
        <v>239.56</v>
      </c>
    </row>
    <row r="221" spans="1:2" x14ac:dyDescent="0.25">
      <c r="A221" s="20">
        <v>45607</v>
      </c>
      <c r="B221" vm="655">
        <v>241.16</v>
      </c>
    </row>
    <row r="222" spans="1:2" x14ac:dyDescent="0.25">
      <c r="A222" s="20">
        <v>45607</v>
      </c>
      <c r="B222" vm="658">
        <v>241.87</v>
      </c>
    </row>
    <row r="223" spans="1:2" x14ac:dyDescent="0.25">
      <c r="A223" s="20">
        <v>45607</v>
      </c>
      <c r="B223" vm="661">
        <v>245.31</v>
      </c>
    </row>
    <row r="224" spans="1:2" x14ac:dyDescent="0.25">
      <c r="A224" s="20">
        <v>45614</v>
      </c>
      <c r="B224" vm="664">
        <v>245.03</v>
      </c>
    </row>
    <row r="225" spans="1:2" x14ac:dyDescent="0.25">
      <c r="A225" s="20">
        <v>45614</v>
      </c>
      <c r="B225" vm="667">
        <v>243.09</v>
      </c>
    </row>
    <row r="226" spans="1:2" x14ac:dyDescent="0.25">
      <c r="A226" s="20">
        <v>45614</v>
      </c>
      <c r="B226" vm="670">
        <v>240.78</v>
      </c>
    </row>
    <row r="227" spans="1:2" x14ac:dyDescent="0.25">
      <c r="A227" s="20">
        <v>45614</v>
      </c>
      <c r="B227" vm="673">
        <v>244.76</v>
      </c>
    </row>
    <row r="228" spans="1:2" x14ac:dyDescent="0.25">
      <c r="A228" s="20">
        <v>45614</v>
      </c>
      <c r="B228" vm="676">
        <v>248.55</v>
      </c>
    </row>
    <row r="229" spans="1:2" x14ac:dyDescent="0.25">
      <c r="A229" s="20">
        <v>45621</v>
      </c>
      <c r="B229" vm="679">
        <v>250.29</v>
      </c>
    </row>
    <row r="230" spans="1:2" x14ac:dyDescent="0.25">
      <c r="A230" s="20">
        <v>45621</v>
      </c>
      <c r="B230" vm="682">
        <v>249.97</v>
      </c>
    </row>
    <row r="231" spans="1:2" x14ac:dyDescent="0.25">
      <c r="A231" s="20">
        <v>45621</v>
      </c>
      <c r="B231" vm="685">
        <v>249.79</v>
      </c>
    </row>
    <row r="232" spans="1:2" x14ac:dyDescent="0.25">
      <c r="A232" s="20">
        <v>45621</v>
      </c>
      <c r="B232" vm="688">
        <v>249.72</v>
      </c>
    </row>
    <row r="233" spans="1:2" x14ac:dyDescent="0.25">
      <c r="A233" s="20">
        <v>45628</v>
      </c>
      <c r="B233" vm="691">
        <v>246.25</v>
      </c>
    </row>
    <row r="234" spans="1:2" x14ac:dyDescent="0.25">
      <c r="A234" s="20">
        <v>45628</v>
      </c>
      <c r="B234" vm="694">
        <v>244.82</v>
      </c>
    </row>
    <row r="235" spans="1:2" x14ac:dyDescent="0.25">
      <c r="A235" s="20">
        <v>45628</v>
      </c>
      <c r="B235" vm="697">
        <v>243.4</v>
      </c>
    </row>
    <row r="236" spans="1:2" x14ac:dyDescent="0.25">
      <c r="A236" s="20">
        <v>45628</v>
      </c>
      <c r="B236" vm="700">
        <v>245.48</v>
      </c>
    </row>
    <row r="237" spans="1:2" x14ac:dyDescent="0.25">
      <c r="A237" s="20">
        <v>45628</v>
      </c>
      <c r="B237" vm="703">
        <v>247.36</v>
      </c>
    </row>
    <row r="238" spans="1:2" x14ac:dyDescent="0.25">
      <c r="A238" s="20">
        <v>45635</v>
      </c>
      <c r="B238" vm="706">
        <v>243.81</v>
      </c>
    </row>
    <row r="239" spans="1:2" x14ac:dyDescent="0.25">
      <c r="A239" s="20">
        <v>45635</v>
      </c>
      <c r="B239" vm="709">
        <v>242.86</v>
      </c>
    </row>
    <row r="240" spans="1:2" x14ac:dyDescent="0.25">
      <c r="A240" s="20">
        <v>45635</v>
      </c>
      <c r="B240" vm="712">
        <v>243.53</v>
      </c>
    </row>
    <row r="241" spans="1:2" x14ac:dyDescent="0.25">
      <c r="A241" s="20">
        <v>45635</v>
      </c>
      <c r="B241" vm="715">
        <v>241.53</v>
      </c>
    </row>
    <row r="242" spans="1:2" x14ac:dyDescent="0.25">
      <c r="A242" s="20">
        <v>45635</v>
      </c>
      <c r="B242" vm="718">
        <v>239.94</v>
      </c>
    </row>
    <row r="243" spans="1:2" x14ac:dyDescent="0.25">
      <c r="A243" s="20">
        <v>45642</v>
      </c>
      <c r="B243" vm="721">
        <v>239.58</v>
      </c>
    </row>
    <row r="244" spans="1:2" x14ac:dyDescent="0.25">
      <c r="A244" s="20">
        <v>45642</v>
      </c>
      <c r="B244" vm="724">
        <v>238.36</v>
      </c>
    </row>
    <row r="245" spans="1:2" x14ac:dyDescent="0.25">
      <c r="A245" s="20">
        <v>45642</v>
      </c>
      <c r="B245" vm="727">
        <v>230.37</v>
      </c>
    </row>
    <row r="246" spans="1:2" x14ac:dyDescent="0.25">
      <c r="A246" s="20">
        <v>45642</v>
      </c>
      <c r="B246" vm="730">
        <v>232.96</v>
      </c>
    </row>
    <row r="247" spans="1:2" x14ac:dyDescent="0.25">
      <c r="A247" s="20">
        <v>45642</v>
      </c>
      <c r="B247" vm="733">
        <v>237.6</v>
      </c>
    </row>
    <row r="248" spans="1:2" x14ac:dyDescent="0.25">
      <c r="A248" s="20">
        <v>45649</v>
      </c>
      <c r="B248" vm="736">
        <v>238.39</v>
      </c>
    </row>
    <row r="249" spans="1:2" x14ac:dyDescent="0.25">
      <c r="A249" s="20">
        <v>45649</v>
      </c>
      <c r="B249" vm="739">
        <v>242.31</v>
      </c>
    </row>
    <row r="250" spans="1:2" x14ac:dyDescent="0.25">
      <c r="A250" s="20">
        <v>45649</v>
      </c>
      <c r="B250" vm="742">
        <v>243.14</v>
      </c>
    </row>
    <row r="251" spans="1:2" x14ac:dyDescent="0.25">
      <c r="A251" s="20">
        <v>45649</v>
      </c>
      <c r="B251" vm="745">
        <v>241.17</v>
      </c>
    </row>
    <row r="252" spans="1:2" x14ac:dyDescent="0.25">
      <c r="A252" s="20">
        <v>45656</v>
      </c>
      <c r="B252" vm="748">
        <v>239.32</v>
      </c>
    </row>
    <row r="253" spans="1:2" x14ac:dyDescent="0.25">
      <c r="A253" s="20">
        <v>45656</v>
      </c>
      <c r="B253" vm="751">
        <v>239.71</v>
      </c>
    </row>
    <row r="254" spans="1:2" x14ac:dyDescent="0.25">
      <c r="A254" s="20">
        <v>45656</v>
      </c>
      <c r="B254" vm="754">
        <v>240</v>
      </c>
    </row>
    <row r="255" spans="1:2" x14ac:dyDescent="0.25">
      <c r="A255" s="20">
        <v>45656</v>
      </c>
      <c r="B255" vm="757">
        <v>243.28</v>
      </c>
    </row>
    <row r="256" spans="1:2" x14ac:dyDescent="0.25">
      <c r="A256" s="20">
        <v>45663</v>
      </c>
      <c r="B256" vm="760">
        <v>240.85</v>
      </c>
    </row>
    <row r="257" spans="1:2" x14ac:dyDescent="0.25">
      <c r="A257" s="20">
        <v>45663</v>
      </c>
      <c r="B257" vm="763">
        <v>243.17</v>
      </c>
    </row>
    <row r="258" spans="1:2" x14ac:dyDescent="0.25">
      <c r="A258" s="20">
        <v>45663</v>
      </c>
      <c r="B258" vm="766">
        <v>243.13</v>
      </c>
    </row>
    <row r="259" spans="1:2" x14ac:dyDescent="0.25">
      <c r="A259" s="20">
        <v>45663</v>
      </c>
      <c r="B259" vm="769">
        <v>239.87</v>
      </c>
    </row>
    <row r="260" spans="1:2" x14ac:dyDescent="0.25">
      <c r="A260" s="20">
        <v>45670</v>
      </c>
      <c r="B260" vm="772">
        <v>244.21</v>
      </c>
    </row>
    <row r="261" spans="1:2" x14ac:dyDescent="0.25">
      <c r="A261" s="20">
        <v>45670</v>
      </c>
      <c r="B261" vm="775">
        <v>247.47</v>
      </c>
    </row>
    <row r="262" spans="1:2" x14ac:dyDescent="0.25">
      <c r="A262" s="20">
        <v>45670</v>
      </c>
      <c r="B262" vm="778">
        <v>252.35</v>
      </c>
    </row>
    <row r="263" spans="1:2" x14ac:dyDescent="0.25">
      <c r="A263" s="20">
        <v>45670</v>
      </c>
      <c r="B263" vm="781">
        <v>254.27</v>
      </c>
    </row>
    <row r="264" spans="1:2" x14ac:dyDescent="0.25">
      <c r="A264" s="20">
        <v>45670</v>
      </c>
      <c r="B264" vm="784">
        <v>259.16000000000003</v>
      </c>
    </row>
    <row r="265" spans="1:2" x14ac:dyDescent="0.25">
      <c r="A265" s="20">
        <v>45677</v>
      </c>
      <c r="B265" vm="787">
        <v>263.02999999999997</v>
      </c>
    </row>
    <row r="266" spans="1:2" x14ac:dyDescent="0.25">
      <c r="A266" s="20">
        <v>45677</v>
      </c>
      <c r="B266" vm="790">
        <v>262.83999999999997</v>
      </c>
    </row>
    <row r="267" spans="1:2" x14ac:dyDescent="0.25">
      <c r="A267" s="20">
        <v>45677</v>
      </c>
      <c r="B267" vm="793">
        <v>265.95</v>
      </c>
    </row>
    <row r="268" spans="1:2" x14ac:dyDescent="0.25">
      <c r="A268" s="20">
        <v>45677</v>
      </c>
      <c r="B268" vm="796">
        <v>264.83999999999997</v>
      </c>
    </row>
    <row r="269" spans="1:2" x14ac:dyDescent="0.25">
      <c r="A269" s="20">
        <v>45684</v>
      </c>
      <c r="B269" vm="799">
        <v>265.85000000000002</v>
      </c>
    </row>
    <row r="270" spans="1:2" x14ac:dyDescent="0.25">
      <c r="A270" s="20">
        <v>45684</v>
      </c>
      <c r="B270" vm="802">
        <v>267.14</v>
      </c>
    </row>
    <row r="271" spans="1:2" x14ac:dyDescent="0.25">
      <c r="A271" s="20">
        <v>45684</v>
      </c>
      <c r="B271" vm="805">
        <v>266.58</v>
      </c>
    </row>
    <row r="272" spans="1:2" x14ac:dyDescent="0.25">
      <c r="A272" s="20">
        <v>45684</v>
      </c>
      <c r="B272" vm="808">
        <v>268.23</v>
      </c>
    </row>
    <row r="273" spans="1:2" x14ac:dyDescent="0.25">
      <c r="A273" s="20">
        <v>45684</v>
      </c>
      <c r="B273" vm="811">
        <v>267.3</v>
      </c>
    </row>
    <row r="274" spans="1:2" x14ac:dyDescent="0.25">
      <c r="A274" s="20">
        <v>45691</v>
      </c>
      <c r="B274" vm="814">
        <v>266.81</v>
      </c>
    </row>
    <row r="275" spans="1:2" x14ac:dyDescent="0.25">
      <c r="A275" s="20">
        <v>45691</v>
      </c>
      <c r="B275" vm="817">
        <v>267.94</v>
      </c>
    </row>
    <row r="276" spans="1:2" x14ac:dyDescent="0.25">
      <c r="A276" s="20">
        <v>45691</v>
      </c>
      <c r="B276" vm="820">
        <v>270.43</v>
      </c>
    </row>
    <row r="277" spans="1:2" x14ac:dyDescent="0.25">
      <c r="A277" s="20">
        <v>45691</v>
      </c>
      <c r="B277" vm="823">
        <v>276.89999999999998</v>
      </c>
    </row>
    <row r="278" spans="1:2" x14ac:dyDescent="0.25">
      <c r="A278" s="20">
        <v>45691</v>
      </c>
      <c r="B278" vm="826">
        <v>275.8</v>
      </c>
    </row>
    <row r="279" spans="1:2" x14ac:dyDescent="0.25">
      <c r="A279" s="20">
        <v>45698</v>
      </c>
      <c r="B279" vm="829">
        <v>271.04000000000002</v>
      </c>
    </row>
    <row r="280" spans="1:2" x14ac:dyDescent="0.25">
      <c r="A280" s="20">
        <v>45698</v>
      </c>
      <c r="B280" vm="832">
        <v>274.99</v>
      </c>
    </row>
    <row r="281" spans="1:2" x14ac:dyDescent="0.25">
      <c r="A281" s="20">
        <v>45698</v>
      </c>
      <c r="B281" vm="835">
        <v>275.45</v>
      </c>
    </row>
    <row r="282" spans="1:2" x14ac:dyDescent="0.25">
      <c r="A282" s="20">
        <v>45698</v>
      </c>
      <c r="B282" vm="838">
        <v>276.32</v>
      </c>
    </row>
    <row r="283" spans="1:2" x14ac:dyDescent="0.25">
      <c r="A283" s="20">
        <v>45698</v>
      </c>
      <c r="B283" vm="841">
        <v>276.58999999999997</v>
      </c>
    </row>
    <row r="284" spans="1:2" x14ac:dyDescent="0.25">
      <c r="A284" s="20">
        <v>45705</v>
      </c>
      <c r="B284" vm="844">
        <v>279.95</v>
      </c>
    </row>
    <row r="285" spans="1:2" x14ac:dyDescent="0.25">
      <c r="A285" s="20">
        <v>45705</v>
      </c>
      <c r="B285" vm="847">
        <v>279.25</v>
      </c>
    </row>
    <row r="286" spans="1:2" x14ac:dyDescent="0.25">
      <c r="A286" s="20">
        <v>45705</v>
      </c>
      <c r="B286" vm="850">
        <v>266.8</v>
      </c>
    </row>
    <row r="287" spans="1:2" x14ac:dyDescent="0.25">
      <c r="A287" s="20">
        <v>45705</v>
      </c>
      <c r="B287" vm="853">
        <v>264.24</v>
      </c>
    </row>
    <row r="288" spans="1:2" x14ac:dyDescent="0.25">
      <c r="A288" s="20">
        <v>45712</v>
      </c>
      <c r="B288" vm="856">
        <v>261.33999999999997</v>
      </c>
    </row>
    <row r="289" spans="1:2" x14ac:dyDescent="0.25">
      <c r="A289" s="20">
        <v>45712</v>
      </c>
      <c r="B289" vm="859">
        <v>257.39999999999998</v>
      </c>
    </row>
    <row r="290" spans="1:2" x14ac:dyDescent="0.25">
      <c r="A290" s="20">
        <v>45712</v>
      </c>
      <c r="B290" vm="862">
        <v>258.79000000000002</v>
      </c>
    </row>
    <row r="291" spans="1:2" x14ac:dyDescent="0.25">
      <c r="A291" s="20">
        <v>45712</v>
      </c>
      <c r="B291" vm="865">
        <v>259.05</v>
      </c>
    </row>
    <row r="292" spans="1:2" x14ac:dyDescent="0.25">
      <c r="A292" s="20">
        <v>45712</v>
      </c>
      <c r="B292" vm="868">
        <v>264.64999999999998</v>
      </c>
    </row>
    <row r="293" spans="1:2" x14ac:dyDescent="0.25">
      <c r="A293" s="20">
        <v>45719</v>
      </c>
      <c r="B293" vm="871">
        <v>260.62</v>
      </c>
    </row>
    <row r="294" spans="1:2" x14ac:dyDescent="0.25">
      <c r="A294" s="20">
        <v>45719</v>
      </c>
      <c r="B294" vm="874">
        <v>250.25</v>
      </c>
    </row>
    <row r="295" spans="1:2" x14ac:dyDescent="0.25">
      <c r="A295" s="20">
        <v>45719</v>
      </c>
      <c r="B295" vm="877">
        <v>251.53</v>
      </c>
    </row>
    <row r="296" spans="1:2" x14ac:dyDescent="0.25">
      <c r="A296" s="20">
        <v>45719</v>
      </c>
      <c r="B296" vm="880">
        <v>246.54</v>
      </c>
    </row>
    <row r="297" spans="1:2" x14ac:dyDescent="0.25">
      <c r="A297" s="20">
        <v>45719</v>
      </c>
      <c r="B297" vm="883">
        <v>242.28</v>
      </c>
    </row>
    <row r="298" spans="1:2" x14ac:dyDescent="0.25">
      <c r="A298" s="20">
        <v>45726</v>
      </c>
      <c r="B298" vm="886">
        <v>232.22</v>
      </c>
    </row>
    <row r="299" spans="1:2" x14ac:dyDescent="0.25">
      <c r="A299" s="20">
        <v>45726</v>
      </c>
      <c r="B299" vm="889">
        <v>229.14</v>
      </c>
    </row>
    <row r="300" spans="1:2" x14ac:dyDescent="0.25">
      <c r="A300" s="20">
        <v>45726</v>
      </c>
      <c r="B300" vm="892">
        <v>227.9</v>
      </c>
    </row>
    <row r="301" spans="1:2" x14ac:dyDescent="0.25">
      <c r="A301" s="20">
        <v>45726</v>
      </c>
      <c r="B301" vm="895">
        <v>225.19</v>
      </c>
    </row>
    <row r="302" spans="1:2" x14ac:dyDescent="0.25">
      <c r="A302" s="20">
        <v>45726</v>
      </c>
      <c r="B302" vm="898">
        <v>232.44</v>
      </c>
    </row>
    <row r="303" spans="1:2" x14ac:dyDescent="0.25">
      <c r="A303" s="20">
        <v>45733</v>
      </c>
      <c r="B303" vm="901">
        <v>233.93</v>
      </c>
    </row>
    <row r="304" spans="1:2" x14ac:dyDescent="0.25">
      <c r="A304" s="20">
        <v>45733</v>
      </c>
      <c r="B304" vm="904">
        <v>234.97</v>
      </c>
    </row>
    <row r="305" spans="1:2" x14ac:dyDescent="0.25">
      <c r="A305" s="20">
        <v>45733</v>
      </c>
      <c r="B305" vm="907">
        <v>239.11</v>
      </c>
    </row>
    <row r="306" spans="1:2" x14ac:dyDescent="0.25">
      <c r="A306" s="20">
        <v>45733</v>
      </c>
      <c r="B306" vm="910">
        <v>239.01</v>
      </c>
    </row>
    <row r="307" spans="1:2" x14ac:dyDescent="0.25">
      <c r="A307" s="20">
        <v>45733</v>
      </c>
      <c r="B307" vm="913">
        <v>241.63</v>
      </c>
    </row>
    <row r="308" spans="1:2" x14ac:dyDescent="0.25">
      <c r="A308" s="20">
        <v>45740</v>
      </c>
      <c r="B308" vm="916">
        <v>248.06</v>
      </c>
    </row>
    <row r="309" spans="1:2" x14ac:dyDescent="0.25">
      <c r="A309" s="20">
        <v>45740</v>
      </c>
      <c r="B309" vm="919">
        <v>251.13</v>
      </c>
    </row>
    <row r="310" spans="1:2" x14ac:dyDescent="0.25">
      <c r="A310" s="20">
        <v>45740</v>
      </c>
      <c r="B310" vm="922">
        <v>251.03</v>
      </c>
    </row>
    <row r="311" spans="1:2" x14ac:dyDescent="0.25">
      <c r="A311" s="20">
        <v>45740</v>
      </c>
      <c r="B311" vm="925">
        <v>248.12</v>
      </c>
    </row>
    <row r="312" spans="1:2" x14ac:dyDescent="0.25">
      <c r="A312" s="20">
        <v>45740</v>
      </c>
      <c r="B312" vm="928">
        <v>242.85</v>
      </c>
    </row>
    <row r="313" spans="1:2" x14ac:dyDescent="0.25">
      <c r="A313" s="20">
        <v>45747</v>
      </c>
      <c r="B313" vm="931">
        <v>245.3</v>
      </c>
    </row>
    <row r="314" spans="1:2" x14ac:dyDescent="0.25">
      <c r="A314" s="20">
        <v>45747</v>
      </c>
      <c r="B314" vm="934">
        <v>243.66</v>
      </c>
    </row>
    <row r="315" spans="1:2" x14ac:dyDescent="0.25">
      <c r="A315" s="20">
        <v>45747</v>
      </c>
      <c r="B315" vm="937">
        <v>245.82</v>
      </c>
    </row>
    <row r="316" spans="1:2" x14ac:dyDescent="0.25">
      <c r="A316" s="20">
        <v>45747</v>
      </c>
      <c r="B316" vm="940">
        <v>228.69</v>
      </c>
    </row>
    <row r="317" spans="1:2" x14ac:dyDescent="0.25">
      <c r="A317" s="20">
        <v>45747</v>
      </c>
      <c r="B317" vm="413">
        <v>210.28</v>
      </c>
    </row>
    <row r="318" spans="1:2" x14ac:dyDescent="0.25">
      <c r="A318" s="20">
        <v>45754</v>
      </c>
      <c r="B318" vm="945">
        <v>214.44</v>
      </c>
    </row>
    <row r="319" spans="1:2" x14ac:dyDescent="0.25">
      <c r="A319" s="20">
        <v>45754</v>
      </c>
      <c r="B319" vm="404">
        <v>216.87</v>
      </c>
    </row>
    <row r="320" spans="1:2" x14ac:dyDescent="0.25">
      <c r="A320" s="20">
        <v>45754</v>
      </c>
      <c r="B320" vm="950">
        <v>234.34</v>
      </c>
    </row>
    <row r="321" spans="1:2" x14ac:dyDescent="0.25">
      <c r="A321" s="20">
        <v>45754</v>
      </c>
      <c r="B321" vm="953">
        <v>227.11</v>
      </c>
    </row>
    <row r="322" spans="1:2" x14ac:dyDescent="0.25">
      <c r="A322" s="20">
        <v>45754</v>
      </c>
      <c r="B322" vm="956">
        <v>236.2</v>
      </c>
    </row>
    <row r="323" spans="1:2" x14ac:dyDescent="0.25">
      <c r="A323" s="20">
        <v>45761</v>
      </c>
      <c r="B323" vm="959">
        <v>234.72</v>
      </c>
    </row>
    <row r="324" spans="1:2" x14ac:dyDescent="0.25">
      <c r="A324" s="20">
        <v>45761</v>
      </c>
      <c r="B324" vm="962">
        <v>233.13</v>
      </c>
    </row>
    <row r="325" spans="1:2" x14ac:dyDescent="0.25">
      <c r="A325" s="20">
        <v>45761</v>
      </c>
      <c r="B325" vm="965">
        <v>229.61</v>
      </c>
    </row>
    <row r="326" spans="1:2" x14ac:dyDescent="0.25">
      <c r="A326" s="20">
        <v>45761</v>
      </c>
      <c r="B326" vm="968">
        <v>231.96</v>
      </c>
    </row>
    <row r="327" spans="1:2" x14ac:dyDescent="0.25">
      <c r="A327" s="20">
        <v>45768</v>
      </c>
      <c r="B327" vm="971">
        <v>228.99</v>
      </c>
    </row>
    <row r="328" spans="1:2" x14ac:dyDescent="0.25">
      <c r="A328" s="20">
        <v>45768</v>
      </c>
      <c r="B328" vm="974">
        <v>235.59</v>
      </c>
    </row>
    <row r="329" spans="1:2" x14ac:dyDescent="0.25">
      <c r="A329" s="20">
        <v>45768</v>
      </c>
      <c r="B329" vm="977">
        <v>240.88</v>
      </c>
    </row>
    <row r="330" spans="1:2" x14ac:dyDescent="0.25">
      <c r="A330" s="20">
        <v>45768</v>
      </c>
      <c r="B330" vm="980">
        <v>244.64</v>
      </c>
    </row>
    <row r="331" spans="1:2" x14ac:dyDescent="0.25">
      <c r="A331" s="20">
        <v>45768</v>
      </c>
      <c r="B331" vm="983">
        <v>243.55</v>
      </c>
    </row>
    <row r="332" spans="1:2" x14ac:dyDescent="0.25">
      <c r="A332" s="20">
        <v>45775</v>
      </c>
      <c r="B332" vm="986">
        <v>243.22</v>
      </c>
    </row>
    <row r="333" spans="1:2" x14ac:dyDescent="0.25">
      <c r="A333" s="20">
        <v>45775</v>
      </c>
      <c r="B333" vm="989">
        <v>244.62</v>
      </c>
    </row>
    <row r="334" spans="1:2" x14ac:dyDescent="0.25">
      <c r="A334" s="20">
        <v>45775</v>
      </c>
      <c r="B334" vm="989">
        <v>244.62</v>
      </c>
    </row>
    <row r="335" spans="1:2" x14ac:dyDescent="0.25">
      <c r="A335" s="20">
        <v>45775</v>
      </c>
      <c r="B335" vm="994">
        <v>246.89</v>
      </c>
    </row>
    <row r="336" spans="1:2" x14ac:dyDescent="0.25">
      <c r="A336" s="20">
        <v>45775</v>
      </c>
      <c r="B336" vm="997">
        <v>252.51</v>
      </c>
    </row>
    <row r="337" spans="1:2" x14ac:dyDescent="0.25">
      <c r="A337" s="20">
        <v>45782</v>
      </c>
      <c r="B337" vm="1000">
        <v>252.56</v>
      </c>
    </row>
    <row r="338" spans="1:2" x14ac:dyDescent="0.25">
      <c r="A338" s="20">
        <v>45782</v>
      </c>
      <c r="B338" vm="1003">
        <v>249.25</v>
      </c>
    </row>
    <row r="339" spans="1:2" x14ac:dyDescent="0.25">
      <c r="A339" s="20">
        <v>45782</v>
      </c>
      <c r="B339" vm="1006">
        <v>249.39</v>
      </c>
    </row>
    <row r="340" spans="1:2" x14ac:dyDescent="0.25">
      <c r="A340" s="20">
        <v>45782</v>
      </c>
      <c r="B340" vm="1009">
        <v>253.47</v>
      </c>
    </row>
    <row r="341" spans="1:2" x14ac:dyDescent="0.25">
      <c r="A341" s="20">
        <v>45782</v>
      </c>
      <c r="B341" vm="1012">
        <v>253.08</v>
      </c>
    </row>
    <row r="342" spans="1:2" x14ac:dyDescent="0.25">
      <c r="A342" s="20">
        <v>45789</v>
      </c>
      <c r="B342" vm="1015">
        <v>260.05</v>
      </c>
    </row>
    <row r="343" spans="1:2" x14ac:dyDescent="0.25">
      <c r="A343" s="20">
        <v>45789</v>
      </c>
      <c r="B343" vm="1018">
        <v>263.01</v>
      </c>
    </row>
    <row r="344" spans="1:2" x14ac:dyDescent="0.25">
      <c r="A344" s="20">
        <v>45789</v>
      </c>
      <c r="B344" vm="1021">
        <v>265.64</v>
      </c>
    </row>
    <row r="345" spans="1:2" x14ac:dyDescent="0.25">
      <c r="A345" s="20">
        <v>45789</v>
      </c>
      <c r="B345" vm="1024">
        <v>267.49</v>
      </c>
    </row>
    <row r="346" spans="1:2" x14ac:dyDescent="0.25">
      <c r="A346" s="20">
        <v>45789</v>
      </c>
      <c r="B346" vm="1027">
        <v>267.56</v>
      </c>
    </row>
    <row r="347" spans="1:2" x14ac:dyDescent="0.25">
      <c r="A347" s="20">
        <v>45796</v>
      </c>
      <c r="B347" vm="1030">
        <v>264.88</v>
      </c>
    </row>
    <row r="348" spans="1:2" x14ac:dyDescent="0.25">
      <c r="A348" s="20">
        <v>45796</v>
      </c>
      <c r="B348" vm="1033">
        <v>265.68</v>
      </c>
    </row>
    <row r="349" spans="1:2" x14ac:dyDescent="0.25">
      <c r="A349" s="20">
        <v>45796</v>
      </c>
      <c r="B349" vm="1036">
        <v>261.04000000000002</v>
      </c>
    </row>
    <row r="350" spans="1:2" x14ac:dyDescent="0.25">
      <c r="A350" s="20">
        <v>45796</v>
      </c>
      <c r="B350" vm="1039">
        <v>260.67</v>
      </c>
    </row>
    <row r="351" spans="1:2" x14ac:dyDescent="0.25">
      <c r="A351" s="20">
        <v>45796</v>
      </c>
      <c r="B351" vm="1042">
        <v>260.70999999999998</v>
      </c>
    </row>
    <row r="352" spans="1:2" x14ac:dyDescent="0.25">
      <c r="A352" s="20">
        <v>45803</v>
      </c>
      <c r="B352" vm="1045">
        <v>265.29000000000002</v>
      </c>
    </row>
    <row r="353" spans="1:2" x14ac:dyDescent="0.25">
      <c r="A353" s="20">
        <v>45803</v>
      </c>
      <c r="B353" vm="1048">
        <v>263.49</v>
      </c>
    </row>
    <row r="354" spans="1:2" x14ac:dyDescent="0.25">
      <c r="A354" s="20">
        <v>45803</v>
      </c>
      <c r="B354" vm="1051">
        <v>264.37</v>
      </c>
    </row>
    <row r="355" spans="1:2" x14ac:dyDescent="0.25">
      <c r="A355" s="20">
        <v>45803</v>
      </c>
      <c r="B355" vm="1054">
        <v>264</v>
      </c>
    </row>
    <row r="356" spans="1:2" x14ac:dyDescent="0.25">
      <c r="A356" s="20">
        <v>45810</v>
      </c>
      <c r="B356" vm="1057">
        <v>264.66000000000003</v>
      </c>
    </row>
    <row r="357" spans="1:2" x14ac:dyDescent="0.25">
      <c r="A357" s="20">
        <v>45810</v>
      </c>
      <c r="B357" vm="1060">
        <v>266.27</v>
      </c>
    </row>
    <row r="358" spans="1:2" x14ac:dyDescent="0.25">
      <c r="A358" s="20">
        <v>45810</v>
      </c>
      <c r="B358" vm="1063">
        <v>264.22000000000003</v>
      </c>
    </row>
    <row r="359" spans="1:2" x14ac:dyDescent="0.25">
      <c r="A359" s="20">
        <v>45810</v>
      </c>
      <c r="B359" vm="1066">
        <v>261.95</v>
      </c>
    </row>
    <row r="360" spans="1:2" x14ac:dyDescent="0.25">
      <c r="A360" s="20">
        <v>45810</v>
      </c>
      <c r="B360" vm="1069">
        <v>265.73</v>
      </c>
    </row>
    <row r="361" spans="1:2" x14ac:dyDescent="0.25">
      <c r="A361" s="20">
        <v>45817</v>
      </c>
      <c r="B361" vm="1072">
        <v>266.74</v>
      </c>
    </row>
    <row r="362" spans="1:2" x14ac:dyDescent="0.25">
      <c r="A362" s="20">
        <v>45817</v>
      </c>
      <c r="B362" vm="1075">
        <v>268.60000000000002</v>
      </c>
    </row>
    <row r="363" spans="1:2" x14ac:dyDescent="0.25">
      <c r="A363" s="20">
        <v>45817</v>
      </c>
      <c r="B363" vm="1078">
        <v>268.14999999999998</v>
      </c>
    </row>
    <row r="364" spans="1:2" x14ac:dyDescent="0.25">
      <c r="A364" s="20">
        <v>45817</v>
      </c>
      <c r="B364" vm="1081">
        <v>268.24</v>
      </c>
    </row>
    <row r="365" spans="1:2" x14ac:dyDescent="0.25">
      <c r="A365" s="20">
        <v>45817</v>
      </c>
      <c r="B365" vm="1084">
        <v>264.95</v>
      </c>
    </row>
    <row r="366" spans="1:2" x14ac:dyDescent="0.25">
      <c r="A366" s="20">
        <v>45824</v>
      </c>
      <c r="B366" vm="1087">
        <v>270.36</v>
      </c>
    </row>
    <row r="367" spans="1:2" x14ac:dyDescent="0.25">
      <c r="A367" s="20">
        <v>45824</v>
      </c>
      <c r="B367" vm="1090">
        <v>269.52</v>
      </c>
    </row>
    <row r="368" spans="1:2" x14ac:dyDescent="0.25">
      <c r="A368" s="20">
        <v>45824</v>
      </c>
      <c r="B368" vm="1093">
        <v>273.95999999999998</v>
      </c>
    </row>
    <row r="369" spans="1:2" x14ac:dyDescent="0.25">
      <c r="A369" s="20">
        <v>45824</v>
      </c>
      <c r="B369" vm="1096">
        <v>275</v>
      </c>
    </row>
    <row r="370" spans="1:2" x14ac:dyDescent="0.25">
      <c r="A370" s="20">
        <v>45831</v>
      </c>
      <c r="B370" vm="1099">
        <v>278.27</v>
      </c>
    </row>
    <row r="371" spans="1:2" x14ac:dyDescent="0.25">
      <c r="A371" s="20">
        <v>45831</v>
      </c>
      <c r="B371" vm="1102">
        <v>281.26</v>
      </c>
    </row>
    <row r="372" spans="1:2" x14ac:dyDescent="0.25">
      <c r="A372" s="20">
        <v>45831</v>
      </c>
      <c r="B372" vm="1105">
        <v>284.06</v>
      </c>
    </row>
    <row r="373" spans="1:2" x14ac:dyDescent="0.25">
      <c r="A373" s="20">
        <v>45831</v>
      </c>
      <c r="B373" vm="1108">
        <v>288.75</v>
      </c>
    </row>
    <row r="374" spans="1:2" x14ac:dyDescent="0.25">
      <c r="A374" s="20">
        <v>45831</v>
      </c>
      <c r="B374" vm="1111">
        <v>287.11</v>
      </c>
    </row>
    <row r="375" spans="1:2" x14ac:dyDescent="0.25">
      <c r="A375" s="20">
        <v>45838</v>
      </c>
      <c r="B375" vm="1114">
        <v>289.91000000000003</v>
      </c>
    </row>
    <row r="376" spans="1:2" x14ac:dyDescent="0.25">
      <c r="A376" s="20">
        <v>45838</v>
      </c>
      <c r="B376" vm="1117">
        <v>290.41000000000003</v>
      </c>
    </row>
    <row r="377" spans="1:2" x14ac:dyDescent="0.25">
      <c r="A377" s="20">
        <v>45838</v>
      </c>
      <c r="B377" vm="1120">
        <v>292</v>
      </c>
    </row>
    <row r="378" spans="1:2" x14ac:dyDescent="0.25">
      <c r="A378" s="20">
        <v>45838</v>
      </c>
      <c r="B378" vm="1123">
        <v>296</v>
      </c>
    </row>
    <row r="379" spans="1:2" x14ac:dyDescent="0.25">
      <c r="A379" s="20">
        <v>45845</v>
      </c>
      <c r="B379" vm="1126">
        <v>291.97000000000003</v>
      </c>
    </row>
    <row r="380" spans="1:2" x14ac:dyDescent="0.25">
      <c r="A380" s="20">
        <v>45845</v>
      </c>
      <c r="B380" vm="1129">
        <v>282.77999999999997</v>
      </c>
    </row>
    <row r="381" spans="1:2" x14ac:dyDescent="0.25">
      <c r="A381" s="20">
        <v>45845</v>
      </c>
      <c r="B381" vm="1132">
        <v>283.16000000000003</v>
      </c>
    </row>
    <row r="382" spans="1:2" x14ac:dyDescent="0.25">
      <c r="A382" s="20">
        <v>45845</v>
      </c>
      <c r="B382" vm="1135">
        <v>288.19</v>
      </c>
    </row>
    <row r="383" spans="1:2" x14ac:dyDescent="0.25">
      <c r="A383" s="20">
        <v>45845</v>
      </c>
      <c r="B383" vm="1138">
        <v>286.86</v>
      </c>
    </row>
    <row r="384" spans="1:2" x14ac:dyDescent="0.25">
      <c r="A384" s="20">
        <v>45852</v>
      </c>
      <c r="B384" vm="1141">
        <v>288.7</v>
      </c>
    </row>
    <row r="385" spans="1:2" x14ac:dyDescent="0.25">
      <c r="A385" s="20">
        <v>45852</v>
      </c>
      <c r="B385" vm="1144">
        <v>286.55</v>
      </c>
    </row>
    <row r="386" spans="1:2" x14ac:dyDescent="0.25">
      <c r="A386" s="20">
        <v>45852</v>
      </c>
      <c r="B386" vm="1147">
        <v>285.82</v>
      </c>
    </row>
    <row r="387" spans="1:2" x14ac:dyDescent="0.25">
      <c r="A387" s="20">
        <v>45852</v>
      </c>
      <c r="B387" vm="1150">
        <v>289.89999999999998</v>
      </c>
    </row>
    <row r="388" spans="1:2" x14ac:dyDescent="0.25">
      <c r="A388" s="20">
        <v>45852</v>
      </c>
      <c r="B388" vm="1153">
        <v>291.27</v>
      </c>
    </row>
    <row r="389" spans="1:2" x14ac:dyDescent="0.25">
      <c r="A389" s="20">
        <v>45859</v>
      </c>
      <c r="B389" vm="1156">
        <v>290.97000000000003</v>
      </c>
    </row>
    <row r="390" spans="1:2" x14ac:dyDescent="0.25">
      <c r="A390" s="20">
        <v>45859</v>
      </c>
      <c r="B390" vm="1159">
        <v>291.43</v>
      </c>
    </row>
    <row r="391" spans="1:2" x14ac:dyDescent="0.25">
      <c r="A391" s="20">
        <v>45859</v>
      </c>
      <c r="B391" vm="1162">
        <v>296.76</v>
      </c>
    </row>
    <row r="392" spans="1:2" x14ac:dyDescent="0.25">
      <c r="A392" s="20">
        <v>45859</v>
      </c>
      <c r="B392" vm="1165">
        <v>296.55</v>
      </c>
    </row>
    <row r="393" spans="1:2" x14ac:dyDescent="0.25">
      <c r="A393" s="20">
        <v>45859</v>
      </c>
      <c r="B393" vm="1168">
        <v>298.62</v>
      </c>
    </row>
    <row r="394" spans="1:2" x14ac:dyDescent="0.25">
      <c r="A394" s="20">
        <v>45866</v>
      </c>
      <c r="B394" vm="1171">
        <v>298.27999999999997</v>
      </c>
    </row>
    <row r="395" spans="1:2" x14ac:dyDescent="0.25">
      <c r="A395" s="20">
        <v>45866</v>
      </c>
      <c r="B395" vm="1174">
        <v>297.04000000000002</v>
      </c>
    </row>
    <row r="396" spans="1:2" x14ac:dyDescent="0.25">
      <c r="A396" s="20">
        <v>45866</v>
      </c>
      <c r="B396" vm="1177">
        <v>299.63</v>
      </c>
    </row>
    <row r="397" spans="1:2" x14ac:dyDescent="0.25">
      <c r="A397" s="20">
        <v>45866</v>
      </c>
      <c r="B397" vm="1180">
        <v>296.24</v>
      </c>
    </row>
    <row r="398" spans="1:2" x14ac:dyDescent="0.25">
      <c r="A398" s="20">
        <v>45866</v>
      </c>
      <c r="B398" vm="1183">
        <v>289.37</v>
      </c>
    </row>
    <row r="399" spans="1:2" x14ac:dyDescent="0.25">
      <c r="A399" s="20">
        <v>45873</v>
      </c>
      <c r="B399" vm="1186">
        <v>294.26</v>
      </c>
    </row>
    <row r="400" spans="1:2" x14ac:dyDescent="0.25">
      <c r="A400" s="20">
        <v>45873</v>
      </c>
      <c r="B400" vm="1189">
        <v>291.37</v>
      </c>
    </row>
    <row r="401" spans="1:2" x14ac:dyDescent="0.25">
      <c r="A401" s="20">
        <v>45873</v>
      </c>
      <c r="B401" vm="1192">
        <v>291.35000000000002</v>
      </c>
    </row>
    <row r="402" spans="1:2" x14ac:dyDescent="0.25">
      <c r="A402" s="20">
        <v>45873</v>
      </c>
      <c r="B402" vm="1195">
        <v>286.94</v>
      </c>
    </row>
    <row r="403" spans="1:2" x14ac:dyDescent="0.25">
      <c r="A403" s="20">
        <v>45873</v>
      </c>
      <c r="B403" vm="1198">
        <v>288.76</v>
      </c>
    </row>
    <row r="404" spans="1:2" x14ac:dyDescent="0.25">
      <c r="A404" s="20">
        <v>45880</v>
      </c>
      <c r="B404" vm="1201">
        <v>289.56</v>
      </c>
    </row>
    <row r="405" spans="1:2" x14ac:dyDescent="0.25">
      <c r="A405" s="20">
        <v>45880</v>
      </c>
      <c r="B405" vm="1204">
        <v>292.85000000000002</v>
      </c>
    </row>
    <row r="406" spans="1:2" x14ac:dyDescent="0.25">
      <c r="A406" s="20">
        <v>45880</v>
      </c>
      <c r="B406" vm="1207">
        <v>290.52999999999997</v>
      </c>
    </row>
    <row r="407" spans="1:2" x14ac:dyDescent="0.25">
      <c r="A407" s="20">
        <v>45880</v>
      </c>
      <c r="B407" vm="1210">
        <v>294.16000000000003</v>
      </c>
    </row>
    <row r="408" spans="1:2" x14ac:dyDescent="0.25">
      <c r="A408" s="20">
        <v>45880</v>
      </c>
      <c r="B408" vm="1213">
        <v>290.49</v>
      </c>
    </row>
    <row r="409" spans="1:2" x14ac:dyDescent="0.25">
      <c r="A409" s="20">
        <v>45887</v>
      </c>
      <c r="B409" vm="1216">
        <v>291.52999999999997</v>
      </c>
    </row>
    <row r="410" spans="1:2" x14ac:dyDescent="0.25">
      <c r="A410" s="20">
        <v>45887</v>
      </c>
      <c r="B410" vm="1219">
        <v>290.66000000000003</v>
      </c>
    </row>
    <row r="411" spans="1:2" x14ac:dyDescent="0.25">
      <c r="A411" s="20">
        <v>45887</v>
      </c>
      <c r="B411" vm="1222">
        <v>292.24</v>
      </c>
    </row>
    <row r="412" spans="1:2" x14ac:dyDescent="0.25">
      <c r="A412" s="20">
        <v>45887</v>
      </c>
      <c r="B412" vm="1225">
        <v>291.47000000000003</v>
      </c>
    </row>
    <row r="413" spans="1:2" x14ac:dyDescent="0.25">
      <c r="A413" s="20">
        <v>45887</v>
      </c>
      <c r="B413" vm="1180">
        <v>296.24</v>
      </c>
    </row>
    <row r="414" spans="1:2" x14ac:dyDescent="0.25">
      <c r="A414" s="20">
        <v>45894</v>
      </c>
      <c r="B414" vm="1230">
        <v>294.89999999999998</v>
      </c>
    </row>
    <row r="415" spans="1:2" x14ac:dyDescent="0.25">
      <c r="A415" s="20">
        <v>45894</v>
      </c>
      <c r="B415" vm="1233">
        <v>298.57</v>
      </c>
    </row>
    <row r="416" spans="1:2" x14ac:dyDescent="0.25">
      <c r="A416" s="20">
        <v>45894</v>
      </c>
      <c r="B416" vm="1236">
        <v>299.27999999999997</v>
      </c>
    </row>
    <row r="417" spans="1:2" x14ac:dyDescent="0.25">
      <c r="A417" s="20">
        <v>45894</v>
      </c>
      <c r="B417" vm="1239">
        <v>301.07</v>
      </c>
    </row>
    <row r="418" spans="1:2" x14ac:dyDescent="0.25">
      <c r="A418" s="20">
        <v>45894</v>
      </c>
      <c r="B418" vm="1242">
        <v>301.42</v>
      </c>
    </row>
    <row r="419" spans="1:2" x14ac:dyDescent="0.25">
      <c r="A419" s="20">
        <v>45901</v>
      </c>
      <c r="B419" vm="1245">
        <v>299.7</v>
      </c>
    </row>
    <row r="420" spans="1:2" x14ac:dyDescent="0.25">
      <c r="A420" s="20">
        <v>45901</v>
      </c>
      <c r="B420" vm="1248">
        <v>299.51</v>
      </c>
    </row>
    <row r="421" spans="1:2" x14ac:dyDescent="0.25">
      <c r="A421" s="20">
        <v>45901</v>
      </c>
      <c r="B421" vm="1251">
        <v>303.82</v>
      </c>
    </row>
    <row r="422" spans="1:2" x14ac:dyDescent="0.25">
      <c r="A422" s="20">
        <v>45901</v>
      </c>
      <c r="B422" vm="1254">
        <v>294.38</v>
      </c>
    </row>
    <row r="423" spans="1:2" x14ac:dyDescent="0.25">
      <c r="A423" s="20">
        <v>45908</v>
      </c>
      <c r="B423" vm="1257">
        <v>292.91000000000003</v>
      </c>
    </row>
    <row r="424" spans="1:2" x14ac:dyDescent="0.25">
      <c r="A424" s="20">
        <v>45908</v>
      </c>
      <c r="B424" vm="1260">
        <v>297.85000000000002</v>
      </c>
    </row>
    <row r="425" spans="1:2" x14ac:dyDescent="0.25">
      <c r="A425" s="20">
        <v>45908</v>
      </c>
      <c r="B425" vm="1263">
        <v>300.54000000000002</v>
      </c>
    </row>
    <row r="426" spans="1:2" x14ac:dyDescent="0.25">
      <c r="A426" s="20">
        <v>45908</v>
      </c>
      <c r="B426" vm="1266">
        <v>305.56</v>
      </c>
    </row>
    <row r="427" spans="1:2" x14ac:dyDescent="0.25">
      <c r="A427" s="20">
        <v>45908</v>
      </c>
      <c r="B427" vm="1269">
        <v>306.91000000000003</v>
      </c>
    </row>
    <row r="428" spans="1:2" x14ac:dyDescent="0.25">
      <c r="A428" s="20">
        <v>45915</v>
      </c>
      <c r="B428" vm="1272">
        <v>308.89999999999998</v>
      </c>
    </row>
    <row r="429" spans="1:2" x14ac:dyDescent="0.25">
      <c r="A429" s="20">
        <v>45915</v>
      </c>
      <c r="B429" vm="1275">
        <v>309.19</v>
      </c>
    </row>
    <row r="430" spans="1:2" x14ac:dyDescent="0.25">
      <c r="A430" s="20">
        <v>45915</v>
      </c>
      <c r="B430" vm="1278">
        <v>311.75</v>
      </c>
    </row>
    <row r="431" spans="1:2" x14ac:dyDescent="0.25">
      <c r="A431" s="20">
        <v>45915</v>
      </c>
      <c r="B431" vm="1281">
        <v>313.23</v>
      </c>
    </row>
    <row r="432" spans="1:2" x14ac:dyDescent="0.25">
      <c r="A432" s="20">
        <v>45915</v>
      </c>
      <c r="B432" vm="1284">
        <v>314.77999999999997</v>
      </c>
    </row>
    <row r="433" spans="1:2" x14ac:dyDescent="0.25">
      <c r="A433" s="20">
        <v>45922</v>
      </c>
      <c r="B433" vm="1287">
        <v>312.44</v>
      </c>
    </row>
    <row r="434" spans="1:2" x14ac:dyDescent="0.25">
      <c r="A434" s="20">
        <v>45922</v>
      </c>
      <c r="B434" vm="1290">
        <v>312.74</v>
      </c>
    </row>
    <row r="435" spans="1:2" x14ac:dyDescent="0.25">
      <c r="A435" s="20">
        <v>45922</v>
      </c>
      <c r="B435" vm="1293">
        <v>313.42</v>
      </c>
    </row>
    <row r="436" spans="1:2" x14ac:dyDescent="0.25">
      <c r="A436" s="20">
        <v>45922</v>
      </c>
      <c r="B436" vm="1296">
        <v>313.45</v>
      </c>
    </row>
    <row r="437" spans="1:2" x14ac:dyDescent="0.25">
      <c r="A437" s="20">
        <v>45922</v>
      </c>
      <c r="B437" vm="1299">
        <v>316.06</v>
      </c>
    </row>
    <row r="438" spans="1:2" x14ac:dyDescent="0.25">
      <c r="A438" s="20">
        <v>45929</v>
      </c>
      <c r="B438" vm="1302">
        <v>315.69</v>
      </c>
    </row>
    <row r="439" spans="1:2" x14ac:dyDescent="0.25">
      <c r="A439" s="20">
        <v>45929</v>
      </c>
      <c r="B439" vm="1305">
        <v>315.43</v>
      </c>
    </row>
    <row r="440" spans="1:2" x14ac:dyDescent="0.25">
      <c r="A440" s="20">
        <v>45929</v>
      </c>
      <c r="B440" vm="1308">
        <v>310.70999999999998</v>
      </c>
    </row>
    <row r="441" spans="1:2" x14ac:dyDescent="0.25">
      <c r="A441" s="20">
        <v>45929</v>
      </c>
      <c r="B441" vm="1311">
        <v>307.55</v>
      </c>
    </row>
    <row r="442" spans="1:2" x14ac:dyDescent="0.25">
      <c r="A442" s="20">
        <v>45929</v>
      </c>
      <c r="B442" vm="1314">
        <v>310.02999999999997</v>
      </c>
    </row>
    <row r="443" spans="1:2" x14ac:dyDescent="0.25">
      <c r="A443" s="20">
        <v>45936</v>
      </c>
      <c r="B443" vm="1317">
        <v>309.18</v>
      </c>
    </row>
    <row r="444" spans="1:2" x14ac:dyDescent="0.25">
      <c r="A444" s="20">
        <v>45936</v>
      </c>
      <c r="B444" vm="1320">
        <v>307.69</v>
      </c>
    </row>
    <row r="445" spans="1:2" x14ac:dyDescent="0.25">
      <c r="A445" s="20">
        <v>45936</v>
      </c>
      <c r="B445" vm="1323">
        <v>304.02999999999997</v>
      </c>
    </row>
    <row r="446" spans="1:2" x14ac:dyDescent="0.25">
      <c r="A446" s="20">
        <v>45936</v>
      </c>
      <c r="B446" vm="1326">
        <v>305.52999999999997</v>
      </c>
    </row>
    <row r="447" spans="1:2" x14ac:dyDescent="0.25">
      <c r="A447" s="20">
        <v>45936</v>
      </c>
      <c r="B447" vm="1329">
        <v>300.89</v>
      </c>
    </row>
    <row r="448" spans="1:2" x14ac:dyDescent="0.25">
      <c r="A448" s="20">
        <v>45943</v>
      </c>
      <c r="B448" vm="1332">
        <v>307.97000000000003</v>
      </c>
    </row>
    <row r="449" spans="1:2" x14ac:dyDescent="0.25">
      <c r="A449" s="20">
        <v>45943</v>
      </c>
      <c r="B449" vm="1335">
        <v>302.08</v>
      </c>
    </row>
    <row r="450" spans="1:2" x14ac:dyDescent="0.25">
      <c r="A450" s="20">
        <v>45943</v>
      </c>
      <c r="B450" vm="1338">
        <v>305.69</v>
      </c>
    </row>
    <row r="451" spans="1:2" x14ac:dyDescent="0.25">
      <c r="A451" s="20">
        <v>45943</v>
      </c>
      <c r="B451" vm="1341">
        <v>298.54000000000002</v>
      </c>
    </row>
    <row r="452" spans="1:2" x14ac:dyDescent="0.25">
      <c r="A452" s="20">
        <v>45943</v>
      </c>
      <c r="B452" vm="1344">
        <v>297.56</v>
      </c>
    </row>
    <row r="453" spans="1:2" x14ac:dyDescent="0.25">
      <c r="A453" s="20">
        <v>45950</v>
      </c>
      <c r="B453" vm="1347">
        <v>302.36</v>
      </c>
    </row>
    <row r="454" spans="1:2" x14ac:dyDescent="0.25">
      <c r="A454" s="20">
        <v>45950</v>
      </c>
      <c r="B454" vm="1350">
        <v>297.08999999999997</v>
      </c>
    </row>
    <row r="455" spans="1:2" x14ac:dyDescent="0.25">
      <c r="A455" s="20">
        <v>45950</v>
      </c>
      <c r="B455" vm="1353">
        <v>294.11</v>
      </c>
    </row>
    <row r="456" spans="1:2" x14ac:dyDescent="0.25">
      <c r="A456" s="20">
        <v>45950</v>
      </c>
      <c r="B456" vm="1356">
        <v>294.54000000000002</v>
      </c>
    </row>
    <row r="457" spans="1:2" x14ac:dyDescent="0.25">
      <c r="A457" s="20">
        <v>45950</v>
      </c>
      <c r="B457" vm="1359">
        <v>300.44</v>
      </c>
    </row>
    <row r="458" spans="1:2" x14ac:dyDescent="0.25">
      <c r="A458" s="20">
        <v>45957</v>
      </c>
      <c r="B458" vm="1362">
        <v>304.14999999999998</v>
      </c>
    </row>
    <row r="459" spans="1:2" x14ac:dyDescent="0.25">
      <c r="A459" s="20">
        <v>45957</v>
      </c>
      <c r="B459" vm="1365">
        <v>305.36</v>
      </c>
    </row>
    <row r="460" spans="1:2" x14ac:dyDescent="0.25">
      <c r="A460" s="20">
        <v>45957</v>
      </c>
      <c r="B460" vm="1368">
        <v>305.51</v>
      </c>
    </row>
    <row r="461" spans="1:2" x14ac:dyDescent="0.25">
      <c r="A461" s="20">
        <v>45957</v>
      </c>
      <c r="B461" vm="1371">
        <v>309.44</v>
      </c>
    </row>
    <row r="462" spans="1:2" x14ac:dyDescent="0.25">
      <c r="A462" s="20">
        <v>45957</v>
      </c>
      <c r="B462" vm="1374">
        <v>311.12</v>
      </c>
    </row>
    <row r="463" spans="1:2" x14ac:dyDescent="0.25">
      <c r="A463" s="20">
        <v>45964</v>
      </c>
      <c r="B463" vm="1377">
        <v>309.35000000000002</v>
      </c>
    </row>
    <row r="464" spans="1:2" x14ac:dyDescent="0.25">
      <c r="A464" s="20">
        <v>45964</v>
      </c>
      <c r="B464" vm="1380">
        <v>309.25</v>
      </c>
    </row>
    <row r="465" spans="1:2" x14ac:dyDescent="0.25">
      <c r="A465" s="20">
        <v>45964</v>
      </c>
      <c r="B465" vm="1383">
        <v>311.68</v>
      </c>
    </row>
    <row r="466" spans="1:2" x14ac:dyDescent="0.25">
      <c r="A466" s="20">
        <v>45964</v>
      </c>
      <c r="B466" vm="1293">
        <v>313.42</v>
      </c>
    </row>
    <row r="467" spans="1:2" x14ac:dyDescent="0.25">
      <c r="A467" s="20">
        <v>45964</v>
      </c>
      <c r="B467" vm="1388">
        <v>314.20999999999998</v>
      </c>
    </row>
    <row r="468" spans="1:2" x14ac:dyDescent="0.25">
      <c r="A468" s="20">
        <v>45971</v>
      </c>
      <c r="B468" vm="1391">
        <v>316.89</v>
      </c>
    </row>
    <row r="469" spans="1:2" x14ac:dyDescent="0.25">
      <c r="A469" s="20">
        <v>45971</v>
      </c>
      <c r="B469" vm="1394">
        <v>315.62</v>
      </c>
    </row>
    <row r="470" spans="1:2" x14ac:dyDescent="0.25">
      <c r="A470" s="20">
        <v>45971</v>
      </c>
      <c r="B470" vm="1397">
        <v>320.41000000000003</v>
      </c>
    </row>
    <row r="471" spans="1:2" x14ac:dyDescent="0.25">
      <c r="A471" s="20">
        <v>45971</v>
      </c>
      <c r="B471" vm="1400">
        <v>309.48</v>
      </c>
    </row>
    <row r="472" spans="1:2" x14ac:dyDescent="0.25">
      <c r="A472" s="20">
        <v>45971</v>
      </c>
      <c r="B472" vm="1403">
        <v>303.61</v>
      </c>
    </row>
    <row r="473" spans="1:2" x14ac:dyDescent="0.25">
      <c r="A473" s="20">
        <v>45978</v>
      </c>
      <c r="B473" vm="1406">
        <v>300.37</v>
      </c>
    </row>
    <row r="474" spans="1:2" x14ac:dyDescent="0.25">
      <c r="A474" s="20">
        <v>45978</v>
      </c>
      <c r="B474" vm="1409">
        <v>299.41000000000003</v>
      </c>
    </row>
    <row r="475" spans="1:2" x14ac:dyDescent="0.25">
      <c r="A475" s="20">
        <v>45978</v>
      </c>
      <c r="B475" vm="1412">
        <v>303.27</v>
      </c>
    </row>
    <row r="476" spans="1:2" x14ac:dyDescent="0.25">
      <c r="A476" s="20">
        <v>45978</v>
      </c>
      <c r="B476" vm="1415">
        <v>298.38</v>
      </c>
    </row>
    <row r="477" spans="1:2" x14ac:dyDescent="0.25">
      <c r="A477" s="20">
        <v>45978</v>
      </c>
      <c r="B477" vm="1418">
        <v>298.02</v>
      </c>
    </row>
    <row r="478" spans="1:2" x14ac:dyDescent="0.25">
      <c r="A478" s="20">
        <v>45985</v>
      </c>
      <c r="B478" vm="1421">
        <v>298</v>
      </c>
    </row>
    <row r="479" spans="1:2" x14ac:dyDescent="0.25">
      <c r="A479" s="20">
        <v>45985</v>
      </c>
      <c r="B479" vm="1424">
        <v>303</v>
      </c>
    </row>
    <row r="480" spans="1:2" x14ac:dyDescent="0.25">
      <c r="A480" s="20">
        <v>45985</v>
      </c>
      <c r="B480" vm="1427">
        <v>307.64</v>
      </c>
    </row>
    <row r="481" spans="1:2" x14ac:dyDescent="0.25">
      <c r="A481" s="20">
        <v>45985</v>
      </c>
      <c r="B481" vm="1430">
        <v>313.08</v>
      </c>
    </row>
    <row r="482" spans="1:2" x14ac:dyDescent="0.25">
      <c r="A482" s="20">
        <v>45992</v>
      </c>
      <c r="B482" vm="1433">
        <v>308.92</v>
      </c>
    </row>
    <row r="483" spans="1:2" x14ac:dyDescent="0.25">
      <c r="A483" s="20">
        <v>45992</v>
      </c>
      <c r="B483" vm="1436">
        <v>307.88</v>
      </c>
    </row>
    <row r="484" spans="1:2" x14ac:dyDescent="0.25">
      <c r="A484" s="20">
        <v>45992</v>
      </c>
      <c r="B484" vm="1439">
        <v>312.13</v>
      </c>
    </row>
    <row r="485" spans="1:2" x14ac:dyDescent="0.25">
      <c r="A485" s="20">
        <v>45992</v>
      </c>
      <c r="B485" vm="1442">
        <v>316.10000000000002</v>
      </c>
    </row>
    <row r="486" spans="1:2" x14ac:dyDescent="0.25">
      <c r="A486" s="20">
        <v>45992</v>
      </c>
      <c r="B486" vm="1445">
        <v>315.04000000000002</v>
      </c>
    </row>
    <row r="487" spans="1:2" x14ac:dyDescent="0.25">
      <c r="A487" s="20">
        <v>45999</v>
      </c>
      <c r="B487" vm="1448">
        <v>315.20999999999998</v>
      </c>
    </row>
    <row r="488" spans="1:2" x14ac:dyDescent="0.25">
      <c r="A488" s="20">
        <v>45999</v>
      </c>
      <c r="B488" vm="1451">
        <v>300.51</v>
      </c>
    </row>
    <row r="489" spans="1:2" x14ac:dyDescent="0.25">
      <c r="A489" s="20">
        <v>45999</v>
      </c>
      <c r="B489" vm="1454">
        <v>310.11</v>
      </c>
    </row>
    <row r="490" spans="1:2" x14ac:dyDescent="0.25">
      <c r="A490" s="20">
        <v>45999</v>
      </c>
      <c r="B490" vm="1457">
        <v>317.38</v>
      </c>
    </row>
    <row r="491" spans="1:2" x14ac:dyDescent="0.25">
      <c r="A491" s="20">
        <v>45999</v>
      </c>
      <c r="B491" vm="1460">
        <v>318.52</v>
      </c>
    </row>
    <row r="492" spans="1:2" x14ac:dyDescent="0.25">
      <c r="A492" s="20">
        <v>46006</v>
      </c>
      <c r="B492" vm="1463">
        <v>320.02</v>
      </c>
    </row>
    <row r="493" spans="1:2" x14ac:dyDescent="0.25">
      <c r="A493" s="20">
        <v>46006</v>
      </c>
      <c r="B493" vm="1466">
        <v>315.55</v>
      </c>
    </row>
    <row r="494" spans="1:2" x14ac:dyDescent="0.25">
      <c r="A494" s="20">
        <v>46006</v>
      </c>
      <c r="B494" vm="1469">
        <v>314.98</v>
      </c>
    </row>
    <row r="495" spans="1:2" x14ac:dyDescent="0.25">
      <c r="A495" s="20">
        <v>46006</v>
      </c>
      <c r="B495" vm="1472">
        <v>313</v>
      </c>
    </row>
    <row r="496" spans="1:2" x14ac:dyDescent="0.25">
      <c r="A496" s="20">
        <v>46006</v>
      </c>
      <c r="B496" vm="1475">
        <v>317.20999999999998</v>
      </c>
    </row>
    <row r="497" spans="1:2" x14ac:dyDescent="0.25">
      <c r="A497" s="20">
        <v>46013</v>
      </c>
      <c r="B497" vm="1478">
        <v>323.08999999999997</v>
      </c>
    </row>
    <row r="498" spans="1:2" x14ac:dyDescent="0.25">
      <c r="A498" s="20">
        <v>46013</v>
      </c>
      <c r="B498" vm="1481">
        <v>325.93</v>
      </c>
    </row>
    <row r="499" spans="1:2" x14ac:dyDescent="0.25">
      <c r="A499" s="20">
        <v>46013</v>
      </c>
      <c r="B499" vm="1484">
        <v>329.17</v>
      </c>
    </row>
    <row r="500" spans="1:2" x14ac:dyDescent="0.25">
      <c r="A500" s="20">
        <v>46013</v>
      </c>
      <c r="B500" vm="1487">
        <v>327.91</v>
      </c>
    </row>
    <row r="501" spans="1:2" x14ac:dyDescent="0.25">
      <c r="A501" s="20">
        <v>46020</v>
      </c>
      <c r="B501" vm="1490">
        <v>323.75</v>
      </c>
    </row>
    <row r="502" spans="1:2" x14ac:dyDescent="0.25">
      <c r="A502" s="20">
        <v>46020</v>
      </c>
      <c r="B502" vm="1493">
        <v>323.42</v>
      </c>
    </row>
    <row r="503" spans="1:2" x14ac:dyDescent="0.25">
      <c r="A503" s="20">
        <v>46020</v>
      </c>
      <c r="B503" vm="1496">
        <v>322.22000000000003</v>
      </c>
    </row>
    <row r="504" spans="1:2" x14ac:dyDescent="0.25">
      <c r="A504" s="20">
        <v>46020</v>
      </c>
      <c r="B504" vm="1499">
        <v>325.48</v>
      </c>
    </row>
    <row r="505" spans="1:2" x14ac:dyDescent="0.25">
      <c r="A505" s="20">
        <v>46027</v>
      </c>
      <c r="B505" vm="1502">
        <v>334.04</v>
      </c>
    </row>
    <row r="506" spans="1:2" x14ac:dyDescent="0.25">
      <c r="A506" s="20">
        <v>46027</v>
      </c>
      <c r="B506" vm="1505">
        <v>334.61</v>
      </c>
    </row>
    <row r="507" spans="1:2" x14ac:dyDescent="0.25">
      <c r="A507" s="20">
        <v>46027</v>
      </c>
      <c r="B507" vm="1508">
        <v>326.99</v>
      </c>
    </row>
    <row r="508" spans="1:2" x14ac:dyDescent="0.25">
      <c r="A508" s="20">
        <v>46027</v>
      </c>
      <c r="B508" vm="1511">
        <v>329.79</v>
      </c>
    </row>
    <row r="509" spans="1:2" x14ac:dyDescent="0.25">
      <c r="A509" s="20">
        <v>46027</v>
      </c>
      <c r="B509" vm="1514">
        <v>329.19</v>
      </c>
    </row>
    <row r="510" spans="1:2" x14ac:dyDescent="0.25">
      <c r="A510" s="20">
        <v>46034</v>
      </c>
      <c r="B510" vm="1517">
        <v>324.49</v>
      </c>
    </row>
    <row r="511" spans="1:2" x14ac:dyDescent="0.25">
      <c r="A511" s="20">
        <v>46034</v>
      </c>
      <c r="B511" vm="1520">
        <v>310.89999999999998</v>
      </c>
    </row>
    <row r="512" spans="1:2" x14ac:dyDescent="0.25">
      <c r="A512" s="20">
        <v>46034</v>
      </c>
      <c r="B512" vm="1523">
        <v>307.87</v>
      </c>
    </row>
    <row r="513" spans="1:2" x14ac:dyDescent="0.25">
      <c r="A513" s="20">
        <v>46034</v>
      </c>
      <c r="B513" vm="1526">
        <v>309.26</v>
      </c>
    </row>
    <row r="514" spans="1:2" x14ac:dyDescent="0.25">
      <c r="A514" s="20">
        <v>46034</v>
      </c>
      <c r="B514" vm="1529">
        <v>312.47000000000003</v>
      </c>
    </row>
    <row r="515" spans="1:2" x14ac:dyDescent="0.25">
      <c r="A515" s="20">
        <v>46041</v>
      </c>
      <c r="B515" vm="1532">
        <v>302.74</v>
      </c>
    </row>
    <row r="516" spans="1:2" x14ac:dyDescent="0.25">
      <c r="A516" s="20">
        <v>46041</v>
      </c>
      <c r="B516" vm="1535">
        <v>302.04000000000002</v>
      </c>
    </row>
    <row r="517" spans="1:2" x14ac:dyDescent="0.25">
      <c r="A517" s="20">
        <v>46041</v>
      </c>
      <c r="B517" vm="1538">
        <v>303.63</v>
      </c>
    </row>
    <row r="518" spans="1:2" x14ac:dyDescent="0.25">
      <c r="A518" s="20">
        <v>46041</v>
      </c>
      <c r="B518" vm="1541">
        <v>297.72000000000003</v>
      </c>
    </row>
    <row r="519" spans="1:2" x14ac:dyDescent="0.25">
      <c r="A519" s="20">
        <v>46048</v>
      </c>
      <c r="B519" vm="1544">
        <v>301.04000000000002</v>
      </c>
    </row>
    <row r="520" spans="1:2" x14ac:dyDescent="0.25">
      <c r="A520" s="20">
        <v>46048</v>
      </c>
      <c r="B520" vm="1547">
        <v>300.31</v>
      </c>
    </row>
    <row r="521" spans="1:2" x14ac:dyDescent="0.25">
      <c r="A521" s="20">
        <v>46048</v>
      </c>
      <c r="B521" vm="1550">
        <v>300.77</v>
      </c>
    </row>
    <row r="522" spans="1:2" x14ac:dyDescent="0.25">
      <c r="A522" s="20">
        <v>46048</v>
      </c>
      <c r="B522" vm="1553">
        <v>306.42</v>
      </c>
    </row>
    <row r="523" spans="1:2" x14ac:dyDescent="0.25">
      <c r="A523" s="20">
        <v>46048</v>
      </c>
      <c r="B523" vm="1556">
        <v>305.89</v>
      </c>
    </row>
    <row r="524" spans="1:2" x14ac:dyDescent="0.25">
      <c r="A524" s="20">
        <v>46055</v>
      </c>
      <c r="B524" vm="1559">
        <v>308.14</v>
      </c>
    </row>
    <row r="525" spans="1:2" x14ac:dyDescent="0.25">
      <c r="A525" s="20">
        <v>46055</v>
      </c>
      <c r="B525" vm="1562">
        <v>314.85000000000002</v>
      </c>
    </row>
    <row r="526" spans="1:2" x14ac:dyDescent="0.25">
      <c r="A526" s="20">
        <v>46055</v>
      </c>
      <c r="B526" vm="1565">
        <v>317.27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P8" sqref="P8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E50A-E299-439D-A2AA-837DC999D981}">
  <dimension ref="A1:B106"/>
  <sheetViews>
    <sheetView workbookViewId="0">
      <selection activeCell="F7" sqref="F7"/>
    </sheetView>
  </sheetViews>
  <sheetFormatPr defaultRowHeight="15" x14ac:dyDescent="0.25"/>
  <cols>
    <col min="1" max="1" width="10.42578125" style="20" bestFit="1" customWidth="1"/>
  </cols>
  <sheetData>
    <row r="1" spans="1:2" ht="15.75" thickBot="1" x14ac:dyDescent="0.3">
      <c r="A1" s="25" t="s">
        <v>49</v>
      </c>
      <c r="B1" s="22" t="s">
        <v>50</v>
      </c>
    </row>
    <row r="2" spans="1:2" ht="15.75" thickBot="1" x14ac:dyDescent="0.3">
      <c r="A2" s="26">
        <v>36529</v>
      </c>
      <c r="B2" s="24">
        <v>0.27</v>
      </c>
    </row>
    <row r="3" spans="1:2" ht="15.75" thickBot="1" x14ac:dyDescent="0.3">
      <c r="A3" s="26">
        <v>36620</v>
      </c>
      <c r="B3" s="24">
        <v>0.32</v>
      </c>
    </row>
    <row r="4" spans="1:2" ht="15.75" thickBot="1" x14ac:dyDescent="0.3">
      <c r="A4" s="26">
        <v>36710</v>
      </c>
      <c r="B4" s="24">
        <v>0.32</v>
      </c>
    </row>
    <row r="5" spans="1:2" ht="15.75" thickBot="1" x14ac:dyDescent="0.3">
      <c r="A5" s="26">
        <v>36803</v>
      </c>
      <c r="B5" s="24">
        <v>0.32</v>
      </c>
    </row>
    <row r="6" spans="1:2" ht="15.75" thickBot="1" x14ac:dyDescent="0.3">
      <c r="A6" s="26">
        <v>36894</v>
      </c>
      <c r="B6" s="24">
        <v>0.32</v>
      </c>
    </row>
    <row r="7" spans="1:2" ht="15.75" thickBot="1" x14ac:dyDescent="0.3">
      <c r="A7" s="26">
        <v>36985</v>
      </c>
      <c r="B7" s="24">
        <v>0.34</v>
      </c>
    </row>
    <row r="8" spans="1:2" ht="15.75" thickBot="1" x14ac:dyDescent="0.3">
      <c r="A8" s="26">
        <v>37075</v>
      </c>
      <c r="B8" s="24">
        <v>0.34</v>
      </c>
    </row>
    <row r="9" spans="1:2" ht="15.75" thickBot="1" x14ac:dyDescent="0.3">
      <c r="A9" s="26">
        <v>37167</v>
      </c>
      <c r="B9" s="24">
        <v>0.34</v>
      </c>
    </row>
    <row r="10" spans="1:2" ht="15.75" thickBot="1" x14ac:dyDescent="0.3">
      <c r="A10" s="26">
        <v>37258</v>
      </c>
      <c r="B10" s="24">
        <v>0.34</v>
      </c>
    </row>
    <row r="11" spans="1:2" ht="15.75" thickBot="1" x14ac:dyDescent="0.3">
      <c r="A11" s="26">
        <v>37349</v>
      </c>
      <c r="B11" s="24">
        <v>0.34</v>
      </c>
    </row>
    <row r="12" spans="1:2" ht="15.75" thickBot="1" x14ac:dyDescent="0.3">
      <c r="A12" s="26">
        <v>37439</v>
      </c>
      <c r="B12" s="24">
        <v>0.34</v>
      </c>
    </row>
    <row r="13" spans="1:2" ht="15.75" thickBot="1" x14ac:dyDescent="0.3">
      <c r="A13" s="26">
        <v>37531</v>
      </c>
      <c r="B13" s="24">
        <v>0.34</v>
      </c>
    </row>
    <row r="14" spans="1:2" ht="15.75" thickBot="1" x14ac:dyDescent="0.3">
      <c r="A14" s="26">
        <v>37623</v>
      </c>
      <c r="B14" s="24">
        <v>0.34</v>
      </c>
    </row>
    <row r="15" spans="1:2" ht="15.75" thickBot="1" x14ac:dyDescent="0.3">
      <c r="A15" s="26">
        <v>37713</v>
      </c>
      <c r="B15" s="24">
        <v>0.34</v>
      </c>
    </row>
    <row r="16" spans="1:2" ht="15.75" thickBot="1" x14ac:dyDescent="0.3">
      <c r="A16" s="26">
        <v>37803</v>
      </c>
      <c r="B16" s="24">
        <v>0.34</v>
      </c>
    </row>
    <row r="17" spans="1:2" ht="15.75" thickBot="1" x14ac:dyDescent="0.3">
      <c r="A17" s="26">
        <v>37896</v>
      </c>
      <c r="B17" s="24">
        <v>0.34</v>
      </c>
    </row>
    <row r="18" spans="1:2" ht="15.75" thickBot="1" x14ac:dyDescent="0.3">
      <c r="A18" s="26">
        <v>37988</v>
      </c>
      <c r="B18" s="24">
        <v>0.34</v>
      </c>
    </row>
    <row r="19" spans="1:2" ht="15.75" thickBot="1" x14ac:dyDescent="0.3">
      <c r="A19" s="26">
        <v>38079</v>
      </c>
      <c r="B19" s="24">
        <v>0.34</v>
      </c>
    </row>
    <row r="20" spans="1:2" ht="15.75" thickBot="1" x14ac:dyDescent="0.3">
      <c r="A20" s="26">
        <v>38169</v>
      </c>
      <c r="B20" s="24">
        <v>0.34</v>
      </c>
    </row>
    <row r="21" spans="1:2" ht="15.75" thickBot="1" x14ac:dyDescent="0.3">
      <c r="A21" s="26">
        <v>38264</v>
      </c>
      <c r="B21" s="24">
        <v>0.34</v>
      </c>
    </row>
    <row r="22" spans="1:2" ht="15.75" thickBot="1" x14ac:dyDescent="0.3">
      <c r="A22" s="26">
        <v>38356</v>
      </c>
      <c r="B22" s="24">
        <v>0.34</v>
      </c>
    </row>
    <row r="23" spans="1:2" ht="15.75" thickBot="1" x14ac:dyDescent="0.3">
      <c r="A23" s="26">
        <v>38446</v>
      </c>
      <c r="B23" s="24">
        <v>0.34</v>
      </c>
    </row>
    <row r="24" spans="1:2" ht="15.75" thickBot="1" x14ac:dyDescent="0.3">
      <c r="A24" s="26">
        <v>38534</v>
      </c>
      <c r="B24" s="24">
        <v>0.34</v>
      </c>
    </row>
    <row r="25" spans="1:2" ht="15.75" thickBot="1" x14ac:dyDescent="0.3">
      <c r="A25" s="26">
        <v>38629</v>
      </c>
      <c r="B25" s="24">
        <v>0.34</v>
      </c>
    </row>
    <row r="26" spans="1:2" ht="15.75" thickBot="1" x14ac:dyDescent="0.3">
      <c r="A26" s="26">
        <v>38721</v>
      </c>
      <c r="B26" s="24">
        <v>0.34</v>
      </c>
    </row>
    <row r="27" spans="1:2" ht="15.75" thickBot="1" x14ac:dyDescent="0.3">
      <c r="A27" s="26">
        <v>38811</v>
      </c>
      <c r="B27" s="24">
        <v>0.34</v>
      </c>
    </row>
    <row r="28" spans="1:2" ht="15.75" thickBot="1" x14ac:dyDescent="0.3">
      <c r="A28" s="26">
        <v>38901</v>
      </c>
      <c r="B28" s="24">
        <v>0.34</v>
      </c>
    </row>
    <row r="29" spans="1:2" ht="15.75" thickBot="1" x14ac:dyDescent="0.3">
      <c r="A29" s="26">
        <v>38994</v>
      </c>
      <c r="B29" s="24">
        <v>0.34</v>
      </c>
    </row>
    <row r="30" spans="1:2" ht="15.75" thickBot="1" x14ac:dyDescent="0.3">
      <c r="A30" s="26">
        <v>39085</v>
      </c>
      <c r="B30" s="24">
        <v>0.34</v>
      </c>
    </row>
    <row r="31" spans="1:2" ht="15.75" thickBot="1" x14ac:dyDescent="0.3">
      <c r="A31" s="26">
        <v>39175</v>
      </c>
      <c r="B31" s="24">
        <v>0.34</v>
      </c>
    </row>
    <row r="32" spans="1:2" ht="15.75" thickBot="1" x14ac:dyDescent="0.3">
      <c r="A32" s="26">
        <v>39266</v>
      </c>
      <c r="B32" s="24">
        <v>0.38</v>
      </c>
    </row>
    <row r="33" spans="1:2" ht="15.75" thickBot="1" x14ac:dyDescent="0.3">
      <c r="A33" s="26">
        <v>39358</v>
      </c>
      <c r="B33" s="24">
        <v>0.38</v>
      </c>
    </row>
    <row r="34" spans="1:2" ht="15.75" thickBot="1" x14ac:dyDescent="0.3">
      <c r="A34" s="26">
        <v>39449</v>
      </c>
      <c r="B34" s="24">
        <v>0.38</v>
      </c>
    </row>
    <row r="35" spans="1:2" ht="15.75" thickBot="1" x14ac:dyDescent="0.3">
      <c r="A35" s="26">
        <v>39540</v>
      </c>
      <c r="B35" s="24">
        <v>0.38</v>
      </c>
    </row>
    <row r="36" spans="1:2" ht="15.75" thickBot="1" x14ac:dyDescent="0.3">
      <c r="A36" s="26">
        <v>39630</v>
      </c>
      <c r="B36" s="24">
        <v>0.38</v>
      </c>
    </row>
    <row r="37" spans="1:2" ht="15.75" thickBot="1" x14ac:dyDescent="0.3">
      <c r="A37" s="26">
        <v>39723</v>
      </c>
      <c r="B37" s="24">
        <v>0.38</v>
      </c>
    </row>
    <row r="38" spans="1:2" ht="15.75" thickBot="1" x14ac:dyDescent="0.3">
      <c r="A38" s="26">
        <v>39815</v>
      </c>
      <c r="B38" s="24">
        <v>0.38</v>
      </c>
    </row>
    <row r="39" spans="1:2" ht="15.75" thickBot="1" x14ac:dyDescent="0.3">
      <c r="A39" s="26">
        <v>39905</v>
      </c>
      <c r="B39" s="24">
        <v>0.05</v>
      </c>
    </row>
    <row r="40" spans="1:2" ht="15.75" thickBot="1" x14ac:dyDescent="0.3">
      <c r="A40" s="26">
        <v>39995</v>
      </c>
      <c r="B40" s="24">
        <v>0.05</v>
      </c>
    </row>
    <row r="41" spans="1:2" ht="15.75" thickBot="1" x14ac:dyDescent="0.3">
      <c r="A41" s="26">
        <v>40088</v>
      </c>
      <c r="B41" s="24">
        <v>0.05</v>
      </c>
    </row>
    <row r="42" spans="1:2" ht="15.75" thickBot="1" x14ac:dyDescent="0.3">
      <c r="A42" s="26">
        <v>40182</v>
      </c>
      <c r="B42" s="24">
        <v>0.05</v>
      </c>
    </row>
    <row r="43" spans="1:2" ht="15.75" thickBot="1" x14ac:dyDescent="0.3">
      <c r="A43" s="26">
        <v>40269</v>
      </c>
      <c r="B43" s="24">
        <v>0.05</v>
      </c>
    </row>
    <row r="44" spans="1:2" ht="15.75" thickBot="1" x14ac:dyDescent="0.3">
      <c r="A44" s="26">
        <v>40360</v>
      </c>
      <c r="B44" s="24">
        <v>0.05</v>
      </c>
    </row>
    <row r="45" spans="1:2" ht="15.75" thickBot="1" x14ac:dyDescent="0.3">
      <c r="A45" s="26">
        <v>40455</v>
      </c>
      <c r="B45" s="24">
        <v>0.05</v>
      </c>
    </row>
    <row r="46" spans="1:2" ht="15.75" thickBot="1" x14ac:dyDescent="0.3">
      <c r="A46" s="26">
        <v>40547</v>
      </c>
      <c r="B46" s="24">
        <v>0.05</v>
      </c>
    </row>
    <row r="47" spans="1:2" ht="15.75" thickBot="1" x14ac:dyDescent="0.3">
      <c r="A47" s="26">
        <v>40637</v>
      </c>
      <c r="B47" s="24">
        <v>0.25</v>
      </c>
    </row>
    <row r="48" spans="1:2" ht="15.75" thickBot="1" x14ac:dyDescent="0.3">
      <c r="A48" s="26">
        <v>40725</v>
      </c>
      <c r="B48" s="24">
        <v>0.25</v>
      </c>
    </row>
    <row r="49" spans="1:2" ht="15.75" thickBot="1" x14ac:dyDescent="0.3">
      <c r="A49" s="26">
        <v>40820</v>
      </c>
      <c r="B49" s="24">
        <v>0.25</v>
      </c>
    </row>
    <row r="50" spans="1:2" ht="15.75" thickBot="1" x14ac:dyDescent="0.3">
      <c r="A50" s="26">
        <v>40912</v>
      </c>
      <c r="B50" s="24">
        <v>0.25</v>
      </c>
    </row>
    <row r="51" spans="1:2" ht="15.75" thickBot="1" x14ac:dyDescent="0.3">
      <c r="A51" s="26">
        <v>41002</v>
      </c>
      <c r="B51" s="24">
        <v>0.3</v>
      </c>
    </row>
    <row r="52" spans="1:2" ht="15.75" thickBot="1" x14ac:dyDescent="0.3">
      <c r="A52" s="26">
        <v>41093</v>
      </c>
      <c r="B52" s="24">
        <v>0.3</v>
      </c>
    </row>
    <row r="53" spans="1:2" ht="15.75" thickBot="1" x14ac:dyDescent="0.3">
      <c r="A53" s="26">
        <v>41185</v>
      </c>
      <c r="B53" s="24">
        <v>0.3</v>
      </c>
    </row>
    <row r="54" spans="1:2" ht="15.75" thickBot="1" x14ac:dyDescent="0.3">
      <c r="A54" s="26">
        <v>41276</v>
      </c>
      <c r="B54" s="24">
        <v>0.3</v>
      </c>
    </row>
    <row r="55" spans="1:2" ht="15.75" thickBot="1" x14ac:dyDescent="0.3">
      <c r="A55" s="26">
        <v>41367</v>
      </c>
      <c r="B55" s="24">
        <v>0.3</v>
      </c>
    </row>
    <row r="56" spans="1:2" ht="15.75" thickBot="1" x14ac:dyDescent="0.3">
      <c r="A56" s="26">
        <v>41457</v>
      </c>
      <c r="B56" s="24">
        <v>0.38</v>
      </c>
    </row>
    <row r="57" spans="1:2" ht="15.75" thickBot="1" x14ac:dyDescent="0.3">
      <c r="A57" s="26">
        <v>41549</v>
      </c>
      <c r="B57" s="24">
        <v>0.38</v>
      </c>
    </row>
    <row r="58" spans="1:2" ht="15.75" thickBot="1" x14ac:dyDescent="0.3">
      <c r="A58" s="26">
        <v>41641</v>
      </c>
      <c r="B58" s="24">
        <v>0.38</v>
      </c>
    </row>
    <row r="59" spans="1:2" ht="15.75" thickBot="1" x14ac:dyDescent="0.3">
      <c r="A59" s="26">
        <v>41731</v>
      </c>
      <c r="B59" s="24">
        <v>0.38</v>
      </c>
    </row>
    <row r="60" spans="1:2" ht="15.75" thickBot="1" x14ac:dyDescent="0.3">
      <c r="A60" s="26">
        <v>41821</v>
      </c>
      <c r="B60" s="24">
        <v>0.4</v>
      </c>
    </row>
    <row r="61" spans="1:2" ht="15.75" thickBot="1" x14ac:dyDescent="0.3">
      <c r="A61" s="26">
        <v>41914</v>
      </c>
      <c r="B61" s="24">
        <v>0.4</v>
      </c>
    </row>
    <row r="62" spans="1:2" ht="15.75" thickBot="1" x14ac:dyDescent="0.3">
      <c r="A62" s="26">
        <v>42006</v>
      </c>
      <c r="B62" s="24">
        <v>0.4</v>
      </c>
    </row>
    <row r="63" spans="1:2" ht="15.75" thickBot="1" x14ac:dyDescent="0.3">
      <c r="A63" s="26">
        <v>42095</v>
      </c>
      <c r="B63" s="24">
        <v>0.4</v>
      </c>
    </row>
    <row r="64" spans="1:2" ht="15.75" thickBot="1" x14ac:dyDescent="0.3">
      <c r="A64" s="26">
        <v>42186</v>
      </c>
      <c r="B64" s="24">
        <v>0.44</v>
      </c>
    </row>
    <row r="65" spans="1:2" ht="15.75" thickBot="1" x14ac:dyDescent="0.3">
      <c r="A65" s="26">
        <v>42279</v>
      </c>
      <c r="B65" s="24">
        <v>0.44</v>
      </c>
    </row>
    <row r="66" spans="1:2" ht="15.75" thickBot="1" x14ac:dyDescent="0.3">
      <c r="A66" s="26">
        <v>42373</v>
      </c>
      <c r="B66" s="24">
        <v>0.44</v>
      </c>
    </row>
    <row r="67" spans="1:2" ht="15.75" thickBot="1" x14ac:dyDescent="0.3">
      <c r="A67" s="26">
        <v>42464</v>
      </c>
      <c r="B67" s="24">
        <v>0.44</v>
      </c>
    </row>
    <row r="68" spans="1:2" ht="15.75" thickBot="1" x14ac:dyDescent="0.3">
      <c r="A68" s="26">
        <v>42552</v>
      </c>
      <c r="B68" s="24">
        <v>0.48</v>
      </c>
    </row>
    <row r="69" spans="1:2" ht="15.75" thickBot="1" x14ac:dyDescent="0.3">
      <c r="A69" s="26">
        <v>42647</v>
      </c>
      <c r="B69" s="24">
        <v>0.48</v>
      </c>
    </row>
    <row r="70" spans="1:2" ht="15.75" thickBot="1" x14ac:dyDescent="0.3">
      <c r="A70" s="26">
        <v>42739</v>
      </c>
      <c r="B70" s="24">
        <v>0.48</v>
      </c>
    </row>
    <row r="71" spans="1:2" ht="15.75" thickBot="1" x14ac:dyDescent="0.3">
      <c r="A71" s="26">
        <v>42829</v>
      </c>
      <c r="B71" s="24">
        <v>0.5</v>
      </c>
    </row>
    <row r="72" spans="1:2" ht="15.75" thickBot="1" x14ac:dyDescent="0.3">
      <c r="A72" s="26">
        <v>42919</v>
      </c>
      <c r="B72" s="24">
        <v>0.5</v>
      </c>
    </row>
    <row r="73" spans="1:2" ht="15.75" thickBot="1" x14ac:dyDescent="0.3">
      <c r="A73" s="26">
        <v>43013</v>
      </c>
      <c r="B73" s="24">
        <v>0.56000000000000005</v>
      </c>
    </row>
    <row r="74" spans="1:2" ht="15.75" thickBot="1" x14ac:dyDescent="0.3">
      <c r="A74" s="26">
        <v>43104</v>
      </c>
      <c r="B74" s="24">
        <v>0.56000000000000005</v>
      </c>
    </row>
    <row r="75" spans="1:2" ht="15.75" thickBot="1" x14ac:dyDescent="0.3">
      <c r="A75" s="26">
        <v>43195</v>
      </c>
      <c r="B75" s="24">
        <v>0.56000000000000005</v>
      </c>
    </row>
    <row r="76" spans="1:2" ht="15.75" thickBot="1" x14ac:dyDescent="0.3">
      <c r="A76" s="26">
        <v>43286</v>
      </c>
      <c r="B76" s="24">
        <v>0.56000000000000005</v>
      </c>
    </row>
    <row r="77" spans="1:2" ht="15.75" thickBot="1" x14ac:dyDescent="0.3">
      <c r="A77" s="26">
        <v>43377</v>
      </c>
      <c r="B77" s="24">
        <v>0.8</v>
      </c>
    </row>
    <row r="78" spans="1:2" ht="15.75" thickBot="1" x14ac:dyDescent="0.3">
      <c r="A78" s="26">
        <v>43468</v>
      </c>
      <c r="B78" s="24">
        <v>0.8</v>
      </c>
    </row>
    <row r="79" spans="1:2" ht="15.75" thickBot="1" x14ac:dyDescent="0.3">
      <c r="A79" s="26">
        <v>43559</v>
      </c>
      <c r="B79" s="24">
        <v>0.8</v>
      </c>
    </row>
    <row r="80" spans="1:2" ht="15.75" thickBot="1" x14ac:dyDescent="0.3">
      <c r="A80" s="26">
        <v>43649</v>
      </c>
      <c r="B80" s="24">
        <v>0.8</v>
      </c>
    </row>
    <row r="81" spans="1:2" ht="15.75" thickBot="1" x14ac:dyDescent="0.3">
      <c r="A81" s="26">
        <v>43741</v>
      </c>
      <c r="B81" s="24">
        <v>0.9</v>
      </c>
    </row>
    <row r="82" spans="1:2" ht="15.75" thickBot="1" x14ac:dyDescent="0.3">
      <c r="A82" s="26">
        <v>43833</v>
      </c>
      <c r="B82" s="24">
        <v>0.9</v>
      </c>
    </row>
    <row r="83" spans="1:2" ht="15.75" thickBot="1" x14ac:dyDescent="0.3">
      <c r="A83" s="26">
        <v>43924</v>
      </c>
      <c r="B83" s="24">
        <v>0.9</v>
      </c>
    </row>
    <row r="84" spans="1:2" ht="15.75" thickBot="1" x14ac:dyDescent="0.3">
      <c r="A84" s="26">
        <v>44014</v>
      </c>
      <c r="B84" s="24">
        <v>0.9</v>
      </c>
    </row>
    <row r="85" spans="1:2" ht="15.75" thickBot="1" x14ac:dyDescent="0.3">
      <c r="A85" s="26">
        <v>44109</v>
      </c>
      <c r="B85" s="24">
        <v>0.9</v>
      </c>
    </row>
    <row r="86" spans="1:2" ht="15.75" thickBot="1" x14ac:dyDescent="0.3">
      <c r="A86" s="26">
        <v>44201</v>
      </c>
      <c r="B86" s="24">
        <v>0.9</v>
      </c>
    </row>
    <row r="87" spans="1:2" ht="15.75" thickBot="1" x14ac:dyDescent="0.3">
      <c r="A87" s="26">
        <v>44291</v>
      </c>
      <c r="B87" s="24">
        <v>0.9</v>
      </c>
    </row>
    <row r="88" spans="1:2" ht="15.75" thickBot="1" x14ac:dyDescent="0.3">
      <c r="A88" s="26">
        <v>44379</v>
      </c>
      <c r="B88" s="24">
        <v>0.9</v>
      </c>
    </row>
    <row r="89" spans="1:2" ht="15.75" thickBot="1" x14ac:dyDescent="0.3">
      <c r="A89" s="26">
        <v>44474</v>
      </c>
      <c r="B89" s="24">
        <v>1</v>
      </c>
    </row>
    <row r="90" spans="1:2" ht="15.75" thickBot="1" x14ac:dyDescent="0.3">
      <c r="A90" s="26">
        <v>44566</v>
      </c>
      <c r="B90" s="24">
        <v>1</v>
      </c>
    </row>
    <row r="91" spans="1:2" ht="15.75" thickBot="1" x14ac:dyDescent="0.3">
      <c r="A91" s="26">
        <v>44656</v>
      </c>
      <c r="B91" s="24">
        <v>1</v>
      </c>
    </row>
    <row r="92" spans="1:2" ht="15.75" thickBot="1" x14ac:dyDescent="0.3">
      <c r="A92" s="26">
        <v>44747</v>
      </c>
      <c r="B92" s="24">
        <v>1</v>
      </c>
    </row>
    <row r="93" spans="1:2" ht="15.75" thickBot="1" x14ac:dyDescent="0.3">
      <c r="A93" s="26">
        <v>44839</v>
      </c>
      <c r="B93" s="24">
        <v>1</v>
      </c>
    </row>
    <row r="94" spans="1:2" ht="15.75" thickBot="1" x14ac:dyDescent="0.3">
      <c r="A94" s="26">
        <v>44931</v>
      </c>
      <c r="B94" s="24">
        <v>1</v>
      </c>
    </row>
    <row r="95" spans="1:2" ht="15.75" thickBot="1" x14ac:dyDescent="0.3">
      <c r="A95" s="26">
        <v>45021</v>
      </c>
      <c r="B95" s="24">
        <v>1</v>
      </c>
    </row>
    <row r="96" spans="1:2" ht="15.75" thickBot="1" x14ac:dyDescent="0.3">
      <c r="A96" s="26">
        <v>45112</v>
      </c>
      <c r="B96" s="24">
        <v>1</v>
      </c>
    </row>
    <row r="97" spans="1:2" ht="15.75" thickBot="1" x14ac:dyDescent="0.3">
      <c r="A97" s="26">
        <v>45204</v>
      </c>
      <c r="B97" s="24">
        <v>1.05</v>
      </c>
    </row>
    <row r="98" spans="1:2" ht="15.75" thickBot="1" x14ac:dyDescent="0.3">
      <c r="A98" s="26">
        <v>45295</v>
      </c>
      <c r="B98" s="24">
        <v>1.05</v>
      </c>
    </row>
    <row r="99" spans="1:2" ht="15.75" thickBot="1" x14ac:dyDescent="0.3">
      <c r="A99" s="26">
        <v>45386</v>
      </c>
      <c r="B99" s="24">
        <v>1.1499999999999999</v>
      </c>
    </row>
    <row r="100" spans="1:2" ht="15.75" thickBot="1" x14ac:dyDescent="0.3">
      <c r="A100" s="26">
        <v>45478</v>
      </c>
      <c r="B100" s="24">
        <v>1.1499999999999999</v>
      </c>
    </row>
    <row r="101" spans="1:2" ht="15.75" thickBot="1" x14ac:dyDescent="0.3">
      <c r="A101" s="26">
        <v>45569</v>
      </c>
      <c r="B101" s="24">
        <v>1.25</v>
      </c>
    </row>
    <row r="102" spans="1:2" ht="15.75" thickBot="1" x14ac:dyDescent="0.3">
      <c r="A102" s="26">
        <v>45663</v>
      </c>
      <c r="B102" s="24">
        <v>1.25</v>
      </c>
    </row>
    <row r="103" spans="1:2" ht="15.75" thickBot="1" x14ac:dyDescent="0.3">
      <c r="A103" s="26">
        <v>45751</v>
      </c>
      <c r="B103" s="24">
        <v>1.4</v>
      </c>
    </row>
    <row r="104" spans="1:2" ht="15.75" thickBot="1" x14ac:dyDescent="0.3">
      <c r="A104" s="26">
        <v>45841</v>
      </c>
      <c r="B104" s="24">
        <v>1.4</v>
      </c>
    </row>
    <row r="105" spans="1:2" ht="15.75" thickBot="1" x14ac:dyDescent="0.3">
      <c r="A105" s="26">
        <v>45936</v>
      </c>
      <c r="B105" s="24">
        <v>1.5</v>
      </c>
    </row>
    <row r="106" spans="1:2" ht="15.75" thickBot="1" x14ac:dyDescent="0.3">
      <c r="A106" s="26">
        <v>46028</v>
      </c>
      <c r="B106" s="24">
        <v>1.5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</vt:lpstr>
      <vt:lpstr>Weekly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2026-02-07T01:46:43Z</dcterms:modified>
</cp:coreProperties>
</file>