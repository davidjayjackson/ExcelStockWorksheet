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712A2759-484B-4FBC-B16B-3079AAE2FDAB}" xr6:coauthVersionLast="47" xr6:coauthVersionMax="47" xr10:uidLastSave="{00000000-0000-0000-0000-000000000000}"/>
  <bookViews>
    <workbookView xWindow="5325" yWindow="0" windowWidth="7605" windowHeight="10905" firstSheet="1" activeTab="4" xr2:uid="{92AFEA67-FCE1-458C-9A7E-ADF426D7B024}"/>
  </bookViews>
  <sheets>
    <sheet name="Intro" sheetId="10" r:id="rId1"/>
    <sheet name="Data" sheetId="1" r:id="rId2"/>
    <sheet name="Weekly" sheetId="17" r:id="rId3"/>
    <sheet name="Forecast" sheetId="16" r:id="rId4"/>
    <sheet name="Dashboard" sheetId="7" r:id="rId5"/>
    <sheet name="Dividends" sheetId="18" r:id="rId6"/>
  </sheets>
  <definedNames>
    <definedName name="data">Data!$1:$1048576</definedName>
    <definedName name="ExternalData_1" localSheetId="2" hidden="1">Weekly!$A$1:$B$121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15" i="1" l="1"/>
  <c r="V515" i="1"/>
  <c r="U516" i="1"/>
  <c r="V516" i="1"/>
  <c r="U517" i="1"/>
  <c r="V517" i="1"/>
  <c r="U518" i="1"/>
  <c r="V518" i="1"/>
  <c r="U519" i="1"/>
  <c r="V519" i="1"/>
  <c r="U520" i="1"/>
  <c r="V520" i="1"/>
  <c r="U521" i="1"/>
  <c r="V521" i="1"/>
  <c r="U522" i="1"/>
  <c r="V522" i="1"/>
  <c r="U523" i="1"/>
  <c r="V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C106" i="17"/>
  <c r="C107" i="17"/>
  <c r="C115" i="17"/>
  <c r="C108" i="17"/>
  <c r="C116" i="17"/>
  <c r="C109" i="17"/>
  <c r="C117" i="17"/>
  <c r="C119" i="17"/>
  <c r="C110" i="17"/>
  <c r="C118" i="17"/>
  <c r="C111" i="17"/>
  <c r="C112" i="17"/>
  <c r="C120" i="17"/>
  <c r="C113" i="17"/>
  <c r="C114" i="17"/>
  <c r="B1" i="1" a="1"/>
  <c r="E515" i="1" l="1"/>
  <c r="N516" i="1"/>
  <c r="G519" i="1"/>
  <c r="J521" i="1"/>
  <c r="E522" i="1"/>
  <c r="N523" i="1"/>
  <c r="K523" i="1"/>
  <c r="G517" i="1"/>
  <c r="AB517" i="1"/>
  <c r="J519" i="1"/>
  <c r="AB519" i="1"/>
  <c r="K521" i="1"/>
  <c r="L521" i="1" s="1"/>
  <c r="G515" i="1"/>
  <c r="AB515" i="1"/>
  <c r="J517" i="1"/>
  <c r="M517" i="1" s="1"/>
  <c r="E518" i="1"/>
  <c r="K519" i="1"/>
  <c r="E520" i="1"/>
  <c r="N521" i="1"/>
  <c r="G522" i="1"/>
  <c r="AB522" i="1"/>
  <c r="N520" i="1"/>
  <c r="J515" i="1"/>
  <c r="E516" i="1"/>
  <c r="K517" i="1"/>
  <c r="N519" i="1"/>
  <c r="J522" i="1"/>
  <c r="E523" i="1"/>
  <c r="G521" i="1"/>
  <c r="K515" i="1"/>
  <c r="N517" i="1"/>
  <c r="O517" i="1" s="1"/>
  <c r="G518" i="1"/>
  <c r="G520" i="1"/>
  <c r="AB520" i="1"/>
  <c r="K522" i="1"/>
  <c r="N515" i="1"/>
  <c r="O515" i="1" s="1"/>
  <c r="G516" i="1"/>
  <c r="J518" i="1"/>
  <c r="AB518" i="1"/>
  <c r="J520" i="1"/>
  <c r="E521" i="1"/>
  <c r="N522" i="1"/>
  <c r="G523" i="1"/>
  <c r="AB523" i="1"/>
  <c r="J516" i="1"/>
  <c r="AB516" i="1"/>
  <c r="K518" i="1"/>
  <c r="L518" i="1" s="1"/>
  <c r="E519" i="1"/>
  <c r="K520" i="1"/>
  <c r="J523" i="1"/>
  <c r="K516" i="1"/>
  <c r="E517" i="1"/>
  <c r="N518" i="1"/>
  <c r="AB521" i="1"/>
  <c r="L522" i="1"/>
  <c r="P515" i="1"/>
  <c r="B1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L517" i="1" l="1"/>
  <c r="L516" i="1"/>
  <c r="M523" i="1"/>
  <c r="M519" i="1"/>
  <c r="L523" i="1"/>
  <c r="L515" i="1"/>
  <c r="M521" i="1"/>
  <c r="M515" i="1"/>
  <c r="P522" i="1"/>
  <c r="O522" i="1"/>
  <c r="M520" i="1"/>
  <c r="P520" i="1"/>
  <c r="O520" i="1"/>
  <c r="L519" i="1"/>
  <c r="P518" i="1"/>
  <c r="O518" i="1"/>
  <c r="M522" i="1"/>
  <c r="P516" i="1"/>
  <c r="O516" i="1"/>
  <c r="F517" i="1"/>
  <c r="F515" i="1"/>
  <c r="F522" i="1"/>
  <c r="F518" i="1"/>
  <c r="F520" i="1"/>
  <c r="F516" i="1"/>
  <c r="F523" i="1"/>
  <c r="F521" i="1"/>
  <c r="F519" i="1"/>
  <c r="P517" i="1"/>
  <c r="L520" i="1"/>
  <c r="M518" i="1"/>
  <c r="M516" i="1"/>
  <c r="P519" i="1"/>
  <c r="O519" i="1"/>
  <c r="P521" i="1"/>
  <c r="O521" i="1"/>
  <c r="P523" i="1"/>
  <c r="O523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19" i="1" l="1"/>
  <c r="I519" i="1"/>
  <c r="H521" i="1"/>
  <c r="I521" i="1"/>
  <c r="H523" i="1"/>
  <c r="I523" i="1"/>
  <c r="H516" i="1"/>
  <c r="I516" i="1"/>
  <c r="H520" i="1"/>
  <c r="I520" i="1"/>
  <c r="H518" i="1"/>
  <c r="I518" i="1"/>
  <c r="H517" i="1"/>
  <c r="I517" i="1"/>
  <c r="H522" i="1"/>
  <c r="I522" i="1"/>
  <c r="H515" i="1"/>
  <c r="I515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523" i="1" l="1"/>
  <c r="Y30" i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Z396" i="1" s="1"/>
  <c r="AA396" i="1" s="1"/>
  <c r="W398" i="1"/>
  <c r="Y397" i="1" l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Z430" i="1" s="1"/>
  <c r="AA430" i="1" s="1"/>
  <c r="W432" i="1"/>
  <c r="Y431" i="1" l="1"/>
  <c r="Z431" i="1" s="1"/>
  <c r="AA431" i="1" s="1"/>
  <c r="W433" i="1"/>
  <c r="R417" i="1"/>
  <c r="S416" i="1"/>
  <c r="T416" i="1" s="1"/>
  <c r="R418" i="1" l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Z443" i="1" s="1"/>
  <c r="AA443" i="1" s="1"/>
  <c r="W445" i="1"/>
  <c r="R429" i="1"/>
  <c r="S428" i="1"/>
  <c r="T428" i="1" s="1"/>
  <c r="R430" i="1" l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Z477" i="1" s="1"/>
  <c r="AA477" i="1" s="1"/>
  <c r="W479" i="1"/>
  <c r="Y478" i="1" l="1"/>
  <c r="Z478" i="1" s="1"/>
  <c r="AA478" i="1" s="1"/>
  <c r="W480" i="1"/>
  <c r="R464" i="1"/>
  <c r="S463" i="1"/>
  <c r="T463" i="1" s="1"/>
  <c r="S464" i="1" l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s="1"/>
  <c r="Y514" i="1" l="1"/>
  <c r="Z514" i="1" s="1"/>
  <c r="AA514" i="1" s="1"/>
  <c r="W516" i="1"/>
  <c r="AA512" i="1"/>
  <c r="AA513" i="1"/>
  <c r="R500" i="1"/>
  <c r="S499" i="1"/>
  <c r="T499" i="1" s="1"/>
  <c r="Y515" i="1" l="1"/>
  <c r="Z515" i="1" s="1"/>
  <c r="W517" i="1"/>
  <c r="AA515" i="1"/>
  <c r="R501" i="1"/>
  <c r="S500" i="1"/>
  <c r="T500" i="1" s="1"/>
  <c r="Y516" i="1" l="1"/>
  <c r="Z516" i="1" s="1"/>
  <c r="W518" i="1"/>
  <c r="AA516" i="1"/>
  <c r="R502" i="1"/>
  <c r="S501" i="1"/>
  <c r="T501" i="1" s="1"/>
  <c r="Y517" i="1" l="1"/>
  <c r="Z517" i="1" s="1"/>
  <c r="W519" i="1"/>
  <c r="AA517" i="1"/>
  <c r="R503" i="1"/>
  <c r="S502" i="1"/>
  <c r="T502" i="1" s="1"/>
  <c r="W520" i="1" l="1"/>
  <c r="Y518" i="1"/>
  <c r="Z518" i="1" s="1"/>
  <c r="R504" i="1"/>
  <c r="S503" i="1"/>
  <c r="T503" i="1" s="1"/>
  <c r="AA518" i="1" l="1"/>
  <c r="Y519" i="1"/>
  <c r="Z519" i="1" s="1"/>
  <c r="W521" i="1"/>
  <c r="R505" i="1"/>
  <c r="S504" i="1"/>
  <c r="T504" i="1" s="1"/>
  <c r="AA519" i="1" l="1"/>
  <c r="W522" i="1"/>
  <c r="Y520" i="1"/>
  <c r="Z520" i="1" s="1"/>
  <c r="AA520" i="1"/>
  <c r="R506" i="1"/>
  <c r="S505" i="1"/>
  <c r="T505" i="1" s="1"/>
  <c r="Y521" i="1" l="1"/>
  <c r="Z521" i="1" s="1"/>
  <c r="W523" i="1"/>
  <c r="Y522" i="1" s="1"/>
  <c r="AA521" i="1"/>
  <c r="Z522" i="1"/>
  <c r="R507" i="1"/>
  <c r="S506" i="1"/>
  <c r="T506" i="1" s="1"/>
  <c r="AA522" i="1" l="1"/>
  <c r="Z523" i="1"/>
  <c r="R508" i="1"/>
  <c r="S507" i="1"/>
  <c r="T507" i="1" s="1"/>
  <c r="AA523" i="1" l="1"/>
  <c r="R509" i="1"/>
  <c r="S508" i="1"/>
  <c r="T508" i="1" s="1"/>
  <c r="R510" i="1" l="1"/>
  <c r="S509" i="1"/>
  <c r="T509" i="1" s="1"/>
  <c r="R511" i="1" l="1"/>
  <c r="S510" i="1"/>
  <c r="T510" i="1" s="1"/>
  <c r="R512" i="1" l="1"/>
  <c r="S511" i="1"/>
  <c r="T511" i="1" s="1"/>
  <c r="R513" i="1" l="1"/>
  <c r="S512" i="1"/>
  <c r="T512" i="1" s="1"/>
  <c r="R514" i="1" l="1"/>
  <c r="S513" i="1"/>
  <c r="T513" i="1" s="1"/>
  <c r="S514" i="1" l="1"/>
  <c r="T514" i="1" s="1"/>
  <c r="R515" i="1"/>
  <c r="R516" i="1" l="1"/>
  <c r="S515" i="1"/>
  <c r="T515" i="1" s="1"/>
  <c r="S516" i="1" l="1"/>
  <c r="T516" i="1" s="1"/>
  <c r="R517" i="1"/>
  <c r="R518" i="1" l="1"/>
  <c r="S517" i="1"/>
  <c r="T517" i="1" s="1"/>
  <c r="R519" i="1" l="1"/>
  <c r="S518" i="1"/>
  <c r="T518" i="1" s="1"/>
  <c r="R520" i="1" l="1"/>
  <c r="S519" i="1"/>
  <c r="T519" i="1" s="1"/>
  <c r="R521" i="1" l="1"/>
  <c r="S520" i="1"/>
  <c r="T520" i="1" s="1"/>
  <c r="S521" i="1" l="1"/>
  <c r="T521" i="1" s="1"/>
  <c r="R522" i="1"/>
  <c r="R523" i="1" l="1"/>
  <c r="S523" i="1" s="1"/>
  <c r="T523" i="1" s="1"/>
  <c r="S522" i="1"/>
  <c r="T52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04CFF-0887-4802-B54D-931E6F5E9716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9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</futureMetadata>
  <cellMetadata count="1">
    <bk>
      <rc t="1" v="0"/>
    </bk>
  </cellMetadata>
  <valueMetadata count="19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<sst xmlns="http://schemas.openxmlformats.org/spreadsheetml/2006/main" count="58" uniqueCount="51">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</sst>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2" fillId="0" borderId="0" xfId="0" applyFont="1" applyAlignment="1">
      <alignment horizont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102.36</c:v>
                </c:pt>
                <c:pt idx="1">
                  <c:v>103.22</c:v>
                </c:pt>
                <c:pt idx="2">
                  <c:v>102.32</c:v>
                </c:pt>
                <c:pt idx="3">
                  <c:v>102.63</c:v>
                </c:pt>
                <c:pt idx="4">
                  <c:v>100.92</c:v>
                </c:pt>
                <c:pt idx="5">
                  <c:v>99.67</c:v>
                </c:pt>
                <c:pt idx="6">
                  <c:v>98.69</c:v>
                </c:pt>
                <c:pt idx="7">
                  <c:v>98.67</c:v>
                </c:pt>
                <c:pt idx="8">
                  <c:v>99.95</c:v>
                </c:pt>
                <c:pt idx="9">
                  <c:v>97.69</c:v>
                </c:pt>
                <c:pt idx="10">
                  <c:v>96.98</c:v>
                </c:pt>
                <c:pt idx="11">
                  <c:v>96.8</c:v>
                </c:pt>
                <c:pt idx="12">
                  <c:v>96.95</c:v>
                </c:pt>
                <c:pt idx="13">
                  <c:v>96.82</c:v>
                </c:pt>
                <c:pt idx="14">
                  <c:v>97.91</c:v>
                </c:pt>
                <c:pt idx="15">
                  <c:v>99.6</c:v>
                </c:pt>
                <c:pt idx="16">
                  <c:v>102.13</c:v>
                </c:pt>
                <c:pt idx="17">
                  <c:v>103</c:v>
                </c:pt>
                <c:pt idx="18">
                  <c:v>103.13</c:v>
                </c:pt>
                <c:pt idx="19">
                  <c:v>104.85</c:v>
                </c:pt>
                <c:pt idx="20">
                  <c:v>102.81</c:v>
                </c:pt>
                <c:pt idx="21">
                  <c:v>102.39</c:v>
                </c:pt>
                <c:pt idx="22">
                  <c:v>101.97</c:v>
                </c:pt>
                <c:pt idx="23">
                  <c:v>101.55</c:v>
                </c:pt>
                <c:pt idx="24">
                  <c:v>102.25</c:v>
                </c:pt>
                <c:pt idx="25">
                  <c:v>102.22</c:v>
                </c:pt>
                <c:pt idx="26">
                  <c:v>103.97</c:v>
                </c:pt>
                <c:pt idx="27">
                  <c:v>101.77</c:v>
                </c:pt>
                <c:pt idx="28">
                  <c:v>103.17</c:v>
                </c:pt>
                <c:pt idx="29">
                  <c:v>101.34</c:v>
                </c:pt>
                <c:pt idx="30">
                  <c:v>100.84</c:v>
                </c:pt>
                <c:pt idx="31">
                  <c:v>103.73</c:v>
                </c:pt>
                <c:pt idx="32">
                  <c:v>103.73</c:v>
                </c:pt>
                <c:pt idx="33">
                  <c:v>102.75</c:v>
                </c:pt>
                <c:pt idx="34">
                  <c:v>104.85</c:v>
                </c:pt>
                <c:pt idx="35">
                  <c:v>104.76</c:v>
                </c:pt>
                <c:pt idx="36">
                  <c:v>103.84</c:v>
                </c:pt>
                <c:pt idx="37">
                  <c:v>104.25</c:v>
                </c:pt>
                <c:pt idx="38">
                  <c:v>104.03</c:v>
                </c:pt>
                <c:pt idx="39">
                  <c:v>104.32</c:v>
                </c:pt>
                <c:pt idx="40">
                  <c:v>104.52</c:v>
                </c:pt>
                <c:pt idx="41">
                  <c:v>105.84</c:v>
                </c:pt>
                <c:pt idx="42">
                  <c:v>104.36</c:v>
                </c:pt>
                <c:pt idx="43">
                  <c:v>105.64</c:v>
                </c:pt>
                <c:pt idx="44">
                  <c:v>106.77</c:v>
                </c:pt>
                <c:pt idx="45">
                  <c:v>107.37</c:v>
                </c:pt>
                <c:pt idx="46">
                  <c:v>108.38</c:v>
                </c:pt>
                <c:pt idx="47">
                  <c:v>109.02</c:v>
                </c:pt>
                <c:pt idx="48">
                  <c:v>108.32</c:v>
                </c:pt>
                <c:pt idx="49">
                  <c:v>109.53</c:v>
                </c:pt>
                <c:pt idx="50">
                  <c:v>111.47</c:v>
                </c:pt>
                <c:pt idx="51">
                  <c:v>111.27</c:v>
                </c:pt>
                <c:pt idx="52">
                  <c:v>112.3</c:v>
                </c:pt>
                <c:pt idx="53">
                  <c:v>113.09</c:v>
                </c:pt>
                <c:pt idx="54">
                  <c:v>112.99</c:v>
                </c:pt>
                <c:pt idx="55">
                  <c:v>113.49</c:v>
                </c:pt>
                <c:pt idx="56">
                  <c:v>113.49</c:v>
                </c:pt>
                <c:pt idx="57">
                  <c:v>114.65</c:v>
                </c:pt>
                <c:pt idx="58">
                  <c:v>113.79</c:v>
                </c:pt>
                <c:pt idx="59">
                  <c:v>114.97</c:v>
                </c:pt>
                <c:pt idx="60">
                  <c:v>116.24</c:v>
                </c:pt>
                <c:pt idx="61">
                  <c:v>116.99</c:v>
                </c:pt>
                <c:pt idx="62">
                  <c:v>119.28</c:v>
                </c:pt>
                <c:pt idx="63">
                  <c:v>119.3</c:v>
                </c:pt>
                <c:pt idx="64">
                  <c:v>119.72</c:v>
                </c:pt>
                <c:pt idx="65">
                  <c:v>121.37</c:v>
                </c:pt>
                <c:pt idx="66">
                  <c:v>120.55</c:v>
                </c:pt>
                <c:pt idx="67">
                  <c:v>121.18</c:v>
                </c:pt>
                <c:pt idx="68">
                  <c:v>122.2</c:v>
                </c:pt>
                <c:pt idx="69">
                  <c:v>121.79</c:v>
                </c:pt>
                <c:pt idx="70">
                  <c:v>120.37</c:v>
                </c:pt>
                <c:pt idx="71">
                  <c:v>119.68</c:v>
                </c:pt>
                <c:pt idx="72">
                  <c:v>118.69</c:v>
                </c:pt>
                <c:pt idx="73">
                  <c:v>118.63</c:v>
                </c:pt>
                <c:pt idx="74">
                  <c:v>118.52</c:v>
                </c:pt>
                <c:pt idx="75">
                  <c:v>119.88</c:v>
                </c:pt>
                <c:pt idx="76">
                  <c:v>120.56</c:v>
                </c:pt>
                <c:pt idx="77">
                  <c:v>121.03</c:v>
                </c:pt>
                <c:pt idx="78">
                  <c:v>121.05</c:v>
                </c:pt>
                <c:pt idx="79">
                  <c:v>121.33</c:v>
                </c:pt>
                <c:pt idx="80">
                  <c:v>117.96</c:v>
                </c:pt>
                <c:pt idx="81">
                  <c:v>119.64</c:v>
                </c:pt>
                <c:pt idx="82">
                  <c:v>118.27</c:v>
                </c:pt>
                <c:pt idx="83">
                  <c:v>116.03</c:v>
                </c:pt>
                <c:pt idx="84">
                  <c:v>116.24</c:v>
                </c:pt>
                <c:pt idx="85">
                  <c:v>116</c:v>
                </c:pt>
                <c:pt idx="86">
                  <c:v>116.75</c:v>
                </c:pt>
                <c:pt idx="87">
                  <c:v>116.17</c:v>
                </c:pt>
                <c:pt idx="88">
                  <c:v>116.15</c:v>
                </c:pt>
                <c:pt idx="89">
                  <c:v>118.44</c:v>
                </c:pt>
                <c:pt idx="90">
                  <c:v>117.96</c:v>
                </c:pt>
                <c:pt idx="91">
                  <c:v>117.91</c:v>
                </c:pt>
                <c:pt idx="92">
                  <c:v>117.67</c:v>
                </c:pt>
                <c:pt idx="93">
                  <c:v>118.58</c:v>
                </c:pt>
                <c:pt idx="94">
                  <c:v>117.87</c:v>
                </c:pt>
                <c:pt idx="95">
                  <c:v>119.64</c:v>
                </c:pt>
                <c:pt idx="96">
                  <c:v>118.67</c:v>
                </c:pt>
                <c:pt idx="97">
                  <c:v>117.85</c:v>
                </c:pt>
                <c:pt idx="98">
                  <c:v>115.48</c:v>
                </c:pt>
                <c:pt idx="99">
                  <c:v>113.51</c:v>
                </c:pt>
                <c:pt idx="100">
                  <c:v>113.42</c:v>
                </c:pt>
                <c:pt idx="101">
                  <c:v>114.86</c:v>
                </c:pt>
                <c:pt idx="102">
                  <c:v>113.63</c:v>
                </c:pt>
                <c:pt idx="103">
                  <c:v>113.99</c:v>
                </c:pt>
                <c:pt idx="104">
                  <c:v>117.26</c:v>
                </c:pt>
                <c:pt idx="105">
                  <c:v>114.45</c:v>
                </c:pt>
                <c:pt idx="106">
                  <c:v>112.67</c:v>
                </c:pt>
                <c:pt idx="107">
                  <c:v>113.12</c:v>
                </c:pt>
                <c:pt idx="108">
                  <c:v>113.97</c:v>
                </c:pt>
                <c:pt idx="109">
                  <c:v>112.75</c:v>
                </c:pt>
                <c:pt idx="110">
                  <c:v>113.08</c:v>
                </c:pt>
                <c:pt idx="111">
                  <c:v>112.17</c:v>
                </c:pt>
                <c:pt idx="112">
                  <c:v>110.93</c:v>
                </c:pt>
                <c:pt idx="113">
                  <c:v>110.04</c:v>
                </c:pt>
                <c:pt idx="114">
                  <c:v>109.11</c:v>
                </c:pt>
                <c:pt idx="115">
                  <c:v>108.36</c:v>
                </c:pt>
                <c:pt idx="116">
                  <c:v>109.38</c:v>
                </c:pt>
                <c:pt idx="117">
                  <c:v>111.74</c:v>
                </c:pt>
                <c:pt idx="118">
                  <c:v>110.76</c:v>
                </c:pt>
                <c:pt idx="119">
                  <c:v>114.05</c:v>
                </c:pt>
                <c:pt idx="120">
                  <c:v>114.37</c:v>
                </c:pt>
                <c:pt idx="121">
                  <c:v>114.41</c:v>
                </c:pt>
                <c:pt idx="122">
                  <c:v>114.9</c:v>
                </c:pt>
                <c:pt idx="123">
                  <c:v>115.12</c:v>
                </c:pt>
                <c:pt idx="124">
                  <c:v>114.96</c:v>
                </c:pt>
                <c:pt idx="125">
                  <c:v>114.18</c:v>
                </c:pt>
                <c:pt idx="126">
                  <c:v>114.76</c:v>
                </c:pt>
                <c:pt idx="127">
                  <c:v>113.37</c:v>
                </c:pt>
                <c:pt idx="128">
                  <c:v>112.18</c:v>
                </c:pt>
                <c:pt idx="129">
                  <c:v>110.94</c:v>
                </c:pt>
                <c:pt idx="130">
                  <c:v>111.92</c:v>
                </c:pt>
                <c:pt idx="131">
                  <c:v>113.25</c:v>
                </c:pt>
                <c:pt idx="132">
                  <c:v>113.27</c:v>
                </c:pt>
                <c:pt idx="133">
                  <c:v>115.21</c:v>
                </c:pt>
                <c:pt idx="134">
                  <c:v>116.04</c:v>
                </c:pt>
                <c:pt idx="135">
                  <c:v>117.64</c:v>
                </c:pt>
                <c:pt idx="136">
                  <c:v>118.8</c:v>
                </c:pt>
                <c:pt idx="137">
                  <c:v>116.07</c:v>
                </c:pt>
                <c:pt idx="138">
                  <c:v>115.27</c:v>
                </c:pt>
                <c:pt idx="139">
                  <c:v>113.41</c:v>
                </c:pt>
                <c:pt idx="140">
                  <c:v>115.01</c:v>
                </c:pt>
                <c:pt idx="141">
                  <c:v>117.43</c:v>
                </c:pt>
                <c:pt idx="142">
                  <c:v>117.33</c:v>
                </c:pt>
                <c:pt idx="143">
                  <c:v>116.1</c:v>
                </c:pt>
                <c:pt idx="144">
                  <c:v>118.17</c:v>
                </c:pt>
                <c:pt idx="145">
                  <c:v>118.59</c:v>
                </c:pt>
                <c:pt idx="146">
                  <c:v>116.95</c:v>
                </c:pt>
                <c:pt idx="147">
                  <c:v>116.88</c:v>
                </c:pt>
                <c:pt idx="148">
                  <c:v>114.77</c:v>
                </c:pt>
                <c:pt idx="149">
                  <c:v>114.16</c:v>
                </c:pt>
                <c:pt idx="150">
                  <c:v>115.68</c:v>
                </c:pt>
                <c:pt idx="151">
                  <c:v>117.89</c:v>
                </c:pt>
                <c:pt idx="152">
                  <c:v>118.85</c:v>
                </c:pt>
                <c:pt idx="153">
                  <c:v>119</c:v>
                </c:pt>
                <c:pt idx="154">
                  <c:v>117.86</c:v>
                </c:pt>
                <c:pt idx="155">
                  <c:v>118.95</c:v>
                </c:pt>
                <c:pt idx="156">
                  <c:v>118.73</c:v>
                </c:pt>
                <c:pt idx="157">
                  <c:v>118.17</c:v>
                </c:pt>
                <c:pt idx="158">
                  <c:v>118.53</c:v>
                </c:pt>
                <c:pt idx="159">
                  <c:v>114.58</c:v>
                </c:pt>
                <c:pt idx="160">
                  <c:v>113.85</c:v>
                </c:pt>
                <c:pt idx="161">
                  <c:v>114.73</c:v>
                </c:pt>
                <c:pt idx="162">
                  <c:v>116.32</c:v>
                </c:pt>
                <c:pt idx="163">
                  <c:v>118.81</c:v>
                </c:pt>
                <c:pt idx="164">
                  <c:v>117.68</c:v>
                </c:pt>
                <c:pt idx="165">
                  <c:v>116.52</c:v>
                </c:pt>
                <c:pt idx="166">
                  <c:v>118.13</c:v>
                </c:pt>
                <c:pt idx="167">
                  <c:v>117.94</c:v>
                </c:pt>
                <c:pt idx="168">
                  <c:v>115.47</c:v>
                </c:pt>
                <c:pt idx="169">
                  <c:v>114.06</c:v>
                </c:pt>
                <c:pt idx="170">
                  <c:v>113.17</c:v>
                </c:pt>
                <c:pt idx="171">
                  <c:v>112.64</c:v>
                </c:pt>
                <c:pt idx="172">
                  <c:v>115.01</c:v>
                </c:pt>
                <c:pt idx="173">
                  <c:v>110.82</c:v>
                </c:pt>
                <c:pt idx="174">
                  <c:v>109.72</c:v>
                </c:pt>
                <c:pt idx="175">
                  <c:v>111.23</c:v>
                </c:pt>
                <c:pt idx="176">
                  <c:v>111.15</c:v>
                </c:pt>
                <c:pt idx="177">
                  <c:v>112.71</c:v>
                </c:pt>
                <c:pt idx="178">
                  <c:v>114.18</c:v>
                </c:pt>
                <c:pt idx="179">
                  <c:v>114.58</c:v>
                </c:pt>
                <c:pt idx="180">
                  <c:v>116</c:v>
                </c:pt>
                <c:pt idx="181">
                  <c:v>115.27</c:v>
                </c:pt>
                <c:pt idx="182">
                  <c:v>117.36</c:v>
                </c:pt>
                <c:pt idx="183">
                  <c:v>117.05</c:v>
                </c:pt>
                <c:pt idx="184">
                  <c:v>114.77</c:v>
                </c:pt>
                <c:pt idx="185">
                  <c:v>112.8</c:v>
                </c:pt>
                <c:pt idx="186">
                  <c:v>115.82</c:v>
                </c:pt>
                <c:pt idx="187">
                  <c:v>117.22</c:v>
                </c:pt>
                <c:pt idx="188">
                  <c:v>119.93</c:v>
                </c:pt>
                <c:pt idx="189">
                  <c:v>121.52</c:v>
                </c:pt>
                <c:pt idx="190">
                  <c:v>122.58</c:v>
                </c:pt>
                <c:pt idx="191">
                  <c:v>124.83</c:v>
                </c:pt>
                <c:pt idx="192">
                  <c:v>125.37</c:v>
                </c:pt>
                <c:pt idx="193">
                  <c:v>122.04</c:v>
                </c:pt>
                <c:pt idx="194">
                  <c:v>122.09</c:v>
                </c:pt>
                <c:pt idx="195">
                  <c:v>123.14</c:v>
                </c:pt>
                <c:pt idx="196">
                  <c:v>123.61</c:v>
                </c:pt>
                <c:pt idx="197">
                  <c:v>124.08</c:v>
                </c:pt>
                <c:pt idx="198">
                  <c:v>120.35</c:v>
                </c:pt>
                <c:pt idx="199">
                  <c:v>120.66</c:v>
                </c:pt>
                <c:pt idx="200">
                  <c:v>120.35</c:v>
                </c:pt>
                <c:pt idx="201">
                  <c:v>120.01</c:v>
                </c:pt>
                <c:pt idx="202">
                  <c:v>120.08</c:v>
                </c:pt>
                <c:pt idx="203">
                  <c:v>120.7</c:v>
                </c:pt>
                <c:pt idx="204">
                  <c:v>120.27</c:v>
                </c:pt>
                <c:pt idx="205">
                  <c:v>119.59</c:v>
                </c:pt>
                <c:pt idx="206">
                  <c:v>119.49</c:v>
                </c:pt>
                <c:pt idx="207">
                  <c:v>118.9</c:v>
                </c:pt>
                <c:pt idx="208">
                  <c:v>117.28</c:v>
                </c:pt>
                <c:pt idx="209">
                  <c:v>116.69</c:v>
                </c:pt>
                <c:pt idx="210">
                  <c:v>116.78</c:v>
                </c:pt>
                <c:pt idx="211">
                  <c:v>114.95</c:v>
                </c:pt>
                <c:pt idx="212">
                  <c:v>118.61</c:v>
                </c:pt>
                <c:pt idx="213">
                  <c:v>118.96</c:v>
                </c:pt>
                <c:pt idx="214">
                  <c:v>121</c:v>
                </c:pt>
                <c:pt idx="215">
                  <c:v>121.15</c:v>
                </c:pt>
                <c:pt idx="216">
                  <c:v>121.11</c:v>
                </c:pt>
                <c:pt idx="217">
                  <c:v>120.47</c:v>
                </c:pt>
                <c:pt idx="218">
                  <c:v>120.35</c:v>
                </c:pt>
                <c:pt idx="219">
                  <c:v>121.47</c:v>
                </c:pt>
                <c:pt idx="220">
                  <c:v>120.56</c:v>
                </c:pt>
                <c:pt idx="221">
                  <c:v>119.31</c:v>
                </c:pt>
                <c:pt idx="222">
                  <c:v>120.31</c:v>
                </c:pt>
                <c:pt idx="223">
                  <c:v>118.63</c:v>
                </c:pt>
                <c:pt idx="224">
                  <c:v>120.32</c:v>
                </c:pt>
                <c:pt idx="225">
                  <c:v>121.93</c:v>
                </c:pt>
                <c:pt idx="226">
                  <c:v>121.79</c:v>
                </c:pt>
                <c:pt idx="227">
                  <c:v>119.97</c:v>
                </c:pt>
                <c:pt idx="228">
                  <c:v>117.97</c:v>
                </c:pt>
                <c:pt idx="229">
                  <c:v>117.66</c:v>
                </c:pt>
                <c:pt idx="230">
                  <c:v>117.96</c:v>
                </c:pt>
                <c:pt idx="231">
                  <c:v>117.85</c:v>
                </c:pt>
                <c:pt idx="232">
                  <c:v>117.67</c:v>
                </c:pt>
                <c:pt idx="233">
                  <c:v>114.28</c:v>
                </c:pt>
                <c:pt idx="234">
                  <c:v>114.78</c:v>
                </c:pt>
                <c:pt idx="235">
                  <c:v>113.57</c:v>
                </c:pt>
                <c:pt idx="236">
                  <c:v>112.9</c:v>
                </c:pt>
                <c:pt idx="237">
                  <c:v>112.67</c:v>
                </c:pt>
                <c:pt idx="238">
                  <c:v>111.92</c:v>
                </c:pt>
                <c:pt idx="239">
                  <c:v>111.82</c:v>
                </c:pt>
                <c:pt idx="240">
                  <c:v>110.84</c:v>
                </c:pt>
                <c:pt idx="241">
                  <c:v>108.47</c:v>
                </c:pt>
                <c:pt idx="242">
                  <c:v>108.01</c:v>
                </c:pt>
                <c:pt idx="243">
                  <c:v>106.42</c:v>
                </c:pt>
                <c:pt idx="244">
                  <c:v>105.51</c:v>
                </c:pt>
                <c:pt idx="245">
                  <c:v>105.87</c:v>
                </c:pt>
                <c:pt idx="246">
                  <c:v>106.3</c:v>
                </c:pt>
                <c:pt idx="247">
                  <c:v>106.4</c:v>
                </c:pt>
                <c:pt idx="248">
                  <c:v>106.49</c:v>
                </c:pt>
                <c:pt idx="249">
                  <c:v>106.48</c:v>
                </c:pt>
                <c:pt idx="250">
                  <c:v>105.76</c:v>
                </c:pt>
                <c:pt idx="251">
                  <c:v>107.57</c:v>
                </c:pt>
                <c:pt idx="252">
                  <c:v>107.31</c:v>
                </c:pt>
                <c:pt idx="253">
                  <c:v>107.86</c:v>
                </c:pt>
                <c:pt idx="254">
                  <c:v>107.74</c:v>
                </c:pt>
                <c:pt idx="255">
                  <c:v>108.75</c:v>
                </c:pt>
                <c:pt idx="256">
                  <c:v>106.93</c:v>
                </c:pt>
                <c:pt idx="257">
                  <c:v>106.54</c:v>
                </c:pt>
                <c:pt idx="258">
                  <c:v>109.29</c:v>
                </c:pt>
                <c:pt idx="259">
                  <c:v>109.72</c:v>
                </c:pt>
                <c:pt idx="260">
                  <c:v>111.51</c:v>
                </c:pt>
                <c:pt idx="261">
                  <c:v>111.32</c:v>
                </c:pt>
                <c:pt idx="262">
                  <c:v>112.32</c:v>
                </c:pt>
                <c:pt idx="263">
                  <c:v>111.47</c:v>
                </c:pt>
                <c:pt idx="264">
                  <c:v>109.53</c:v>
                </c:pt>
                <c:pt idx="265">
                  <c:v>110.15</c:v>
                </c:pt>
                <c:pt idx="266">
                  <c:v>108.66</c:v>
                </c:pt>
                <c:pt idx="267">
                  <c:v>110.17</c:v>
                </c:pt>
                <c:pt idx="268">
                  <c:v>108.04</c:v>
                </c:pt>
                <c:pt idx="269">
                  <c:v>108.67</c:v>
                </c:pt>
                <c:pt idx="270">
                  <c:v>109.57</c:v>
                </c:pt>
                <c:pt idx="271">
                  <c:v>106.83</c:v>
                </c:pt>
                <c:pt idx="272">
                  <c:v>107.09</c:v>
                </c:pt>
                <c:pt idx="273">
                  <c:v>109.96</c:v>
                </c:pt>
                <c:pt idx="274">
                  <c:v>109.88</c:v>
                </c:pt>
                <c:pt idx="275">
                  <c:v>108.43</c:v>
                </c:pt>
                <c:pt idx="276">
                  <c:v>108.89</c:v>
                </c:pt>
                <c:pt idx="277">
                  <c:v>110.97</c:v>
                </c:pt>
                <c:pt idx="278">
                  <c:v>111.67</c:v>
                </c:pt>
                <c:pt idx="279">
                  <c:v>107.35</c:v>
                </c:pt>
                <c:pt idx="280">
                  <c:v>108.13</c:v>
                </c:pt>
                <c:pt idx="281">
                  <c:v>108.24</c:v>
                </c:pt>
                <c:pt idx="282">
                  <c:v>110.14</c:v>
                </c:pt>
                <c:pt idx="283">
                  <c:v>110.3</c:v>
                </c:pt>
                <c:pt idx="284">
                  <c:v>112</c:v>
                </c:pt>
                <c:pt idx="285">
                  <c:v>110.69</c:v>
                </c:pt>
                <c:pt idx="286">
                  <c:v>111.27</c:v>
                </c:pt>
                <c:pt idx="287">
                  <c:v>109.73</c:v>
                </c:pt>
                <c:pt idx="288">
                  <c:v>109.46</c:v>
                </c:pt>
                <c:pt idx="289">
                  <c:v>110.15</c:v>
                </c:pt>
                <c:pt idx="290">
                  <c:v>111.33</c:v>
                </c:pt>
                <c:pt idx="291">
                  <c:v>107.76</c:v>
                </c:pt>
                <c:pt idx="292">
                  <c:v>107.54</c:v>
                </c:pt>
                <c:pt idx="293">
                  <c:v>105.44</c:v>
                </c:pt>
                <c:pt idx="294">
                  <c:v>107.62</c:v>
                </c:pt>
                <c:pt idx="295">
                  <c:v>109.02</c:v>
                </c:pt>
                <c:pt idx="296">
                  <c:v>111.8</c:v>
                </c:pt>
                <c:pt idx="297">
                  <c:v>109.16</c:v>
                </c:pt>
                <c:pt idx="298">
                  <c:v>109.13</c:v>
                </c:pt>
                <c:pt idx="299">
                  <c:v>108.67</c:v>
                </c:pt>
                <c:pt idx="300">
                  <c:v>111.9</c:v>
                </c:pt>
                <c:pt idx="301">
                  <c:v>113.76</c:v>
                </c:pt>
                <c:pt idx="302">
                  <c:v>113.64</c:v>
                </c:pt>
                <c:pt idx="303">
                  <c:v>115.41</c:v>
                </c:pt>
                <c:pt idx="304">
                  <c:v>115.9</c:v>
                </c:pt>
                <c:pt idx="305">
                  <c:v>115.5</c:v>
                </c:pt>
                <c:pt idx="306">
                  <c:v>115.8</c:v>
                </c:pt>
                <c:pt idx="307">
                  <c:v>116.59</c:v>
                </c:pt>
                <c:pt idx="308">
                  <c:v>118.27</c:v>
                </c:pt>
                <c:pt idx="309">
                  <c:v>117.89</c:v>
                </c:pt>
                <c:pt idx="310">
                  <c:v>117.73</c:v>
                </c:pt>
                <c:pt idx="311">
                  <c:v>118.93</c:v>
                </c:pt>
                <c:pt idx="312">
                  <c:v>119.04</c:v>
                </c:pt>
                <c:pt idx="313">
                  <c:v>118.67</c:v>
                </c:pt>
                <c:pt idx="314">
                  <c:v>112.43</c:v>
                </c:pt>
                <c:pt idx="315">
                  <c:v>104.34</c:v>
                </c:pt>
                <c:pt idx="316">
                  <c:v>102.94</c:v>
                </c:pt>
                <c:pt idx="317">
                  <c:v>100.77</c:v>
                </c:pt>
                <c:pt idx="318">
                  <c:v>105.8</c:v>
                </c:pt>
                <c:pt idx="319">
                  <c:v>99.93</c:v>
                </c:pt>
                <c:pt idx="320">
                  <c:v>103.14</c:v>
                </c:pt>
                <c:pt idx="321">
                  <c:v>103.39</c:v>
                </c:pt>
                <c:pt idx="322">
                  <c:v>103.1</c:v>
                </c:pt>
                <c:pt idx="323">
                  <c:v>104.19</c:v>
                </c:pt>
                <c:pt idx="324">
                  <c:v>106.92</c:v>
                </c:pt>
                <c:pt idx="325">
                  <c:v>105.35</c:v>
                </c:pt>
                <c:pt idx="326">
                  <c:v>108.3</c:v>
                </c:pt>
                <c:pt idx="327">
                  <c:v>107.37</c:v>
                </c:pt>
                <c:pt idx="328">
                  <c:v>108.63</c:v>
                </c:pt>
                <c:pt idx="329">
                  <c:v>108.57</c:v>
                </c:pt>
                <c:pt idx="330">
                  <c:v>108.63</c:v>
                </c:pt>
                <c:pt idx="331">
                  <c:v>108.36</c:v>
                </c:pt>
                <c:pt idx="332">
                  <c:v>105.63</c:v>
                </c:pt>
                <c:pt idx="333">
                  <c:v>105.78</c:v>
                </c:pt>
                <c:pt idx="334">
                  <c:v>106.21</c:v>
                </c:pt>
                <c:pt idx="335">
                  <c:v>103.27</c:v>
                </c:pt>
                <c:pt idx="336">
                  <c:v>104.71</c:v>
                </c:pt>
                <c:pt idx="337">
                  <c:v>104.61</c:v>
                </c:pt>
                <c:pt idx="338">
                  <c:v>106.07</c:v>
                </c:pt>
                <c:pt idx="339">
                  <c:v>107.31</c:v>
                </c:pt>
                <c:pt idx="340">
                  <c:v>109.16</c:v>
                </c:pt>
                <c:pt idx="341">
                  <c:v>109.46</c:v>
                </c:pt>
                <c:pt idx="342">
                  <c:v>108.48</c:v>
                </c:pt>
                <c:pt idx="343">
                  <c:v>108.58</c:v>
                </c:pt>
                <c:pt idx="344">
                  <c:v>108.19</c:v>
                </c:pt>
                <c:pt idx="345">
                  <c:v>106.47</c:v>
                </c:pt>
                <c:pt idx="346">
                  <c:v>104.95</c:v>
                </c:pt>
                <c:pt idx="347">
                  <c:v>103.66</c:v>
                </c:pt>
                <c:pt idx="348">
                  <c:v>102.97</c:v>
                </c:pt>
                <c:pt idx="349">
                  <c:v>103.03</c:v>
                </c:pt>
                <c:pt idx="350">
                  <c:v>103.52</c:v>
                </c:pt>
                <c:pt idx="351">
                  <c:v>102.11</c:v>
                </c:pt>
                <c:pt idx="352">
                  <c:v>102.69</c:v>
                </c:pt>
                <c:pt idx="353">
                  <c:v>102.3</c:v>
                </c:pt>
                <c:pt idx="354">
                  <c:v>103.05</c:v>
                </c:pt>
                <c:pt idx="355">
                  <c:v>103.8</c:v>
                </c:pt>
                <c:pt idx="356">
                  <c:v>102.3</c:v>
                </c:pt>
                <c:pt idx="357">
                  <c:v>101.83</c:v>
                </c:pt>
                <c:pt idx="358">
                  <c:v>104.27</c:v>
                </c:pt>
                <c:pt idx="359">
                  <c:v>104.97</c:v>
                </c:pt>
                <c:pt idx="360">
                  <c:v>107.22</c:v>
                </c:pt>
                <c:pt idx="361">
                  <c:v>109.31</c:v>
                </c:pt>
                <c:pt idx="362">
                  <c:v>109.73</c:v>
                </c:pt>
                <c:pt idx="363">
                  <c:v>112.12</c:v>
                </c:pt>
                <c:pt idx="364">
                  <c:v>112.48</c:v>
                </c:pt>
                <c:pt idx="365">
                  <c:v>114</c:v>
                </c:pt>
                <c:pt idx="366">
                  <c:v>113.19</c:v>
                </c:pt>
                <c:pt idx="367">
                  <c:v>114.7</c:v>
                </c:pt>
                <c:pt idx="368">
                  <c:v>111.74</c:v>
                </c:pt>
                <c:pt idx="369">
                  <c:v>108.34</c:v>
                </c:pt>
                <c:pt idx="370">
                  <c:v>108.37</c:v>
                </c:pt>
                <c:pt idx="371">
                  <c:v>109.99</c:v>
                </c:pt>
                <c:pt idx="372">
                  <c:v>109.38</c:v>
                </c:pt>
                <c:pt idx="373">
                  <c:v>107.8</c:v>
                </c:pt>
                <c:pt idx="374">
                  <c:v>109.24</c:v>
                </c:pt>
                <c:pt idx="375">
                  <c:v>111.05</c:v>
                </c:pt>
                <c:pt idx="376">
                  <c:v>112.2</c:v>
                </c:pt>
                <c:pt idx="377">
                  <c:v>111.11</c:v>
                </c:pt>
                <c:pt idx="378">
                  <c:v>114.19</c:v>
                </c:pt>
                <c:pt idx="379">
                  <c:v>113.8</c:v>
                </c:pt>
                <c:pt idx="380">
                  <c:v>114.93</c:v>
                </c:pt>
                <c:pt idx="381">
                  <c:v>115.43</c:v>
                </c:pt>
                <c:pt idx="382">
                  <c:v>113.92</c:v>
                </c:pt>
                <c:pt idx="383">
                  <c:v>112.91</c:v>
                </c:pt>
                <c:pt idx="384">
                  <c:v>112.23</c:v>
                </c:pt>
                <c:pt idx="385">
                  <c:v>111.66</c:v>
                </c:pt>
                <c:pt idx="386">
                  <c:v>107.77</c:v>
                </c:pt>
                <c:pt idx="387">
                  <c:v>108.05</c:v>
                </c:pt>
                <c:pt idx="388">
                  <c:v>108.54</c:v>
                </c:pt>
                <c:pt idx="389">
                  <c:v>109.93</c:v>
                </c:pt>
                <c:pt idx="390">
                  <c:v>110.79</c:v>
                </c:pt>
                <c:pt idx="391">
                  <c:v>110.4</c:v>
                </c:pt>
                <c:pt idx="392">
                  <c:v>111.44</c:v>
                </c:pt>
                <c:pt idx="393">
                  <c:v>112.88</c:v>
                </c:pt>
                <c:pt idx="394">
                  <c:v>111.9</c:v>
                </c:pt>
                <c:pt idx="395">
                  <c:v>111.64</c:v>
                </c:pt>
                <c:pt idx="396">
                  <c:v>109.64</c:v>
                </c:pt>
                <c:pt idx="397">
                  <c:v>107.37</c:v>
                </c:pt>
                <c:pt idx="398">
                  <c:v>107.24</c:v>
                </c:pt>
                <c:pt idx="399">
                  <c:v>106.51</c:v>
                </c:pt>
                <c:pt idx="400">
                  <c:v>105.95</c:v>
                </c:pt>
                <c:pt idx="401">
                  <c:v>106.8</c:v>
                </c:pt>
                <c:pt idx="402">
                  <c:v>105.83</c:v>
                </c:pt>
                <c:pt idx="403">
                  <c:v>106.13</c:v>
                </c:pt>
                <c:pt idx="404">
                  <c:v>107.6</c:v>
                </c:pt>
                <c:pt idx="405">
                  <c:v>107.38</c:v>
                </c:pt>
                <c:pt idx="406">
                  <c:v>106.49</c:v>
                </c:pt>
                <c:pt idx="407">
                  <c:v>106.72</c:v>
                </c:pt>
                <c:pt idx="408">
                  <c:v>107.42</c:v>
                </c:pt>
                <c:pt idx="409">
                  <c:v>108.53</c:v>
                </c:pt>
                <c:pt idx="410">
                  <c:v>109.23</c:v>
                </c:pt>
                <c:pt idx="411">
                  <c:v>111.28</c:v>
                </c:pt>
                <c:pt idx="412">
                  <c:v>111.74</c:v>
                </c:pt>
                <c:pt idx="413">
                  <c:v>111.49</c:v>
                </c:pt>
                <c:pt idx="414">
                  <c:v>112.75</c:v>
                </c:pt>
                <c:pt idx="415">
                  <c:v>113.35</c:v>
                </c:pt>
                <c:pt idx="416">
                  <c:v>114.29</c:v>
                </c:pt>
                <c:pt idx="417">
                  <c:v>114.69</c:v>
                </c:pt>
                <c:pt idx="418">
                  <c:v>111.91</c:v>
                </c:pt>
                <c:pt idx="419">
                  <c:v>112.4</c:v>
                </c:pt>
                <c:pt idx="420">
                  <c:v>109.23</c:v>
                </c:pt>
                <c:pt idx="421">
                  <c:v>109.85</c:v>
                </c:pt>
                <c:pt idx="422">
                  <c:v>110.65</c:v>
                </c:pt>
                <c:pt idx="423">
                  <c:v>112.5</c:v>
                </c:pt>
                <c:pt idx="424">
                  <c:v>112.14</c:v>
                </c:pt>
                <c:pt idx="425">
                  <c:v>112.16</c:v>
                </c:pt>
                <c:pt idx="426">
                  <c:v>112.35</c:v>
                </c:pt>
                <c:pt idx="427">
                  <c:v>114.68</c:v>
                </c:pt>
                <c:pt idx="428">
                  <c:v>115.29</c:v>
                </c:pt>
                <c:pt idx="429">
                  <c:v>113.93</c:v>
                </c:pt>
                <c:pt idx="430">
                  <c:v>112.82</c:v>
                </c:pt>
                <c:pt idx="431">
                  <c:v>112.02</c:v>
                </c:pt>
                <c:pt idx="432">
                  <c:v>113.95</c:v>
                </c:pt>
                <c:pt idx="433">
                  <c:v>114.56</c:v>
                </c:pt>
                <c:pt idx="434">
                  <c:v>115.59</c:v>
                </c:pt>
                <c:pt idx="435">
                  <c:v>117.22</c:v>
                </c:pt>
                <c:pt idx="436">
                  <c:v>114.22</c:v>
                </c:pt>
                <c:pt idx="437">
                  <c:v>112.75</c:v>
                </c:pt>
                <c:pt idx="438">
                  <c:v>111.99</c:v>
                </c:pt>
                <c:pt idx="439">
                  <c:v>111.29</c:v>
                </c:pt>
                <c:pt idx="440">
                  <c:v>113.26</c:v>
                </c:pt>
                <c:pt idx="441">
                  <c:v>114.2</c:v>
                </c:pt>
                <c:pt idx="442">
                  <c:v>114.26</c:v>
                </c:pt>
                <c:pt idx="443">
                  <c:v>114.02</c:v>
                </c:pt>
                <c:pt idx="444">
                  <c:v>112.91</c:v>
                </c:pt>
                <c:pt idx="445">
                  <c:v>110.73</c:v>
                </c:pt>
                <c:pt idx="446">
                  <c:v>112.24</c:v>
                </c:pt>
                <c:pt idx="447">
                  <c:v>112.29</c:v>
                </c:pt>
                <c:pt idx="448">
                  <c:v>111.61</c:v>
                </c:pt>
                <c:pt idx="449">
                  <c:v>110.64</c:v>
                </c:pt>
                <c:pt idx="450">
                  <c:v>112.24</c:v>
                </c:pt>
                <c:pt idx="451">
                  <c:v>112.7</c:v>
                </c:pt>
                <c:pt idx="452">
                  <c:v>112.71</c:v>
                </c:pt>
                <c:pt idx="453">
                  <c:v>114.71</c:v>
                </c:pt>
                <c:pt idx="454">
                  <c:v>115.98</c:v>
                </c:pt>
                <c:pt idx="455">
                  <c:v>115.39</c:v>
                </c:pt>
                <c:pt idx="456">
                  <c:v>115.94</c:v>
                </c:pt>
                <c:pt idx="457">
                  <c:v>115.03</c:v>
                </c:pt>
                <c:pt idx="458">
                  <c:v>116.45</c:v>
                </c:pt>
                <c:pt idx="459">
                  <c:v>114.69</c:v>
                </c:pt>
                <c:pt idx="460">
                  <c:v>114.36</c:v>
                </c:pt>
                <c:pt idx="461">
                  <c:v>113.76</c:v>
                </c:pt>
                <c:pt idx="462">
                  <c:v>114.14</c:v>
                </c:pt>
                <c:pt idx="463">
                  <c:v>113.68</c:v>
                </c:pt>
                <c:pt idx="464">
                  <c:v>114.5</c:v>
                </c:pt>
                <c:pt idx="465">
                  <c:v>117.22</c:v>
                </c:pt>
                <c:pt idx="466">
                  <c:v>118.22</c:v>
                </c:pt>
                <c:pt idx="467">
                  <c:v>119.78</c:v>
                </c:pt>
                <c:pt idx="468">
                  <c:v>118.12</c:v>
                </c:pt>
                <c:pt idx="469">
                  <c:v>118.79</c:v>
                </c:pt>
                <c:pt idx="470">
                  <c:v>119.29</c:v>
                </c:pt>
                <c:pt idx="471">
                  <c:v>117.68</c:v>
                </c:pt>
                <c:pt idx="472">
                  <c:v>119.03</c:v>
                </c:pt>
                <c:pt idx="473">
                  <c:v>117.35</c:v>
                </c:pt>
                <c:pt idx="474">
                  <c:v>117.02</c:v>
                </c:pt>
                <c:pt idx="475">
                  <c:v>117.08</c:v>
                </c:pt>
                <c:pt idx="476">
                  <c:v>115.97</c:v>
                </c:pt>
                <c:pt idx="477">
                  <c:v>114.51</c:v>
                </c:pt>
                <c:pt idx="478">
                  <c:v>114.77</c:v>
                </c:pt>
                <c:pt idx="479">
                  <c:v>115.92</c:v>
                </c:pt>
                <c:pt idx="480">
                  <c:v>116.63</c:v>
                </c:pt>
                <c:pt idx="481">
                  <c:v>115.38</c:v>
                </c:pt>
                <c:pt idx="482">
                  <c:v>117.8</c:v>
                </c:pt>
                <c:pt idx="483">
                  <c:v>117.14</c:v>
                </c:pt>
                <c:pt idx="484">
                  <c:v>116.54</c:v>
                </c:pt>
                <c:pt idx="485">
                  <c:v>115.98</c:v>
                </c:pt>
                <c:pt idx="486">
                  <c:v>118.25</c:v>
                </c:pt>
                <c:pt idx="487">
                  <c:v>119.54</c:v>
                </c:pt>
                <c:pt idx="488">
                  <c:v>119.54</c:v>
                </c:pt>
                <c:pt idx="489">
                  <c:v>118.82</c:v>
                </c:pt>
                <c:pt idx="490">
                  <c:v>117.76</c:v>
                </c:pt>
                <c:pt idx="491">
                  <c:v>114.68</c:v>
                </c:pt>
                <c:pt idx="492">
                  <c:v>117.41</c:v>
                </c:pt>
                <c:pt idx="493">
                  <c:v>116.54</c:v>
                </c:pt>
                <c:pt idx="494">
                  <c:v>116.69</c:v>
                </c:pt>
                <c:pt idx="495">
                  <c:v>118.15</c:v>
                </c:pt>
                <c:pt idx="496">
                  <c:v>119.42</c:v>
                </c:pt>
                <c:pt idx="497">
                  <c:v>119.22</c:v>
                </c:pt>
                <c:pt idx="498">
                  <c:v>119.11</c:v>
                </c:pt>
                <c:pt idx="499">
                  <c:v>120.53</c:v>
                </c:pt>
                <c:pt idx="500">
                  <c:v>120.99</c:v>
                </c:pt>
                <c:pt idx="501">
                  <c:v>120.34</c:v>
                </c:pt>
                <c:pt idx="502">
                  <c:v>122.65</c:v>
                </c:pt>
                <c:pt idx="503">
                  <c:v>125.36</c:v>
                </c:pt>
                <c:pt idx="504">
                  <c:v>121.05</c:v>
                </c:pt>
                <c:pt idx="505">
                  <c:v>118.49</c:v>
                </c:pt>
                <c:pt idx="506">
                  <c:v>122.91</c:v>
                </c:pt>
                <c:pt idx="507">
                  <c:v>124.61</c:v>
                </c:pt>
                <c:pt idx="508">
                  <c:v>124.03</c:v>
                </c:pt>
                <c:pt idx="509">
                  <c:v>126.54</c:v>
                </c:pt>
                <c:pt idx="510">
                  <c:v>130.19999999999999</c:v>
                </c:pt>
                <c:pt idx="511">
                  <c:v>129.13</c:v>
                </c:pt>
                <c:pt idx="512">
                  <c:v>129.88999999999999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Data!$F$2:$F$514</c:f>
              <c:numCache>
                <c:formatCode>General</c:formatCode>
                <c:ptCount val="513"/>
                <c:pt idx="0">
                  <c:v>102.36</c:v>
                </c:pt>
                <c:pt idx="1">
                  <c:v>102.79007076067977</c:v>
                </c:pt>
                <c:pt idx="2">
                  <c:v>102.65270094545069</c:v>
                </c:pt>
                <c:pt idx="3">
                  <c:v>102.6483297457866</c:v>
                </c:pt>
                <c:pt idx="4">
                  <c:v>102.26571513533446</c:v>
                </c:pt>
                <c:pt idx="5">
                  <c:v>101.86105762818316</c:v>
                </c:pt>
                <c:pt idx="6">
                  <c:v>101.45809216369381</c:v>
                </c:pt>
                <c:pt idx="7">
                  <c:v>101.18063052541267</c:v>
                </c:pt>
                <c:pt idx="8">
                  <c:v>101.05529401466022</c:v>
                </c:pt>
                <c:pt idx="9">
                  <c:v>100.71027889500526</c:v>
                </c:pt>
                <c:pt idx="10">
                  <c:v>100.39244317920091</c:v>
                </c:pt>
                <c:pt idx="11">
                  <c:v>100.07463417334749</c:v>
                </c:pt>
                <c:pt idx="12">
                  <c:v>99.830199650418422</c:v>
                </c:pt>
                <c:pt idx="13">
                  <c:v>99.613138492066938</c:v>
                </c:pt>
                <c:pt idx="14">
                  <c:v>99.520805928589169</c:v>
                </c:pt>
                <c:pt idx="15">
                  <c:v>99.525234115819316</c:v>
                </c:pt>
                <c:pt idx="16">
                  <c:v>99.698524525547953</c:v>
                </c:pt>
                <c:pt idx="17">
                  <c:v>99.893303353845141</c:v>
                </c:pt>
                <c:pt idx="18">
                  <c:v>100.05303831298872</c:v>
                </c:pt>
                <c:pt idx="19">
                  <c:v>100.29377067037646</c:v>
                </c:pt>
                <c:pt idx="20">
                  <c:v>100.43027341523675</c:v>
                </c:pt>
                <c:pt idx="21">
                  <c:v>100.51746936052216</c:v>
                </c:pt>
                <c:pt idx="22">
                  <c:v>100.58770819941485</c:v>
                </c:pt>
                <c:pt idx="23">
                  <c:v>100.62278605044216</c:v>
                </c:pt>
                <c:pt idx="24">
                  <c:v>100.66759187636482</c:v>
                </c:pt>
                <c:pt idx="25">
                  <c:v>100.71062679631268</c:v>
                </c:pt>
                <c:pt idx="26">
                  <c:v>100.83408763106846</c:v>
                </c:pt>
                <c:pt idx="27">
                  <c:v>100.86953962740871</c:v>
                </c:pt>
                <c:pt idx="28">
                  <c:v>100.94459617210534</c:v>
                </c:pt>
                <c:pt idx="29">
                  <c:v>100.95758421445407</c:v>
                </c:pt>
                <c:pt idx="30">
                  <c:v>100.95408754606986</c:v>
                </c:pt>
                <c:pt idx="31">
                  <c:v>101.05848881696386</c:v>
                </c:pt>
                <c:pt idx="32">
                  <c:v>101.14301303102125</c:v>
                </c:pt>
                <c:pt idx="33">
                  <c:v>101.18634459522973</c:v>
                </c:pt>
                <c:pt idx="34">
                  <c:v>101.30022535635635</c:v>
                </c:pt>
                <c:pt idx="35">
                  <c:v>101.4019786983589</c:v>
                </c:pt>
                <c:pt idx="36">
                  <c:v>101.45668228529725</c:v>
                </c:pt>
                <c:pt idx="37">
                  <c:v>101.5081330856768</c:v>
                </c:pt>
                <c:pt idx="38">
                  <c:v>101.56375654532937</c:v>
                </c:pt>
                <c:pt idx="39">
                  <c:v>101.61771427831823</c:v>
                </c:pt>
                <c:pt idx="40">
                  <c:v>101.68357294566901</c:v>
                </c:pt>
                <c:pt idx="41">
                  <c:v>101.78038242991212</c:v>
                </c:pt>
                <c:pt idx="42">
                  <c:v>101.83809638562236</c:v>
                </c:pt>
                <c:pt idx="43">
                  <c:v>101.92941938906773</c:v>
                </c:pt>
                <c:pt idx="44">
                  <c:v>102.04585279541398</c:v>
                </c:pt>
                <c:pt idx="45">
                  <c:v>102.13923848768296</c:v>
                </c:pt>
                <c:pt idx="46">
                  <c:v>102.2543616973512</c:v>
                </c:pt>
                <c:pt idx="47">
                  <c:v>102.38646943993612</c:v>
                </c:pt>
                <c:pt idx="48">
                  <c:v>102.48344799869274</c:v>
                </c:pt>
                <c:pt idx="49">
                  <c:v>102.61286685766395</c:v>
                </c:pt>
                <c:pt idx="50">
                  <c:v>102.81815973130502</c:v>
                </c:pt>
                <c:pt idx="51">
                  <c:v>103.14395863462964</c:v>
                </c:pt>
                <c:pt idx="52">
                  <c:v>103.29607650658062</c:v>
                </c:pt>
                <c:pt idx="53">
                  <c:v>103.43834085079736</c:v>
                </c:pt>
                <c:pt idx="54">
                  <c:v>103.58632908749156</c:v>
                </c:pt>
                <c:pt idx="55">
                  <c:v>103.72595509124926</c:v>
                </c:pt>
                <c:pt idx="56">
                  <c:v>103.86011429825687</c:v>
                </c:pt>
                <c:pt idx="57">
                  <c:v>103.99958237017175</c:v>
                </c:pt>
                <c:pt idx="58">
                  <c:v>104.11694531254857</c:v>
                </c:pt>
                <c:pt idx="59">
                  <c:v>104.2383858952287</c:v>
                </c:pt>
                <c:pt idx="60">
                  <c:v>104.43501920677879</c:v>
                </c:pt>
                <c:pt idx="61">
                  <c:v>104.58693738526931</c:v>
                </c:pt>
                <c:pt idx="62">
                  <c:v>104.83885768175348</c:v>
                </c:pt>
                <c:pt idx="63">
                  <c:v>105.04141272939397</c:v>
                </c:pt>
                <c:pt idx="64">
                  <c:v>105.26791807384885</c:v>
                </c:pt>
                <c:pt idx="65">
                  <c:v>105.5549508659082</c:v>
                </c:pt>
                <c:pt idx="66">
                  <c:v>105.76742774990053</c:v>
                </c:pt>
                <c:pt idx="67">
                  <c:v>105.94170245096305</c:v>
                </c:pt>
                <c:pt idx="68">
                  <c:v>106.16500238865648</c:v>
                </c:pt>
                <c:pt idx="69">
                  <c:v>106.37845604565902</c:v>
                </c:pt>
                <c:pt idx="70">
                  <c:v>106.60927694564592</c:v>
                </c:pt>
                <c:pt idx="71">
                  <c:v>106.75790987236194</c:v>
                </c:pt>
                <c:pt idx="72">
                  <c:v>106.91895113919672</c:v>
                </c:pt>
                <c:pt idx="73">
                  <c:v>107.04466959478169</c:v>
                </c:pt>
                <c:pt idx="74">
                  <c:v>107.16059736697204</c:v>
                </c:pt>
                <c:pt idx="75">
                  <c:v>107.3580403652427</c:v>
                </c:pt>
                <c:pt idx="76">
                  <c:v>107.5114700197913</c:v>
                </c:pt>
                <c:pt idx="77">
                  <c:v>107.64408538316756</c:v>
                </c:pt>
                <c:pt idx="78">
                  <c:v>107.75736638076272</c:v>
                </c:pt>
                <c:pt idx="79">
                  <c:v>107.90771253948155</c:v>
                </c:pt>
                <c:pt idx="80">
                  <c:v>108.09364188091085</c:v>
                </c:pt>
                <c:pt idx="81">
                  <c:v>108.22779496400524</c:v>
                </c:pt>
                <c:pt idx="82">
                  <c:v>108.36765353515919</c:v>
                </c:pt>
                <c:pt idx="83">
                  <c:v>108.50577716011246</c:v>
                </c:pt>
                <c:pt idx="84">
                  <c:v>108.63169346285493</c:v>
                </c:pt>
                <c:pt idx="85">
                  <c:v>108.76113764006089</c:v>
                </c:pt>
                <c:pt idx="86">
                  <c:v>108.91536492177602</c:v>
                </c:pt>
                <c:pt idx="87">
                  <c:v>109.04726927584456</c:v>
                </c:pt>
                <c:pt idx="88">
                  <c:v>109.12762513835438</c:v>
                </c:pt>
                <c:pt idx="89">
                  <c:v>109.22422433362939</c:v>
                </c:pt>
                <c:pt idx="90">
                  <c:v>109.29407623995381</c:v>
                </c:pt>
                <c:pt idx="91">
                  <c:v>109.3694348830135</c:v>
                </c:pt>
                <c:pt idx="92">
                  <c:v>109.44149346852321</c:v>
                </c:pt>
                <c:pt idx="93">
                  <c:v>109.5364809757574</c:v>
                </c:pt>
                <c:pt idx="94">
                  <c:v>109.61057142468624</c:v>
                </c:pt>
                <c:pt idx="95">
                  <c:v>109.69538763810512</c:v>
                </c:pt>
                <c:pt idx="96">
                  <c:v>109.7530566114968</c:v>
                </c:pt>
                <c:pt idx="97">
                  <c:v>109.81782281474342</c:v>
                </c:pt>
                <c:pt idx="98">
                  <c:v>109.87314235856921</c:v>
                </c:pt>
                <c:pt idx="99">
                  <c:v>109.90462481025665</c:v>
                </c:pt>
                <c:pt idx="100">
                  <c:v>109.92772940651071</c:v>
                </c:pt>
                <c:pt idx="101">
                  <c:v>109.96455526007173</c:v>
                </c:pt>
                <c:pt idx="102">
                  <c:v>109.99157259114875</c:v>
                </c:pt>
                <c:pt idx="103">
                  <c:v>110.02247824809088</c:v>
                </c:pt>
                <c:pt idx="104">
                  <c:v>110.13137914791209</c:v>
                </c:pt>
                <c:pt idx="105">
                  <c:v>110.17477645449006</c:v>
                </c:pt>
                <c:pt idx="106">
                  <c:v>110.1993789793042</c:v>
                </c:pt>
                <c:pt idx="107">
                  <c:v>110.22126289314863</c:v>
                </c:pt>
                <c:pt idx="108">
                  <c:v>110.245957595349</c:v>
                </c:pt>
                <c:pt idx="109">
                  <c:v>110.26251215152161</c:v>
                </c:pt>
                <c:pt idx="110">
                  <c:v>110.28371976231857</c:v>
                </c:pt>
                <c:pt idx="111">
                  <c:v>110.29525534965593</c:v>
                </c:pt>
                <c:pt idx="112">
                  <c:v>110.29946548626458</c:v>
                </c:pt>
                <c:pt idx="113">
                  <c:v>110.29764853318073</c:v>
                </c:pt>
                <c:pt idx="114">
                  <c:v>110.29004390955131</c:v>
                </c:pt>
                <c:pt idx="115">
                  <c:v>110.27061089349229</c:v>
                </c:pt>
                <c:pt idx="116">
                  <c:v>110.26314211256516</c:v>
                </c:pt>
                <c:pt idx="117">
                  <c:v>110.27519811381386</c:v>
                </c:pt>
                <c:pt idx="118">
                  <c:v>110.28676993290793</c:v>
                </c:pt>
                <c:pt idx="119">
                  <c:v>110.31454393495278</c:v>
                </c:pt>
                <c:pt idx="120">
                  <c:v>110.34415927990439</c:v>
                </c:pt>
                <c:pt idx="121">
                  <c:v>110.37283746018926</c:v>
                </c:pt>
                <c:pt idx="122">
                  <c:v>110.40662312181914</c:v>
                </c:pt>
                <c:pt idx="123">
                  <c:v>110.45746516815683</c:v>
                </c:pt>
                <c:pt idx="124">
                  <c:v>110.48101222012244</c:v>
                </c:pt>
                <c:pt idx="125">
                  <c:v>110.50241970656494</c:v>
                </c:pt>
                <c:pt idx="126">
                  <c:v>110.51666957582285</c:v>
                </c:pt>
                <c:pt idx="127">
                  <c:v>110.53218364086418</c:v>
                </c:pt>
                <c:pt idx="128">
                  <c:v>110.54159940366527</c:v>
                </c:pt>
                <c:pt idx="129">
                  <c:v>110.5435894213841</c:v>
                </c:pt>
                <c:pt idx="130">
                  <c:v>110.54942860667479</c:v>
                </c:pt>
                <c:pt idx="131">
                  <c:v>110.56433074521838</c:v>
                </c:pt>
                <c:pt idx="132">
                  <c:v>110.5775982705689</c:v>
                </c:pt>
                <c:pt idx="133">
                  <c:v>110.60279556016049</c:v>
                </c:pt>
                <c:pt idx="134">
                  <c:v>110.63351562107349</c:v>
                </c:pt>
                <c:pt idx="135">
                  <c:v>110.67284722250106</c:v>
                </c:pt>
                <c:pt idx="136">
                  <c:v>110.71632688288592</c:v>
                </c:pt>
                <c:pt idx="137">
                  <c:v>110.75160011697018</c:v>
                </c:pt>
                <c:pt idx="138">
                  <c:v>110.77372218546172</c:v>
                </c:pt>
                <c:pt idx="139">
                  <c:v>110.7857037753048</c:v>
                </c:pt>
                <c:pt idx="140">
                  <c:v>110.81101816987326</c:v>
                </c:pt>
                <c:pt idx="141">
                  <c:v>110.85594745802938</c:v>
                </c:pt>
                <c:pt idx="142">
                  <c:v>110.88486860117055</c:v>
                </c:pt>
                <c:pt idx="143">
                  <c:v>110.90315184662887</c:v>
                </c:pt>
                <c:pt idx="144">
                  <c:v>110.93886441511194</c:v>
                </c:pt>
                <c:pt idx="145">
                  <c:v>110.98418880190779</c:v>
                </c:pt>
                <c:pt idx="146">
                  <c:v>111.01912246104851</c:v>
                </c:pt>
                <c:pt idx="147">
                  <c:v>111.0652791516906</c:v>
                </c:pt>
                <c:pt idx="148">
                  <c:v>111.09087690193289</c:v>
                </c:pt>
                <c:pt idx="149">
                  <c:v>111.1068489497909</c:v>
                </c:pt>
                <c:pt idx="150">
                  <c:v>111.13054713571263</c:v>
                </c:pt>
                <c:pt idx="151">
                  <c:v>111.16587720707598</c:v>
                </c:pt>
                <c:pt idx="152">
                  <c:v>111.20095259002609</c:v>
                </c:pt>
                <c:pt idx="153">
                  <c:v>111.23951622888428</c:v>
                </c:pt>
                <c:pt idx="154">
                  <c:v>111.26806083748542</c:v>
                </c:pt>
                <c:pt idx="155">
                  <c:v>111.30276686112158</c:v>
                </c:pt>
                <c:pt idx="156">
                  <c:v>111.33449352901764</c:v>
                </c:pt>
                <c:pt idx="157">
                  <c:v>111.35975735008219</c:v>
                </c:pt>
                <c:pt idx="158">
                  <c:v>111.39233286893912</c:v>
                </c:pt>
                <c:pt idx="159">
                  <c:v>111.41046021855487</c:v>
                </c:pt>
                <c:pt idx="160">
                  <c:v>111.42084572851255</c:v>
                </c:pt>
                <c:pt idx="161">
                  <c:v>111.43351468989532</c:v>
                </c:pt>
                <c:pt idx="162">
                  <c:v>111.45175192356639</c:v>
                </c:pt>
                <c:pt idx="163">
                  <c:v>111.4877393771505</c:v>
                </c:pt>
                <c:pt idx="164">
                  <c:v>111.50979462320392</c:v>
                </c:pt>
                <c:pt idx="165">
                  <c:v>111.52890820371144</c:v>
                </c:pt>
                <c:pt idx="166">
                  <c:v>111.55402085357386</c:v>
                </c:pt>
                <c:pt idx="167">
                  <c:v>111.58389211956865</c:v>
                </c:pt>
                <c:pt idx="168">
                  <c:v>111.6052907540501</c:v>
                </c:pt>
                <c:pt idx="169">
                  <c:v>111.61609118697243</c:v>
                </c:pt>
                <c:pt idx="170">
                  <c:v>111.62535390690302</c:v>
                </c:pt>
                <c:pt idx="171">
                  <c:v>111.63006750348556</c:v>
                </c:pt>
                <c:pt idx="172">
                  <c:v>111.65511616199419</c:v>
                </c:pt>
                <c:pt idx="173">
                  <c:v>111.64917891207007</c:v>
                </c:pt>
                <c:pt idx="174">
                  <c:v>111.63642803099361</c:v>
                </c:pt>
                <c:pt idx="175">
                  <c:v>111.63425421973932</c:v>
                </c:pt>
                <c:pt idx="176">
                  <c:v>111.63262735709006</c:v>
                </c:pt>
                <c:pt idx="177">
                  <c:v>111.63684111329091</c:v>
                </c:pt>
                <c:pt idx="178">
                  <c:v>111.64714739343007</c:v>
                </c:pt>
                <c:pt idx="179">
                  <c:v>111.65933985760462</c:v>
                </c:pt>
                <c:pt idx="180">
                  <c:v>111.67743930247821</c:v>
                </c:pt>
                <c:pt idx="181">
                  <c:v>111.71977363086064</c:v>
                </c:pt>
                <c:pt idx="182">
                  <c:v>111.74911312711117</c:v>
                </c:pt>
                <c:pt idx="183">
                  <c:v>111.76960304873435</c:v>
                </c:pt>
                <c:pt idx="184">
                  <c:v>111.78291341822779</c:v>
                </c:pt>
                <c:pt idx="185">
                  <c:v>111.78839887680651</c:v>
                </c:pt>
                <c:pt idx="186">
                  <c:v>111.80884868274568</c:v>
                </c:pt>
                <c:pt idx="187">
                  <c:v>111.83153547473975</c:v>
                </c:pt>
                <c:pt idx="188">
                  <c:v>111.89064078752737</c:v>
                </c:pt>
                <c:pt idx="189">
                  <c:v>111.94217324742301</c:v>
                </c:pt>
                <c:pt idx="190">
                  <c:v>111.99680875051617</c:v>
                </c:pt>
                <c:pt idx="191">
                  <c:v>112.0751414738517</c:v>
                </c:pt>
                <c:pt idx="192">
                  <c:v>112.13936860554823</c:v>
                </c:pt>
                <c:pt idx="193">
                  <c:v>112.18426674563189</c:v>
                </c:pt>
                <c:pt idx="194">
                  <c:v>112.21793686409509</c:v>
                </c:pt>
                <c:pt idx="195">
                  <c:v>112.25195214044787</c:v>
                </c:pt>
                <c:pt idx="196">
                  <c:v>112.28052451572896</c:v>
                </c:pt>
                <c:pt idx="197">
                  <c:v>112.31551849586339</c:v>
                </c:pt>
                <c:pt idx="198">
                  <c:v>112.35365180003488</c:v>
                </c:pt>
                <c:pt idx="199">
                  <c:v>112.37466295576922</c:v>
                </c:pt>
                <c:pt idx="200">
                  <c:v>112.40139768290643</c:v>
                </c:pt>
                <c:pt idx="201">
                  <c:v>112.43064570634674</c:v>
                </c:pt>
                <c:pt idx="202">
                  <c:v>112.45377754293678</c:v>
                </c:pt>
                <c:pt idx="203">
                  <c:v>112.47626063475475</c:v>
                </c:pt>
                <c:pt idx="204">
                  <c:v>112.49542805821001</c:v>
                </c:pt>
                <c:pt idx="205">
                  <c:v>112.51613961050025</c:v>
                </c:pt>
                <c:pt idx="206">
                  <c:v>112.53809225621983</c:v>
                </c:pt>
                <c:pt idx="207">
                  <c:v>112.56015377729497</c:v>
                </c:pt>
                <c:pt idx="208">
                  <c:v>112.5804222711357</c:v>
                </c:pt>
                <c:pt idx="209">
                  <c:v>112.59510950661364</c:v>
                </c:pt>
                <c:pt idx="210">
                  <c:v>112.61989613631528</c:v>
                </c:pt>
                <c:pt idx="211">
                  <c:v>112.63389993225101</c:v>
                </c:pt>
                <c:pt idx="212">
                  <c:v>112.65922134200365</c:v>
                </c:pt>
                <c:pt idx="213">
                  <c:v>112.67795961619234</c:v>
                </c:pt>
                <c:pt idx="214">
                  <c:v>112.72701158376923</c:v>
                </c:pt>
                <c:pt idx="215">
                  <c:v>112.75598355206243</c:v>
                </c:pt>
                <c:pt idx="216">
                  <c:v>112.78614552066905</c:v>
                </c:pt>
                <c:pt idx="217">
                  <c:v>112.81192873298451</c:v>
                </c:pt>
                <c:pt idx="218">
                  <c:v>112.83714476754623</c:v>
                </c:pt>
                <c:pt idx="219">
                  <c:v>112.87347945607871</c:v>
                </c:pt>
                <c:pt idx="220">
                  <c:v>112.90126921867925</c:v>
                </c:pt>
                <c:pt idx="221">
                  <c:v>112.93493854419249</c:v>
                </c:pt>
                <c:pt idx="222">
                  <c:v>112.96379309794239</c:v>
                </c:pt>
                <c:pt idx="223">
                  <c:v>112.98176572002887</c:v>
                </c:pt>
                <c:pt idx="224">
                  <c:v>113.00452208066459</c:v>
                </c:pt>
                <c:pt idx="225">
                  <c:v>113.040132995988</c:v>
                </c:pt>
                <c:pt idx="226">
                  <c:v>113.07171271860342</c:v>
                </c:pt>
                <c:pt idx="227">
                  <c:v>113.12102737471638</c:v>
                </c:pt>
                <c:pt idx="228">
                  <c:v>113.14028749878445</c:v>
                </c:pt>
                <c:pt idx="229">
                  <c:v>113.15366193846049</c:v>
                </c:pt>
                <c:pt idx="230">
                  <c:v>113.16573262904659</c:v>
                </c:pt>
                <c:pt idx="231">
                  <c:v>113.18151285928593</c:v>
                </c:pt>
                <c:pt idx="232">
                  <c:v>113.19548068289477</c:v>
                </c:pt>
                <c:pt idx="233">
                  <c:v>113.20105562178225</c:v>
                </c:pt>
                <c:pt idx="234">
                  <c:v>113.20757780443053</c:v>
                </c:pt>
                <c:pt idx="235">
                  <c:v>113.2091082853879</c:v>
                </c:pt>
                <c:pt idx="236">
                  <c:v>113.20770909254874</c:v>
                </c:pt>
                <c:pt idx="237">
                  <c:v>113.2047908586264</c:v>
                </c:pt>
                <c:pt idx="238">
                  <c:v>113.19412017803697</c:v>
                </c:pt>
                <c:pt idx="239">
                  <c:v>113.189015261265</c:v>
                </c:pt>
                <c:pt idx="240">
                  <c:v>113.18117718716152</c:v>
                </c:pt>
                <c:pt idx="241">
                  <c:v>113.15700578689467</c:v>
                </c:pt>
                <c:pt idx="242">
                  <c:v>113.13422227191099</c:v>
                </c:pt>
                <c:pt idx="243">
                  <c:v>113.10536994620782</c:v>
                </c:pt>
                <c:pt idx="244">
                  <c:v>113.06635127764341</c:v>
                </c:pt>
                <c:pt idx="245">
                  <c:v>112.99490950318413</c:v>
                </c:pt>
                <c:pt idx="246">
                  <c:v>112.97463010061874</c:v>
                </c:pt>
                <c:pt idx="247">
                  <c:v>112.96199866602679</c:v>
                </c:pt>
                <c:pt idx="248">
                  <c:v>112.94666005886448</c:v>
                </c:pt>
                <c:pt idx="249">
                  <c:v>112.9277531025964</c:v>
                </c:pt>
                <c:pt idx="250">
                  <c:v>112.90836337209861</c:v>
                </c:pt>
                <c:pt idx="251">
                  <c:v>112.89226773560512</c:v>
                </c:pt>
                <c:pt idx="252">
                  <c:v>112.87508528988761</c:v>
                </c:pt>
                <c:pt idx="253">
                  <c:v>112.85781917751115</c:v>
                </c:pt>
                <c:pt idx="254">
                  <c:v>112.83855718076055</c:v>
                </c:pt>
                <c:pt idx="255">
                  <c:v>112.82615933385297</c:v>
                </c:pt>
                <c:pt idx="256">
                  <c:v>112.80097907339268</c:v>
                </c:pt>
                <c:pt idx="257">
                  <c:v>112.772208005083</c:v>
                </c:pt>
                <c:pt idx="258">
                  <c:v>112.75811290007063</c:v>
                </c:pt>
                <c:pt idx="259">
                  <c:v>112.75007351980716</c:v>
                </c:pt>
                <c:pt idx="260">
                  <c:v>112.74583024497035</c:v>
                </c:pt>
                <c:pt idx="261">
                  <c:v>112.74235569716734</c:v>
                </c:pt>
                <c:pt idx="262">
                  <c:v>112.74044834430187</c:v>
                </c:pt>
                <c:pt idx="263">
                  <c:v>112.73440756635158</c:v>
                </c:pt>
                <c:pt idx="264">
                  <c:v>112.72272017485064</c:v>
                </c:pt>
                <c:pt idx="265">
                  <c:v>112.71455148420085</c:v>
                </c:pt>
                <c:pt idx="266">
                  <c:v>112.70124416241173</c:v>
                </c:pt>
                <c:pt idx="267">
                  <c:v>112.69198374350893</c:v>
                </c:pt>
                <c:pt idx="268">
                  <c:v>112.67509532347317</c:v>
                </c:pt>
                <c:pt idx="269">
                  <c:v>112.66381064843308</c:v>
                </c:pt>
                <c:pt idx="270">
                  <c:v>112.65371389494807</c:v>
                </c:pt>
                <c:pt idx="271">
                  <c:v>112.62683736696677</c:v>
                </c:pt>
                <c:pt idx="272">
                  <c:v>112.60856450412221</c:v>
                </c:pt>
                <c:pt idx="273">
                  <c:v>112.59972619499969</c:v>
                </c:pt>
                <c:pt idx="274">
                  <c:v>112.59157499614813</c:v>
                </c:pt>
                <c:pt idx="275">
                  <c:v>112.57909613632013</c:v>
                </c:pt>
                <c:pt idx="276">
                  <c:v>112.57082387222898</c:v>
                </c:pt>
                <c:pt idx="277">
                  <c:v>112.56649938988302</c:v>
                </c:pt>
                <c:pt idx="278">
                  <c:v>112.56397085443113</c:v>
                </c:pt>
                <c:pt idx="279">
                  <c:v>112.54295224597963</c:v>
                </c:pt>
                <c:pt idx="280">
                  <c:v>112.52792882866291</c:v>
                </c:pt>
                <c:pt idx="281">
                  <c:v>112.51312401300953</c:v>
                </c:pt>
                <c:pt idx="282">
                  <c:v>112.50272290842797</c:v>
                </c:pt>
                <c:pt idx="283">
                  <c:v>112.4974586278226</c:v>
                </c:pt>
                <c:pt idx="284">
                  <c:v>112.4956947384301</c:v>
                </c:pt>
                <c:pt idx="285">
                  <c:v>112.48994416580426</c:v>
                </c:pt>
                <c:pt idx="286">
                  <c:v>112.48647999041827</c:v>
                </c:pt>
                <c:pt idx="287">
                  <c:v>112.47788007103073</c:v>
                </c:pt>
                <c:pt idx="288">
                  <c:v>112.47111057965036</c:v>
                </c:pt>
                <c:pt idx="289">
                  <c:v>112.46351332279816</c:v>
                </c:pt>
                <c:pt idx="290">
                  <c:v>112.45896551509794</c:v>
                </c:pt>
                <c:pt idx="291">
                  <c:v>112.44030203440236</c:v>
                </c:pt>
                <c:pt idx="292">
                  <c:v>112.42020579296617</c:v>
                </c:pt>
                <c:pt idx="293">
                  <c:v>112.38376061025637</c:v>
                </c:pt>
                <c:pt idx="294">
                  <c:v>112.36663733167478</c:v>
                </c:pt>
                <c:pt idx="295">
                  <c:v>112.35292845559405</c:v>
                </c:pt>
                <c:pt idx="296">
                  <c:v>112.3503153339509</c:v>
                </c:pt>
                <c:pt idx="297">
                  <c:v>112.3371774671112</c:v>
                </c:pt>
                <c:pt idx="298">
                  <c:v>112.32788095958253</c:v>
                </c:pt>
                <c:pt idx="299">
                  <c:v>112.31452271643944</c:v>
                </c:pt>
                <c:pt idx="300">
                  <c:v>112.31317330894881</c:v>
                </c:pt>
                <c:pt idx="301">
                  <c:v>112.31905040508855</c:v>
                </c:pt>
                <c:pt idx="302">
                  <c:v>112.32334831577168</c:v>
                </c:pt>
                <c:pt idx="303">
                  <c:v>112.33417934237656</c:v>
                </c:pt>
                <c:pt idx="304">
                  <c:v>112.34586981277926</c:v>
                </c:pt>
                <c:pt idx="305">
                  <c:v>112.37184109990936</c:v>
                </c:pt>
                <c:pt idx="306">
                  <c:v>112.38157049521402</c:v>
                </c:pt>
                <c:pt idx="307">
                  <c:v>112.39170290670724</c:v>
                </c:pt>
                <c:pt idx="308">
                  <c:v>112.40818851513309</c:v>
                </c:pt>
                <c:pt idx="309">
                  <c:v>112.42203258410622</c:v>
                </c:pt>
                <c:pt idx="310">
                  <c:v>112.43277774646687</c:v>
                </c:pt>
                <c:pt idx="311">
                  <c:v>112.46048795839698</c:v>
                </c:pt>
                <c:pt idx="312">
                  <c:v>112.47655185171678</c:v>
                </c:pt>
                <c:pt idx="313">
                  <c:v>112.49186542631169</c:v>
                </c:pt>
                <c:pt idx="314">
                  <c:v>112.49160936264852</c:v>
                </c:pt>
                <c:pt idx="315">
                  <c:v>112.4428297032961</c:v>
                </c:pt>
                <c:pt idx="316">
                  <c:v>112.37860723991831</c:v>
                </c:pt>
                <c:pt idx="317">
                  <c:v>112.31818940172445</c:v>
                </c:pt>
                <c:pt idx="318">
                  <c:v>112.28083697840225</c:v>
                </c:pt>
                <c:pt idx="319">
                  <c:v>112.20130963929928</c:v>
                </c:pt>
                <c:pt idx="320">
                  <c:v>112.1622069603811</c:v>
                </c:pt>
                <c:pt idx="321">
                  <c:v>112.13249978546594</c:v>
                </c:pt>
                <c:pt idx="322">
                  <c:v>112.11020775676602</c:v>
                </c:pt>
                <c:pt idx="323">
                  <c:v>112.0900557362918</c:v>
                </c:pt>
                <c:pt idx="324">
                  <c:v>112.07279282560907</c:v>
                </c:pt>
                <c:pt idx="325">
                  <c:v>112.0516523279327</c:v>
                </c:pt>
                <c:pt idx="326">
                  <c:v>112.0425114079446</c:v>
                </c:pt>
                <c:pt idx="327">
                  <c:v>112.03021652865196</c:v>
                </c:pt>
                <c:pt idx="328">
                  <c:v>112.02403739042396</c:v>
                </c:pt>
                <c:pt idx="329">
                  <c:v>112.01688548512178</c:v>
                </c:pt>
                <c:pt idx="330">
                  <c:v>112.00824525664433</c:v>
                </c:pt>
                <c:pt idx="331">
                  <c:v>112.00190253648638</c:v>
                </c:pt>
                <c:pt idx="332">
                  <c:v>111.97818453930991</c:v>
                </c:pt>
                <c:pt idx="333">
                  <c:v>111.95718725523952</c:v>
                </c:pt>
                <c:pt idx="334">
                  <c:v>111.93989203014479</c:v>
                </c:pt>
                <c:pt idx="335">
                  <c:v>111.90912440580472</c:v>
                </c:pt>
                <c:pt idx="336">
                  <c:v>111.88796156223913</c:v>
                </c:pt>
                <c:pt idx="337">
                  <c:v>111.87180937340726</c:v>
                </c:pt>
                <c:pt idx="338">
                  <c:v>111.85184115877721</c:v>
                </c:pt>
                <c:pt idx="339">
                  <c:v>111.84290791021408</c:v>
                </c:pt>
                <c:pt idx="340">
                  <c:v>111.83608692950469</c:v>
                </c:pt>
                <c:pt idx="341">
                  <c:v>111.83043848070075</c:v>
                </c:pt>
                <c:pt idx="342">
                  <c:v>111.82122013110174</c:v>
                </c:pt>
                <c:pt idx="343">
                  <c:v>111.81260760956155</c:v>
                </c:pt>
                <c:pt idx="344">
                  <c:v>111.8036210297653</c:v>
                </c:pt>
                <c:pt idx="345">
                  <c:v>111.787836118717</c:v>
                </c:pt>
                <c:pt idx="346">
                  <c:v>111.77289934545414</c:v>
                </c:pt>
                <c:pt idx="347">
                  <c:v>111.74913492701037</c:v>
                </c:pt>
                <c:pt idx="348">
                  <c:v>111.72854209083509</c:v>
                </c:pt>
                <c:pt idx="349">
                  <c:v>111.71023861427734</c:v>
                </c:pt>
                <c:pt idx="350">
                  <c:v>111.69164392097869</c:v>
                </c:pt>
                <c:pt idx="351">
                  <c:v>111.66786674378997</c:v>
                </c:pt>
                <c:pt idx="352">
                  <c:v>111.64635639556376</c:v>
                </c:pt>
                <c:pt idx="353">
                  <c:v>111.60021108433074</c:v>
                </c:pt>
                <c:pt idx="354">
                  <c:v>111.57480629482471</c:v>
                </c:pt>
                <c:pt idx="355">
                  <c:v>111.54924606888035</c:v>
                </c:pt>
                <c:pt idx="356">
                  <c:v>111.52452205125597</c:v>
                </c:pt>
                <c:pt idx="357">
                  <c:v>111.50148829536339</c:v>
                </c:pt>
                <c:pt idx="358">
                  <c:v>111.48245208940521</c:v>
                </c:pt>
                <c:pt idx="359">
                  <c:v>111.46359298947191</c:v>
                </c:pt>
                <c:pt idx="360">
                  <c:v>111.45094823669403</c:v>
                </c:pt>
                <c:pt idx="361">
                  <c:v>111.44278641434182</c:v>
                </c:pt>
                <c:pt idx="362">
                  <c:v>111.43776468077444</c:v>
                </c:pt>
                <c:pt idx="363">
                  <c:v>111.44101695888635</c:v>
                </c:pt>
                <c:pt idx="364">
                  <c:v>111.4449907657871</c:v>
                </c:pt>
                <c:pt idx="365">
                  <c:v>111.45323365477212</c:v>
                </c:pt>
                <c:pt idx="366">
                  <c:v>111.45839424925255</c:v>
                </c:pt>
                <c:pt idx="367">
                  <c:v>111.47772224906889</c:v>
                </c:pt>
                <c:pt idx="368">
                  <c:v>111.47886537124337</c:v>
                </c:pt>
                <c:pt idx="369">
                  <c:v>111.4661625277985</c:v>
                </c:pt>
                <c:pt idx="370">
                  <c:v>111.45736437986723</c:v>
                </c:pt>
                <c:pt idx="371">
                  <c:v>111.45301167154658</c:v>
                </c:pt>
                <c:pt idx="372">
                  <c:v>111.44564662696123</c:v>
                </c:pt>
                <c:pt idx="373">
                  <c:v>111.43437932687725</c:v>
                </c:pt>
                <c:pt idx="374">
                  <c:v>111.42890467253976</c:v>
                </c:pt>
                <c:pt idx="375">
                  <c:v>111.42818249677472</c:v>
                </c:pt>
                <c:pt idx="376">
                  <c:v>111.4295683515636</c:v>
                </c:pt>
                <c:pt idx="377">
                  <c:v>111.42878214934289</c:v>
                </c:pt>
                <c:pt idx="378">
                  <c:v>111.43665334926044</c:v>
                </c:pt>
                <c:pt idx="379">
                  <c:v>111.44065268360892</c:v>
                </c:pt>
                <c:pt idx="380">
                  <c:v>111.44889488456428</c:v>
                </c:pt>
                <c:pt idx="381">
                  <c:v>111.45625334483775</c:v>
                </c:pt>
                <c:pt idx="382">
                  <c:v>111.46139527518314</c:v>
                </c:pt>
                <c:pt idx="383">
                  <c:v>111.46389719035341</c:v>
                </c:pt>
                <c:pt idx="384">
                  <c:v>111.46524206409768</c:v>
                </c:pt>
                <c:pt idx="385">
                  <c:v>111.46564417514929</c:v>
                </c:pt>
                <c:pt idx="386">
                  <c:v>111.44696045731841</c:v>
                </c:pt>
                <c:pt idx="387">
                  <c:v>111.4379586667005</c:v>
                </c:pt>
                <c:pt idx="388">
                  <c:v>111.43166511686481</c:v>
                </c:pt>
                <c:pt idx="389">
                  <c:v>111.42886857319438</c:v>
                </c:pt>
                <c:pt idx="390">
                  <c:v>111.42732130597213</c:v>
                </c:pt>
                <c:pt idx="391">
                  <c:v>111.42564665828586</c:v>
                </c:pt>
                <c:pt idx="392">
                  <c:v>111.42567400495658</c:v>
                </c:pt>
                <c:pt idx="393">
                  <c:v>111.42923800379508</c:v>
                </c:pt>
                <c:pt idx="394">
                  <c:v>111.43017748557899</c:v>
                </c:pt>
                <c:pt idx="395">
                  <c:v>111.43073125762015</c:v>
                </c:pt>
                <c:pt idx="396">
                  <c:v>111.42535806944862</c:v>
                </c:pt>
                <c:pt idx="397">
                  <c:v>111.41354779943018</c:v>
                </c:pt>
                <c:pt idx="398">
                  <c:v>111.40004896806997</c:v>
                </c:pt>
                <c:pt idx="399">
                  <c:v>111.38870577377041</c:v>
                </c:pt>
                <c:pt idx="400">
                  <c:v>111.37763863514623</c:v>
                </c:pt>
                <c:pt idx="401">
                  <c:v>111.36768868446764</c:v>
                </c:pt>
                <c:pt idx="402">
                  <c:v>111.35638228465285</c:v>
                </c:pt>
                <c:pt idx="403">
                  <c:v>111.34530837995727</c:v>
                </c:pt>
                <c:pt idx="404">
                  <c:v>111.33523751858122</c:v>
                </c:pt>
                <c:pt idx="405">
                  <c:v>111.32715057779362</c:v>
                </c:pt>
                <c:pt idx="406">
                  <c:v>111.31326129465592</c:v>
                </c:pt>
                <c:pt idx="407">
                  <c:v>111.30435446900655</c:v>
                </c:pt>
                <c:pt idx="408">
                  <c:v>111.29506916894947</c:v>
                </c:pt>
                <c:pt idx="409">
                  <c:v>111.28731380407227</c:v>
                </c:pt>
                <c:pt idx="410">
                  <c:v>111.28360904208076</c:v>
                </c:pt>
                <c:pt idx="411">
                  <c:v>111.28360181577897</c:v>
                </c:pt>
                <c:pt idx="412">
                  <c:v>111.28425631494721</c:v>
                </c:pt>
                <c:pt idx="413">
                  <c:v>111.28480419637361</c:v>
                </c:pt>
                <c:pt idx="414">
                  <c:v>111.28807898432676</c:v>
                </c:pt>
                <c:pt idx="415">
                  <c:v>111.29235467051087</c:v>
                </c:pt>
                <c:pt idx="416">
                  <c:v>111.29873584988599</c:v>
                </c:pt>
                <c:pt idx="417">
                  <c:v>111.30623936606858</c:v>
                </c:pt>
                <c:pt idx="418">
                  <c:v>111.30754723290615</c:v>
                </c:pt>
                <c:pt idx="419">
                  <c:v>111.30958385509335</c:v>
                </c:pt>
                <c:pt idx="420">
                  <c:v>111.30452520727435</c:v>
                </c:pt>
                <c:pt idx="421">
                  <c:v>111.30128573762617</c:v>
                </c:pt>
                <c:pt idx="422">
                  <c:v>111.29988904157729</c:v>
                </c:pt>
                <c:pt idx="423">
                  <c:v>111.30261852225149</c:v>
                </c:pt>
                <c:pt idx="424">
                  <c:v>111.30400327788831</c:v>
                </c:pt>
                <c:pt idx="425">
                  <c:v>111.30536402574469</c:v>
                </c:pt>
                <c:pt idx="426">
                  <c:v>111.30728648567504</c:v>
                </c:pt>
                <c:pt idx="427">
                  <c:v>111.31555837168608</c:v>
                </c:pt>
                <c:pt idx="428">
                  <c:v>111.32307918891222</c:v>
                </c:pt>
                <c:pt idx="429">
                  <c:v>111.3284929924813</c:v>
                </c:pt>
                <c:pt idx="430">
                  <c:v>111.33665212211109</c:v>
                </c:pt>
                <c:pt idx="431">
                  <c:v>111.33815497350091</c:v>
                </c:pt>
                <c:pt idx="432">
                  <c:v>111.34745604385309</c:v>
                </c:pt>
                <c:pt idx="433">
                  <c:v>111.35409654596648</c:v>
                </c:pt>
                <c:pt idx="434">
                  <c:v>111.36298589529225</c:v>
                </c:pt>
                <c:pt idx="435">
                  <c:v>111.37814963589545</c:v>
                </c:pt>
                <c:pt idx="436">
                  <c:v>111.38573266223221</c:v>
                </c:pt>
                <c:pt idx="437">
                  <c:v>111.38915324225862</c:v>
                </c:pt>
                <c:pt idx="438">
                  <c:v>111.39053467877896</c:v>
                </c:pt>
                <c:pt idx="439">
                  <c:v>111.3903532721513</c:v>
                </c:pt>
                <c:pt idx="440">
                  <c:v>111.39369188397862</c:v>
                </c:pt>
                <c:pt idx="441">
                  <c:v>111.39834195837339</c:v>
                </c:pt>
                <c:pt idx="442">
                  <c:v>111.40303986002326</c:v>
                </c:pt>
                <c:pt idx="443">
                  <c:v>111.40745659835123</c:v>
                </c:pt>
                <c:pt idx="444">
                  <c:v>111.40971598917027</c:v>
                </c:pt>
                <c:pt idx="445">
                  <c:v>111.40843229517122</c:v>
                </c:pt>
                <c:pt idx="446">
                  <c:v>111.4096014362684</c:v>
                </c:pt>
                <c:pt idx="447">
                  <c:v>111.41094185299721</c:v>
                </c:pt>
                <c:pt idx="448">
                  <c:v>111.41127194053452</c:v>
                </c:pt>
                <c:pt idx="449">
                  <c:v>111.41003703050384</c:v>
                </c:pt>
                <c:pt idx="450">
                  <c:v>111.41155238297523</c:v>
                </c:pt>
                <c:pt idx="451">
                  <c:v>111.41321470695461</c:v>
                </c:pt>
                <c:pt idx="452">
                  <c:v>111.41482933570175</c:v>
                </c:pt>
                <c:pt idx="453">
                  <c:v>111.42058794809498</c:v>
                </c:pt>
                <c:pt idx="454">
                  <c:v>111.42980726666316</c:v>
                </c:pt>
                <c:pt idx="455">
                  <c:v>111.43509523745668</c:v>
                </c:pt>
                <c:pt idx="456">
                  <c:v>111.4417411130343</c:v>
                </c:pt>
                <c:pt idx="457">
                  <c:v>111.44633418839912</c:v>
                </c:pt>
                <c:pt idx="458">
                  <c:v>111.45476366433103</c:v>
                </c:pt>
                <c:pt idx="459">
                  <c:v>111.46176066668015</c:v>
                </c:pt>
                <c:pt idx="460">
                  <c:v>111.46957365541444</c:v>
                </c:pt>
                <c:pt idx="461">
                  <c:v>111.47332176513973</c:v>
                </c:pt>
                <c:pt idx="462">
                  <c:v>111.47929496065109</c:v>
                </c:pt>
                <c:pt idx="463">
                  <c:v>111.48291455868591</c:v>
                </c:pt>
                <c:pt idx="464">
                  <c:v>111.48859396461491</c:v>
                </c:pt>
                <c:pt idx="465">
                  <c:v>111.5016002413096</c:v>
                </c:pt>
                <c:pt idx="466">
                  <c:v>111.51315870698689</c:v>
                </c:pt>
                <c:pt idx="467">
                  <c:v>111.53064587502367</c:v>
                </c:pt>
                <c:pt idx="468">
                  <c:v>111.54258080642843</c:v>
                </c:pt>
                <c:pt idx="469">
                  <c:v>111.5590027695995</c:v>
                </c:pt>
                <c:pt idx="470">
                  <c:v>111.57625132596537</c:v>
                </c:pt>
                <c:pt idx="471">
                  <c:v>111.58902106044539</c:v>
                </c:pt>
                <c:pt idx="472">
                  <c:v>111.60433709860386</c:v>
                </c:pt>
                <c:pt idx="473">
                  <c:v>111.61622180338151</c:v>
                </c:pt>
                <c:pt idx="474">
                  <c:v>111.62631443820106</c:v>
                </c:pt>
                <c:pt idx="475">
                  <c:v>111.63737366960935</c:v>
                </c:pt>
                <c:pt idx="476">
                  <c:v>111.64746353667529</c:v>
                </c:pt>
                <c:pt idx="477">
                  <c:v>111.65278910186463</c:v>
                </c:pt>
                <c:pt idx="478">
                  <c:v>111.65746294248426</c:v>
                </c:pt>
                <c:pt idx="479">
                  <c:v>111.66143130411029</c:v>
                </c:pt>
                <c:pt idx="480">
                  <c:v>111.66950455779708</c:v>
                </c:pt>
                <c:pt idx="481">
                  <c:v>111.67644918674233</c:v>
                </c:pt>
                <c:pt idx="482">
                  <c:v>111.68961680288822</c:v>
                </c:pt>
                <c:pt idx="483">
                  <c:v>111.69913759421574</c:v>
                </c:pt>
                <c:pt idx="484">
                  <c:v>111.70685846097332</c:v>
                </c:pt>
                <c:pt idx="485">
                  <c:v>111.71495834281566</c:v>
                </c:pt>
                <c:pt idx="486">
                  <c:v>111.73467209905546</c:v>
                </c:pt>
                <c:pt idx="487">
                  <c:v>111.75426355470528</c:v>
                </c:pt>
                <c:pt idx="488">
                  <c:v>111.76879255358097</c:v>
                </c:pt>
                <c:pt idx="489">
                  <c:v>111.78164053536638</c:v>
                </c:pt>
                <c:pt idx="490">
                  <c:v>111.79393904977793</c:v>
                </c:pt>
                <c:pt idx="491">
                  <c:v>111.80032657856646</c:v>
                </c:pt>
                <c:pt idx="492">
                  <c:v>111.81331968957018</c:v>
                </c:pt>
                <c:pt idx="493">
                  <c:v>111.82141552823728</c:v>
                </c:pt>
                <c:pt idx="494">
                  <c:v>111.84889017886528</c:v>
                </c:pt>
                <c:pt idx="495">
                  <c:v>111.85809167925935</c:v>
                </c:pt>
                <c:pt idx="496">
                  <c:v>111.86986569076443</c:v>
                </c:pt>
                <c:pt idx="497">
                  <c:v>111.87545026015705</c:v>
                </c:pt>
                <c:pt idx="498">
                  <c:v>111.88266719492925</c:v>
                </c:pt>
                <c:pt idx="499">
                  <c:v>111.89844742280499</c:v>
                </c:pt>
                <c:pt idx="500">
                  <c:v>111.91094475493794</c:v>
                </c:pt>
                <c:pt idx="501">
                  <c:v>111.9219034229825</c:v>
                </c:pt>
                <c:pt idx="502">
                  <c:v>111.94059347977986</c:v>
                </c:pt>
                <c:pt idx="503">
                  <c:v>111.99007411066121</c:v>
                </c:pt>
                <c:pt idx="504">
                  <c:v>112.01588090393638</c:v>
                </c:pt>
                <c:pt idx="505">
                  <c:v>112.03192998481916</c:v>
                </c:pt>
                <c:pt idx="506">
                  <c:v>112.05867108900567</c:v>
                </c:pt>
                <c:pt idx="507">
                  <c:v>112.08323249073945</c:v>
                </c:pt>
                <c:pt idx="508">
                  <c:v>112.10537776959318</c:v>
                </c:pt>
                <c:pt idx="509">
                  <c:v>112.14305139173477</c:v>
                </c:pt>
                <c:pt idx="510">
                  <c:v>112.20300226253725</c:v>
                </c:pt>
                <c:pt idx="511">
                  <c:v>112.23836609558256</c:v>
                </c:pt>
                <c:pt idx="512">
                  <c:v>112.27346210524431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102.36</c:v>
                </c:pt>
                <c:pt idx="1">
                  <c:v>103.22007076067976</c:v>
                </c:pt>
                <c:pt idx="2">
                  <c:v>103.06785821150243</c:v>
                </c:pt>
                <c:pt idx="3">
                  <c:v>103.00786938198823</c:v>
                </c:pt>
                <c:pt idx="4">
                  <c:v>103.02244494180438</c:v>
                </c:pt>
                <c:pt idx="5">
                  <c:v>103.05712990396289</c:v>
                </c:pt>
                <c:pt idx="6">
                  <c:v>103.02382730432655</c:v>
                </c:pt>
                <c:pt idx="7">
                  <c:v>102.90141523013315</c:v>
                </c:pt>
                <c:pt idx="8">
                  <c:v>102.71474506177724</c:v>
                </c:pt>
                <c:pt idx="9">
                  <c:v>102.56151523864159</c:v>
                </c:pt>
                <c:pt idx="10">
                  <c:v>102.44322936184945</c:v>
                </c:pt>
                <c:pt idx="11">
                  <c:v>102.26125574300441</c:v>
                </c:pt>
                <c:pt idx="12">
                  <c:v>102.08196529557559</c:v>
                </c:pt>
                <c:pt idx="13">
                  <c:v>101.91111020198676</c:v>
                </c:pt>
                <c:pt idx="14">
                  <c:v>101.77813729303013</c:v>
                </c:pt>
                <c:pt idx="15">
                  <c:v>101.71123467334441</c:v>
                </c:pt>
                <c:pt idx="16">
                  <c:v>101.91110603930451</c:v>
                </c:pt>
                <c:pt idx="17">
                  <c:v>102.17973737991184</c:v>
                </c:pt>
                <c:pt idx="18">
                  <c:v>102.39978179836363</c:v>
                </c:pt>
                <c:pt idx="19">
                  <c:v>102.81622676513807</c:v>
                </c:pt>
                <c:pt idx="20">
                  <c:v>102.95323014447258</c:v>
                </c:pt>
                <c:pt idx="21">
                  <c:v>103.0192002076368</c:v>
                </c:pt>
                <c:pt idx="22">
                  <c:v>103.0544868630621</c:v>
                </c:pt>
                <c:pt idx="23">
                  <c:v>103.04675486756602</c:v>
                </c:pt>
                <c:pt idx="24">
                  <c:v>103.06605218247789</c:v>
                </c:pt>
                <c:pt idx="25">
                  <c:v>103.08279281024028</c:v>
                </c:pt>
                <c:pt idx="26">
                  <c:v>103.24377845699264</c:v>
                </c:pt>
                <c:pt idx="27">
                  <c:v>103.24272454069572</c:v>
                </c:pt>
                <c:pt idx="28">
                  <c:v>103.31529518149127</c:v>
                </c:pt>
                <c:pt idx="29">
                  <c:v>103.28971440426386</c:v>
                </c:pt>
                <c:pt idx="30">
                  <c:v>103.24834277946533</c:v>
                </c:pt>
                <c:pt idx="31">
                  <c:v>103.3688756047929</c:v>
                </c:pt>
                <c:pt idx="32">
                  <c:v>103.4654326868654</c:v>
                </c:pt>
                <c:pt idx="33">
                  <c:v>103.49144500286349</c:v>
                </c:pt>
                <c:pt idx="34">
                  <c:v>103.65470551476213</c:v>
                </c:pt>
                <c:pt idx="35">
                  <c:v>103.79424909254283</c:v>
                </c:pt>
                <c:pt idx="36">
                  <c:v>103.85086048715173</c:v>
                </c:pt>
                <c:pt idx="37">
                  <c:v>103.91389198886661</c:v>
                </c:pt>
                <c:pt idx="38">
                  <c:v>103.97226767012499</c:v>
                </c:pt>
                <c:pt idx="39">
                  <c:v>104.03488658030665</c:v>
                </c:pt>
                <c:pt idx="40">
                  <c:v>104.11261226292163</c:v>
                </c:pt>
                <c:pt idx="41">
                  <c:v>104.26226966123932</c:v>
                </c:pt>
                <c:pt idx="42">
                  <c:v>104.32134350966575</c:v>
                </c:pt>
                <c:pt idx="43">
                  <c:v>104.4484282272538</c:v>
                </c:pt>
                <c:pt idx="44">
                  <c:v>104.63662630115019</c:v>
                </c:pt>
                <c:pt idx="45">
                  <c:v>104.81683913506171</c:v>
                </c:pt>
                <c:pt idx="46">
                  <c:v>105.05129110726452</c:v>
                </c:pt>
                <c:pt idx="47">
                  <c:v>105.31619898963436</c:v>
                </c:pt>
                <c:pt idx="48">
                  <c:v>105.5002769728904</c:v>
                </c:pt>
                <c:pt idx="49">
                  <c:v>105.75509432237747</c:v>
                </c:pt>
                <c:pt idx="50">
                  <c:v>106.15902081602397</c:v>
                </c:pt>
                <c:pt idx="51">
                  <c:v>106.64817448103877</c:v>
                </c:pt>
                <c:pt idx="52">
                  <c:v>106.9893416479928</c:v>
                </c:pt>
                <c:pt idx="53">
                  <c:v>107.3326016599442</c:v>
                </c:pt>
                <c:pt idx="54">
                  <c:v>107.65289122316658</c:v>
                </c:pt>
                <c:pt idx="55">
                  <c:v>107.96524955733122</c:v>
                </c:pt>
                <c:pt idx="56">
                  <c:v>108.25287322564546</c:v>
                </c:pt>
                <c:pt idx="57">
                  <c:v>108.57334580090721</c:v>
                </c:pt>
                <c:pt idx="58">
                  <c:v>108.82139538697056</c:v>
                </c:pt>
                <c:pt idx="59">
                  <c:v>109.10091284174072</c:v>
                </c:pt>
                <c:pt idx="60">
                  <c:v>109.48514083502612</c:v>
                </c:pt>
                <c:pt idx="61">
                  <c:v>109.83263129347287</c:v>
                </c:pt>
                <c:pt idx="62">
                  <c:v>110.34732920327389</c:v>
                </c:pt>
                <c:pt idx="63">
                  <c:v>110.78504316034474</c:v>
                </c:pt>
                <c:pt idx="64">
                  <c:v>111.23788029311022</c:v>
                </c:pt>
                <c:pt idx="65">
                  <c:v>111.78855038917956</c:v>
                </c:pt>
                <c:pt idx="66">
                  <c:v>112.20960277615021</c:v>
                </c:pt>
                <c:pt idx="67">
                  <c:v>112.5934954553349</c:v>
                </c:pt>
                <c:pt idx="68">
                  <c:v>113.04013079096316</c:v>
                </c:pt>
                <c:pt idx="69">
                  <c:v>113.44380244732329</c:v>
                </c:pt>
                <c:pt idx="70">
                  <c:v>113.80887687887636</c:v>
                </c:pt>
                <c:pt idx="71">
                  <c:v>114.06373572287498</c:v>
                </c:pt>
                <c:pt idx="72">
                  <c:v>114.30047878492749</c:v>
                </c:pt>
                <c:pt idx="73">
                  <c:v>114.49458510113898</c:v>
                </c:pt>
                <c:pt idx="74">
                  <c:v>114.67124746459268</c:v>
                </c:pt>
                <c:pt idx="75">
                  <c:v>114.95184606736277</c:v>
                </c:pt>
                <c:pt idx="76">
                  <c:v>115.19635101551059</c:v>
                </c:pt>
                <c:pt idx="77">
                  <c:v>115.42313280431159</c:v>
                </c:pt>
                <c:pt idx="78">
                  <c:v>115.62401135944567</c:v>
                </c:pt>
                <c:pt idx="79">
                  <c:v>115.8611911563746</c:v>
                </c:pt>
                <c:pt idx="80">
                  <c:v>116.06944016691583</c:v>
                </c:pt>
                <c:pt idx="81">
                  <c:v>116.24981381906943</c:v>
                </c:pt>
                <c:pt idx="82">
                  <c:v>116.41124428348662</c:v>
                </c:pt>
                <c:pt idx="83">
                  <c:v>116.54100214256985</c:v>
                </c:pt>
                <c:pt idx="84">
                  <c:v>116.66006157774822</c:v>
                </c:pt>
                <c:pt idx="85">
                  <c:v>116.77937308740347</c:v>
                </c:pt>
                <c:pt idx="86">
                  <c:v>116.93076709370752</c:v>
                </c:pt>
                <c:pt idx="87">
                  <c:v>117.05288134970684</c:v>
                </c:pt>
                <c:pt idx="88">
                  <c:v>117.12266306418218</c:v>
                </c:pt>
                <c:pt idx="89">
                  <c:v>117.23366279362423</c:v>
                </c:pt>
                <c:pt idx="90">
                  <c:v>117.31050324003327</c:v>
                </c:pt>
                <c:pt idx="91">
                  <c:v>117.39102484495282</c:v>
                </c:pt>
                <c:pt idx="92">
                  <c:v>117.46445220999007</c:v>
                </c:pt>
                <c:pt idx="93">
                  <c:v>117.57005351993375</c:v>
                </c:pt>
                <c:pt idx="94">
                  <c:v>117.64553615491789</c:v>
                </c:pt>
                <c:pt idx="95">
                  <c:v>117.75124001642193</c:v>
                </c:pt>
                <c:pt idx="96">
                  <c:v>117.81662844612924</c:v>
                </c:pt>
                <c:pt idx="97">
                  <c:v>117.87941583718995</c:v>
                </c:pt>
                <c:pt idx="98">
                  <c:v>117.91245745537897</c:v>
                </c:pt>
                <c:pt idx="99">
                  <c:v>117.9109275924402</c:v>
                </c:pt>
                <c:pt idx="100">
                  <c:v>117.90102662549732</c:v>
                </c:pt>
                <c:pt idx="101">
                  <c:v>117.91225945925264</c:v>
                </c:pt>
                <c:pt idx="102">
                  <c:v>117.90778525879104</c:v>
                </c:pt>
                <c:pt idx="103">
                  <c:v>117.90910416201713</c:v>
                </c:pt>
                <c:pt idx="104">
                  <c:v>118.00974150176995</c:v>
                </c:pt>
                <c:pt idx="105">
                  <c:v>118.0260087868506</c:v>
                </c:pt>
                <c:pt idx="106">
                  <c:v>118.01697983020617</c:v>
                </c:pt>
                <c:pt idx="107">
                  <c:v>118.0069852245847</c:v>
                </c:pt>
                <c:pt idx="108">
                  <c:v>118.00329849500757</c:v>
                </c:pt>
                <c:pt idx="109">
                  <c:v>117.9876077079126</c:v>
                </c:pt>
                <c:pt idx="110">
                  <c:v>117.97790141657043</c:v>
                </c:pt>
                <c:pt idx="111">
                  <c:v>117.9566401890857</c:v>
                </c:pt>
                <c:pt idx="112">
                  <c:v>117.9269786965272</c:v>
                </c:pt>
                <c:pt idx="113">
                  <c:v>117.89176008460419</c:v>
                </c:pt>
                <c:pt idx="114">
                  <c:v>117.85217484616287</c:v>
                </c:pt>
                <c:pt idx="115">
                  <c:v>117.80265741580011</c:v>
                </c:pt>
                <c:pt idx="116">
                  <c:v>117.76360814917307</c:v>
                </c:pt>
                <c:pt idx="117">
                  <c:v>117.74472900687699</c:v>
                </c:pt>
                <c:pt idx="118">
                  <c:v>117.72489520308042</c:v>
                </c:pt>
                <c:pt idx="119">
                  <c:v>117.72872471497756</c:v>
                </c:pt>
                <c:pt idx="120">
                  <c:v>117.73591239014533</c:v>
                </c:pt>
                <c:pt idx="121">
                  <c:v>117.74249901973759</c:v>
                </c:pt>
                <c:pt idx="122">
                  <c:v>117.7565493904565</c:v>
                </c:pt>
                <c:pt idx="123">
                  <c:v>117.78881476524141</c:v>
                </c:pt>
                <c:pt idx="124">
                  <c:v>117.79309605946673</c:v>
                </c:pt>
                <c:pt idx="125">
                  <c:v>117.79205601475404</c:v>
                </c:pt>
                <c:pt idx="126">
                  <c:v>117.78638688088907</c:v>
                </c:pt>
                <c:pt idx="127">
                  <c:v>117.77715575882227</c:v>
                </c:pt>
                <c:pt idx="128">
                  <c:v>117.7595128014333</c:v>
                </c:pt>
                <c:pt idx="129">
                  <c:v>117.7337035010973</c:v>
                </c:pt>
                <c:pt idx="130">
                  <c:v>117.71274559079761</c:v>
                </c:pt>
                <c:pt idx="131">
                  <c:v>117.70367727326747</c:v>
                </c:pt>
                <c:pt idx="132">
                  <c:v>117.69325937218903</c:v>
                </c:pt>
                <c:pt idx="133">
                  <c:v>117.7019325437825</c:v>
                </c:pt>
                <c:pt idx="134">
                  <c:v>117.72030075494115</c:v>
                </c:pt>
                <c:pt idx="135">
                  <c:v>117.7570555046801</c:v>
                </c:pt>
                <c:pt idx="136">
                  <c:v>117.80629338407704</c:v>
                </c:pt>
                <c:pt idx="137">
                  <c:v>117.8289341748729</c:v>
                </c:pt>
                <c:pt idx="138">
                  <c:v>117.8346435962405</c:v>
                </c:pt>
                <c:pt idx="139">
                  <c:v>117.82414005622773</c:v>
                </c:pt>
                <c:pt idx="140">
                  <c:v>117.83220478223456</c:v>
                </c:pt>
                <c:pt idx="141">
                  <c:v>117.87232008420874</c:v>
                </c:pt>
                <c:pt idx="142">
                  <c:v>117.89559751464905</c:v>
                </c:pt>
                <c:pt idx="143">
                  <c:v>117.90136199588918</c:v>
                </c:pt>
                <c:pt idx="144">
                  <c:v>117.93652052821787</c:v>
                </c:pt>
                <c:pt idx="145">
                  <c:v>117.98387758543534</c:v>
                </c:pt>
                <c:pt idx="146">
                  <c:v>118.01025954740238</c:v>
                </c:pt>
                <c:pt idx="147">
                  <c:v>118.04739106921883</c:v>
                </c:pt>
                <c:pt idx="148">
                  <c:v>118.05495053401657</c:v>
                </c:pt>
                <c:pt idx="149">
                  <c:v>118.05123848827607</c:v>
                </c:pt>
                <c:pt idx="150">
                  <c:v>118.06043047666155</c:v>
                </c:pt>
                <c:pt idx="151">
                  <c:v>118.09239391367588</c:v>
                </c:pt>
                <c:pt idx="152">
                  <c:v>118.13006366687162</c:v>
                </c:pt>
                <c:pt idx="153">
                  <c:v>118.17188972773319</c:v>
                </c:pt>
                <c:pt idx="154">
                  <c:v>118.19613299599436</c:v>
                </c:pt>
                <c:pt idx="155">
                  <c:v>118.23313005292113</c:v>
                </c:pt>
                <c:pt idx="156">
                  <c:v>118.26537305690312</c:v>
                </c:pt>
                <c:pt idx="157">
                  <c:v>118.2874529186593</c:v>
                </c:pt>
                <c:pt idx="158">
                  <c:v>118.31878228455321</c:v>
                </c:pt>
                <c:pt idx="159">
                  <c:v>118.31864454495353</c:v>
                </c:pt>
                <c:pt idx="160">
                  <c:v>118.30934984722222</c:v>
                </c:pt>
                <c:pt idx="161">
                  <c:v>118.30441807897789</c:v>
                </c:pt>
                <c:pt idx="162">
                  <c:v>118.31034659962121</c:v>
                </c:pt>
                <c:pt idx="163">
                  <c:v>118.34652374707822</c:v>
                </c:pt>
                <c:pt idx="164">
                  <c:v>118.3622532815186</c:v>
                </c:pt>
                <c:pt idx="165">
                  <c:v>118.3697376129349</c:v>
                </c:pt>
                <c:pt idx="166">
                  <c:v>118.39069625039883</c:v>
                </c:pt>
                <c:pt idx="167">
                  <c:v>118.41528053844748</c:v>
                </c:pt>
                <c:pt idx="168">
                  <c:v>118.42141208587466</c:v>
                </c:pt>
                <c:pt idx="169">
                  <c:v>118.41379580388713</c:v>
                </c:pt>
                <c:pt idx="170">
                  <c:v>118.40363765654119</c:v>
                </c:pt>
                <c:pt idx="171">
                  <c:v>118.38873687963303</c:v>
                </c:pt>
                <c:pt idx="172">
                  <c:v>118.39779295887908</c:v>
                </c:pt>
                <c:pt idx="173">
                  <c:v>118.37318484775263</c:v>
                </c:pt>
                <c:pt idx="174">
                  <c:v>118.34364618362133</c:v>
                </c:pt>
                <c:pt idx="175">
                  <c:v>118.32271897115189</c:v>
                </c:pt>
                <c:pt idx="176">
                  <c:v>118.3025568416062</c:v>
                </c:pt>
                <c:pt idx="177">
                  <c:v>118.28816405171513</c:v>
                </c:pt>
                <c:pt idx="178">
                  <c:v>118.281668575936</c:v>
                </c:pt>
                <c:pt idx="179">
                  <c:v>118.27793991098953</c:v>
                </c:pt>
                <c:pt idx="180">
                  <c:v>118.28396134144545</c:v>
                </c:pt>
                <c:pt idx="181">
                  <c:v>118.31215288896581</c:v>
                </c:pt>
                <c:pt idx="182">
                  <c:v>118.33458593071008</c:v>
                </c:pt>
                <c:pt idx="183">
                  <c:v>118.34684123758053</c:v>
                </c:pt>
                <c:pt idx="184">
                  <c:v>118.34500861134971</c:v>
                </c:pt>
                <c:pt idx="185">
                  <c:v>118.33295973899047</c:v>
                </c:pt>
                <c:pt idx="186">
                  <c:v>118.3411071712664</c:v>
                </c:pt>
                <c:pt idx="187">
                  <c:v>118.35638308673639</c:v>
                </c:pt>
                <c:pt idx="188">
                  <c:v>118.42179183373739</c:v>
                </c:pt>
                <c:pt idx="189">
                  <c:v>118.48999557980184</c:v>
                </c:pt>
                <c:pt idx="190">
                  <c:v>118.56886773278859</c:v>
                </c:pt>
                <c:pt idx="191">
                  <c:v>118.69057338115783</c:v>
                </c:pt>
                <c:pt idx="192">
                  <c:v>118.80209784894123</c:v>
                </c:pt>
                <c:pt idx="193">
                  <c:v>118.86439239096782</c:v>
                </c:pt>
                <c:pt idx="194">
                  <c:v>118.91524506172324</c:v>
                </c:pt>
                <c:pt idx="195">
                  <c:v>118.97377818585663</c:v>
                </c:pt>
                <c:pt idx="196">
                  <c:v>119.02986585572621</c:v>
                </c:pt>
                <c:pt idx="197">
                  <c:v>119.09540282279575</c:v>
                </c:pt>
                <c:pt idx="198">
                  <c:v>119.13739280382586</c:v>
                </c:pt>
                <c:pt idx="199">
                  <c:v>119.16374906492265</c:v>
                </c:pt>
                <c:pt idx="200">
                  <c:v>119.19383295505395</c:v>
                </c:pt>
                <c:pt idx="201">
                  <c:v>119.22441069303443</c:v>
                </c:pt>
                <c:pt idx="202">
                  <c:v>119.24903827413466</c:v>
                </c:pt>
                <c:pt idx="203">
                  <c:v>119.27610902900831</c:v>
                </c:pt>
                <c:pt idx="204">
                  <c:v>119.29732734505541</c:v>
                </c:pt>
                <c:pt idx="205">
                  <c:v>119.31658100222982</c:v>
                </c:pt>
                <c:pt idx="206">
                  <c:v>119.33649013051797</c:v>
                </c:pt>
                <c:pt idx="207">
                  <c:v>119.35387477865929</c:v>
                </c:pt>
                <c:pt idx="208">
                  <c:v>119.36380352294442</c:v>
                </c:pt>
                <c:pt idx="209">
                  <c:v>119.36661045140804</c:v>
                </c:pt>
                <c:pt idx="210">
                  <c:v>119.37978989879861</c:v>
                </c:pt>
                <c:pt idx="211">
                  <c:v>119.37886988606262</c:v>
                </c:pt>
                <c:pt idx="212">
                  <c:v>119.39837774076126</c:v>
                </c:pt>
                <c:pt idx="213">
                  <c:v>119.41259496607736</c:v>
                </c:pt>
                <c:pt idx="214">
                  <c:v>119.4664522510934</c:v>
                </c:pt>
                <c:pt idx="215">
                  <c:v>119.50078820499652</c:v>
                </c:pt>
                <c:pt idx="216">
                  <c:v>119.53585712082007</c:v>
                </c:pt>
                <c:pt idx="217">
                  <c:v>119.56311022048345</c:v>
                </c:pt>
                <c:pt idx="218">
                  <c:v>119.58906398530667</c:v>
                </c:pt>
                <c:pt idx="219">
                  <c:v>119.63157621307025</c:v>
                </c:pt>
                <c:pt idx="220">
                  <c:v>119.66072759016814</c:v>
                </c:pt>
                <c:pt idx="221">
                  <c:v>119.69027871536528</c:v>
                </c:pt>
                <c:pt idx="222">
                  <c:v>119.71908877308121</c:v>
                </c:pt>
                <c:pt idx="223">
                  <c:v>119.73036932520664</c:v>
                </c:pt>
                <c:pt idx="224">
                  <c:v>119.75292270632727</c:v>
                </c:pt>
                <c:pt idx="225">
                  <c:v>119.79607266418931</c:v>
                </c:pt>
                <c:pt idx="226">
                  <c:v>119.8341763115976</c:v>
                </c:pt>
                <c:pt idx="227">
                  <c:v>119.88133470626498</c:v>
                </c:pt>
                <c:pt idx="228">
                  <c:v>119.89160356469928</c:v>
                </c:pt>
                <c:pt idx="229">
                  <c:v>119.89519394883327</c:v>
                </c:pt>
                <c:pt idx="230">
                  <c:v>119.89828533842217</c:v>
                </c:pt>
                <c:pt idx="231">
                  <c:v>119.9048142440304</c:v>
                </c:pt>
                <c:pt idx="232">
                  <c:v>119.90909911974467</c:v>
                </c:pt>
                <c:pt idx="233">
                  <c:v>119.90038060048045</c:v>
                </c:pt>
                <c:pt idx="234">
                  <c:v>119.89292465114252</c:v>
                </c:pt>
                <c:pt idx="235">
                  <c:v>119.88029693675432</c:v>
                </c:pt>
                <c:pt idx="236">
                  <c:v>119.86507853660741</c:v>
                </c:pt>
                <c:pt idx="237">
                  <c:v>119.84857662826104</c:v>
                </c:pt>
                <c:pt idx="238">
                  <c:v>119.82512185361979</c:v>
                </c:pt>
                <c:pt idx="239">
                  <c:v>119.8074271101183</c:v>
                </c:pt>
                <c:pt idx="240">
                  <c:v>119.78858363252492</c:v>
                </c:pt>
                <c:pt idx="241">
                  <c:v>119.75956431834743</c:v>
                </c:pt>
                <c:pt idx="242">
                  <c:v>119.73347568739331</c:v>
                </c:pt>
                <c:pt idx="243">
                  <c:v>119.70767840820388</c:v>
                </c:pt>
                <c:pt idx="244">
                  <c:v>119.6758908925384</c:v>
                </c:pt>
                <c:pt idx="245">
                  <c:v>119.60968645464582</c:v>
                </c:pt>
                <c:pt idx="246">
                  <c:v>119.59246669767921</c:v>
                </c:pt>
                <c:pt idx="247">
                  <c:v>119.58229601320656</c:v>
                </c:pt>
                <c:pt idx="248">
                  <c:v>119.56888286759487</c:v>
                </c:pt>
                <c:pt idx="249">
                  <c:v>119.55180676469789</c:v>
                </c:pt>
                <c:pt idx="250">
                  <c:v>119.53730817176299</c:v>
                </c:pt>
                <c:pt idx="251">
                  <c:v>119.51854314336462</c:v>
                </c:pt>
                <c:pt idx="252">
                  <c:v>119.49956155506783</c:v>
                </c:pt>
                <c:pt idx="253">
                  <c:v>119.47851025691523</c:v>
                </c:pt>
                <c:pt idx="254">
                  <c:v>119.4558170584682</c:v>
                </c:pt>
                <c:pt idx="255">
                  <c:v>119.43687018241373</c:v>
                </c:pt>
                <c:pt idx="256">
                  <c:v>119.41106103342139</c:v>
                </c:pt>
                <c:pt idx="257">
                  <c:v>119.38308160337455</c:v>
                </c:pt>
                <c:pt idx="258">
                  <c:v>119.36098613904117</c:v>
                </c:pt>
                <c:pt idx="259">
                  <c:v>119.34400802096967</c:v>
                </c:pt>
                <c:pt idx="260">
                  <c:v>119.32805851196053</c:v>
                </c:pt>
                <c:pt idx="261">
                  <c:v>119.31314676230734</c:v>
                </c:pt>
                <c:pt idx="262">
                  <c:v>119.29900953713397</c:v>
                </c:pt>
                <c:pt idx="263">
                  <c:v>119.28149054619368</c:v>
                </c:pt>
                <c:pt idx="264">
                  <c:v>119.26148983320911</c:v>
                </c:pt>
                <c:pt idx="265">
                  <c:v>119.24380998505934</c:v>
                </c:pt>
                <c:pt idx="266">
                  <c:v>119.22431260660628</c:v>
                </c:pt>
                <c:pt idx="267">
                  <c:v>119.20556167087769</c:v>
                </c:pt>
                <c:pt idx="268">
                  <c:v>119.18421962283686</c:v>
                </c:pt>
                <c:pt idx="269">
                  <c:v>119.16671948590133</c:v>
                </c:pt>
                <c:pt idx="270">
                  <c:v>119.14832958361289</c:v>
                </c:pt>
                <c:pt idx="271">
                  <c:v>119.12088346554678</c:v>
                </c:pt>
                <c:pt idx="272">
                  <c:v>119.10105661955554</c:v>
                </c:pt>
                <c:pt idx="273">
                  <c:v>119.08318547066663</c:v>
                </c:pt>
                <c:pt idx="274">
                  <c:v>119.06617752327652</c:v>
                </c:pt>
                <c:pt idx="275">
                  <c:v>119.04807438060627</c:v>
                </c:pt>
                <c:pt idx="276">
                  <c:v>119.03303446210309</c:v>
                </c:pt>
                <c:pt idx="277">
                  <c:v>119.01831172511386</c:v>
                </c:pt>
                <c:pt idx="278">
                  <c:v>119.00475449337492</c:v>
                </c:pt>
                <c:pt idx="279">
                  <c:v>118.98125957587891</c:v>
                </c:pt>
                <c:pt idx="280">
                  <c:v>118.96143195646266</c:v>
                </c:pt>
                <c:pt idx="281">
                  <c:v>118.94151355143543</c:v>
                </c:pt>
                <c:pt idx="282">
                  <c:v>118.92200570495756</c:v>
                </c:pt>
                <c:pt idx="283">
                  <c:v>118.90742658704411</c:v>
                </c:pt>
                <c:pt idx="284">
                  <c:v>118.8946757174387</c:v>
                </c:pt>
                <c:pt idx="285">
                  <c:v>118.87916812550608</c:v>
                </c:pt>
                <c:pt idx="286">
                  <c:v>118.86535883642105</c:v>
                </c:pt>
                <c:pt idx="287">
                  <c:v>118.84853301420739</c:v>
                </c:pt>
                <c:pt idx="288">
                  <c:v>118.83405704468223</c:v>
                </c:pt>
                <c:pt idx="289">
                  <c:v>118.81760069401415</c:v>
                </c:pt>
                <c:pt idx="290">
                  <c:v>118.80282616185188</c:v>
                </c:pt>
                <c:pt idx="291">
                  <c:v>118.78050331761443</c:v>
                </c:pt>
                <c:pt idx="292">
                  <c:v>118.75734355157898</c:v>
                </c:pt>
                <c:pt idx="293">
                  <c:v>118.72500045908346</c:v>
                </c:pt>
                <c:pt idx="294">
                  <c:v>118.70448102734252</c:v>
                </c:pt>
                <c:pt idx="295">
                  <c:v>118.6839712436139</c:v>
                </c:pt>
                <c:pt idx="296">
                  <c:v>118.67097959608515</c:v>
                </c:pt>
                <c:pt idx="297">
                  <c:v>118.65081453341814</c:v>
                </c:pt>
                <c:pt idx="298">
                  <c:v>118.63456453565172</c:v>
                </c:pt>
                <c:pt idx="299">
                  <c:v>118.61521712781629</c:v>
                </c:pt>
                <c:pt idx="300">
                  <c:v>118.60360639298011</c:v>
                </c:pt>
                <c:pt idx="301">
                  <c:v>118.59930340922222</c:v>
                </c:pt>
                <c:pt idx="302">
                  <c:v>118.59341388156513</c:v>
                </c:pt>
                <c:pt idx="303">
                  <c:v>118.5957021677047</c:v>
                </c:pt>
                <c:pt idx="304">
                  <c:v>118.59961059537224</c:v>
                </c:pt>
                <c:pt idx="305">
                  <c:v>118.61722460371224</c:v>
                </c:pt>
                <c:pt idx="306">
                  <c:v>118.61906807935891</c:v>
                </c:pt>
                <c:pt idx="307">
                  <c:v>118.62271732190428</c:v>
                </c:pt>
                <c:pt idx="308">
                  <c:v>118.63671489541851</c:v>
                </c:pt>
                <c:pt idx="309">
                  <c:v>118.64701471614683</c:v>
                </c:pt>
                <c:pt idx="310">
                  <c:v>118.65378888307742</c:v>
                </c:pt>
                <c:pt idx="311">
                  <c:v>118.68085845880546</c:v>
                </c:pt>
                <c:pt idx="312">
                  <c:v>118.69656780283435</c:v>
                </c:pt>
                <c:pt idx="313">
                  <c:v>118.71035131380314</c:v>
                </c:pt>
                <c:pt idx="314">
                  <c:v>118.70028827504515</c:v>
                </c:pt>
                <c:pt idx="315">
                  <c:v>118.66054565426809</c:v>
                </c:pt>
                <c:pt idx="316">
                  <c:v>118.61173737348115</c:v>
                </c:pt>
                <c:pt idx="317">
                  <c:v>118.57845379774932</c:v>
                </c:pt>
                <c:pt idx="318">
                  <c:v>118.5437323882359</c:v>
                </c:pt>
                <c:pt idx="319">
                  <c:v>118.49578370631023</c:v>
                </c:pt>
                <c:pt idx="320">
                  <c:v>118.46987568988771</c:v>
                </c:pt>
                <c:pt idx="321">
                  <c:v>118.45194818739357</c:v>
                </c:pt>
                <c:pt idx="322">
                  <c:v>118.44255055842059</c:v>
                </c:pt>
                <c:pt idx="323">
                  <c:v>118.43025523699329</c:v>
                </c:pt>
                <c:pt idx="324">
                  <c:v>118.4112726385775</c:v>
                </c:pt>
                <c:pt idx="325">
                  <c:v>118.39331940133707</c:v>
                </c:pt>
                <c:pt idx="326">
                  <c:v>118.37901351444276</c:v>
                </c:pt>
                <c:pt idx="327">
                  <c:v>118.36369369664116</c:v>
                </c:pt>
                <c:pt idx="328">
                  <c:v>118.35168300483913</c:v>
                </c:pt>
                <c:pt idx="329">
                  <c:v>118.3388213140704</c:v>
                </c:pt>
                <c:pt idx="330">
                  <c:v>118.32436312374071</c:v>
                </c:pt>
                <c:pt idx="331">
                  <c:v>118.31273422462564</c:v>
                </c:pt>
                <c:pt idx="332">
                  <c:v>118.29094764956474</c:v>
                </c:pt>
                <c:pt idx="333">
                  <c:v>118.27131662436248</c:v>
                </c:pt>
                <c:pt idx="334">
                  <c:v>118.25399175992723</c:v>
                </c:pt>
                <c:pt idx="335">
                  <c:v>118.23385826888071</c:v>
                </c:pt>
                <c:pt idx="336">
                  <c:v>118.2174204137727</c:v>
                </c:pt>
                <c:pt idx="337">
                  <c:v>118.20624161063029</c:v>
                </c:pt>
                <c:pt idx="338">
                  <c:v>118.18632424437682</c:v>
                </c:pt>
                <c:pt idx="339">
                  <c:v>118.17410070652414</c:v>
                </c:pt>
                <c:pt idx="340">
                  <c:v>118.16041270376697</c:v>
                </c:pt>
                <c:pt idx="341">
                  <c:v>118.14748973197568</c:v>
                </c:pt>
                <c:pt idx="342">
                  <c:v>118.13255848734082</c:v>
                </c:pt>
                <c:pt idx="343">
                  <c:v>118.11806442088613</c:v>
                </c:pt>
                <c:pt idx="344">
                  <c:v>118.10391649190935</c:v>
                </c:pt>
                <c:pt idx="345">
                  <c:v>118.08692023106079</c:v>
                </c:pt>
                <c:pt idx="346">
                  <c:v>118.07532147731884</c:v>
                </c:pt>
                <c:pt idx="347">
                  <c:v>118.05949163799933</c:v>
                </c:pt>
                <c:pt idx="348">
                  <c:v>118.04947835969439</c:v>
                </c:pt>
                <c:pt idx="349">
                  <c:v>118.04131510629314</c:v>
                </c:pt>
                <c:pt idx="350">
                  <c:v>118.03071228349421</c:v>
                </c:pt>
                <c:pt idx="351">
                  <c:v>118.02068134748447</c:v>
                </c:pt>
                <c:pt idx="352">
                  <c:v>118.01016568601609</c:v>
                </c:pt>
                <c:pt idx="353">
                  <c:v>117.9764852403015</c:v>
                </c:pt>
                <c:pt idx="354">
                  <c:v>117.9602152941662</c:v>
                </c:pt>
                <c:pt idx="355">
                  <c:v>117.94077535330881</c:v>
                </c:pt>
                <c:pt idx="356">
                  <c:v>117.92795314159764</c:v>
                </c:pt>
                <c:pt idx="357">
                  <c:v>117.91865320815238</c:v>
                </c:pt>
                <c:pt idx="358">
                  <c:v>117.90366317507321</c:v>
                </c:pt>
                <c:pt idx="359">
                  <c:v>117.88652757871181</c:v>
                </c:pt>
                <c:pt idx="360">
                  <c:v>117.86984685101785</c:v>
                </c:pt>
                <c:pt idx="361">
                  <c:v>117.85432348777417</c:v>
                </c:pt>
                <c:pt idx="362">
                  <c:v>117.84152550587656</c:v>
                </c:pt>
                <c:pt idx="363">
                  <c:v>117.83598169739449</c:v>
                </c:pt>
                <c:pt idx="364">
                  <c:v>117.83124970830703</c:v>
                </c:pt>
                <c:pt idx="365">
                  <c:v>117.83165999241342</c:v>
                </c:pt>
                <c:pt idx="366">
                  <c:v>117.82844975912106</c:v>
                </c:pt>
                <c:pt idx="367">
                  <c:v>117.84071715754639</c:v>
                </c:pt>
                <c:pt idx="368">
                  <c:v>117.83324337992401</c:v>
                </c:pt>
                <c:pt idx="369">
                  <c:v>117.81473898827426</c:v>
                </c:pt>
                <c:pt idx="370">
                  <c:v>117.80010450303449</c:v>
                </c:pt>
                <c:pt idx="371">
                  <c:v>117.78803068858257</c:v>
                </c:pt>
                <c:pt idx="372">
                  <c:v>117.77355376054139</c:v>
                </c:pt>
                <c:pt idx="373">
                  <c:v>117.75742599401666</c:v>
                </c:pt>
                <c:pt idx="374">
                  <c:v>117.74503079701405</c:v>
                </c:pt>
                <c:pt idx="375">
                  <c:v>117.73606157875638</c:v>
                </c:pt>
                <c:pt idx="376">
                  <c:v>117.72909321228612</c:v>
                </c:pt>
                <c:pt idx="377">
                  <c:v>117.72010446486942</c:v>
                </c:pt>
                <c:pt idx="378">
                  <c:v>117.72075668633892</c:v>
                </c:pt>
                <c:pt idx="379">
                  <c:v>117.71722241454138</c:v>
                </c:pt>
                <c:pt idx="380">
                  <c:v>117.71910976009467</c:v>
                </c:pt>
                <c:pt idx="381">
                  <c:v>117.72080745118613</c:v>
                </c:pt>
                <c:pt idx="382">
                  <c:v>117.7185814110758</c:v>
                </c:pt>
                <c:pt idx="383">
                  <c:v>117.71312399143056</c:v>
                </c:pt>
                <c:pt idx="384">
                  <c:v>117.70636422102609</c:v>
                </c:pt>
                <c:pt idx="385">
                  <c:v>117.69869400748296</c:v>
                </c:pt>
                <c:pt idx="386">
                  <c:v>117.67556441624909</c:v>
                </c:pt>
                <c:pt idx="387">
                  <c:v>117.66165220471963</c:v>
                </c:pt>
                <c:pt idx="388">
                  <c:v>117.64971976678311</c:v>
                </c:pt>
                <c:pt idx="389">
                  <c:v>117.6397603364655</c:v>
                </c:pt>
                <c:pt idx="390">
                  <c:v>117.63052512840345</c:v>
                </c:pt>
                <c:pt idx="391">
                  <c:v>117.6214016688959</c:v>
                </c:pt>
                <c:pt idx="392">
                  <c:v>117.61358600092842</c:v>
                </c:pt>
                <c:pt idx="393">
                  <c:v>117.60948687947334</c:v>
                </c:pt>
                <c:pt idx="394">
                  <c:v>117.60259831647149</c:v>
                </c:pt>
                <c:pt idx="395">
                  <c:v>117.5953683585917</c:v>
                </c:pt>
                <c:pt idx="396">
                  <c:v>117.58327496031956</c:v>
                </c:pt>
                <c:pt idx="397">
                  <c:v>117.56790624558568</c:v>
                </c:pt>
                <c:pt idx="398">
                  <c:v>117.55108610890466</c:v>
                </c:pt>
                <c:pt idx="399">
                  <c:v>117.53789592370073</c:v>
                </c:pt>
                <c:pt idx="400">
                  <c:v>117.52623817057201</c:v>
                </c:pt>
                <c:pt idx="401">
                  <c:v>117.51378669600565</c:v>
                </c:pt>
                <c:pt idx="402">
                  <c:v>117.50212262135889</c:v>
                </c:pt>
                <c:pt idx="403">
                  <c:v>117.48995259153605</c:v>
                </c:pt>
                <c:pt idx="404">
                  <c:v>117.47584450278325</c:v>
                </c:pt>
                <c:pt idx="405">
                  <c:v>117.46409960084522</c:v>
                </c:pt>
                <c:pt idx="406">
                  <c:v>117.44827456135718</c:v>
                </c:pt>
                <c:pt idx="407">
                  <c:v>117.43693943879447</c:v>
                </c:pt>
                <c:pt idx="408">
                  <c:v>117.42390499805325</c:v>
                </c:pt>
                <c:pt idx="409">
                  <c:v>117.41073289760187</c:v>
                </c:pt>
                <c:pt idx="410">
                  <c:v>117.40082770347334</c:v>
                </c:pt>
                <c:pt idx="411">
                  <c:v>117.39343361717434</c:v>
                </c:pt>
                <c:pt idx="412">
                  <c:v>117.38668674526986</c:v>
                </c:pt>
                <c:pt idx="413">
                  <c:v>117.37987207903282</c:v>
                </c:pt>
                <c:pt idx="414">
                  <c:v>117.37600208917829</c:v>
                </c:pt>
                <c:pt idx="415">
                  <c:v>117.37346843553186</c:v>
                </c:pt>
                <c:pt idx="416">
                  <c:v>117.37383213815143</c:v>
                </c:pt>
                <c:pt idx="417">
                  <c:v>117.37576620626373</c:v>
                </c:pt>
                <c:pt idx="418">
                  <c:v>117.36983158051082</c:v>
                </c:pt>
                <c:pt idx="419">
                  <c:v>117.36472835342629</c:v>
                </c:pt>
                <c:pt idx="420">
                  <c:v>117.35372501250313</c:v>
                </c:pt>
                <c:pt idx="421">
                  <c:v>117.34402100350515</c:v>
                </c:pt>
                <c:pt idx="422">
                  <c:v>117.33571230976534</c:v>
                </c:pt>
                <c:pt idx="423">
                  <c:v>117.33143140470229</c:v>
                </c:pt>
                <c:pt idx="424">
                  <c:v>117.32574955348085</c:v>
                </c:pt>
                <c:pt idx="425">
                  <c:v>117.32007162546091</c:v>
                </c:pt>
                <c:pt idx="426">
                  <c:v>117.31501752050599</c:v>
                </c:pt>
                <c:pt idx="427">
                  <c:v>117.31793514512339</c:v>
                </c:pt>
                <c:pt idx="428">
                  <c:v>117.32087793648617</c:v>
                </c:pt>
                <c:pt idx="429">
                  <c:v>117.3202217741771</c:v>
                </c:pt>
                <c:pt idx="430">
                  <c:v>117.32163943674824</c:v>
                </c:pt>
                <c:pt idx="431">
                  <c:v>117.31622312010413</c:v>
                </c:pt>
                <c:pt idx="432">
                  <c:v>117.31953210222873</c:v>
                </c:pt>
                <c:pt idx="433">
                  <c:v>117.32078029148957</c:v>
                </c:pt>
                <c:pt idx="434">
                  <c:v>117.32559459027341</c:v>
                </c:pt>
                <c:pt idx="435">
                  <c:v>117.33957315665845</c:v>
                </c:pt>
                <c:pt idx="436">
                  <c:v>117.34144953463533</c:v>
                </c:pt>
                <c:pt idx="437">
                  <c:v>117.33823649287797</c:v>
                </c:pt>
                <c:pt idx="438">
                  <c:v>117.33284436781476</c:v>
                </c:pt>
                <c:pt idx="439">
                  <c:v>117.32595873113969</c:v>
                </c:pt>
                <c:pt idx="440">
                  <c:v>117.32296398342123</c:v>
                </c:pt>
                <c:pt idx="441">
                  <c:v>117.32198681329615</c:v>
                </c:pt>
                <c:pt idx="442">
                  <c:v>117.32112769527899</c:v>
                </c:pt>
                <c:pt idx="443">
                  <c:v>117.31979107833679</c:v>
                </c:pt>
                <c:pt idx="444">
                  <c:v>117.31562471279497</c:v>
                </c:pt>
                <c:pt idx="445">
                  <c:v>117.30794713291326</c:v>
                </c:pt>
                <c:pt idx="446">
                  <c:v>117.30254527714213</c:v>
                </c:pt>
                <c:pt idx="447">
                  <c:v>117.2973448005022</c:v>
                </c:pt>
                <c:pt idx="448">
                  <c:v>117.29112559742036</c:v>
                </c:pt>
                <c:pt idx="449">
                  <c:v>117.28362220024241</c:v>
                </c:pt>
                <c:pt idx="450">
                  <c:v>117.27865395613799</c:v>
                </c:pt>
                <c:pt idx="451">
                  <c:v>117.27396490322525</c:v>
                </c:pt>
                <c:pt idx="452">
                  <c:v>117.26925200647585</c:v>
                </c:pt>
                <c:pt idx="453">
                  <c:v>117.27011311051986</c:v>
                </c:pt>
                <c:pt idx="454">
                  <c:v>117.27611516251007</c:v>
                </c:pt>
                <c:pt idx="455">
                  <c:v>117.2773367087562</c:v>
                </c:pt>
                <c:pt idx="456">
                  <c:v>117.2807039881899</c:v>
                </c:pt>
                <c:pt idx="457">
                  <c:v>117.2807879311457</c:v>
                </c:pt>
                <c:pt idx="458">
                  <c:v>117.28676330608651</c:v>
                </c:pt>
                <c:pt idx="459">
                  <c:v>117.28888404995539</c:v>
                </c:pt>
                <c:pt idx="460">
                  <c:v>117.29150819011366</c:v>
                </c:pt>
                <c:pt idx="461">
                  <c:v>117.2895980275463</c:v>
                </c:pt>
                <c:pt idx="462">
                  <c:v>117.29021821080001</c:v>
                </c:pt>
                <c:pt idx="463">
                  <c:v>117.28815708904904</c:v>
                </c:pt>
                <c:pt idx="464">
                  <c:v>117.28883430370543</c:v>
                </c:pt>
                <c:pt idx="465">
                  <c:v>117.30081558451434</c:v>
                </c:pt>
                <c:pt idx="466">
                  <c:v>117.31346639430767</c:v>
                </c:pt>
                <c:pt idx="467">
                  <c:v>117.33605748873238</c:v>
                </c:pt>
                <c:pt idx="468">
                  <c:v>117.34876847562894</c:v>
                </c:pt>
                <c:pt idx="469">
                  <c:v>117.36752241747655</c:v>
                </c:pt>
                <c:pt idx="470">
                  <c:v>117.38834255576874</c:v>
                </c:pt>
                <c:pt idx="471">
                  <c:v>117.40082740684285</c:v>
                </c:pt>
                <c:pt idx="472">
                  <c:v>117.41894369878348</c:v>
                </c:pt>
                <c:pt idx="473">
                  <c:v>117.42982837380241</c:v>
                </c:pt>
                <c:pt idx="474">
                  <c:v>117.4382892883086</c:v>
                </c:pt>
                <c:pt idx="475">
                  <c:v>117.44781268832341</c:v>
                </c:pt>
                <c:pt idx="476">
                  <c:v>117.45456727479007</c:v>
                </c:pt>
                <c:pt idx="477">
                  <c:v>117.45489058375477</c:v>
                </c:pt>
                <c:pt idx="478">
                  <c:v>117.45481436807188</c:v>
                </c:pt>
                <c:pt idx="479">
                  <c:v>117.45539220402343</c:v>
                </c:pt>
                <c:pt idx="480">
                  <c:v>117.46114205055989</c:v>
                </c:pt>
                <c:pt idx="481">
                  <c:v>117.46400785623185</c:v>
                </c:pt>
                <c:pt idx="482">
                  <c:v>117.47698281011282</c:v>
                </c:pt>
                <c:pt idx="483">
                  <c:v>117.48502780804407</c:v>
                </c:pt>
                <c:pt idx="484">
                  <c:v>117.49025311930731</c:v>
                </c:pt>
                <c:pt idx="485">
                  <c:v>117.49503114364076</c:v>
                </c:pt>
                <c:pt idx="486">
                  <c:v>117.51542898262544</c:v>
                </c:pt>
                <c:pt idx="487">
                  <c:v>117.53875049663328</c:v>
                </c:pt>
                <c:pt idx="488">
                  <c:v>117.55695255491874</c:v>
                </c:pt>
                <c:pt idx="489">
                  <c:v>117.57164530654856</c:v>
                </c:pt>
                <c:pt idx="490">
                  <c:v>117.58348164106087</c:v>
                </c:pt>
                <c:pt idx="491">
                  <c:v>117.5850546396908</c:v>
                </c:pt>
                <c:pt idx="492">
                  <c:v>117.59690783811683</c:v>
                </c:pt>
                <c:pt idx="493">
                  <c:v>117.60240443284998</c:v>
                </c:pt>
                <c:pt idx="494">
                  <c:v>117.62750545171262</c:v>
                </c:pt>
                <c:pt idx="495">
                  <c:v>117.63696148103355</c:v>
                </c:pt>
                <c:pt idx="496">
                  <c:v>117.65184652966119</c:v>
                </c:pt>
                <c:pt idx="497">
                  <c:v>117.66000356639519</c:v>
                </c:pt>
                <c:pt idx="498">
                  <c:v>117.66948632643322</c:v>
                </c:pt>
                <c:pt idx="499">
                  <c:v>117.69117358926583</c:v>
                </c:pt>
                <c:pt idx="500">
                  <c:v>117.71083691063644</c:v>
                </c:pt>
                <c:pt idx="501">
                  <c:v>117.72701737214238</c:v>
                </c:pt>
                <c:pt idx="502">
                  <c:v>117.75807412021706</c:v>
                </c:pt>
                <c:pt idx="503">
                  <c:v>117.83047988371865</c:v>
                </c:pt>
                <c:pt idx="504">
                  <c:v>117.86318695866257</c:v>
                </c:pt>
                <c:pt idx="505">
                  <c:v>117.87969744766116</c:v>
                </c:pt>
                <c:pt idx="506">
                  <c:v>117.91917973417358</c:v>
                </c:pt>
                <c:pt idx="507">
                  <c:v>117.96276583729743</c:v>
                </c:pt>
                <c:pt idx="508">
                  <c:v>118.00141702125961</c:v>
                </c:pt>
                <c:pt idx="509">
                  <c:v>118.06602204266623</c:v>
                </c:pt>
                <c:pt idx="510">
                  <c:v>118.17157074998309</c:v>
                </c:pt>
                <c:pt idx="511">
                  <c:v>118.24587304562993</c:v>
                </c:pt>
                <c:pt idx="512">
                  <c:v>118.32347258616649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0">
                  <c:v>102.36</c:v>
                </c:pt>
                <c:pt idx="1">
                  <c:v>102.36007076067978</c:v>
                </c:pt>
                <c:pt idx="2">
                  <c:v>102.23754367939895</c:v>
                </c:pt>
                <c:pt idx="3">
                  <c:v>102.28879010958497</c:v>
                </c:pt>
                <c:pt idx="4">
                  <c:v>101.50898532886454</c:v>
                </c:pt>
                <c:pt idx="5">
                  <c:v>100.66498535240343</c:v>
                </c:pt>
                <c:pt idx="6">
                  <c:v>99.892357023061066</c:v>
                </c:pt>
                <c:pt idx="7">
                  <c:v>99.45984582069218</c:v>
                </c:pt>
                <c:pt idx="8">
                  <c:v>99.395842967543203</c:v>
                </c:pt>
                <c:pt idx="9">
                  <c:v>98.85904255136893</c:v>
                </c:pt>
                <c:pt idx="10">
                  <c:v>98.341656996552373</c:v>
                </c:pt>
                <c:pt idx="11">
                  <c:v>97.888012603690569</c:v>
                </c:pt>
                <c:pt idx="12">
                  <c:v>97.578434005261258</c:v>
                </c:pt>
                <c:pt idx="13">
                  <c:v>97.315166782147116</c:v>
                </c:pt>
                <c:pt idx="14">
                  <c:v>97.263474564148211</c:v>
                </c:pt>
                <c:pt idx="15">
                  <c:v>97.339233558294225</c:v>
                </c:pt>
                <c:pt idx="16">
                  <c:v>97.485943011791392</c:v>
                </c:pt>
                <c:pt idx="17">
                  <c:v>97.60686932777844</c:v>
                </c:pt>
                <c:pt idx="18">
                  <c:v>97.706294827613803</c:v>
                </c:pt>
                <c:pt idx="19">
                  <c:v>97.771314575614852</c:v>
                </c:pt>
                <c:pt idx="20">
                  <c:v>97.907316686000925</c:v>
                </c:pt>
                <c:pt idx="21">
                  <c:v>98.015738513407513</c:v>
                </c:pt>
                <c:pt idx="22">
                  <c:v>98.120929535767601</c:v>
                </c:pt>
                <c:pt idx="23">
                  <c:v>98.198817233318294</c:v>
                </c:pt>
                <c:pt idx="24">
                  <c:v>98.269131570251758</c:v>
                </c:pt>
                <c:pt idx="25">
                  <c:v>98.338460782385084</c:v>
                </c:pt>
                <c:pt idx="26">
                  <c:v>98.424396805144269</c:v>
                </c:pt>
                <c:pt idx="27">
                  <c:v>98.496354714121708</c:v>
                </c:pt>
                <c:pt idx="28">
                  <c:v>98.573897162719405</c:v>
                </c:pt>
                <c:pt idx="29">
                  <c:v>98.625454024644284</c:v>
                </c:pt>
                <c:pt idx="30">
                  <c:v>98.659832312674382</c:v>
                </c:pt>
                <c:pt idx="31">
                  <c:v>98.748102029134813</c:v>
                </c:pt>
                <c:pt idx="32">
                  <c:v>98.820593375177111</c:v>
                </c:pt>
                <c:pt idx="33">
                  <c:v>98.881244187595968</c:v>
                </c:pt>
                <c:pt idx="34">
                  <c:v>98.945745197950572</c:v>
                </c:pt>
                <c:pt idx="35">
                  <c:v>99.009708304174978</c:v>
                </c:pt>
                <c:pt idx="36">
                  <c:v>99.062504083442761</c:v>
                </c:pt>
                <c:pt idx="37">
                  <c:v>99.102374182486997</c:v>
                </c:pt>
                <c:pt idx="38">
                  <c:v>99.155245420533745</c:v>
                </c:pt>
                <c:pt idx="39">
                  <c:v>99.200541976329816</c:v>
                </c:pt>
                <c:pt idx="40">
                  <c:v>99.254533628416397</c:v>
                </c:pt>
                <c:pt idx="41">
                  <c:v>99.298495198584931</c:v>
                </c:pt>
                <c:pt idx="42">
                  <c:v>99.354849261578977</c:v>
                </c:pt>
                <c:pt idx="43">
                  <c:v>99.410410550881664</c:v>
                </c:pt>
                <c:pt idx="44">
                  <c:v>99.455079289677769</c:v>
                </c:pt>
                <c:pt idx="45">
                  <c:v>99.461637840304206</c:v>
                </c:pt>
                <c:pt idx="46">
                  <c:v>99.457432287437882</c:v>
                </c:pt>
                <c:pt idx="47">
                  <c:v>99.456739890237884</c:v>
                </c:pt>
                <c:pt idx="48">
                  <c:v>99.466619024495074</c:v>
                </c:pt>
                <c:pt idx="49">
                  <c:v>99.470639392950417</c:v>
                </c:pt>
                <c:pt idx="50">
                  <c:v>99.477298646586064</c:v>
                </c:pt>
                <c:pt idx="51">
                  <c:v>99.639742788220516</c:v>
                </c:pt>
                <c:pt idx="52">
                  <c:v>99.602811365168435</c:v>
                </c:pt>
                <c:pt idx="53">
                  <c:v>99.544080041650517</c:v>
                </c:pt>
                <c:pt idx="54">
                  <c:v>99.51976695181655</c:v>
                </c:pt>
                <c:pt idx="55">
                  <c:v>99.486660625167303</c:v>
                </c:pt>
                <c:pt idx="56">
                  <c:v>99.46735537086829</c:v>
                </c:pt>
                <c:pt idx="57">
                  <c:v>99.425818939436297</c:v>
                </c:pt>
                <c:pt idx="58">
                  <c:v>99.412495238126567</c:v>
                </c:pt>
                <c:pt idx="59">
                  <c:v>99.375858948716683</c:v>
                </c:pt>
                <c:pt idx="60">
                  <c:v>99.384897578531465</c:v>
                </c:pt>
                <c:pt idx="61">
                  <c:v>99.341243477065746</c:v>
                </c:pt>
                <c:pt idx="62">
                  <c:v>99.330386160233076</c:v>
                </c:pt>
                <c:pt idx="63">
                  <c:v>99.297782298443195</c:v>
                </c:pt>
                <c:pt idx="64">
                  <c:v>99.297955854587471</c:v>
                </c:pt>
                <c:pt idx="65">
                  <c:v>99.321351342636831</c:v>
                </c:pt>
                <c:pt idx="66">
                  <c:v>99.325252723650863</c:v>
                </c:pt>
                <c:pt idx="67">
                  <c:v>99.289909446591196</c:v>
                </c:pt>
                <c:pt idx="68">
                  <c:v>99.289873986349789</c:v>
                </c:pt>
                <c:pt idx="69">
                  <c:v>99.31310964399475</c:v>
                </c:pt>
                <c:pt idx="70">
                  <c:v>99.409677012415472</c:v>
                </c:pt>
                <c:pt idx="71">
                  <c:v>99.45208402184889</c:v>
                </c:pt>
                <c:pt idx="72">
                  <c:v>99.537423493465951</c:v>
                </c:pt>
                <c:pt idx="73">
                  <c:v>99.594754088424409</c:v>
                </c:pt>
                <c:pt idx="74">
                  <c:v>99.649947269351401</c:v>
                </c:pt>
                <c:pt idx="75">
                  <c:v>99.764234663122636</c:v>
                </c:pt>
                <c:pt idx="76">
                  <c:v>99.826589024072021</c:v>
                </c:pt>
                <c:pt idx="77">
                  <c:v>99.865037962023536</c:v>
                </c:pt>
                <c:pt idx="78">
                  <c:v>99.890721402079762</c:v>
                </c:pt>
                <c:pt idx="79">
                  <c:v>99.9542339225885</c:v>
                </c:pt>
                <c:pt idx="80">
                  <c:v>100.11784359490588</c:v>
                </c:pt>
                <c:pt idx="81">
                  <c:v>100.20577610894105</c:v>
                </c:pt>
                <c:pt idx="82">
                  <c:v>100.32406278683176</c:v>
                </c:pt>
                <c:pt idx="83">
                  <c:v>100.47055217765507</c:v>
                </c:pt>
                <c:pt idx="84">
                  <c:v>100.60332534796163</c:v>
                </c:pt>
                <c:pt idx="85">
                  <c:v>100.74290219271832</c:v>
                </c:pt>
                <c:pt idx="86">
                  <c:v>100.89996274984452</c:v>
                </c:pt>
                <c:pt idx="87">
                  <c:v>101.04165720198228</c:v>
                </c:pt>
                <c:pt idx="88">
                  <c:v>101.13258721252657</c:v>
                </c:pt>
                <c:pt idx="89">
                  <c:v>101.21478587363455</c:v>
                </c:pt>
                <c:pt idx="90">
                  <c:v>101.27764923987435</c:v>
                </c:pt>
                <c:pt idx="91">
                  <c:v>101.34784492107417</c:v>
                </c:pt>
                <c:pt idx="92">
                  <c:v>101.41853472705634</c:v>
                </c:pt>
                <c:pt idx="93">
                  <c:v>101.50290843158105</c:v>
                </c:pt>
                <c:pt idx="94">
                  <c:v>101.57560669445459</c:v>
                </c:pt>
                <c:pt idx="95">
                  <c:v>101.6395352597883</c:v>
                </c:pt>
                <c:pt idx="96">
                  <c:v>101.68948477686436</c:v>
                </c:pt>
                <c:pt idx="97">
                  <c:v>101.75622979229689</c:v>
                </c:pt>
                <c:pt idx="98">
                  <c:v>101.83382726175945</c:v>
                </c:pt>
                <c:pt idx="99">
                  <c:v>101.8983220280731</c:v>
                </c:pt>
                <c:pt idx="100">
                  <c:v>101.95443218752409</c:v>
                </c:pt>
                <c:pt idx="101">
                  <c:v>102.01685106089083</c:v>
                </c:pt>
                <c:pt idx="102">
                  <c:v>102.07535992350647</c:v>
                </c:pt>
                <c:pt idx="103">
                  <c:v>102.13585233416462</c:v>
                </c:pt>
                <c:pt idx="104">
                  <c:v>102.25301679405422</c:v>
                </c:pt>
                <c:pt idx="105">
                  <c:v>102.32354412212952</c:v>
                </c:pt>
                <c:pt idx="106">
                  <c:v>102.38177812840223</c:v>
                </c:pt>
                <c:pt idx="107">
                  <c:v>102.43554056171257</c:v>
                </c:pt>
                <c:pt idx="108">
                  <c:v>102.48861669569042</c:v>
                </c:pt>
                <c:pt idx="109">
                  <c:v>102.53741659513061</c:v>
                </c:pt>
                <c:pt idx="110">
                  <c:v>102.58953810806671</c:v>
                </c:pt>
                <c:pt idx="111">
                  <c:v>102.63387051022616</c:v>
                </c:pt>
                <c:pt idx="112">
                  <c:v>102.67195227600196</c:v>
                </c:pt>
                <c:pt idx="113">
                  <c:v>102.70353698175728</c:v>
                </c:pt>
                <c:pt idx="114">
                  <c:v>102.72791297293976</c:v>
                </c:pt>
                <c:pt idx="115">
                  <c:v>102.73856437118447</c:v>
                </c:pt>
                <c:pt idx="116">
                  <c:v>102.76267607595726</c:v>
                </c:pt>
                <c:pt idx="117">
                  <c:v>102.80566722075072</c:v>
                </c:pt>
                <c:pt idx="118">
                  <c:v>102.84864466273544</c:v>
                </c:pt>
                <c:pt idx="119">
                  <c:v>102.900363154928</c:v>
                </c:pt>
                <c:pt idx="120">
                  <c:v>102.95240616966345</c:v>
                </c:pt>
                <c:pt idx="121">
                  <c:v>103.00317590064093</c:v>
                </c:pt>
                <c:pt idx="122">
                  <c:v>103.05669685318178</c:v>
                </c:pt>
                <c:pt idx="123">
                  <c:v>103.12611557107225</c:v>
                </c:pt>
                <c:pt idx="124">
                  <c:v>103.16892838077814</c:v>
                </c:pt>
                <c:pt idx="125">
                  <c:v>103.21278339837583</c:v>
                </c:pt>
                <c:pt idx="126">
                  <c:v>103.24695227075662</c:v>
                </c:pt>
                <c:pt idx="127">
                  <c:v>103.28721152290608</c:v>
                </c:pt>
                <c:pt idx="128">
                  <c:v>103.32368600589724</c:v>
                </c:pt>
                <c:pt idx="129">
                  <c:v>103.3534753416709</c:v>
                </c:pt>
                <c:pt idx="130">
                  <c:v>103.38611162255198</c:v>
                </c:pt>
                <c:pt idx="131">
                  <c:v>103.4249842171693</c:v>
                </c:pt>
                <c:pt idx="132">
                  <c:v>103.46193716894877</c:v>
                </c:pt>
                <c:pt idx="133">
                  <c:v>103.50365857653847</c:v>
                </c:pt>
                <c:pt idx="134">
                  <c:v>103.54673048720582</c:v>
                </c:pt>
                <c:pt idx="135">
                  <c:v>103.58863894032203</c:v>
                </c:pt>
                <c:pt idx="136">
                  <c:v>103.62636038169481</c:v>
                </c:pt>
                <c:pt idx="137">
                  <c:v>103.67426605906746</c:v>
                </c:pt>
                <c:pt idx="138">
                  <c:v>103.71280077468295</c:v>
                </c:pt>
                <c:pt idx="139">
                  <c:v>103.74726749438186</c:v>
                </c:pt>
                <c:pt idx="140">
                  <c:v>103.78983155751197</c:v>
                </c:pt>
                <c:pt idx="141">
                  <c:v>103.83957483185002</c:v>
                </c:pt>
                <c:pt idx="142">
                  <c:v>103.87413968769205</c:v>
                </c:pt>
                <c:pt idx="143">
                  <c:v>103.90494169736857</c:v>
                </c:pt>
                <c:pt idx="144">
                  <c:v>103.941208302006</c:v>
                </c:pt>
                <c:pt idx="145">
                  <c:v>103.98450001838025</c:v>
                </c:pt>
                <c:pt idx="146">
                  <c:v>104.02798537469464</c:v>
                </c:pt>
                <c:pt idx="147">
                  <c:v>104.08316723416237</c:v>
                </c:pt>
                <c:pt idx="148">
                  <c:v>104.1268032698492</c:v>
                </c:pt>
                <c:pt idx="149">
                  <c:v>104.16245941130573</c:v>
                </c:pt>
                <c:pt idx="150">
                  <c:v>104.20066379476371</c:v>
                </c:pt>
                <c:pt idx="151">
                  <c:v>104.23936050047608</c:v>
                </c:pt>
                <c:pt idx="152">
                  <c:v>104.27184151318056</c:v>
                </c:pt>
                <c:pt idx="153">
                  <c:v>104.30714273003538</c:v>
                </c:pt>
                <c:pt idx="154">
                  <c:v>104.33998867897648</c:v>
                </c:pt>
                <c:pt idx="155">
                  <c:v>104.37240366932204</c:v>
                </c:pt>
                <c:pt idx="156">
                  <c:v>104.40361400113215</c:v>
                </c:pt>
                <c:pt idx="157">
                  <c:v>104.43206178150508</c:v>
                </c:pt>
                <c:pt idx="158">
                  <c:v>104.46588345332503</c:v>
                </c:pt>
                <c:pt idx="159">
                  <c:v>104.50227589215622</c:v>
                </c:pt>
                <c:pt idx="160">
                  <c:v>104.53234160980287</c:v>
                </c:pt>
                <c:pt idx="161">
                  <c:v>104.56261130081275</c:v>
                </c:pt>
                <c:pt idx="162">
                  <c:v>104.59315724751157</c:v>
                </c:pt>
                <c:pt idx="163">
                  <c:v>104.62895500722279</c:v>
                </c:pt>
                <c:pt idx="164">
                  <c:v>104.65733596488923</c:v>
                </c:pt>
                <c:pt idx="165">
                  <c:v>104.68807879448798</c:v>
                </c:pt>
                <c:pt idx="166">
                  <c:v>104.71734545674889</c:v>
                </c:pt>
                <c:pt idx="167">
                  <c:v>104.75250370068981</c:v>
                </c:pt>
                <c:pt idx="168">
                  <c:v>104.78916942222554</c:v>
                </c:pt>
                <c:pt idx="169">
                  <c:v>104.81838657005773</c:v>
                </c:pt>
                <c:pt idx="170">
                  <c:v>104.84707015726484</c:v>
                </c:pt>
                <c:pt idx="171">
                  <c:v>104.8713981273381</c:v>
                </c:pt>
                <c:pt idx="172">
                  <c:v>104.91243936510929</c:v>
                </c:pt>
                <c:pt idx="173">
                  <c:v>104.92517297638751</c:v>
                </c:pt>
                <c:pt idx="174">
                  <c:v>104.9292098783659</c:v>
                </c:pt>
                <c:pt idx="175">
                  <c:v>104.94578946832675</c:v>
                </c:pt>
                <c:pt idx="176">
                  <c:v>104.96269787257391</c:v>
                </c:pt>
                <c:pt idx="177">
                  <c:v>104.9855181748667</c:v>
                </c:pt>
                <c:pt idx="178">
                  <c:v>105.01262621092415</c:v>
                </c:pt>
                <c:pt idx="179">
                  <c:v>105.04073980421971</c:v>
                </c:pt>
                <c:pt idx="180">
                  <c:v>105.07091726351096</c:v>
                </c:pt>
                <c:pt idx="181">
                  <c:v>105.12739437275548</c:v>
                </c:pt>
                <c:pt idx="182">
                  <c:v>105.16364032351227</c:v>
                </c:pt>
                <c:pt idx="183">
                  <c:v>105.19236485988817</c:v>
                </c:pt>
                <c:pt idx="184">
                  <c:v>105.22081822510587</c:v>
                </c:pt>
                <c:pt idx="185">
                  <c:v>105.24383801462255</c:v>
                </c:pt>
                <c:pt idx="186">
                  <c:v>105.27659019422495</c:v>
                </c:pt>
                <c:pt idx="187">
                  <c:v>105.30668786274312</c:v>
                </c:pt>
                <c:pt idx="188">
                  <c:v>105.35948974131736</c:v>
                </c:pt>
                <c:pt idx="189">
                  <c:v>105.39435091504419</c:v>
                </c:pt>
                <c:pt idx="190">
                  <c:v>105.42474976824374</c:v>
                </c:pt>
                <c:pt idx="191">
                  <c:v>105.45970956654557</c:v>
                </c:pt>
                <c:pt idx="192">
                  <c:v>105.47663936215523</c:v>
                </c:pt>
                <c:pt idx="193">
                  <c:v>105.50414110029595</c:v>
                </c:pt>
                <c:pt idx="194">
                  <c:v>105.52062866646695</c:v>
                </c:pt>
                <c:pt idx="195">
                  <c:v>105.53012609503911</c:v>
                </c:pt>
                <c:pt idx="196">
                  <c:v>105.5311831757317</c:v>
                </c:pt>
                <c:pt idx="197">
                  <c:v>105.53563416893103</c:v>
                </c:pt>
                <c:pt idx="198">
                  <c:v>105.5699107962439</c:v>
                </c:pt>
                <c:pt idx="199">
                  <c:v>105.58557684661579</c:v>
                </c:pt>
                <c:pt idx="200">
                  <c:v>105.60896241075892</c:v>
                </c:pt>
                <c:pt idx="201">
                  <c:v>105.63688071965905</c:v>
                </c:pt>
                <c:pt idx="202">
                  <c:v>105.65851681173889</c:v>
                </c:pt>
                <c:pt idx="203">
                  <c:v>105.67641224050119</c:v>
                </c:pt>
                <c:pt idx="204">
                  <c:v>105.69352877136461</c:v>
                </c:pt>
                <c:pt idx="205">
                  <c:v>105.71569821877067</c:v>
                </c:pt>
                <c:pt idx="206">
                  <c:v>105.73969438192168</c:v>
                </c:pt>
                <c:pt idx="207">
                  <c:v>105.76643277593065</c:v>
                </c:pt>
                <c:pt idx="208">
                  <c:v>105.79704101932698</c:v>
                </c:pt>
                <c:pt idx="209">
                  <c:v>105.82360856181924</c:v>
                </c:pt>
                <c:pt idx="210">
                  <c:v>105.86000237383195</c:v>
                </c:pt>
                <c:pt idx="211">
                  <c:v>105.88892997843941</c:v>
                </c:pt>
                <c:pt idx="212">
                  <c:v>105.92006494324603</c:v>
                </c:pt>
                <c:pt idx="213">
                  <c:v>105.94332426630731</c:v>
                </c:pt>
                <c:pt idx="214">
                  <c:v>105.98757091644505</c:v>
                </c:pt>
                <c:pt idx="215">
                  <c:v>106.01117889912834</c:v>
                </c:pt>
                <c:pt idx="216">
                  <c:v>106.03643392051804</c:v>
                </c:pt>
                <c:pt idx="217">
                  <c:v>106.06074724548557</c:v>
                </c:pt>
                <c:pt idx="218">
                  <c:v>106.0852255497858</c:v>
                </c:pt>
                <c:pt idx="219">
                  <c:v>106.11538269908718</c:v>
                </c:pt>
                <c:pt idx="220">
                  <c:v>106.14181084719036</c:v>
                </c:pt>
                <c:pt idx="221">
                  <c:v>106.1795983730197</c:v>
                </c:pt>
                <c:pt idx="222">
                  <c:v>106.20849742280356</c:v>
                </c:pt>
                <c:pt idx="223">
                  <c:v>106.23316211485111</c:v>
                </c:pt>
                <c:pt idx="224">
                  <c:v>106.2561214550019</c:v>
                </c:pt>
                <c:pt idx="225">
                  <c:v>106.2841933277867</c:v>
                </c:pt>
                <c:pt idx="226">
                  <c:v>106.30924912560924</c:v>
                </c:pt>
                <c:pt idx="227">
                  <c:v>106.36072004316777</c:v>
                </c:pt>
                <c:pt idx="228">
                  <c:v>106.38897143286961</c:v>
                </c:pt>
                <c:pt idx="229">
                  <c:v>106.41212992808771</c:v>
                </c:pt>
                <c:pt idx="230">
                  <c:v>106.43317991967101</c:v>
                </c:pt>
                <c:pt idx="231">
                  <c:v>106.45821147454146</c:v>
                </c:pt>
                <c:pt idx="232">
                  <c:v>106.48186224604487</c:v>
                </c:pt>
                <c:pt idx="233">
                  <c:v>106.50173064308404</c:v>
                </c:pt>
                <c:pt idx="234">
                  <c:v>106.52223095771853</c:v>
                </c:pt>
                <c:pt idx="235">
                  <c:v>106.53791963402148</c:v>
                </c:pt>
                <c:pt idx="236">
                  <c:v>106.55033964849007</c:v>
                </c:pt>
                <c:pt idx="237">
                  <c:v>106.56100508899175</c:v>
                </c:pt>
                <c:pt idx="238">
                  <c:v>106.56311850245415</c:v>
                </c:pt>
                <c:pt idx="239">
                  <c:v>106.5706034124117</c:v>
                </c:pt>
                <c:pt idx="240">
                  <c:v>106.57377074179813</c:v>
                </c:pt>
                <c:pt idx="241">
                  <c:v>106.55444725544191</c:v>
                </c:pt>
                <c:pt idx="242">
                  <c:v>106.53496885642866</c:v>
                </c:pt>
                <c:pt idx="243">
                  <c:v>106.50306148421176</c:v>
                </c:pt>
                <c:pt idx="244">
                  <c:v>106.45681166274841</c:v>
                </c:pt>
                <c:pt idx="245">
                  <c:v>106.38013255172244</c:v>
                </c:pt>
                <c:pt idx="246">
                  <c:v>106.35679350355827</c:v>
                </c:pt>
                <c:pt idx="247">
                  <c:v>106.34170131884702</c:v>
                </c:pt>
                <c:pt idx="248">
                  <c:v>106.3244372501341</c:v>
                </c:pt>
                <c:pt idx="249">
                  <c:v>106.30369944049491</c:v>
                </c:pt>
                <c:pt idx="250">
                  <c:v>106.27941857243422</c:v>
                </c:pt>
                <c:pt idx="251">
                  <c:v>106.26599232784561</c:v>
                </c:pt>
                <c:pt idx="252">
                  <c:v>106.25060902470739</c:v>
                </c:pt>
                <c:pt idx="253">
                  <c:v>106.23712809810706</c:v>
                </c:pt>
                <c:pt idx="254">
                  <c:v>106.22129730305289</c:v>
                </c:pt>
                <c:pt idx="255">
                  <c:v>106.21544848529221</c:v>
                </c:pt>
                <c:pt idx="256">
                  <c:v>106.19089711336397</c:v>
                </c:pt>
                <c:pt idx="257">
                  <c:v>106.16133440679145</c:v>
                </c:pt>
                <c:pt idx="258">
                  <c:v>106.15523966110008</c:v>
                </c:pt>
                <c:pt idx="259">
                  <c:v>106.15613901864465</c:v>
                </c:pt>
                <c:pt idx="260">
                  <c:v>106.16360197798016</c:v>
                </c:pt>
                <c:pt idx="261">
                  <c:v>106.17156463202734</c:v>
                </c:pt>
                <c:pt idx="262">
                  <c:v>106.18188715146977</c:v>
                </c:pt>
                <c:pt idx="263">
                  <c:v>106.18732458650948</c:v>
                </c:pt>
                <c:pt idx="264">
                  <c:v>106.18395051649216</c:v>
                </c:pt>
                <c:pt idx="265">
                  <c:v>106.18529298334236</c:v>
                </c:pt>
                <c:pt idx="266">
                  <c:v>106.17817571821718</c:v>
                </c:pt>
                <c:pt idx="267">
                  <c:v>106.17840581614017</c:v>
                </c:pt>
                <c:pt idx="268">
                  <c:v>106.16597102410948</c:v>
                </c:pt>
                <c:pt idx="269">
                  <c:v>106.16090181096484</c:v>
                </c:pt>
                <c:pt idx="270">
                  <c:v>106.15909820628325</c:v>
                </c:pt>
                <c:pt idx="271">
                  <c:v>106.13279126838675</c:v>
                </c:pt>
                <c:pt idx="272">
                  <c:v>106.11607238868889</c:v>
                </c:pt>
                <c:pt idx="273">
                  <c:v>106.11626691933274</c:v>
                </c:pt>
                <c:pt idx="274">
                  <c:v>106.11697246901973</c:v>
                </c:pt>
                <c:pt idx="275">
                  <c:v>106.110117892034</c:v>
                </c:pt>
                <c:pt idx="276">
                  <c:v>106.10861328235488</c:v>
                </c:pt>
                <c:pt idx="277">
                  <c:v>106.11468705465218</c:v>
                </c:pt>
                <c:pt idx="278">
                  <c:v>106.12318721548735</c:v>
                </c:pt>
                <c:pt idx="279">
                  <c:v>106.10464491608036</c:v>
                </c:pt>
                <c:pt idx="280">
                  <c:v>106.09442570086316</c:v>
                </c:pt>
                <c:pt idx="281">
                  <c:v>106.08473447458363</c:v>
                </c:pt>
                <c:pt idx="282">
                  <c:v>106.08344011189838</c:v>
                </c:pt>
                <c:pt idx="283">
                  <c:v>106.08749066860108</c:v>
                </c:pt>
                <c:pt idx="284">
                  <c:v>106.0967137594215</c:v>
                </c:pt>
                <c:pt idx="285">
                  <c:v>106.10072020610244</c:v>
                </c:pt>
                <c:pt idx="286">
                  <c:v>106.1076011444155</c:v>
                </c:pt>
                <c:pt idx="287">
                  <c:v>106.10722712785406</c:v>
                </c:pt>
                <c:pt idx="288">
                  <c:v>106.10816411461849</c:v>
                </c:pt>
                <c:pt idx="289">
                  <c:v>106.10942595158218</c:v>
                </c:pt>
                <c:pt idx="290">
                  <c:v>106.11510486834401</c:v>
                </c:pt>
                <c:pt idx="291">
                  <c:v>106.1001007511903</c:v>
                </c:pt>
                <c:pt idx="292">
                  <c:v>106.08306803435336</c:v>
                </c:pt>
                <c:pt idx="293">
                  <c:v>106.04252076142929</c:v>
                </c:pt>
                <c:pt idx="294">
                  <c:v>106.02879363600704</c:v>
                </c:pt>
                <c:pt idx="295">
                  <c:v>106.02188566757421</c:v>
                </c:pt>
                <c:pt idx="296">
                  <c:v>106.02965107181666</c:v>
                </c:pt>
                <c:pt idx="297">
                  <c:v>106.02354040080427</c:v>
                </c:pt>
                <c:pt idx="298">
                  <c:v>106.02119738351334</c:v>
                </c:pt>
                <c:pt idx="299">
                  <c:v>106.01382830506259</c:v>
                </c:pt>
                <c:pt idx="300">
                  <c:v>106.0227402249175</c:v>
                </c:pt>
                <c:pt idx="301">
                  <c:v>106.03879740095488</c:v>
                </c:pt>
                <c:pt idx="302">
                  <c:v>106.05328274997824</c:v>
                </c:pt>
                <c:pt idx="303">
                  <c:v>106.07265651704842</c:v>
                </c:pt>
                <c:pt idx="304">
                  <c:v>106.09212903018627</c:v>
                </c:pt>
                <c:pt idx="305">
                  <c:v>106.12645759610648</c:v>
                </c:pt>
                <c:pt idx="306">
                  <c:v>106.14407291106913</c:v>
                </c:pt>
                <c:pt idx="307">
                  <c:v>106.1606884915102</c:v>
                </c:pt>
                <c:pt idx="308">
                  <c:v>106.17966213484767</c:v>
                </c:pt>
                <c:pt idx="309">
                  <c:v>106.19705045206561</c:v>
                </c:pt>
                <c:pt idx="310">
                  <c:v>106.21176660985631</c:v>
                </c:pt>
                <c:pt idx="311">
                  <c:v>106.2401174579885</c:v>
                </c:pt>
                <c:pt idx="312">
                  <c:v>106.2565359005992</c:v>
                </c:pt>
                <c:pt idx="313">
                  <c:v>106.27337953882024</c:v>
                </c:pt>
                <c:pt idx="314">
                  <c:v>106.28293045025188</c:v>
                </c:pt>
                <c:pt idx="315">
                  <c:v>106.22511375232411</c:v>
                </c:pt>
                <c:pt idx="316">
                  <c:v>106.14547710635547</c:v>
                </c:pt>
                <c:pt idx="317">
                  <c:v>106.05792500569959</c:v>
                </c:pt>
                <c:pt idx="318">
                  <c:v>106.0179415685686</c:v>
                </c:pt>
                <c:pt idx="319">
                  <c:v>105.90683557228833</c:v>
                </c:pt>
                <c:pt idx="320">
                  <c:v>105.85453823087448</c:v>
                </c:pt>
                <c:pt idx="321">
                  <c:v>105.81305138353831</c:v>
                </c:pt>
                <c:pt idx="322">
                  <c:v>105.77786495511144</c:v>
                </c:pt>
                <c:pt idx="323">
                  <c:v>105.74985623559031</c:v>
                </c:pt>
                <c:pt idx="324">
                  <c:v>105.73431301264064</c:v>
                </c:pt>
                <c:pt idx="325">
                  <c:v>105.70998525452833</c:v>
                </c:pt>
                <c:pt idx="326">
                  <c:v>105.70600930144644</c:v>
                </c:pt>
                <c:pt idx="327">
                  <c:v>105.69673936066276</c:v>
                </c:pt>
                <c:pt idx="328">
                  <c:v>105.69639177600878</c:v>
                </c:pt>
                <c:pt idx="329">
                  <c:v>105.69494965617315</c:v>
                </c:pt>
                <c:pt idx="330">
                  <c:v>105.69212738954795</c:v>
                </c:pt>
                <c:pt idx="331">
                  <c:v>105.69107084834712</c:v>
                </c:pt>
                <c:pt idx="332">
                  <c:v>105.66542142905507</c:v>
                </c:pt>
                <c:pt idx="333">
                  <c:v>105.64305788611655</c:v>
                </c:pt>
                <c:pt idx="334">
                  <c:v>105.62579230036235</c:v>
                </c:pt>
                <c:pt idx="335">
                  <c:v>105.58439054272873</c:v>
                </c:pt>
                <c:pt idx="336">
                  <c:v>105.55850271070555</c:v>
                </c:pt>
                <c:pt idx="337">
                  <c:v>105.53737713618423</c:v>
                </c:pt>
                <c:pt idx="338">
                  <c:v>105.51735807317759</c:v>
                </c:pt>
                <c:pt idx="339">
                  <c:v>105.51171511390402</c:v>
                </c:pt>
                <c:pt idx="340">
                  <c:v>105.51176115524241</c:v>
                </c:pt>
                <c:pt idx="341">
                  <c:v>105.51338722942582</c:v>
                </c:pt>
                <c:pt idx="342">
                  <c:v>105.50988177486266</c:v>
                </c:pt>
                <c:pt idx="343">
                  <c:v>105.50715079823698</c:v>
                </c:pt>
                <c:pt idx="344">
                  <c:v>105.50332556762125</c:v>
                </c:pt>
                <c:pt idx="345">
                  <c:v>105.4887520063732</c:v>
                </c:pt>
                <c:pt idx="346">
                  <c:v>105.47047721358943</c:v>
                </c:pt>
                <c:pt idx="347">
                  <c:v>105.43877821602142</c:v>
                </c:pt>
                <c:pt idx="348">
                  <c:v>105.40760582197579</c:v>
                </c:pt>
                <c:pt idx="349">
                  <c:v>105.37916212226155</c:v>
                </c:pt>
                <c:pt idx="350">
                  <c:v>105.35257555846317</c:v>
                </c:pt>
                <c:pt idx="351">
                  <c:v>105.31505214009547</c:v>
                </c:pt>
                <c:pt idx="352">
                  <c:v>105.28254710511142</c:v>
                </c:pt>
                <c:pt idx="353">
                  <c:v>105.22393692835998</c:v>
                </c:pt>
                <c:pt idx="354">
                  <c:v>105.18939729548322</c:v>
                </c:pt>
                <c:pt idx="355">
                  <c:v>105.15771678445189</c:v>
                </c:pt>
                <c:pt idx="356">
                  <c:v>105.1210909609143</c:v>
                </c:pt>
                <c:pt idx="357">
                  <c:v>105.0843233825744</c:v>
                </c:pt>
                <c:pt idx="358">
                  <c:v>105.06124100373722</c:v>
                </c:pt>
                <c:pt idx="359">
                  <c:v>105.040658400232</c:v>
                </c:pt>
                <c:pt idx="360">
                  <c:v>105.03204962237021</c:v>
                </c:pt>
                <c:pt idx="361">
                  <c:v>105.03124934090948</c:v>
                </c:pt>
                <c:pt idx="362">
                  <c:v>105.03400385567231</c:v>
                </c:pt>
                <c:pt idx="363">
                  <c:v>105.04605222037821</c:v>
                </c:pt>
                <c:pt idx="364">
                  <c:v>105.05873182326717</c:v>
                </c:pt>
                <c:pt idx="365">
                  <c:v>105.07480731713082</c:v>
                </c:pt>
                <c:pt idx="366">
                  <c:v>105.08833873938404</c:v>
                </c:pt>
                <c:pt idx="367">
                  <c:v>105.11472734059139</c:v>
                </c:pt>
                <c:pt idx="368">
                  <c:v>105.12448736256273</c:v>
                </c:pt>
                <c:pt idx="369">
                  <c:v>105.11758606732275</c:v>
                </c:pt>
                <c:pt idx="370">
                  <c:v>105.11462425669997</c:v>
                </c:pt>
                <c:pt idx="371">
                  <c:v>105.11799265451059</c:v>
                </c:pt>
                <c:pt idx="372">
                  <c:v>105.11773949338108</c:v>
                </c:pt>
                <c:pt idx="373">
                  <c:v>105.11133265973784</c:v>
                </c:pt>
                <c:pt idx="374">
                  <c:v>105.11277854806546</c:v>
                </c:pt>
                <c:pt idx="375">
                  <c:v>105.12030341479307</c:v>
                </c:pt>
                <c:pt idx="376">
                  <c:v>105.13004349084109</c:v>
                </c:pt>
                <c:pt idx="377">
                  <c:v>105.13745983381637</c:v>
                </c:pt>
                <c:pt idx="378">
                  <c:v>105.15255001218196</c:v>
                </c:pt>
                <c:pt idx="379">
                  <c:v>105.16408295267645</c:v>
                </c:pt>
                <c:pt idx="380">
                  <c:v>105.1786800090339</c:v>
                </c:pt>
                <c:pt idx="381">
                  <c:v>105.19169923848936</c:v>
                </c:pt>
                <c:pt idx="382">
                  <c:v>105.20420913929047</c:v>
                </c:pt>
                <c:pt idx="383">
                  <c:v>105.21467038927625</c:v>
                </c:pt>
                <c:pt idx="384">
                  <c:v>105.22411990716927</c:v>
                </c:pt>
                <c:pt idx="385">
                  <c:v>105.23259434281563</c:v>
                </c:pt>
                <c:pt idx="386">
                  <c:v>105.21835649838773</c:v>
                </c:pt>
                <c:pt idx="387">
                  <c:v>105.21426512868136</c:v>
                </c:pt>
                <c:pt idx="388">
                  <c:v>105.21361046694651</c:v>
                </c:pt>
                <c:pt idx="389">
                  <c:v>105.21797680992326</c:v>
                </c:pt>
                <c:pt idx="390">
                  <c:v>105.22411748354081</c:v>
                </c:pt>
                <c:pt idx="391">
                  <c:v>105.22989164767581</c:v>
                </c:pt>
                <c:pt idx="392">
                  <c:v>105.23776200898473</c:v>
                </c:pt>
                <c:pt idx="393">
                  <c:v>105.24898912811682</c:v>
                </c:pt>
                <c:pt idx="394">
                  <c:v>105.2577566546865</c:v>
                </c:pt>
                <c:pt idx="395">
                  <c:v>105.26609415664861</c:v>
                </c:pt>
                <c:pt idx="396">
                  <c:v>105.26744117857768</c:v>
                </c:pt>
                <c:pt idx="397">
                  <c:v>105.25918935327468</c:v>
                </c:pt>
                <c:pt idx="398">
                  <c:v>105.24901182723528</c:v>
                </c:pt>
                <c:pt idx="399">
                  <c:v>105.23951562384009</c:v>
                </c:pt>
                <c:pt idx="400">
                  <c:v>105.22903909972044</c:v>
                </c:pt>
                <c:pt idx="401">
                  <c:v>105.22159067292962</c:v>
                </c:pt>
                <c:pt idx="402">
                  <c:v>105.21064194794681</c:v>
                </c:pt>
                <c:pt idx="403">
                  <c:v>105.20066416837849</c:v>
                </c:pt>
                <c:pt idx="404">
                  <c:v>105.1946305343792</c:v>
                </c:pt>
                <c:pt idx="405">
                  <c:v>105.19020155474202</c:v>
                </c:pt>
                <c:pt idx="406">
                  <c:v>105.17824802795465</c:v>
                </c:pt>
                <c:pt idx="407">
                  <c:v>105.17176949921864</c:v>
                </c:pt>
                <c:pt idx="408">
                  <c:v>105.16623333984569</c:v>
                </c:pt>
                <c:pt idx="409">
                  <c:v>105.16389471054266</c:v>
                </c:pt>
                <c:pt idx="410">
                  <c:v>105.16639038068817</c:v>
                </c:pt>
                <c:pt idx="411">
                  <c:v>105.17377001438359</c:v>
                </c:pt>
                <c:pt idx="412">
                  <c:v>105.18182588462457</c:v>
                </c:pt>
                <c:pt idx="413">
                  <c:v>105.18973631371441</c:v>
                </c:pt>
                <c:pt idx="414">
                  <c:v>105.20015587947523</c:v>
                </c:pt>
                <c:pt idx="415">
                  <c:v>105.21124090548989</c:v>
                </c:pt>
                <c:pt idx="416">
                  <c:v>105.22363956162054</c:v>
                </c:pt>
                <c:pt idx="417">
                  <c:v>105.23671252587343</c:v>
                </c:pt>
                <c:pt idx="418">
                  <c:v>105.24526288530147</c:v>
                </c:pt>
                <c:pt idx="419">
                  <c:v>105.25443935676041</c:v>
                </c:pt>
                <c:pt idx="420">
                  <c:v>105.25532540204557</c:v>
                </c:pt>
                <c:pt idx="421">
                  <c:v>105.2585504717472</c:v>
                </c:pt>
                <c:pt idx="422">
                  <c:v>105.26406577338923</c:v>
                </c:pt>
                <c:pt idx="423">
                  <c:v>105.2738056398007</c:v>
                </c:pt>
                <c:pt idx="424">
                  <c:v>105.28225700229578</c:v>
                </c:pt>
                <c:pt idx="425">
                  <c:v>105.29065642602848</c:v>
                </c:pt>
                <c:pt idx="426">
                  <c:v>105.29955545084408</c:v>
                </c:pt>
                <c:pt idx="427">
                  <c:v>105.31318159824878</c:v>
                </c:pt>
                <c:pt idx="428">
                  <c:v>105.32528044133826</c:v>
                </c:pt>
                <c:pt idx="429">
                  <c:v>105.3367642107855</c:v>
                </c:pt>
                <c:pt idx="430">
                  <c:v>105.35166480747394</c:v>
                </c:pt>
                <c:pt idx="431">
                  <c:v>105.36008682689769</c:v>
                </c:pt>
                <c:pt idx="432">
                  <c:v>105.37537998547744</c:v>
                </c:pt>
                <c:pt idx="433">
                  <c:v>105.3874128004434</c:v>
                </c:pt>
                <c:pt idx="434">
                  <c:v>105.4003772003111</c:v>
                </c:pt>
                <c:pt idx="435">
                  <c:v>105.41672611513246</c:v>
                </c:pt>
                <c:pt idx="436">
                  <c:v>105.4300157898291</c:v>
                </c:pt>
                <c:pt idx="437">
                  <c:v>105.44006999163926</c:v>
                </c:pt>
                <c:pt idx="438">
                  <c:v>105.44822498974317</c:v>
                </c:pt>
                <c:pt idx="439">
                  <c:v>105.45474781316291</c:v>
                </c:pt>
                <c:pt idx="440">
                  <c:v>105.46441978453601</c:v>
                </c:pt>
                <c:pt idx="441">
                  <c:v>105.47469710345064</c:v>
                </c:pt>
                <c:pt idx="442">
                  <c:v>105.48495202476752</c:v>
                </c:pt>
                <c:pt idx="443">
                  <c:v>105.49512211836567</c:v>
                </c:pt>
                <c:pt idx="444">
                  <c:v>105.50380726554556</c:v>
                </c:pt>
                <c:pt idx="445">
                  <c:v>105.50891745742919</c:v>
                </c:pt>
                <c:pt idx="446">
                  <c:v>105.51665759539468</c:v>
                </c:pt>
                <c:pt idx="447">
                  <c:v>105.52453890549222</c:v>
                </c:pt>
                <c:pt idx="448">
                  <c:v>105.53141828364868</c:v>
                </c:pt>
                <c:pt idx="449">
                  <c:v>105.53645186076528</c:v>
                </c:pt>
                <c:pt idx="450">
                  <c:v>105.54445080981247</c:v>
                </c:pt>
                <c:pt idx="451">
                  <c:v>105.55246451068396</c:v>
                </c:pt>
                <c:pt idx="452">
                  <c:v>105.56040666492765</c:v>
                </c:pt>
                <c:pt idx="453">
                  <c:v>105.57106278567009</c:v>
                </c:pt>
                <c:pt idx="454">
                  <c:v>105.58349937081626</c:v>
                </c:pt>
                <c:pt idx="455">
                  <c:v>105.59285376615716</c:v>
                </c:pt>
                <c:pt idx="456">
                  <c:v>105.6027782378787</c:v>
                </c:pt>
                <c:pt idx="457">
                  <c:v>105.61188044565255</c:v>
                </c:pt>
                <c:pt idx="458">
                  <c:v>105.62276402257554</c:v>
                </c:pt>
                <c:pt idx="459">
                  <c:v>105.63463728340491</c:v>
                </c:pt>
                <c:pt idx="460">
                  <c:v>105.64763912071521</c:v>
                </c:pt>
                <c:pt idx="461">
                  <c:v>105.65704550273315</c:v>
                </c:pt>
                <c:pt idx="462">
                  <c:v>105.66837171050217</c:v>
                </c:pt>
                <c:pt idx="463">
                  <c:v>105.67767202832277</c:v>
                </c:pt>
                <c:pt idx="464">
                  <c:v>105.68835362552439</c:v>
                </c:pt>
                <c:pt idx="465">
                  <c:v>105.70238489810487</c:v>
                </c:pt>
                <c:pt idx="466">
                  <c:v>105.7128510196661</c:v>
                </c:pt>
                <c:pt idx="467">
                  <c:v>105.72523426131495</c:v>
                </c:pt>
                <c:pt idx="468">
                  <c:v>105.73639313722792</c:v>
                </c:pt>
                <c:pt idx="469">
                  <c:v>105.75048312172245</c:v>
                </c:pt>
                <c:pt idx="470">
                  <c:v>105.764160096162</c:v>
                </c:pt>
                <c:pt idx="471">
                  <c:v>105.77721471404793</c:v>
                </c:pt>
                <c:pt idx="472">
                  <c:v>105.78973049842425</c:v>
                </c:pt>
                <c:pt idx="473">
                  <c:v>105.8026152329606</c:v>
                </c:pt>
                <c:pt idx="474">
                  <c:v>105.81433958809353</c:v>
                </c:pt>
                <c:pt idx="475">
                  <c:v>105.82693465089528</c:v>
                </c:pt>
                <c:pt idx="476">
                  <c:v>105.84035979856051</c:v>
                </c:pt>
                <c:pt idx="477">
                  <c:v>105.85068761997448</c:v>
                </c:pt>
                <c:pt idx="478">
                  <c:v>105.86011151689664</c:v>
                </c:pt>
                <c:pt idx="479">
                  <c:v>105.86747040419716</c:v>
                </c:pt>
                <c:pt idx="480">
                  <c:v>105.87786706503428</c:v>
                </c:pt>
                <c:pt idx="481">
                  <c:v>105.88889051725282</c:v>
                </c:pt>
                <c:pt idx="482">
                  <c:v>105.90225079566363</c:v>
                </c:pt>
                <c:pt idx="483">
                  <c:v>105.91324738038742</c:v>
                </c:pt>
                <c:pt idx="484">
                  <c:v>105.92346380263933</c:v>
                </c:pt>
                <c:pt idx="485">
                  <c:v>105.93488554199057</c:v>
                </c:pt>
                <c:pt idx="486">
                  <c:v>105.95391521548548</c:v>
                </c:pt>
                <c:pt idx="487">
                  <c:v>105.96977661277727</c:v>
                </c:pt>
                <c:pt idx="488">
                  <c:v>105.98063255224319</c:v>
                </c:pt>
                <c:pt idx="489">
                  <c:v>105.9916357641842</c:v>
                </c:pt>
                <c:pt idx="490">
                  <c:v>106.00439645849499</c:v>
                </c:pt>
                <c:pt idx="491">
                  <c:v>106.01559851744211</c:v>
                </c:pt>
                <c:pt idx="492">
                  <c:v>106.02973154102352</c:v>
                </c:pt>
                <c:pt idx="493">
                  <c:v>106.04042662362458</c:v>
                </c:pt>
                <c:pt idx="494">
                  <c:v>106.07027490601793</c:v>
                </c:pt>
                <c:pt idx="495">
                  <c:v>106.07922187748514</c:v>
                </c:pt>
                <c:pt idx="496">
                  <c:v>106.08788485186767</c:v>
                </c:pt>
                <c:pt idx="497">
                  <c:v>106.09089695391891</c:v>
                </c:pt>
                <c:pt idx="498">
                  <c:v>106.09584806342529</c:v>
                </c:pt>
                <c:pt idx="499">
                  <c:v>106.10572125634415</c:v>
                </c:pt>
                <c:pt idx="500">
                  <c:v>106.11105259923944</c:v>
                </c:pt>
                <c:pt idx="501">
                  <c:v>106.11678947382261</c:v>
                </c:pt>
                <c:pt idx="502">
                  <c:v>106.12311283934267</c:v>
                </c:pt>
                <c:pt idx="503">
                  <c:v>106.14966833760377</c:v>
                </c:pt>
                <c:pt idx="504">
                  <c:v>106.16857484921019</c:v>
                </c:pt>
                <c:pt idx="505">
                  <c:v>106.18416252197716</c:v>
                </c:pt>
                <c:pt idx="506">
                  <c:v>106.19816244383776</c:v>
                </c:pt>
                <c:pt idx="507">
                  <c:v>106.20369914418147</c:v>
                </c:pt>
                <c:pt idx="508">
                  <c:v>106.20933851792674</c:v>
                </c:pt>
                <c:pt idx="509">
                  <c:v>106.22008074080331</c:v>
                </c:pt>
                <c:pt idx="510">
                  <c:v>106.23443377509142</c:v>
                </c:pt>
                <c:pt idx="511">
                  <c:v>106.23085914553519</c:v>
                </c:pt>
                <c:pt idx="512">
                  <c:v>106.22345162432212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ax val="135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102.36</c:v>
                </c:pt>
                <c:pt idx="1">
                  <c:v>103.22</c:v>
                </c:pt>
                <c:pt idx="2">
                  <c:v>102.32</c:v>
                </c:pt>
                <c:pt idx="3">
                  <c:v>102.63</c:v>
                </c:pt>
                <c:pt idx="4">
                  <c:v>100.92</c:v>
                </c:pt>
                <c:pt idx="5">
                  <c:v>99.67</c:v>
                </c:pt>
                <c:pt idx="6">
                  <c:v>98.69</c:v>
                </c:pt>
                <c:pt idx="7">
                  <c:v>98.67</c:v>
                </c:pt>
                <c:pt idx="8">
                  <c:v>99.95</c:v>
                </c:pt>
                <c:pt idx="9">
                  <c:v>97.69</c:v>
                </c:pt>
                <c:pt idx="10">
                  <c:v>96.98</c:v>
                </c:pt>
                <c:pt idx="11">
                  <c:v>96.8</c:v>
                </c:pt>
                <c:pt idx="12">
                  <c:v>96.95</c:v>
                </c:pt>
                <c:pt idx="13">
                  <c:v>96.82</c:v>
                </c:pt>
                <c:pt idx="14">
                  <c:v>97.91</c:v>
                </c:pt>
                <c:pt idx="15">
                  <c:v>99.6</c:v>
                </c:pt>
                <c:pt idx="16">
                  <c:v>102.13</c:v>
                </c:pt>
                <c:pt idx="17">
                  <c:v>103</c:v>
                </c:pt>
                <c:pt idx="18">
                  <c:v>103.13</c:v>
                </c:pt>
                <c:pt idx="19">
                  <c:v>104.85</c:v>
                </c:pt>
                <c:pt idx="20">
                  <c:v>102.81</c:v>
                </c:pt>
                <c:pt idx="21">
                  <c:v>102.39</c:v>
                </c:pt>
                <c:pt idx="22">
                  <c:v>101.97</c:v>
                </c:pt>
                <c:pt idx="23">
                  <c:v>101.55</c:v>
                </c:pt>
                <c:pt idx="24">
                  <c:v>102.25</c:v>
                </c:pt>
                <c:pt idx="25">
                  <c:v>102.22</c:v>
                </c:pt>
                <c:pt idx="26">
                  <c:v>103.97</c:v>
                </c:pt>
                <c:pt idx="27">
                  <c:v>101.77</c:v>
                </c:pt>
                <c:pt idx="28">
                  <c:v>103.17</c:v>
                </c:pt>
                <c:pt idx="29">
                  <c:v>101.34</c:v>
                </c:pt>
                <c:pt idx="30">
                  <c:v>100.84</c:v>
                </c:pt>
                <c:pt idx="31">
                  <c:v>103.73</c:v>
                </c:pt>
                <c:pt idx="32">
                  <c:v>103.73</c:v>
                </c:pt>
                <c:pt idx="33">
                  <c:v>102.75</c:v>
                </c:pt>
                <c:pt idx="34">
                  <c:v>104.85</c:v>
                </c:pt>
                <c:pt idx="35">
                  <c:v>104.76</c:v>
                </c:pt>
                <c:pt idx="36">
                  <c:v>103.84</c:v>
                </c:pt>
                <c:pt idx="37">
                  <c:v>104.25</c:v>
                </c:pt>
                <c:pt idx="38">
                  <c:v>104.03</c:v>
                </c:pt>
                <c:pt idx="39">
                  <c:v>104.32</c:v>
                </c:pt>
                <c:pt idx="40">
                  <c:v>104.52</c:v>
                </c:pt>
                <c:pt idx="41">
                  <c:v>105.84</c:v>
                </c:pt>
                <c:pt idx="42">
                  <c:v>104.36</c:v>
                </c:pt>
                <c:pt idx="43">
                  <c:v>105.64</c:v>
                </c:pt>
                <c:pt idx="44">
                  <c:v>106.77</c:v>
                </c:pt>
                <c:pt idx="45">
                  <c:v>107.37</c:v>
                </c:pt>
                <c:pt idx="46">
                  <c:v>108.38</c:v>
                </c:pt>
                <c:pt idx="47">
                  <c:v>109.02</c:v>
                </c:pt>
                <c:pt idx="48">
                  <c:v>108.32</c:v>
                </c:pt>
                <c:pt idx="49">
                  <c:v>109.53</c:v>
                </c:pt>
                <c:pt idx="50">
                  <c:v>111.47</c:v>
                </c:pt>
                <c:pt idx="51">
                  <c:v>111.27</c:v>
                </c:pt>
                <c:pt idx="52">
                  <c:v>112.3</c:v>
                </c:pt>
                <c:pt idx="53">
                  <c:v>113.09</c:v>
                </c:pt>
                <c:pt idx="54">
                  <c:v>112.99</c:v>
                </c:pt>
                <c:pt idx="55">
                  <c:v>113.49</c:v>
                </c:pt>
                <c:pt idx="56">
                  <c:v>113.49</c:v>
                </c:pt>
                <c:pt idx="57">
                  <c:v>114.65</c:v>
                </c:pt>
                <c:pt idx="58">
                  <c:v>113.79</c:v>
                </c:pt>
                <c:pt idx="59">
                  <c:v>114.97</c:v>
                </c:pt>
                <c:pt idx="60">
                  <c:v>116.24</c:v>
                </c:pt>
                <c:pt idx="61">
                  <c:v>116.99</c:v>
                </c:pt>
                <c:pt idx="62">
                  <c:v>119.28</c:v>
                </c:pt>
                <c:pt idx="63">
                  <c:v>119.3</c:v>
                </c:pt>
                <c:pt idx="64">
                  <c:v>119.72</c:v>
                </c:pt>
                <c:pt idx="65">
                  <c:v>121.37</c:v>
                </c:pt>
                <c:pt idx="66">
                  <c:v>120.55</c:v>
                </c:pt>
                <c:pt idx="67">
                  <c:v>121.18</c:v>
                </c:pt>
                <c:pt idx="68">
                  <c:v>122.2</c:v>
                </c:pt>
                <c:pt idx="69">
                  <c:v>121.79</c:v>
                </c:pt>
                <c:pt idx="70">
                  <c:v>120.37</c:v>
                </c:pt>
                <c:pt idx="71">
                  <c:v>119.68</c:v>
                </c:pt>
                <c:pt idx="72">
                  <c:v>118.69</c:v>
                </c:pt>
                <c:pt idx="73">
                  <c:v>118.63</c:v>
                </c:pt>
                <c:pt idx="74">
                  <c:v>118.52</c:v>
                </c:pt>
                <c:pt idx="75">
                  <c:v>119.88</c:v>
                </c:pt>
                <c:pt idx="76">
                  <c:v>120.56</c:v>
                </c:pt>
                <c:pt idx="77">
                  <c:v>121.03</c:v>
                </c:pt>
                <c:pt idx="78">
                  <c:v>121.05</c:v>
                </c:pt>
                <c:pt idx="79">
                  <c:v>121.33</c:v>
                </c:pt>
                <c:pt idx="80">
                  <c:v>117.96</c:v>
                </c:pt>
                <c:pt idx="81">
                  <c:v>119.64</c:v>
                </c:pt>
                <c:pt idx="82">
                  <c:v>118.27</c:v>
                </c:pt>
                <c:pt idx="83">
                  <c:v>116.03</c:v>
                </c:pt>
                <c:pt idx="84">
                  <c:v>116.24</c:v>
                </c:pt>
                <c:pt idx="85">
                  <c:v>116</c:v>
                </c:pt>
                <c:pt idx="86">
                  <c:v>116.75</c:v>
                </c:pt>
                <c:pt idx="87">
                  <c:v>116.17</c:v>
                </c:pt>
                <c:pt idx="88">
                  <c:v>116.15</c:v>
                </c:pt>
                <c:pt idx="89">
                  <c:v>118.44</c:v>
                </c:pt>
                <c:pt idx="90">
                  <c:v>117.96</c:v>
                </c:pt>
                <c:pt idx="91">
                  <c:v>117.91</c:v>
                </c:pt>
                <c:pt idx="92">
                  <c:v>117.67</c:v>
                </c:pt>
                <c:pt idx="93">
                  <c:v>118.58</c:v>
                </c:pt>
                <c:pt idx="94">
                  <c:v>117.87</c:v>
                </c:pt>
                <c:pt idx="95">
                  <c:v>119.64</c:v>
                </c:pt>
                <c:pt idx="96">
                  <c:v>118.67</c:v>
                </c:pt>
                <c:pt idx="97">
                  <c:v>117.85</c:v>
                </c:pt>
                <c:pt idx="98">
                  <c:v>115.48</c:v>
                </c:pt>
                <c:pt idx="99">
                  <c:v>113.51</c:v>
                </c:pt>
                <c:pt idx="100">
                  <c:v>113.42</c:v>
                </c:pt>
                <c:pt idx="101">
                  <c:v>114.86</c:v>
                </c:pt>
                <c:pt idx="102">
                  <c:v>113.63</c:v>
                </c:pt>
                <c:pt idx="103">
                  <c:v>113.99</c:v>
                </c:pt>
                <c:pt idx="104">
                  <c:v>117.26</c:v>
                </c:pt>
                <c:pt idx="105">
                  <c:v>114.45</c:v>
                </c:pt>
                <c:pt idx="106">
                  <c:v>112.67</c:v>
                </c:pt>
                <c:pt idx="107">
                  <c:v>113.12</c:v>
                </c:pt>
                <c:pt idx="108">
                  <c:v>113.97</c:v>
                </c:pt>
                <c:pt idx="109">
                  <c:v>112.75</c:v>
                </c:pt>
                <c:pt idx="110">
                  <c:v>113.08</c:v>
                </c:pt>
                <c:pt idx="111">
                  <c:v>112.17</c:v>
                </c:pt>
                <c:pt idx="112">
                  <c:v>110.93</c:v>
                </c:pt>
                <c:pt idx="113">
                  <c:v>110.04</c:v>
                </c:pt>
                <c:pt idx="114">
                  <c:v>109.11</c:v>
                </c:pt>
                <c:pt idx="115">
                  <c:v>108.36</c:v>
                </c:pt>
                <c:pt idx="116">
                  <c:v>109.38</c:v>
                </c:pt>
                <c:pt idx="117">
                  <c:v>111.74</c:v>
                </c:pt>
                <c:pt idx="118">
                  <c:v>110.76</c:v>
                </c:pt>
                <c:pt idx="119">
                  <c:v>114.05</c:v>
                </c:pt>
                <c:pt idx="120">
                  <c:v>114.37</c:v>
                </c:pt>
                <c:pt idx="121">
                  <c:v>114.41</c:v>
                </c:pt>
                <c:pt idx="122">
                  <c:v>114.9</c:v>
                </c:pt>
                <c:pt idx="123">
                  <c:v>115.12</c:v>
                </c:pt>
                <c:pt idx="124">
                  <c:v>114.96</c:v>
                </c:pt>
                <c:pt idx="125">
                  <c:v>114.18</c:v>
                </c:pt>
                <c:pt idx="126">
                  <c:v>114.76</c:v>
                </c:pt>
                <c:pt idx="127">
                  <c:v>113.37</c:v>
                </c:pt>
                <c:pt idx="128">
                  <c:v>112.18</c:v>
                </c:pt>
                <c:pt idx="129">
                  <c:v>110.94</c:v>
                </c:pt>
                <c:pt idx="130">
                  <c:v>111.92</c:v>
                </c:pt>
                <c:pt idx="131">
                  <c:v>113.25</c:v>
                </c:pt>
                <c:pt idx="132">
                  <c:v>113.27</c:v>
                </c:pt>
                <c:pt idx="133">
                  <c:v>115.21</c:v>
                </c:pt>
                <c:pt idx="134">
                  <c:v>116.04</c:v>
                </c:pt>
                <c:pt idx="135">
                  <c:v>117.64</c:v>
                </c:pt>
                <c:pt idx="136">
                  <c:v>118.8</c:v>
                </c:pt>
                <c:pt idx="137">
                  <c:v>116.07</c:v>
                </c:pt>
                <c:pt idx="138">
                  <c:v>115.27</c:v>
                </c:pt>
                <c:pt idx="139">
                  <c:v>113.41</c:v>
                </c:pt>
                <c:pt idx="140">
                  <c:v>115.01</c:v>
                </c:pt>
                <c:pt idx="141">
                  <c:v>117.43</c:v>
                </c:pt>
                <c:pt idx="142">
                  <c:v>117.33</c:v>
                </c:pt>
                <c:pt idx="143">
                  <c:v>116.1</c:v>
                </c:pt>
                <c:pt idx="144">
                  <c:v>118.17</c:v>
                </c:pt>
                <c:pt idx="145">
                  <c:v>118.59</c:v>
                </c:pt>
                <c:pt idx="146">
                  <c:v>116.95</c:v>
                </c:pt>
                <c:pt idx="147">
                  <c:v>116.88</c:v>
                </c:pt>
                <c:pt idx="148">
                  <c:v>114.77</c:v>
                </c:pt>
                <c:pt idx="149">
                  <c:v>114.16</c:v>
                </c:pt>
                <c:pt idx="150">
                  <c:v>115.68</c:v>
                </c:pt>
                <c:pt idx="151">
                  <c:v>117.89</c:v>
                </c:pt>
                <c:pt idx="152">
                  <c:v>118.85</c:v>
                </c:pt>
                <c:pt idx="153">
                  <c:v>119</c:v>
                </c:pt>
                <c:pt idx="154">
                  <c:v>117.86</c:v>
                </c:pt>
                <c:pt idx="155">
                  <c:v>118.95</c:v>
                </c:pt>
                <c:pt idx="156">
                  <c:v>118.73</c:v>
                </c:pt>
                <c:pt idx="157">
                  <c:v>118.17</c:v>
                </c:pt>
                <c:pt idx="158">
                  <c:v>118.53</c:v>
                </c:pt>
                <c:pt idx="159">
                  <c:v>114.58</c:v>
                </c:pt>
                <c:pt idx="160">
                  <c:v>113.85</c:v>
                </c:pt>
                <c:pt idx="161">
                  <c:v>114.73</c:v>
                </c:pt>
                <c:pt idx="162">
                  <c:v>116.32</c:v>
                </c:pt>
                <c:pt idx="163">
                  <c:v>118.81</c:v>
                </c:pt>
                <c:pt idx="164">
                  <c:v>117.68</c:v>
                </c:pt>
                <c:pt idx="165">
                  <c:v>116.52</c:v>
                </c:pt>
                <c:pt idx="166">
                  <c:v>118.13</c:v>
                </c:pt>
                <c:pt idx="167">
                  <c:v>117.94</c:v>
                </c:pt>
                <c:pt idx="168">
                  <c:v>115.47</c:v>
                </c:pt>
                <c:pt idx="169">
                  <c:v>114.06</c:v>
                </c:pt>
                <c:pt idx="170">
                  <c:v>113.17</c:v>
                </c:pt>
                <c:pt idx="171">
                  <c:v>112.64</c:v>
                </c:pt>
                <c:pt idx="172">
                  <c:v>115.01</c:v>
                </c:pt>
                <c:pt idx="173">
                  <c:v>110.82</c:v>
                </c:pt>
                <c:pt idx="174">
                  <c:v>109.72</c:v>
                </c:pt>
                <c:pt idx="175">
                  <c:v>111.23</c:v>
                </c:pt>
                <c:pt idx="176">
                  <c:v>111.15</c:v>
                </c:pt>
                <c:pt idx="177">
                  <c:v>112.71</c:v>
                </c:pt>
                <c:pt idx="178">
                  <c:v>114.18</c:v>
                </c:pt>
                <c:pt idx="179">
                  <c:v>114.58</c:v>
                </c:pt>
                <c:pt idx="180">
                  <c:v>116</c:v>
                </c:pt>
                <c:pt idx="181">
                  <c:v>115.27</c:v>
                </c:pt>
                <c:pt idx="182">
                  <c:v>117.36</c:v>
                </c:pt>
                <c:pt idx="183">
                  <c:v>117.05</c:v>
                </c:pt>
                <c:pt idx="184">
                  <c:v>114.77</c:v>
                </c:pt>
                <c:pt idx="185">
                  <c:v>112.8</c:v>
                </c:pt>
                <c:pt idx="186">
                  <c:v>115.82</c:v>
                </c:pt>
                <c:pt idx="187">
                  <c:v>117.22</c:v>
                </c:pt>
                <c:pt idx="188">
                  <c:v>119.93</c:v>
                </c:pt>
                <c:pt idx="189">
                  <c:v>121.52</c:v>
                </c:pt>
                <c:pt idx="190">
                  <c:v>122.58</c:v>
                </c:pt>
                <c:pt idx="191">
                  <c:v>124.83</c:v>
                </c:pt>
                <c:pt idx="192">
                  <c:v>125.37</c:v>
                </c:pt>
                <c:pt idx="193">
                  <c:v>122.04</c:v>
                </c:pt>
                <c:pt idx="194">
                  <c:v>122.09</c:v>
                </c:pt>
                <c:pt idx="195">
                  <c:v>123.14</c:v>
                </c:pt>
                <c:pt idx="196">
                  <c:v>123.61</c:v>
                </c:pt>
                <c:pt idx="197">
                  <c:v>124.08</c:v>
                </c:pt>
                <c:pt idx="198">
                  <c:v>120.35</c:v>
                </c:pt>
                <c:pt idx="199">
                  <c:v>120.66</c:v>
                </c:pt>
                <c:pt idx="200">
                  <c:v>120.35</c:v>
                </c:pt>
                <c:pt idx="201">
                  <c:v>120.01</c:v>
                </c:pt>
                <c:pt idx="202">
                  <c:v>120.08</c:v>
                </c:pt>
                <c:pt idx="203">
                  <c:v>120.7</c:v>
                </c:pt>
                <c:pt idx="204">
                  <c:v>120.27</c:v>
                </c:pt>
                <c:pt idx="205">
                  <c:v>119.59</c:v>
                </c:pt>
                <c:pt idx="206">
                  <c:v>119.49</c:v>
                </c:pt>
                <c:pt idx="207">
                  <c:v>118.9</c:v>
                </c:pt>
                <c:pt idx="208">
                  <c:v>117.28</c:v>
                </c:pt>
                <c:pt idx="209">
                  <c:v>116.69</c:v>
                </c:pt>
                <c:pt idx="210">
                  <c:v>116.78</c:v>
                </c:pt>
                <c:pt idx="211">
                  <c:v>114.95</c:v>
                </c:pt>
                <c:pt idx="212">
                  <c:v>118.61</c:v>
                </c:pt>
                <c:pt idx="213">
                  <c:v>118.96</c:v>
                </c:pt>
                <c:pt idx="214">
                  <c:v>121</c:v>
                </c:pt>
                <c:pt idx="215">
                  <c:v>121.15</c:v>
                </c:pt>
                <c:pt idx="216">
                  <c:v>121.11</c:v>
                </c:pt>
                <c:pt idx="217">
                  <c:v>120.47</c:v>
                </c:pt>
                <c:pt idx="218">
                  <c:v>120.35</c:v>
                </c:pt>
                <c:pt idx="219">
                  <c:v>121.47</c:v>
                </c:pt>
                <c:pt idx="220">
                  <c:v>120.56</c:v>
                </c:pt>
                <c:pt idx="221">
                  <c:v>119.31</c:v>
                </c:pt>
                <c:pt idx="222">
                  <c:v>120.31</c:v>
                </c:pt>
                <c:pt idx="223">
                  <c:v>118.63</c:v>
                </c:pt>
                <c:pt idx="224">
                  <c:v>120.32</c:v>
                </c:pt>
                <c:pt idx="225">
                  <c:v>121.93</c:v>
                </c:pt>
                <c:pt idx="226">
                  <c:v>121.79</c:v>
                </c:pt>
                <c:pt idx="227">
                  <c:v>119.97</c:v>
                </c:pt>
                <c:pt idx="228">
                  <c:v>117.97</c:v>
                </c:pt>
                <c:pt idx="229">
                  <c:v>117.66</c:v>
                </c:pt>
                <c:pt idx="230">
                  <c:v>117.96</c:v>
                </c:pt>
                <c:pt idx="231">
                  <c:v>117.85</c:v>
                </c:pt>
                <c:pt idx="232">
                  <c:v>117.67</c:v>
                </c:pt>
                <c:pt idx="233">
                  <c:v>114.28</c:v>
                </c:pt>
                <c:pt idx="234">
                  <c:v>114.78</c:v>
                </c:pt>
                <c:pt idx="235">
                  <c:v>113.57</c:v>
                </c:pt>
                <c:pt idx="236">
                  <c:v>112.9</c:v>
                </c:pt>
                <c:pt idx="237">
                  <c:v>112.67</c:v>
                </c:pt>
                <c:pt idx="238">
                  <c:v>111.92</c:v>
                </c:pt>
                <c:pt idx="239">
                  <c:v>111.82</c:v>
                </c:pt>
                <c:pt idx="240">
                  <c:v>110.84</c:v>
                </c:pt>
                <c:pt idx="241">
                  <c:v>108.47</c:v>
                </c:pt>
                <c:pt idx="242">
                  <c:v>108.01</c:v>
                </c:pt>
                <c:pt idx="243">
                  <c:v>106.42</c:v>
                </c:pt>
                <c:pt idx="244">
                  <c:v>105.51</c:v>
                </c:pt>
                <c:pt idx="245">
                  <c:v>105.87</c:v>
                </c:pt>
                <c:pt idx="246">
                  <c:v>106.3</c:v>
                </c:pt>
                <c:pt idx="247">
                  <c:v>106.4</c:v>
                </c:pt>
                <c:pt idx="248">
                  <c:v>106.49</c:v>
                </c:pt>
                <c:pt idx="249">
                  <c:v>106.48</c:v>
                </c:pt>
                <c:pt idx="250">
                  <c:v>105.76</c:v>
                </c:pt>
                <c:pt idx="251">
                  <c:v>107.57</c:v>
                </c:pt>
                <c:pt idx="252">
                  <c:v>107.31</c:v>
                </c:pt>
                <c:pt idx="253">
                  <c:v>107.86</c:v>
                </c:pt>
                <c:pt idx="254">
                  <c:v>107.74</c:v>
                </c:pt>
                <c:pt idx="255">
                  <c:v>108.75</c:v>
                </c:pt>
                <c:pt idx="256">
                  <c:v>106.93</c:v>
                </c:pt>
                <c:pt idx="257">
                  <c:v>106.54</c:v>
                </c:pt>
                <c:pt idx="258">
                  <c:v>109.29</c:v>
                </c:pt>
                <c:pt idx="259">
                  <c:v>109.72</c:v>
                </c:pt>
                <c:pt idx="260">
                  <c:v>111.51</c:v>
                </c:pt>
                <c:pt idx="261">
                  <c:v>111.32</c:v>
                </c:pt>
                <c:pt idx="262">
                  <c:v>112.32</c:v>
                </c:pt>
                <c:pt idx="263">
                  <c:v>111.47</c:v>
                </c:pt>
                <c:pt idx="264">
                  <c:v>109.53</c:v>
                </c:pt>
                <c:pt idx="265">
                  <c:v>110.15</c:v>
                </c:pt>
                <c:pt idx="266">
                  <c:v>108.66</c:v>
                </c:pt>
                <c:pt idx="267">
                  <c:v>110.17</c:v>
                </c:pt>
                <c:pt idx="268">
                  <c:v>108.04</c:v>
                </c:pt>
                <c:pt idx="269">
                  <c:v>108.67</c:v>
                </c:pt>
                <c:pt idx="270">
                  <c:v>109.57</c:v>
                </c:pt>
                <c:pt idx="271">
                  <c:v>106.83</c:v>
                </c:pt>
                <c:pt idx="272">
                  <c:v>107.09</c:v>
                </c:pt>
                <c:pt idx="273">
                  <c:v>109.96</c:v>
                </c:pt>
                <c:pt idx="274">
                  <c:v>109.88</c:v>
                </c:pt>
                <c:pt idx="275">
                  <c:v>108.43</c:v>
                </c:pt>
                <c:pt idx="276">
                  <c:v>108.89</c:v>
                </c:pt>
                <c:pt idx="277">
                  <c:v>110.97</c:v>
                </c:pt>
                <c:pt idx="278">
                  <c:v>111.67</c:v>
                </c:pt>
                <c:pt idx="279">
                  <c:v>107.35</c:v>
                </c:pt>
                <c:pt idx="280">
                  <c:v>108.13</c:v>
                </c:pt>
                <c:pt idx="281">
                  <c:v>108.24</c:v>
                </c:pt>
                <c:pt idx="282">
                  <c:v>110.14</c:v>
                </c:pt>
                <c:pt idx="283">
                  <c:v>110.3</c:v>
                </c:pt>
                <c:pt idx="284">
                  <c:v>112</c:v>
                </c:pt>
                <c:pt idx="285">
                  <c:v>110.69</c:v>
                </c:pt>
                <c:pt idx="286">
                  <c:v>111.27</c:v>
                </c:pt>
                <c:pt idx="287">
                  <c:v>109.73</c:v>
                </c:pt>
                <c:pt idx="288">
                  <c:v>109.46</c:v>
                </c:pt>
                <c:pt idx="289">
                  <c:v>110.15</c:v>
                </c:pt>
                <c:pt idx="290">
                  <c:v>111.33</c:v>
                </c:pt>
                <c:pt idx="291">
                  <c:v>107.76</c:v>
                </c:pt>
                <c:pt idx="292">
                  <c:v>107.54</c:v>
                </c:pt>
                <c:pt idx="293">
                  <c:v>105.44</c:v>
                </c:pt>
                <c:pt idx="294">
                  <c:v>107.62</c:v>
                </c:pt>
                <c:pt idx="295">
                  <c:v>109.02</c:v>
                </c:pt>
                <c:pt idx="296">
                  <c:v>111.8</c:v>
                </c:pt>
                <c:pt idx="297">
                  <c:v>109.16</c:v>
                </c:pt>
                <c:pt idx="298">
                  <c:v>109.13</c:v>
                </c:pt>
                <c:pt idx="299">
                  <c:v>108.67</c:v>
                </c:pt>
                <c:pt idx="300">
                  <c:v>111.9</c:v>
                </c:pt>
                <c:pt idx="301">
                  <c:v>113.76</c:v>
                </c:pt>
                <c:pt idx="302">
                  <c:v>113.64</c:v>
                </c:pt>
                <c:pt idx="303">
                  <c:v>115.41</c:v>
                </c:pt>
                <c:pt idx="304">
                  <c:v>115.9</c:v>
                </c:pt>
                <c:pt idx="305">
                  <c:v>115.5</c:v>
                </c:pt>
                <c:pt idx="306">
                  <c:v>115.8</c:v>
                </c:pt>
                <c:pt idx="307">
                  <c:v>116.59</c:v>
                </c:pt>
                <c:pt idx="308">
                  <c:v>118.27</c:v>
                </c:pt>
                <c:pt idx="309">
                  <c:v>117.89</c:v>
                </c:pt>
                <c:pt idx="310">
                  <c:v>117.73</c:v>
                </c:pt>
                <c:pt idx="311">
                  <c:v>118.93</c:v>
                </c:pt>
                <c:pt idx="312">
                  <c:v>119.04</c:v>
                </c:pt>
                <c:pt idx="313">
                  <c:v>118.67</c:v>
                </c:pt>
                <c:pt idx="314">
                  <c:v>112.43</c:v>
                </c:pt>
                <c:pt idx="315">
                  <c:v>104.34</c:v>
                </c:pt>
                <c:pt idx="316">
                  <c:v>102.94</c:v>
                </c:pt>
                <c:pt idx="317">
                  <c:v>100.77</c:v>
                </c:pt>
                <c:pt idx="318">
                  <c:v>105.8</c:v>
                </c:pt>
                <c:pt idx="319">
                  <c:v>99.93</c:v>
                </c:pt>
                <c:pt idx="320">
                  <c:v>103.14</c:v>
                </c:pt>
                <c:pt idx="321">
                  <c:v>103.39</c:v>
                </c:pt>
                <c:pt idx="322">
                  <c:v>103.1</c:v>
                </c:pt>
                <c:pt idx="323">
                  <c:v>104.19</c:v>
                </c:pt>
                <c:pt idx="324">
                  <c:v>106.92</c:v>
                </c:pt>
                <c:pt idx="325">
                  <c:v>105.35</c:v>
                </c:pt>
                <c:pt idx="326">
                  <c:v>108.3</c:v>
                </c:pt>
                <c:pt idx="327">
                  <c:v>107.37</c:v>
                </c:pt>
                <c:pt idx="328">
                  <c:v>108.63</c:v>
                </c:pt>
                <c:pt idx="329">
                  <c:v>108.57</c:v>
                </c:pt>
                <c:pt idx="330">
                  <c:v>108.63</c:v>
                </c:pt>
                <c:pt idx="331">
                  <c:v>108.36</c:v>
                </c:pt>
                <c:pt idx="332">
                  <c:v>105.63</c:v>
                </c:pt>
                <c:pt idx="333">
                  <c:v>105.78</c:v>
                </c:pt>
                <c:pt idx="334">
                  <c:v>106.21</c:v>
                </c:pt>
                <c:pt idx="335">
                  <c:v>103.27</c:v>
                </c:pt>
                <c:pt idx="336">
                  <c:v>104.71</c:v>
                </c:pt>
                <c:pt idx="337">
                  <c:v>104.61</c:v>
                </c:pt>
                <c:pt idx="338">
                  <c:v>106.07</c:v>
                </c:pt>
                <c:pt idx="339">
                  <c:v>107.31</c:v>
                </c:pt>
                <c:pt idx="340">
                  <c:v>109.16</c:v>
                </c:pt>
                <c:pt idx="341">
                  <c:v>109.46</c:v>
                </c:pt>
                <c:pt idx="342">
                  <c:v>108.48</c:v>
                </c:pt>
                <c:pt idx="343">
                  <c:v>108.58</c:v>
                </c:pt>
                <c:pt idx="344">
                  <c:v>108.19</c:v>
                </c:pt>
                <c:pt idx="345">
                  <c:v>106.47</c:v>
                </c:pt>
                <c:pt idx="346">
                  <c:v>104.95</c:v>
                </c:pt>
                <c:pt idx="347">
                  <c:v>103.66</c:v>
                </c:pt>
                <c:pt idx="348">
                  <c:v>102.97</c:v>
                </c:pt>
                <c:pt idx="349">
                  <c:v>103.03</c:v>
                </c:pt>
                <c:pt idx="350">
                  <c:v>103.52</c:v>
                </c:pt>
                <c:pt idx="351">
                  <c:v>102.11</c:v>
                </c:pt>
                <c:pt idx="352">
                  <c:v>102.69</c:v>
                </c:pt>
                <c:pt idx="353">
                  <c:v>102.3</c:v>
                </c:pt>
                <c:pt idx="354">
                  <c:v>103.05</c:v>
                </c:pt>
                <c:pt idx="355">
                  <c:v>103.8</c:v>
                </c:pt>
                <c:pt idx="356">
                  <c:v>102.3</c:v>
                </c:pt>
                <c:pt idx="357">
                  <c:v>101.83</c:v>
                </c:pt>
                <c:pt idx="358">
                  <c:v>104.27</c:v>
                </c:pt>
                <c:pt idx="359">
                  <c:v>104.97</c:v>
                </c:pt>
                <c:pt idx="360">
                  <c:v>107.22</c:v>
                </c:pt>
                <c:pt idx="361">
                  <c:v>109.31</c:v>
                </c:pt>
                <c:pt idx="362">
                  <c:v>109.73</c:v>
                </c:pt>
                <c:pt idx="363">
                  <c:v>112.12</c:v>
                </c:pt>
                <c:pt idx="364">
                  <c:v>112.48</c:v>
                </c:pt>
                <c:pt idx="365">
                  <c:v>114</c:v>
                </c:pt>
                <c:pt idx="366">
                  <c:v>113.19</c:v>
                </c:pt>
                <c:pt idx="367">
                  <c:v>114.7</c:v>
                </c:pt>
                <c:pt idx="368">
                  <c:v>111.74</c:v>
                </c:pt>
                <c:pt idx="369">
                  <c:v>108.34</c:v>
                </c:pt>
                <c:pt idx="370">
                  <c:v>108.37</c:v>
                </c:pt>
                <c:pt idx="371">
                  <c:v>109.99</c:v>
                </c:pt>
                <c:pt idx="372">
                  <c:v>109.38</c:v>
                </c:pt>
                <c:pt idx="373">
                  <c:v>107.8</c:v>
                </c:pt>
                <c:pt idx="374">
                  <c:v>109.24</c:v>
                </c:pt>
                <c:pt idx="375">
                  <c:v>111.05</c:v>
                </c:pt>
                <c:pt idx="376">
                  <c:v>112.2</c:v>
                </c:pt>
                <c:pt idx="377">
                  <c:v>111.11</c:v>
                </c:pt>
                <c:pt idx="378">
                  <c:v>114.19</c:v>
                </c:pt>
                <c:pt idx="379">
                  <c:v>113.8</c:v>
                </c:pt>
                <c:pt idx="380">
                  <c:v>114.93</c:v>
                </c:pt>
                <c:pt idx="381">
                  <c:v>115.43</c:v>
                </c:pt>
                <c:pt idx="382">
                  <c:v>113.92</c:v>
                </c:pt>
                <c:pt idx="383">
                  <c:v>112.91</c:v>
                </c:pt>
                <c:pt idx="384">
                  <c:v>112.23</c:v>
                </c:pt>
                <c:pt idx="385">
                  <c:v>111.66</c:v>
                </c:pt>
                <c:pt idx="386">
                  <c:v>107.77</c:v>
                </c:pt>
                <c:pt idx="387">
                  <c:v>108.05</c:v>
                </c:pt>
                <c:pt idx="388">
                  <c:v>108.54</c:v>
                </c:pt>
                <c:pt idx="389">
                  <c:v>109.93</c:v>
                </c:pt>
                <c:pt idx="390">
                  <c:v>110.79</c:v>
                </c:pt>
                <c:pt idx="391">
                  <c:v>110.4</c:v>
                </c:pt>
                <c:pt idx="392">
                  <c:v>111.44</c:v>
                </c:pt>
                <c:pt idx="393">
                  <c:v>112.88</c:v>
                </c:pt>
                <c:pt idx="394">
                  <c:v>111.9</c:v>
                </c:pt>
                <c:pt idx="395">
                  <c:v>111.64</c:v>
                </c:pt>
                <c:pt idx="396">
                  <c:v>109.64</c:v>
                </c:pt>
                <c:pt idx="397">
                  <c:v>107.37</c:v>
                </c:pt>
                <c:pt idx="398">
                  <c:v>107.24</c:v>
                </c:pt>
                <c:pt idx="399">
                  <c:v>106.51</c:v>
                </c:pt>
                <c:pt idx="400">
                  <c:v>105.95</c:v>
                </c:pt>
                <c:pt idx="401">
                  <c:v>106.8</c:v>
                </c:pt>
                <c:pt idx="402">
                  <c:v>105.83</c:v>
                </c:pt>
                <c:pt idx="403">
                  <c:v>106.13</c:v>
                </c:pt>
                <c:pt idx="404">
                  <c:v>107.6</c:v>
                </c:pt>
                <c:pt idx="405">
                  <c:v>107.38</c:v>
                </c:pt>
                <c:pt idx="406">
                  <c:v>106.49</c:v>
                </c:pt>
                <c:pt idx="407">
                  <c:v>106.72</c:v>
                </c:pt>
                <c:pt idx="408">
                  <c:v>107.42</c:v>
                </c:pt>
                <c:pt idx="409">
                  <c:v>108.53</c:v>
                </c:pt>
                <c:pt idx="410">
                  <c:v>109.23</c:v>
                </c:pt>
                <c:pt idx="411">
                  <c:v>111.28</c:v>
                </c:pt>
                <c:pt idx="412">
                  <c:v>111.74</c:v>
                </c:pt>
                <c:pt idx="413">
                  <c:v>111.49</c:v>
                </c:pt>
                <c:pt idx="414">
                  <c:v>112.75</c:v>
                </c:pt>
                <c:pt idx="415">
                  <c:v>113.35</c:v>
                </c:pt>
                <c:pt idx="416">
                  <c:v>114.29</c:v>
                </c:pt>
                <c:pt idx="417">
                  <c:v>114.69</c:v>
                </c:pt>
                <c:pt idx="418">
                  <c:v>111.91</c:v>
                </c:pt>
                <c:pt idx="419">
                  <c:v>112.4</c:v>
                </c:pt>
                <c:pt idx="420">
                  <c:v>109.23</c:v>
                </c:pt>
                <c:pt idx="421">
                  <c:v>109.85</c:v>
                </c:pt>
                <c:pt idx="422">
                  <c:v>110.65</c:v>
                </c:pt>
                <c:pt idx="423">
                  <c:v>112.5</c:v>
                </c:pt>
                <c:pt idx="424">
                  <c:v>112.14</c:v>
                </c:pt>
                <c:pt idx="425">
                  <c:v>112.16</c:v>
                </c:pt>
                <c:pt idx="426">
                  <c:v>112.35</c:v>
                </c:pt>
                <c:pt idx="427">
                  <c:v>114.68</c:v>
                </c:pt>
                <c:pt idx="428">
                  <c:v>115.29</c:v>
                </c:pt>
                <c:pt idx="429">
                  <c:v>113.93</c:v>
                </c:pt>
                <c:pt idx="430">
                  <c:v>112.82</c:v>
                </c:pt>
                <c:pt idx="431">
                  <c:v>112.02</c:v>
                </c:pt>
                <c:pt idx="432">
                  <c:v>113.95</c:v>
                </c:pt>
                <c:pt idx="433">
                  <c:v>114.56</c:v>
                </c:pt>
                <c:pt idx="434">
                  <c:v>115.59</c:v>
                </c:pt>
                <c:pt idx="435">
                  <c:v>117.22</c:v>
                </c:pt>
                <c:pt idx="436">
                  <c:v>114.22</c:v>
                </c:pt>
                <c:pt idx="437">
                  <c:v>112.75</c:v>
                </c:pt>
                <c:pt idx="438">
                  <c:v>111.99</c:v>
                </c:pt>
                <c:pt idx="439">
                  <c:v>111.29</c:v>
                </c:pt>
                <c:pt idx="440">
                  <c:v>113.26</c:v>
                </c:pt>
                <c:pt idx="441">
                  <c:v>114.2</c:v>
                </c:pt>
                <c:pt idx="442">
                  <c:v>114.26</c:v>
                </c:pt>
                <c:pt idx="443">
                  <c:v>114.02</c:v>
                </c:pt>
                <c:pt idx="444">
                  <c:v>112.91</c:v>
                </c:pt>
                <c:pt idx="445">
                  <c:v>110.73</c:v>
                </c:pt>
                <c:pt idx="446">
                  <c:v>112.24</c:v>
                </c:pt>
                <c:pt idx="447">
                  <c:v>112.29</c:v>
                </c:pt>
                <c:pt idx="448">
                  <c:v>111.61</c:v>
                </c:pt>
                <c:pt idx="449">
                  <c:v>110.64</c:v>
                </c:pt>
                <c:pt idx="450">
                  <c:v>112.24</c:v>
                </c:pt>
                <c:pt idx="451">
                  <c:v>112.7</c:v>
                </c:pt>
                <c:pt idx="452">
                  <c:v>112.71</c:v>
                </c:pt>
                <c:pt idx="453">
                  <c:v>114.71</c:v>
                </c:pt>
                <c:pt idx="454">
                  <c:v>115.98</c:v>
                </c:pt>
                <c:pt idx="455">
                  <c:v>115.39</c:v>
                </c:pt>
                <c:pt idx="456">
                  <c:v>115.94</c:v>
                </c:pt>
                <c:pt idx="457">
                  <c:v>115.03</c:v>
                </c:pt>
                <c:pt idx="458">
                  <c:v>116.45</c:v>
                </c:pt>
                <c:pt idx="459">
                  <c:v>114.69</c:v>
                </c:pt>
                <c:pt idx="460">
                  <c:v>114.36</c:v>
                </c:pt>
                <c:pt idx="461">
                  <c:v>113.76</c:v>
                </c:pt>
                <c:pt idx="462">
                  <c:v>114.14</c:v>
                </c:pt>
                <c:pt idx="463">
                  <c:v>113.68</c:v>
                </c:pt>
                <c:pt idx="464">
                  <c:v>114.5</c:v>
                </c:pt>
                <c:pt idx="465">
                  <c:v>117.22</c:v>
                </c:pt>
                <c:pt idx="466">
                  <c:v>118.22</c:v>
                </c:pt>
                <c:pt idx="467">
                  <c:v>119.78</c:v>
                </c:pt>
                <c:pt idx="468">
                  <c:v>118.12</c:v>
                </c:pt>
                <c:pt idx="469">
                  <c:v>118.79</c:v>
                </c:pt>
                <c:pt idx="470">
                  <c:v>119.29</c:v>
                </c:pt>
                <c:pt idx="471">
                  <c:v>117.68</c:v>
                </c:pt>
                <c:pt idx="472">
                  <c:v>119.03</c:v>
                </c:pt>
                <c:pt idx="473">
                  <c:v>117.35</c:v>
                </c:pt>
                <c:pt idx="474">
                  <c:v>117.02</c:v>
                </c:pt>
                <c:pt idx="475">
                  <c:v>117.08</c:v>
                </c:pt>
                <c:pt idx="476">
                  <c:v>115.97</c:v>
                </c:pt>
                <c:pt idx="477">
                  <c:v>114.51</c:v>
                </c:pt>
                <c:pt idx="478">
                  <c:v>114.77</c:v>
                </c:pt>
                <c:pt idx="479">
                  <c:v>115.92</c:v>
                </c:pt>
                <c:pt idx="480">
                  <c:v>116.63</c:v>
                </c:pt>
                <c:pt idx="481">
                  <c:v>115.38</c:v>
                </c:pt>
                <c:pt idx="482">
                  <c:v>117.8</c:v>
                </c:pt>
                <c:pt idx="483">
                  <c:v>117.14</c:v>
                </c:pt>
                <c:pt idx="484">
                  <c:v>116.54</c:v>
                </c:pt>
                <c:pt idx="485">
                  <c:v>115.98</c:v>
                </c:pt>
                <c:pt idx="486">
                  <c:v>118.25</c:v>
                </c:pt>
                <c:pt idx="487">
                  <c:v>119.54</c:v>
                </c:pt>
                <c:pt idx="488">
                  <c:v>119.54</c:v>
                </c:pt>
                <c:pt idx="489">
                  <c:v>118.82</c:v>
                </c:pt>
                <c:pt idx="490">
                  <c:v>117.76</c:v>
                </c:pt>
                <c:pt idx="491">
                  <c:v>114.68</c:v>
                </c:pt>
                <c:pt idx="492">
                  <c:v>117.41</c:v>
                </c:pt>
                <c:pt idx="493">
                  <c:v>116.54</c:v>
                </c:pt>
                <c:pt idx="494">
                  <c:v>116.69</c:v>
                </c:pt>
                <c:pt idx="495">
                  <c:v>118.15</c:v>
                </c:pt>
                <c:pt idx="496">
                  <c:v>119.42</c:v>
                </c:pt>
                <c:pt idx="497">
                  <c:v>119.22</c:v>
                </c:pt>
                <c:pt idx="498">
                  <c:v>119.11</c:v>
                </c:pt>
                <c:pt idx="499">
                  <c:v>120.53</c:v>
                </c:pt>
                <c:pt idx="500">
                  <c:v>120.99</c:v>
                </c:pt>
                <c:pt idx="501">
                  <c:v>120.34</c:v>
                </c:pt>
                <c:pt idx="502">
                  <c:v>122.65</c:v>
                </c:pt>
                <c:pt idx="503">
                  <c:v>125.36</c:v>
                </c:pt>
                <c:pt idx="504">
                  <c:v>121.05</c:v>
                </c:pt>
                <c:pt idx="505">
                  <c:v>118.49</c:v>
                </c:pt>
                <c:pt idx="506">
                  <c:v>122.91</c:v>
                </c:pt>
                <c:pt idx="507">
                  <c:v>124.61</c:v>
                </c:pt>
                <c:pt idx="508">
                  <c:v>124.03</c:v>
                </c:pt>
                <c:pt idx="509">
                  <c:v>126.54</c:v>
                </c:pt>
                <c:pt idx="510">
                  <c:v>130.19999999999999</c:v>
                </c:pt>
                <c:pt idx="511">
                  <c:v>129.13</c:v>
                </c:pt>
                <c:pt idx="512">
                  <c:v>129.88999999999999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Data!$J$2:$J$514</c:f>
              <c:numCache>
                <c:formatCode>General</c:formatCode>
                <c:ptCount val="513"/>
                <c:pt idx="19">
                  <c:v>100.2145</c:v>
                </c:pt>
                <c:pt idx="20">
                  <c:v>100.23699999999999</c:v>
                </c:pt>
                <c:pt idx="21">
                  <c:v>100.19550000000001</c:v>
                </c:pt>
                <c:pt idx="22">
                  <c:v>100.178</c:v>
                </c:pt>
                <c:pt idx="23">
                  <c:v>100.124</c:v>
                </c:pt>
                <c:pt idx="24">
                  <c:v>100.19050000000001</c:v>
                </c:pt>
                <c:pt idx="25">
                  <c:v>100.31800000000001</c:v>
                </c:pt>
                <c:pt idx="26">
                  <c:v>100.58200000000001</c:v>
                </c:pt>
                <c:pt idx="27">
                  <c:v>100.73699999999999</c:v>
                </c:pt>
                <c:pt idx="28">
                  <c:v>100.898</c:v>
                </c:pt>
                <c:pt idx="29">
                  <c:v>101.0805</c:v>
                </c:pt>
                <c:pt idx="30">
                  <c:v>101.2735</c:v>
                </c:pt>
                <c:pt idx="31">
                  <c:v>101.61999999999999</c:v>
                </c:pt>
                <c:pt idx="32">
                  <c:v>101.959</c:v>
                </c:pt>
                <c:pt idx="33">
                  <c:v>102.25550000000001</c:v>
                </c:pt>
                <c:pt idx="34">
                  <c:v>102.60249999999999</c:v>
                </c:pt>
                <c:pt idx="35">
                  <c:v>102.8605</c:v>
                </c:pt>
                <c:pt idx="36">
                  <c:v>102.946</c:v>
                </c:pt>
                <c:pt idx="37">
                  <c:v>103.0085</c:v>
                </c:pt>
                <c:pt idx="38">
                  <c:v>103.05349999999999</c:v>
                </c:pt>
                <c:pt idx="39">
                  <c:v>103.027</c:v>
                </c:pt>
                <c:pt idx="40">
                  <c:v>103.1125</c:v>
                </c:pt>
                <c:pt idx="41">
                  <c:v>103.285</c:v>
                </c:pt>
                <c:pt idx="42">
                  <c:v>103.40449999999998</c:v>
                </c:pt>
                <c:pt idx="43">
                  <c:v>103.60899999999997</c:v>
                </c:pt>
                <c:pt idx="44">
                  <c:v>103.83499999999999</c:v>
                </c:pt>
                <c:pt idx="45">
                  <c:v>104.0925</c:v>
                </c:pt>
                <c:pt idx="46">
                  <c:v>104.31299999999999</c:v>
                </c:pt>
                <c:pt idx="47">
                  <c:v>104.67550000000001</c:v>
                </c:pt>
                <c:pt idx="48">
                  <c:v>104.93300000000002</c:v>
                </c:pt>
                <c:pt idx="49">
                  <c:v>105.3425</c:v>
                </c:pt>
                <c:pt idx="50">
                  <c:v>105.87399999999998</c:v>
                </c:pt>
                <c:pt idx="51">
                  <c:v>106.251</c:v>
                </c:pt>
                <c:pt idx="52">
                  <c:v>106.6795</c:v>
                </c:pt>
                <c:pt idx="53">
                  <c:v>107.19650000000001</c:v>
                </c:pt>
                <c:pt idx="54">
                  <c:v>107.60350000000001</c:v>
                </c:pt>
                <c:pt idx="55">
                  <c:v>108.03999999999999</c:v>
                </c:pt>
                <c:pt idx="56">
                  <c:v>108.52249999999997</c:v>
                </c:pt>
                <c:pt idx="57">
                  <c:v>109.04249999999999</c:v>
                </c:pt>
                <c:pt idx="58">
                  <c:v>109.53049999999999</c:v>
                </c:pt>
                <c:pt idx="59">
                  <c:v>110.06299999999999</c:v>
                </c:pt>
                <c:pt idx="60">
                  <c:v>110.64899999999997</c:v>
                </c:pt>
                <c:pt idx="61">
                  <c:v>111.20649999999998</c:v>
                </c:pt>
                <c:pt idx="62">
                  <c:v>111.95250000000001</c:v>
                </c:pt>
                <c:pt idx="63">
                  <c:v>112.63550000000001</c:v>
                </c:pt>
                <c:pt idx="64">
                  <c:v>113.28299999999999</c:v>
                </c:pt>
                <c:pt idx="65">
                  <c:v>113.98299999999999</c:v>
                </c:pt>
                <c:pt idx="66">
                  <c:v>114.5915</c:v>
                </c:pt>
                <c:pt idx="67">
                  <c:v>115.19950000000001</c:v>
                </c:pt>
                <c:pt idx="68">
                  <c:v>115.89349999999999</c:v>
                </c:pt>
                <c:pt idx="69">
                  <c:v>116.50649999999999</c:v>
                </c:pt>
                <c:pt idx="70">
                  <c:v>116.95149999999998</c:v>
                </c:pt>
                <c:pt idx="71">
                  <c:v>117.372</c:v>
                </c:pt>
                <c:pt idx="72">
                  <c:v>117.69149999999999</c:v>
                </c:pt>
                <c:pt idx="73">
                  <c:v>117.96850000000002</c:v>
                </c:pt>
                <c:pt idx="74">
                  <c:v>118.245</c:v>
                </c:pt>
                <c:pt idx="75">
                  <c:v>118.5645</c:v>
                </c:pt>
                <c:pt idx="76">
                  <c:v>118.91800000000001</c:v>
                </c:pt>
                <c:pt idx="77">
                  <c:v>119.23700000000001</c:v>
                </c:pt>
                <c:pt idx="78">
                  <c:v>119.60000000000002</c:v>
                </c:pt>
                <c:pt idx="79">
                  <c:v>119.91800000000001</c:v>
                </c:pt>
                <c:pt idx="80">
                  <c:v>120.00399999999999</c:v>
                </c:pt>
                <c:pt idx="81">
                  <c:v>120.13649999999998</c:v>
                </c:pt>
                <c:pt idx="82">
                  <c:v>120.08599999999998</c:v>
                </c:pt>
                <c:pt idx="83">
                  <c:v>119.92249999999999</c:v>
                </c:pt>
                <c:pt idx="84">
                  <c:v>119.74850000000001</c:v>
                </c:pt>
                <c:pt idx="85">
                  <c:v>119.47999999999999</c:v>
                </c:pt>
                <c:pt idx="86">
                  <c:v>119.28999999999999</c:v>
                </c:pt>
                <c:pt idx="87">
                  <c:v>119.0395</c:v>
                </c:pt>
                <c:pt idx="88">
                  <c:v>118.73700000000001</c:v>
                </c:pt>
                <c:pt idx="89">
                  <c:v>118.56949999999999</c:v>
                </c:pt>
                <c:pt idx="90">
                  <c:v>118.449</c:v>
                </c:pt>
                <c:pt idx="91">
                  <c:v>118.3605</c:v>
                </c:pt>
                <c:pt idx="92">
                  <c:v>118.3095</c:v>
                </c:pt>
                <c:pt idx="93">
                  <c:v>118.30700000000002</c:v>
                </c:pt>
                <c:pt idx="94">
                  <c:v>118.27450000000002</c:v>
                </c:pt>
                <c:pt idx="95">
                  <c:v>118.2625</c:v>
                </c:pt>
                <c:pt idx="96">
                  <c:v>118.16800000000001</c:v>
                </c:pt>
                <c:pt idx="97">
                  <c:v>118.00900000000001</c:v>
                </c:pt>
                <c:pt idx="98">
                  <c:v>117.73050000000001</c:v>
                </c:pt>
                <c:pt idx="99">
                  <c:v>117.33950000000004</c:v>
                </c:pt>
                <c:pt idx="100">
                  <c:v>117.11250000000003</c:v>
                </c:pt>
                <c:pt idx="101">
                  <c:v>116.87350000000001</c:v>
                </c:pt>
                <c:pt idx="102">
                  <c:v>116.64150000000002</c:v>
                </c:pt>
                <c:pt idx="103">
                  <c:v>116.5395</c:v>
                </c:pt>
                <c:pt idx="104">
                  <c:v>116.59049999999999</c:v>
                </c:pt>
                <c:pt idx="105">
                  <c:v>116.51299999999999</c:v>
                </c:pt>
                <c:pt idx="106">
                  <c:v>116.309</c:v>
                </c:pt>
                <c:pt idx="107">
                  <c:v>116.15649999999998</c:v>
                </c:pt>
                <c:pt idx="108">
                  <c:v>116.04749999999997</c:v>
                </c:pt>
                <c:pt idx="109">
                  <c:v>115.76299999999999</c:v>
                </c:pt>
                <c:pt idx="110">
                  <c:v>115.51900000000001</c:v>
                </c:pt>
                <c:pt idx="111">
                  <c:v>115.23200000000001</c:v>
                </c:pt>
                <c:pt idx="112">
                  <c:v>114.89500000000001</c:v>
                </c:pt>
                <c:pt idx="113">
                  <c:v>114.46799999999999</c:v>
                </c:pt>
                <c:pt idx="114">
                  <c:v>114.03000000000002</c:v>
                </c:pt>
                <c:pt idx="115">
                  <c:v>113.46600000000004</c:v>
                </c:pt>
                <c:pt idx="116">
                  <c:v>113.00150000000001</c:v>
                </c:pt>
                <c:pt idx="117">
                  <c:v>112.696</c:v>
                </c:pt>
                <c:pt idx="118">
                  <c:v>112.46</c:v>
                </c:pt>
                <c:pt idx="119">
                  <c:v>112.48699999999999</c:v>
                </c:pt>
                <c:pt idx="120">
                  <c:v>112.53450000000001</c:v>
                </c:pt>
                <c:pt idx="121">
                  <c:v>112.51199999999999</c:v>
                </c:pt>
                <c:pt idx="122">
                  <c:v>112.57549999999999</c:v>
                </c:pt>
                <c:pt idx="123">
                  <c:v>112.63199999999999</c:v>
                </c:pt>
                <c:pt idx="124">
                  <c:v>112.51700000000001</c:v>
                </c:pt>
                <c:pt idx="125">
                  <c:v>112.5035</c:v>
                </c:pt>
                <c:pt idx="126">
                  <c:v>112.60800000000002</c:v>
                </c:pt>
                <c:pt idx="127">
                  <c:v>112.62050000000002</c:v>
                </c:pt>
                <c:pt idx="128">
                  <c:v>112.53100000000002</c:v>
                </c:pt>
                <c:pt idx="129">
                  <c:v>112.44050000000001</c:v>
                </c:pt>
                <c:pt idx="130">
                  <c:v>112.38250000000001</c:v>
                </c:pt>
                <c:pt idx="131">
                  <c:v>112.4365</c:v>
                </c:pt>
                <c:pt idx="132">
                  <c:v>112.55350000000001</c:v>
                </c:pt>
                <c:pt idx="133">
                  <c:v>112.81200000000001</c:v>
                </c:pt>
                <c:pt idx="134">
                  <c:v>113.1585</c:v>
                </c:pt>
                <c:pt idx="135">
                  <c:v>113.62250000000002</c:v>
                </c:pt>
                <c:pt idx="136">
                  <c:v>114.09350000000002</c:v>
                </c:pt>
                <c:pt idx="137">
                  <c:v>114.31000000000003</c:v>
                </c:pt>
                <c:pt idx="138">
                  <c:v>114.53550000000003</c:v>
                </c:pt>
                <c:pt idx="139">
                  <c:v>114.5035</c:v>
                </c:pt>
                <c:pt idx="140">
                  <c:v>114.5355</c:v>
                </c:pt>
                <c:pt idx="141">
                  <c:v>114.6865</c:v>
                </c:pt>
                <c:pt idx="142">
                  <c:v>114.80799999999999</c:v>
                </c:pt>
                <c:pt idx="143">
                  <c:v>114.857</c:v>
                </c:pt>
                <c:pt idx="144">
                  <c:v>115.01750000000001</c:v>
                </c:pt>
                <c:pt idx="145">
                  <c:v>115.23800000000001</c:v>
                </c:pt>
                <c:pt idx="146">
                  <c:v>115.3475</c:v>
                </c:pt>
                <c:pt idx="147">
                  <c:v>115.523</c:v>
                </c:pt>
                <c:pt idx="148">
                  <c:v>115.65249999999999</c:v>
                </c:pt>
                <c:pt idx="149">
                  <c:v>115.81349999999998</c:v>
                </c:pt>
                <c:pt idx="150">
                  <c:v>116.00149999999999</c:v>
                </c:pt>
                <c:pt idx="151">
                  <c:v>116.23349999999998</c:v>
                </c:pt>
                <c:pt idx="152">
                  <c:v>116.51249999999997</c:v>
                </c:pt>
                <c:pt idx="153">
                  <c:v>116.702</c:v>
                </c:pt>
                <c:pt idx="154">
                  <c:v>116.79300000000003</c:v>
                </c:pt>
                <c:pt idx="155">
                  <c:v>116.85850000000002</c:v>
                </c:pt>
                <c:pt idx="156">
                  <c:v>116.85499999999999</c:v>
                </c:pt>
                <c:pt idx="157">
                  <c:v>116.96</c:v>
                </c:pt>
                <c:pt idx="158">
                  <c:v>117.123</c:v>
                </c:pt>
                <c:pt idx="159">
                  <c:v>117.1815</c:v>
                </c:pt>
                <c:pt idx="160">
                  <c:v>117.12350000000001</c:v>
                </c:pt>
                <c:pt idx="161">
                  <c:v>116.9885</c:v>
                </c:pt>
                <c:pt idx="162">
                  <c:v>116.93800000000002</c:v>
                </c:pt>
                <c:pt idx="163">
                  <c:v>117.0735</c:v>
                </c:pt>
                <c:pt idx="164">
                  <c:v>117.04899999999998</c:v>
                </c:pt>
                <c:pt idx="165">
                  <c:v>116.9455</c:v>
                </c:pt>
                <c:pt idx="166">
                  <c:v>117.00449999999998</c:v>
                </c:pt>
                <c:pt idx="167">
                  <c:v>117.0575</c:v>
                </c:pt>
                <c:pt idx="168">
                  <c:v>117.0925</c:v>
                </c:pt>
                <c:pt idx="169">
                  <c:v>117.08749999999998</c:v>
                </c:pt>
                <c:pt idx="170">
                  <c:v>116.96199999999999</c:v>
                </c:pt>
                <c:pt idx="171">
                  <c:v>116.69950000000001</c:v>
                </c:pt>
                <c:pt idx="172">
                  <c:v>116.50750000000001</c:v>
                </c:pt>
                <c:pt idx="173">
                  <c:v>116.09850000000003</c:v>
                </c:pt>
                <c:pt idx="174">
                  <c:v>115.69150000000002</c:v>
                </c:pt>
                <c:pt idx="175">
                  <c:v>115.30550000000001</c:v>
                </c:pt>
                <c:pt idx="176">
                  <c:v>114.9265</c:v>
                </c:pt>
                <c:pt idx="177">
                  <c:v>114.65350000000001</c:v>
                </c:pt>
                <c:pt idx="178">
                  <c:v>114.43599999999999</c:v>
                </c:pt>
                <c:pt idx="179">
                  <c:v>114.43599999999999</c:v>
                </c:pt>
                <c:pt idx="180">
                  <c:v>114.54350000000002</c:v>
                </c:pt>
                <c:pt idx="181">
                  <c:v>114.57050000000001</c:v>
                </c:pt>
                <c:pt idx="182">
                  <c:v>114.62249999999999</c:v>
                </c:pt>
                <c:pt idx="183">
                  <c:v>114.53450000000002</c:v>
                </c:pt>
                <c:pt idx="184">
                  <c:v>114.38900000000001</c:v>
                </c:pt>
                <c:pt idx="185">
                  <c:v>114.20300000000002</c:v>
                </c:pt>
                <c:pt idx="186">
                  <c:v>114.08750000000002</c:v>
                </c:pt>
                <c:pt idx="187">
                  <c:v>114.05149999999999</c:v>
                </c:pt>
                <c:pt idx="188">
                  <c:v>114.27449999999996</c:v>
                </c:pt>
                <c:pt idx="189">
                  <c:v>114.64749999999997</c:v>
                </c:pt>
                <c:pt idx="190">
                  <c:v>115.11799999999998</c:v>
                </c:pt>
                <c:pt idx="191">
                  <c:v>115.72749999999999</c:v>
                </c:pt>
                <c:pt idx="192">
                  <c:v>116.24549999999999</c:v>
                </c:pt>
                <c:pt idx="193">
                  <c:v>116.80649999999999</c:v>
                </c:pt>
                <c:pt idx="194">
                  <c:v>117.425</c:v>
                </c:pt>
                <c:pt idx="195">
                  <c:v>118.0205</c:v>
                </c:pt>
                <c:pt idx="196">
                  <c:v>118.64349999999999</c:v>
                </c:pt>
                <c:pt idx="197">
                  <c:v>119.21199999999999</c:v>
                </c:pt>
                <c:pt idx="198">
                  <c:v>119.5205</c:v>
                </c:pt>
                <c:pt idx="199">
                  <c:v>119.82449999999999</c:v>
                </c:pt>
                <c:pt idx="200">
                  <c:v>120.04199999999999</c:v>
                </c:pt>
                <c:pt idx="201">
                  <c:v>120.279</c:v>
                </c:pt>
                <c:pt idx="202">
                  <c:v>120.41499999999999</c:v>
                </c:pt>
                <c:pt idx="203">
                  <c:v>120.5975</c:v>
                </c:pt>
                <c:pt idx="204">
                  <c:v>120.87249999999999</c:v>
                </c:pt>
                <c:pt idx="205">
                  <c:v>121.21199999999999</c:v>
                </c:pt>
                <c:pt idx="206">
                  <c:v>121.39549999999997</c:v>
                </c:pt>
                <c:pt idx="207">
                  <c:v>121.47949999999999</c:v>
                </c:pt>
                <c:pt idx="208">
                  <c:v>121.34700000000001</c:v>
                </c:pt>
                <c:pt idx="209">
                  <c:v>121.10550000000001</c:v>
                </c:pt>
                <c:pt idx="210">
                  <c:v>120.81550000000001</c:v>
                </c:pt>
                <c:pt idx="211">
                  <c:v>120.32150000000001</c:v>
                </c:pt>
                <c:pt idx="212">
                  <c:v>119.98350000000001</c:v>
                </c:pt>
                <c:pt idx="213">
                  <c:v>119.82950000000001</c:v>
                </c:pt>
                <c:pt idx="214">
                  <c:v>119.77500000000001</c:v>
                </c:pt>
                <c:pt idx="215">
                  <c:v>119.67550000000001</c:v>
                </c:pt>
                <c:pt idx="216">
                  <c:v>119.55050000000001</c:v>
                </c:pt>
                <c:pt idx="217">
                  <c:v>119.37</c:v>
                </c:pt>
                <c:pt idx="218">
                  <c:v>119.36999999999998</c:v>
                </c:pt>
                <c:pt idx="219">
                  <c:v>119.41049999999998</c:v>
                </c:pt>
                <c:pt idx="220">
                  <c:v>119.42099999999998</c:v>
                </c:pt>
                <c:pt idx="221">
                  <c:v>119.386</c:v>
                </c:pt>
                <c:pt idx="222">
                  <c:v>119.39749999999999</c:v>
                </c:pt>
                <c:pt idx="223">
                  <c:v>119.29400000000001</c:v>
                </c:pt>
                <c:pt idx="224">
                  <c:v>119.29650000000001</c:v>
                </c:pt>
                <c:pt idx="225">
                  <c:v>119.4135</c:v>
                </c:pt>
                <c:pt idx="226">
                  <c:v>119.52849999999998</c:v>
                </c:pt>
                <c:pt idx="227">
                  <c:v>119.58199999999997</c:v>
                </c:pt>
                <c:pt idx="228">
                  <c:v>119.61649999999997</c:v>
                </c:pt>
                <c:pt idx="229">
                  <c:v>119.66499999999996</c:v>
                </c:pt>
                <c:pt idx="230">
                  <c:v>119.72399999999998</c:v>
                </c:pt>
                <c:pt idx="231">
                  <c:v>119.86899999999999</c:v>
                </c:pt>
                <c:pt idx="232">
                  <c:v>119.822</c:v>
                </c:pt>
                <c:pt idx="233">
                  <c:v>119.58800000000004</c:v>
                </c:pt>
                <c:pt idx="234">
                  <c:v>119.27700000000002</c:v>
                </c:pt>
                <c:pt idx="235">
                  <c:v>118.89800000000002</c:v>
                </c:pt>
                <c:pt idx="236">
                  <c:v>118.48750000000003</c:v>
                </c:pt>
                <c:pt idx="237">
                  <c:v>118.09750000000001</c:v>
                </c:pt>
                <c:pt idx="238">
                  <c:v>117.676</c:v>
                </c:pt>
                <c:pt idx="239">
                  <c:v>117.19350000000001</c:v>
                </c:pt>
                <c:pt idx="240">
                  <c:v>116.70750000000002</c:v>
                </c:pt>
                <c:pt idx="241">
                  <c:v>116.16549999999999</c:v>
                </c:pt>
                <c:pt idx="242">
                  <c:v>115.55050000000001</c:v>
                </c:pt>
                <c:pt idx="243">
                  <c:v>114.94000000000001</c:v>
                </c:pt>
                <c:pt idx="244">
                  <c:v>114.19950000000003</c:v>
                </c:pt>
                <c:pt idx="245">
                  <c:v>113.39650000000002</c:v>
                </c:pt>
                <c:pt idx="246">
                  <c:v>112.622</c:v>
                </c:pt>
                <c:pt idx="247">
                  <c:v>111.94350000000001</c:v>
                </c:pt>
                <c:pt idx="248">
                  <c:v>111.36949999999997</c:v>
                </c:pt>
                <c:pt idx="249">
                  <c:v>110.8105</c:v>
                </c:pt>
                <c:pt idx="250">
                  <c:v>110.20050000000001</c:v>
                </c:pt>
                <c:pt idx="251">
                  <c:v>109.68650000000002</c:v>
                </c:pt>
                <c:pt idx="252">
                  <c:v>109.16849999999999</c:v>
                </c:pt>
                <c:pt idx="253">
                  <c:v>108.84750000000001</c:v>
                </c:pt>
                <c:pt idx="254">
                  <c:v>108.49549999999999</c:v>
                </c:pt>
                <c:pt idx="255">
                  <c:v>108.25449999999998</c:v>
                </c:pt>
                <c:pt idx="256">
                  <c:v>107.95599999999997</c:v>
                </c:pt>
                <c:pt idx="257">
                  <c:v>107.64949999999999</c:v>
                </c:pt>
                <c:pt idx="258">
                  <c:v>107.51799999999999</c:v>
                </c:pt>
                <c:pt idx="259">
                  <c:v>107.41299999999998</c:v>
                </c:pt>
                <c:pt idx="260">
                  <c:v>107.44649999999999</c:v>
                </c:pt>
                <c:pt idx="261">
                  <c:v>107.58899999999998</c:v>
                </c:pt>
                <c:pt idx="262">
                  <c:v>107.80449999999999</c:v>
                </c:pt>
                <c:pt idx="263">
                  <c:v>108.05699999999999</c:v>
                </c:pt>
                <c:pt idx="264">
                  <c:v>108.258</c:v>
                </c:pt>
                <c:pt idx="265">
                  <c:v>108.47200000000001</c:v>
                </c:pt>
                <c:pt idx="266">
                  <c:v>108.58999999999999</c:v>
                </c:pt>
                <c:pt idx="267">
                  <c:v>108.77850000000001</c:v>
                </c:pt>
                <c:pt idx="268">
                  <c:v>108.85599999999999</c:v>
                </c:pt>
                <c:pt idx="269">
                  <c:v>108.96550000000002</c:v>
                </c:pt>
                <c:pt idx="270">
                  <c:v>109.15600000000002</c:v>
                </c:pt>
                <c:pt idx="271">
                  <c:v>109.119</c:v>
                </c:pt>
                <c:pt idx="272">
                  <c:v>109.10800000000002</c:v>
                </c:pt>
                <c:pt idx="273">
                  <c:v>109.21300000000001</c:v>
                </c:pt>
                <c:pt idx="274">
                  <c:v>109.32000000000001</c:v>
                </c:pt>
                <c:pt idx="275">
                  <c:v>109.304</c:v>
                </c:pt>
                <c:pt idx="276">
                  <c:v>109.40199999999997</c:v>
                </c:pt>
                <c:pt idx="277">
                  <c:v>109.62349999999999</c:v>
                </c:pt>
                <c:pt idx="278">
                  <c:v>109.74249999999999</c:v>
                </c:pt>
                <c:pt idx="279">
                  <c:v>109.62399999999998</c:v>
                </c:pt>
                <c:pt idx="280">
                  <c:v>109.45500000000001</c:v>
                </c:pt>
                <c:pt idx="281">
                  <c:v>109.30099999999997</c:v>
                </c:pt>
                <c:pt idx="282">
                  <c:v>109.19199999999998</c:v>
                </c:pt>
                <c:pt idx="283">
                  <c:v>109.13350000000003</c:v>
                </c:pt>
                <c:pt idx="284">
                  <c:v>109.25700000000002</c:v>
                </c:pt>
                <c:pt idx="285">
                  <c:v>109.28400000000003</c:v>
                </c:pt>
                <c:pt idx="286">
                  <c:v>109.4145</c:v>
                </c:pt>
                <c:pt idx="287">
                  <c:v>109.39250000000001</c:v>
                </c:pt>
                <c:pt idx="288">
                  <c:v>109.4635</c:v>
                </c:pt>
                <c:pt idx="289">
                  <c:v>109.53749999999999</c:v>
                </c:pt>
                <c:pt idx="290">
                  <c:v>109.62550000000002</c:v>
                </c:pt>
                <c:pt idx="291">
                  <c:v>109.67200000000003</c:v>
                </c:pt>
                <c:pt idx="292">
                  <c:v>109.69450000000002</c:v>
                </c:pt>
                <c:pt idx="293">
                  <c:v>109.46850000000002</c:v>
                </c:pt>
                <c:pt idx="294">
                  <c:v>109.35549999999998</c:v>
                </c:pt>
                <c:pt idx="295">
                  <c:v>109.38499999999999</c:v>
                </c:pt>
                <c:pt idx="296">
                  <c:v>109.5305</c:v>
                </c:pt>
                <c:pt idx="297">
                  <c:v>109.44000000000001</c:v>
                </c:pt>
                <c:pt idx="298">
                  <c:v>109.31300000000002</c:v>
                </c:pt>
                <c:pt idx="299">
                  <c:v>109.37900000000002</c:v>
                </c:pt>
                <c:pt idx="300">
                  <c:v>109.56750000000002</c:v>
                </c:pt>
                <c:pt idx="301">
                  <c:v>109.84350000000003</c:v>
                </c:pt>
                <c:pt idx="302">
                  <c:v>110.01850000000002</c:v>
                </c:pt>
                <c:pt idx="303">
                  <c:v>110.274</c:v>
                </c:pt>
                <c:pt idx="304">
                  <c:v>110.46900000000001</c:v>
                </c:pt>
                <c:pt idx="305">
                  <c:v>110.70950000000002</c:v>
                </c:pt>
                <c:pt idx="306">
                  <c:v>110.93600000000006</c:v>
                </c:pt>
                <c:pt idx="307">
                  <c:v>111.27900000000002</c:v>
                </c:pt>
                <c:pt idx="308">
                  <c:v>111.71950000000001</c:v>
                </c:pt>
                <c:pt idx="309">
                  <c:v>112.10650000000001</c:v>
                </c:pt>
                <c:pt idx="310">
                  <c:v>112.4265</c:v>
                </c:pt>
                <c:pt idx="311">
                  <c:v>112.98499999999999</c:v>
                </c:pt>
                <c:pt idx="312">
                  <c:v>113.55999999999999</c:v>
                </c:pt>
                <c:pt idx="313">
                  <c:v>114.22150000000002</c:v>
                </c:pt>
                <c:pt idx="314">
                  <c:v>114.46199999999999</c:v>
                </c:pt>
                <c:pt idx="315">
                  <c:v>114.22799999999999</c:v>
                </c:pt>
                <c:pt idx="316">
                  <c:v>113.78500000000001</c:v>
                </c:pt>
                <c:pt idx="317">
                  <c:v>113.36550000000003</c:v>
                </c:pt>
                <c:pt idx="318">
                  <c:v>113.199</c:v>
                </c:pt>
                <c:pt idx="319">
                  <c:v>112.76200000000001</c:v>
                </c:pt>
                <c:pt idx="320">
                  <c:v>112.324</c:v>
                </c:pt>
                <c:pt idx="321">
                  <c:v>111.80550000000001</c:v>
                </c:pt>
                <c:pt idx="322">
                  <c:v>111.27850000000001</c:v>
                </c:pt>
                <c:pt idx="323">
                  <c:v>110.71750000000002</c:v>
                </c:pt>
                <c:pt idx="324">
                  <c:v>110.26850000000002</c:v>
                </c:pt>
                <c:pt idx="325">
                  <c:v>109.761</c:v>
                </c:pt>
                <c:pt idx="326">
                  <c:v>109.38600000000001</c:v>
                </c:pt>
                <c:pt idx="327">
                  <c:v>108.925</c:v>
                </c:pt>
                <c:pt idx="328">
                  <c:v>108.44300000000001</c:v>
                </c:pt>
                <c:pt idx="329">
                  <c:v>107.97700000000002</c:v>
                </c:pt>
                <c:pt idx="330">
                  <c:v>107.52200000000001</c:v>
                </c:pt>
                <c:pt idx="331">
                  <c:v>106.9935</c:v>
                </c:pt>
                <c:pt idx="332">
                  <c:v>106.32299999999998</c:v>
                </c:pt>
                <c:pt idx="333">
                  <c:v>105.67849999999999</c:v>
                </c:pt>
                <c:pt idx="334">
                  <c:v>105.36749999999998</c:v>
                </c:pt>
                <c:pt idx="335">
                  <c:v>105.31399999999999</c:v>
                </c:pt>
                <c:pt idx="336">
                  <c:v>105.40249999999996</c:v>
                </c:pt>
                <c:pt idx="337">
                  <c:v>105.59449999999997</c:v>
                </c:pt>
                <c:pt idx="338">
                  <c:v>105.60799999999999</c:v>
                </c:pt>
                <c:pt idx="339">
                  <c:v>105.977</c:v>
                </c:pt>
                <c:pt idx="340">
                  <c:v>106.27799999999998</c:v>
                </c:pt>
                <c:pt idx="341">
                  <c:v>106.58149999999998</c:v>
                </c:pt>
                <c:pt idx="342">
                  <c:v>106.85050000000001</c:v>
                </c:pt>
                <c:pt idx="343">
                  <c:v>107.07000000000001</c:v>
                </c:pt>
                <c:pt idx="344">
                  <c:v>107.13349999999998</c:v>
                </c:pt>
                <c:pt idx="345">
                  <c:v>107.1895</c:v>
                </c:pt>
                <c:pt idx="346">
                  <c:v>107.02199999999998</c:v>
                </c:pt>
                <c:pt idx="347">
                  <c:v>106.8365</c:v>
                </c:pt>
                <c:pt idx="348">
                  <c:v>106.55350000000001</c:v>
                </c:pt>
                <c:pt idx="349">
                  <c:v>106.27650000000001</c:v>
                </c:pt>
                <c:pt idx="350">
                  <c:v>106.02100000000003</c:v>
                </c:pt>
                <c:pt idx="351">
                  <c:v>105.7085</c:v>
                </c:pt>
                <c:pt idx="352">
                  <c:v>105.56149999999998</c:v>
                </c:pt>
                <c:pt idx="353">
                  <c:v>105.38750000000002</c:v>
                </c:pt>
                <c:pt idx="354">
                  <c:v>105.2295</c:v>
                </c:pt>
                <c:pt idx="355">
                  <c:v>105.25600000000001</c:v>
                </c:pt>
                <c:pt idx="356">
                  <c:v>105.13550000000001</c:v>
                </c:pt>
                <c:pt idx="357">
                  <c:v>104.9965</c:v>
                </c:pt>
                <c:pt idx="358">
                  <c:v>104.90649999999998</c:v>
                </c:pt>
                <c:pt idx="359">
                  <c:v>104.78949999999998</c:v>
                </c:pt>
                <c:pt idx="360">
                  <c:v>104.69249999999997</c:v>
                </c:pt>
                <c:pt idx="361">
                  <c:v>104.68499999999999</c:v>
                </c:pt>
                <c:pt idx="362">
                  <c:v>104.74749999999999</c:v>
                </c:pt>
                <c:pt idx="363">
                  <c:v>104.92449999999999</c:v>
                </c:pt>
                <c:pt idx="364">
                  <c:v>105.13899999999998</c:v>
                </c:pt>
                <c:pt idx="365">
                  <c:v>105.5155</c:v>
                </c:pt>
                <c:pt idx="366">
                  <c:v>105.92749999999998</c:v>
                </c:pt>
                <c:pt idx="367">
                  <c:v>106.47949999999999</c:v>
                </c:pt>
                <c:pt idx="368">
                  <c:v>106.91800000000001</c:v>
                </c:pt>
                <c:pt idx="369">
                  <c:v>107.18350000000001</c:v>
                </c:pt>
                <c:pt idx="370">
                  <c:v>107.426</c:v>
                </c:pt>
                <c:pt idx="371">
                  <c:v>107.82000000000001</c:v>
                </c:pt>
                <c:pt idx="372">
                  <c:v>108.15450000000001</c:v>
                </c:pt>
                <c:pt idx="373">
                  <c:v>108.4295</c:v>
                </c:pt>
                <c:pt idx="374">
                  <c:v>108.73899999999999</c:v>
                </c:pt>
                <c:pt idx="375">
                  <c:v>109.10150000000002</c:v>
                </c:pt>
                <c:pt idx="376">
                  <c:v>109.59649999999999</c:v>
                </c:pt>
                <c:pt idx="377">
                  <c:v>110.0605</c:v>
                </c:pt>
                <c:pt idx="378">
                  <c:v>110.5565</c:v>
                </c:pt>
                <c:pt idx="379">
                  <c:v>110.99799999999998</c:v>
                </c:pt>
                <c:pt idx="380">
                  <c:v>111.3835</c:v>
                </c:pt>
                <c:pt idx="381">
                  <c:v>111.68949999999998</c:v>
                </c:pt>
                <c:pt idx="382">
                  <c:v>111.899</c:v>
                </c:pt>
                <c:pt idx="383">
                  <c:v>111.9385</c:v>
                </c:pt>
                <c:pt idx="384">
                  <c:v>111.926</c:v>
                </c:pt>
                <c:pt idx="385">
                  <c:v>111.809</c:v>
                </c:pt>
                <c:pt idx="386">
                  <c:v>111.53800000000001</c:v>
                </c:pt>
                <c:pt idx="387">
                  <c:v>111.20550000000003</c:v>
                </c:pt>
                <c:pt idx="388">
                  <c:v>111.04550000000002</c:v>
                </c:pt>
                <c:pt idx="389">
                  <c:v>111.125</c:v>
                </c:pt>
                <c:pt idx="390">
                  <c:v>111.24600000000001</c:v>
                </c:pt>
                <c:pt idx="391">
                  <c:v>111.26650000000002</c:v>
                </c:pt>
                <c:pt idx="392">
                  <c:v>111.36950000000002</c:v>
                </c:pt>
                <c:pt idx="393">
                  <c:v>111.62350000000001</c:v>
                </c:pt>
                <c:pt idx="394">
                  <c:v>111.7565</c:v>
                </c:pt>
                <c:pt idx="395">
                  <c:v>111.78600000000002</c:v>
                </c:pt>
                <c:pt idx="396">
                  <c:v>111.65799999999999</c:v>
                </c:pt>
                <c:pt idx="397">
                  <c:v>111.471</c:v>
                </c:pt>
                <c:pt idx="398">
                  <c:v>111.12350000000001</c:v>
                </c:pt>
                <c:pt idx="399">
                  <c:v>110.75900000000001</c:v>
                </c:pt>
                <c:pt idx="400">
                  <c:v>110.30999999999999</c:v>
                </c:pt>
                <c:pt idx="401">
                  <c:v>109.8785</c:v>
                </c:pt>
                <c:pt idx="402">
                  <c:v>109.474</c:v>
                </c:pt>
                <c:pt idx="403">
                  <c:v>109.13500000000002</c:v>
                </c:pt>
                <c:pt idx="404">
                  <c:v>108.90350000000001</c:v>
                </c:pt>
                <c:pt idx="405">
                  <c:v>108.68950000000002</c:v>
                </c:pt>
                <c:pt idx="406">
                  <c:v>108.62549999999999</c:v>
                </c:pt>
                <c:pt idx="407">
                  <c:v>108.559</c:v>
                </c:pt>
                <c:pt idx="408">
                  <c:v>108.503</c:v>
                </c:pt>
                <c:pt idx="409">
                  <c:v>108.43300000000002</c:v>
                </c:pt>
                <c:pt idx="410">
                  <c:v>108.35500000000002</c:v>
                </c:pt>
                <c:pt idx="411">
                  <c:v>108.399</c:v>
                </c:pt>
                <c:pt idx="412">
                  <c:v>108.41399999999999</c:v>
                </c:pt>
                <c:pt idx="413">
                  <c:v>108.34449999999997</c:v>
                </c:pt>
                <c:pt idx="414">
                  <c:v>108.38700000000001</c:v>
                </c:pt>
                <c:pt idx="415">
                  <c:v>108.47250000000001</c:v>
                </c:pt>
                <c:pt idx="416">
                  <c:v>108.705</c:v>
                </c:pt>
                <c:pt idx="417">
                  <c:v>109.071</c:v>
                </c:pt>
                <c:pt idx="418">
                  <c:v>109.30449999999999</c:v>
                </c:pt>
                <c:pt idx="419">
                  <c:v>109.599</c:v>
                </c:pt>
                <c:pt idx="420">
                  <c:v>109.76299999999999</c:v>
                </c:pt>
                <c:pt idx="421">
                  <c:v>109.91549999999999</c:v>
                </c:pt>
                <c:pt idx="422">
                  <c:v>110.15650000000001</c:v>
                </c:pt>
                <c:pt idx="423">
                  <c:v>110.47499999999999</c:v>
                </c:pt>
                <c:pt idx="424">
                  <c:v>110.70200000000003</c:v>
                </c:pt>
                <c:pt idx="425">
                  <c:v>110.941</c:v>
                </c:pt>
                <c:pt idx="426">
                  <c:v>111.23400000000001</c:v>
                </c:pt>
                <c:pt idx="427">
                  <c:v>111.63200000000002</c:v>
                </c:pt>
                <c:pt idx="428">
                  <c:v>112.02550000000001</c:v>
                </c:pt>
                <c:pt idx="429">
                  <c:v>112.29549999999999</c:v>
                </c:pt>
                <c:pt idx="430">
                  <c:v>112.47499999999999</c:v>
                </c:pt>
                <c:pt idx="431">
                  <c:v>112.51200000000001</c:v>
                </c:pt>
                <c:pt idx="432">
                  <c:v>112.62250000000002</c:v>
                </c:pt>
                <c:pt idx="433">
                  <c:v>112.776</c:v>
                </c:pt>
                <c:pt idx="434">
                  <c:v>112.91800000000001</c:v>
                </c:pt>
                <c:pt idx="435">
                  <c:v>113.11149999999998</c:v>
                </c:pt>
                <c:pt idx="436">
                  <c:v>113.10799999999998</c:v>
                </c:pt>
                <c:pt idx="437">
                  <c:v>113.011</c:v>
                </c:pt>
                <c:pt idx="438">
                  <c:v>113.01499999999999</c:v>
                </c:pt>
                <c:pt idx="439">
                  <c:v>112.95949999999998</c:v>
                </c:pt>
                <c:pt idx="440">
                  <c:v>113.16100000000002</c:v>
                </c:pt>
                <c:pt idx="441">
                  <c:v>113.37849999999999</c:v>
                </c:pt>
                <c:pt idx="442">
                  <c:v>113.559</c:v>
                </c:pt>
                <c:pt idx="443">
                  <c:v>113.63499999999999</c:v>
                </c:pt>
                <c:pt idx="444">
                  <c:v>113.67349999999999</c:v>
                </c:pt>
                <c:pt idx="445">
                  <c:v>113.602</c:v>
                </c:pt>
                <c:pt idx="446">
                  <c:v>113.59649999999999</c:v>
                </c:pt>
                <c:pt idx="447">
                  <c:v>113.477</c:v>
                </c:pt>
                <c:pt idx="448">
                  <c:v>113.29300000000001</c:v>
                </c:pt>
                <c:pt idx="449">
                  <c:v>113.12849999999999</c:v>
                </c:pt>
                <c:pt idx="450">
                  <c:v>113.09949999999999</c:v>
                </c:pt>
                <c:pt idx="451">
                  <c:v>113.1335</c:v>
                </c:pt>
                <c:pt idx="452">
                  <c:v>113.07149999999999</c:v>
                </c:pt>
                <c:pt idx="453">
                  <c:v>113.07899999999999</c:v>
                </c:pt>
                <c:pt idx="454">
                  <c:v>113.09850000000002</c:v>
                </c:pt>
                <c:pt idx="455">
                  <c:v>113.00699999999999</c:v>
                </c:pt>
                <c:pt idx="456">
                  <c:v>113.093</c:v>
                </c:pt>
                <c:pt idx="457">
                  <c:v>113.20700000000002</c:v>
                </c:pt>
                <c:pt idx="458">
                  <c:v>113.43000000000002</c:v>
                </c:pt>
                <c:pt idx="459">
                  <c:v>113.60000000000002</c:v>
                </c:pt>
                <c:pt idx="460">
                  <c:v>113.65500000000002</c:v>
                </c:pt>
                <c:pt idx="461">
                  <c:v>113.63300000000001</c:v>
                </c:pt>
                <c:pt idx="462">
                  <c:v>113.62700000000002</c:v>
                </c:pt>
                <c:pt idx="463">
                  <c:v>113.60999999999999</c:v>
                </c:pt>
                <c:pt idx="464">
                  <c:v>113.68950000000002</c:v>
                </c:pt>
                <c:pt idx="465">
                  <c:v>114.01400000000001</c:v>
                </c:pt>
                <c:pt idx="466">
                  <c:v>114.31299999999999</c:v>
                </c:pt>
                <c:pt idx="467">
                  <c:v>114.6875</c:v>
                </c:pt>
                <c:pt idx="468">
                  <c:v>115.01300000000001</c:v>
                </c:pt>
                <c:pt idx="469">
                  <c:v>115.42049999999999</c:v>
                </c:pt>
                <c:pt idx="470">
                  <c:v>115.773</c:v>
                </c:pt>
                <c:pt idx="471">
                  <c:v>116.02200000000001</c:v>
                </c:pt>
                <c:pt idx="472">
                  <c:v>116.33800000000001</c:v>
                </c:pt>
                <c:pt idx="473">
                  <c:v>116.47</c:v>
                </c:pt>
                <c:pt idx="474">
                  <c:v>116.52200000000001</c:v>
                </c:pt>
                <c:pt idx="475">
                  <c:v>116.60649999999998</c:v>
                </c:pt>
                <c:pt idx="476">
                  <c:v>116.60799999999999</c:v>
                </c:pt>
                <c:pt idx="477">
                  <c:v>116.58199999999999</c:v>
                </c:pt>
                <c:pt idx="478">
                  <c:v>116.498</c:v>
                </c:pt>
                <c:pt idx="479">
                  <c:v>116.5595</c:v>
                </c:pt>
                <c:pt idx="480">
                  <c:v>116.673</c:v>
                </c:pt>
                <c:pt idx="481">
                  <c:v>116.75399999999999</c:v>
                </c:pt>
                <c:pt idx="482">
                  <c:v>116.93700000000001</c:v>
                </c:pt>
                <c:pt idx="483">
                  <c:v>117.10999999999999</c:v>
                </c:pt>
                <c:pt idx="484">
                  <c:v>117.21199999999999</c:v>
                </c:pt>
                <c:pt idx="485">
                  <c:v>117.15000000000002</c:v>
                </c:pt>
                <c:pt idx="486">
                  <c:v>117.15150000000001</c:v>
                </c:pt>
                <c:pt idx="487">
                  <c:v>117.13950000000003</c:v>
                </c:pt>
                <c:pt idx="488">
                  <c:v>117.2105</c:v>
                </c:pt>
                <c:pt idx="489">
                  <c:v>117.21200000000002</c:v>
                </c:pt>
                <c:pt idx="490">
                  <c:v>117.13550000000002</c:v>
                </c:pt>
                <c:pt idx="491">
                  <c:v>116.9855</c:v>
                </c:pt>
                <c:pt idx="492">
                  <c:v>116.90449999999998</c:v>
                </c:pt>
                <c:pt idx="493">
                  <c:v>116.86399999999999</c:v>
                </c:pt>
                <c:pt idx="494">
                  <c:v>116.8475</c:v>
                </c:pt>
                <c:pt idx="495">
                  <c:v>116.901</c:v>
                </c:pt>
                <c:pt idx="496">
                  <c:v>117.0735</c:v>
                </c:pt>
                <c:pt idx="497">
                  <c:v>117.309</c:v>
                </c:pt>
                <c:pt idx="498">
                  <c:v>117.526</c:v>
                </c:pt>
                <c:pt idx="499">
                  <c:v>117.75650000000003</c:v>
                </c:pt>
                <c:pt idx="500">
                  <c:v>117.97450000000001</c:v>
                </c:pt>
                <c:pt idx="501">
                  <c:v>118.22250000000001</c:v>
                </c:pt>
                <c:pt idx="502">
                  <c:v>118.465</c:v>
                </c:pt>
                <c:pt idx="503">
                  <c:v>118.87600000000002</c:v>
                </c:pt>
                <c:pt idx="504">
                  <c:v>119.10150000000003</c:v>
                </c:pt>
                <c:pt idx="505">
                  <c:v>119.227</c:v>
                </c:pt>
                <c:pt idx="506">
                  <c:v>119.45999999999997</c:v>
                </c:pt>
                <c:pt idx="507">
                  <c:v>119.71349999999998</c:v>
                </c:pt>
                <c:pt idx="508">
                  <c:v>119.93799999999999</c:v>
                </c:pt>
                <c:pt idx="509">
                  <c:v>120.324</c:v>
                </c:pt>
                <c:pt idx="510">
                  <c:v>120.94599999999998</c:v>
                </c:pt>
                <c:pt idx="511">
                  <c:v>121.66849999999999</c:v>
                </c:pt>
                <c:pt idx="512">
                  <c:v>122.29249999999999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105.39047069462134</c:v>
                </c:pt>
                <c:pt idx="20">
                  <c:v>105.45597388583738</c:v>
                </c:pt>
                <c:pt idx="21">
                  <c:v>105.32706783264653</c:v>
                </c:pt>
                <c:pt idx="22">
                  <c:v>105.28137184717382</c:v>
                </c:pt>
                <c:pt idx="23">
                  <c:v>105.14024057175133</c:v>
                </c:pt>
                <c:pt idx="24">
                  <c:v>105.28581250010089</c:v>
                </c:pt>
                <c:pt idx="25">
                  <c:v>105.48557746358053</c:v>
                </c:pt>
                <c:pt idx="26">
                  <c:v>105.93552554766238</c:v>
                </c:pt>
                <c:pt idx="27">
                  <c:v>106.03667665349302</c:v>
                </c:pt>
                <c:pt idx="28">
                  <c:v>106.29181556189951</c:v>
                </c:pt>
                <c:pt idx="29">
                  <c:v>106.2600324926199</c:v>
                </c:pt>
                <c:pt idx="30">
                  <c:v>106.08422606403211</c:v>
                </c:pt>
                <c:pt idx="31">
                  <c:v>106.05788949365514</c:v>
                </c:pt>
                <c:pt idx="32">
                  <c:v>105.90322642672339</c:v>
                </c:pt>
                <c:pt idx="33">
                  <c:v>105.37938068375152</c:v>
                </c:pt>
                <c:pt idx="34">
                  <c:v>105.18964941688012</c:v>
                </c:pt>
                <c:pt idx="35">
                  <c:v>105.2046705973486</c:v>
                </c:pt>
                <c:pt idx="36">
                  <c:v>105.30269170437579</c:v>
                </c:pt>
                <c:pt idx="37">
                  <c:v>105.43644498333575</c:v>
                </c:pt>
                <c:pt idx="38">
                  <c:v>105.52391675580627</c:v>
                </c:pt>
                <c:pt idx="39">
                  <c:v>105.4266324279926</c:v>
                </c:pt>
                <c:pt idx="40">
                  <c:v>105.59983105747379</c:v>
                </c:pt>
                <c:pt idx="41">
                  <c:v>106.02685876253395</c:v>
                </c:pt>
                <c:pt idx="42">
                  <c:v>106.11317203819995</c:v>
                </c:pt>
                <c:pt idx="43">
                  <c:v>106.3455818094842</c:v>
                </c:pt>
                <c:pt idx="44">
                  <c:v>106.83309413145294</c:v>
                </c:pt>
                <c:pt idx="45">
                  <c:v>107.37747616750147</c:v>
                </c:pt>
                <c:pt idx="46">
                  <c:v>108.11473976794281</c:v>
                </c:pt>
                <c:pt idx="47">
                  <c:v>108.82313585165029</c:v>
                </c:pt>
                <c:pt idx="48">
                  <c:v>109.31966448034929</c:v>
                </c:pt>
                <c:pt idx="49">
                  <c:v>109.84448494233962</c:v>
                </c:pt>
                <c:pt idx="50">
                  <c:v>110.64002626050143</c:v>
                </c:pt>
                <c:pt idx="51">
                  <c:v>111.47390058552868</c:v>
                </c:pt>
                <c:pt idx="52">
                  <c:v>112.41280978167337</c:v>
                </c:pt>
                <c:pt idx="53">
                  <c:v>113.29126488040093</c:v>
                </c:pt>
                <c:pt idx="54">
                  <c:v>114.1116302189929</c:v>
                </c:pt>
                <c:pt idx="55">
                  <c:v>114.90631135173371</c:v>
                </c:pt>
                <c:pt idx="56">
                  <c:v>115.50143032069042</c:v>
                </c:pt>
                <c:pt idx="57">
                  <c:v>116.2277916287005</c:v>
                </c:pt>
                <c:pt idx="58">
                  <c:v>116.60730711531467</c:v>
                </c:pt>
                <c:pt idx="59">
                  <c:v>117.09156457607098</c:v>
                </c:pt>
                <c:pt idx="60">
                  <c:v>117.68598470114935</c:v>
                </c:pt>
                <c:pt idx="61">
                  <c:v>118.40418464233645</c:v>
                </c:pt>
                <c:pt idx="62">
                  <c:v>119.25438403950076</c:v>
                </c:pt>
                <c:pt idx="63">
                  <c:v>120.00637433219782</c:v>
                </c:pt>
                <c:pt idx="64">
                  <c:v>120.75881954669431</c:v>
                </c:pt>
                <c:pt idx="65">
                  <c:v>121.74394703933537</c:v>
                </c:pt>
                <c:pt idx="66">
                  <c:v>122.41090709826653</c:v>
                </c:pt>
                <c:pt idx="67">
                  <c:v>123.08557426850783</c:v>
                </c:pt>
                <c:pt idx="68">
                  <c:v>123.67269025687324</c:v>
                </c:pt>
                <c:pt idx="69">
                  <c:v>124.10441183224221</c:v>
                </c:pt>
                <c:pt idx="70">
                  <c:v>124.34721789334169</c:v>
                </c:pt>
                <c:pt idx="71">
                  <c:v>124.35224158833911</c:v>
                </c:pt>
                <c:pt idx="72">
                  <c:v>124.26750510628563</c:v>
                </c:pt>
                <c:pt idx="73">
                  <c:v>124.18529651809263</c:v>
                </c:pt>
                <c:pt idx="74">
                  <c:v>124.00457418016664</c:v>
                </c:pt>
                <c:pt idx="75">
                  <c:v>123.90731406238913</c:v>
                </c:pt>
                <c:pt idx="76">
                  <c:v>123.75914210100316</c:v>
                </c:pt>
                <c:pt idx="77">
                  <c:v>123.72167847817786</c:v>
                </c:pt>
                <c:pt idx="78">
                  <c:v>123.34209060623381</c:v>
                </c:pt>
                <c:pt idx="79">
                  <c:v>123.03160072483359</c:v>
                </c:pt>
                <c:pt idx="80">
                  <c:v>122.76489535439045</c:v>
                </c:pt>
                <c:pt idx="81">
                  <c:v>122.51642724346995</c:v>
                </c:pt>
                <c:pt idx="82">
                  <c:v>122.58245980919928</c:v>
                </c:pt>
                <c:pt idx="83">
                  <c:v>122.99708769165626</c:v>
                </c:pt>
                <c:pt idx="84">
                  <c:v>123.23732290510108</c:v>
                </c:pt>
                <c:pt idx="85">
                  <c:v>123.25795823442407</c:v>
                </c:pt>
                <c:pt idx="86">
                  <c:v>123.2205175767388</c:v>
                </c:pt>
                <c:pt idx="87">
                  <c:v>123.0993131924874</c:v>
                </c:pt>
                <c:pt idx="88">
                  <c:v>122.70583172522569</c:v>
                </c:pt>
                <c:pt idx="89">
                  <c:v>122.26947140813988</c:v>
                </c:pt>
                <c:pt idx="90">
                  <c:v>122.05792986033839</c:v>
                </c:pt>
                <c:pt idx="91">
                  <c:v>121.92890801891735</c:v>
                </c:pt>
                <c:pt idx="92">
                  <c:v>121.88722332783382</c:v>
                </c:pt>
                <c:pt idx="93">
                  <c:v>121.88385012854961</c:v>
                </c:pt>
                <c:pt idx="94">
                  <c:v>121.85501143068463</c:v>
                </c:pt>
                <c:pt idx="95">
                  <c:v>121.82190193083939</c:v>
                </c:pt>
                <c:pt idx="96">
                  <c:v>121.56732872630373</c:v>
                </c:pt>
                <c:pt idx="97">
                  <c:v>121.1308341437451</c:v>
                </c:pt>
                <c:pt idx="98">
                  <c:v>120.70016044488166</c:v>
                </c:pt>
                <c:pt idx="99">
                  <c:v>120.37224393734023</c:v>
                </c:pt>
                <c:pt idx="100">
                  <c:v>120.5958491143771</c:v>
                </c:pt>
                <c:pt idx="101">
                  <c:v>120.28179498970411</c:v>
                </c:pt>
                <c:pt idx="102">
                  <c:v>120.27386489588288</c:v>
                </c:pt>
                <c:pt idx="103">
                  <c:v>120.35416132869375</c:v>
                </c:pt>
                <c:pt idx="104">
                  <c:v>120.41556126541921</c:v>
                </c:pt>
                <c:pt idx="105">
                  <c:v>120.44961944205672</c:v>
                </c:pt>
                <c:pt idx="106">
                  <c:v>120.60074924464924</c:v>
                </c:pt>
                <c:pt idx="107">
                  <c:v>120.67956498318398</c:v>
                </c:pt>
                <c:pt idx="108">
                  <c:v>120.67508718533692</c:v>
                </c:pt>
                <c:pt idx="109">
                  <c:v>120.47021327773717</c:v>
                </c:pt>
                <c:pt idx="110">
                  <c:v>120.25254835192375</c:v>
                </c:pt>
                <c:pt idx="111">
                  <c:v>120.05043652301407</c:v>
                </c:pt>
                <c:pt idx="112">
                  <c:v>119.93325993353805</c:v>
                </c:pt>
                <c:pt idx="113">
                  <c:v>119.63712941870952</c:v>
                </c:pt>
                <c:pt idx="114">
                  <c:v>119.46317683554621</c:v>
                </c:pt>
                <c:pt idx="115">
                  <c:v>118.78789281721222</c:v>
                </c:pt>
                <c:pt idx="116">
                  <c:v>118.02419910663475</c:v>
                </c:pt>
                <c:pt idx="117">
                  <c:v>117.192723485524</c:v>
                </c:pt>
                <c:pt idx="118">
                  <c:v>116.8353135226007</c:v>
                </c:pt>
                <c:pt idx="119">
                  <c:v>116.89612976256743</c:v>
                </c:pt>
                <c:pt idx="120">
                  <c:v>117.00597909121333</c:v>
                </c:pt>
                <c:pt idx="121">
                  <c:v>116.93851151704435</c:v>
                </c:pt>
                <c:pt idx="122">
                  <c:v>117.10478471173981</c:v>
                </c:pt>
                <c:pt idx="123">
                  <c:v>117.26263755983193</c:v>
                </c:pt>
                <c:pt idx="124">
                  <c:v>116.761873564542</c:v>
                </c:pt>
                <c:pt idx="125">
                  <c:v>116.72413739262211</c:v>
                </c:pt>
                <c:pt idx="126">
                  <c:v>116.94780644729695</c:v>
                </c:pt>
                <c:pt idx="127">
                  <c:v>116.96794922188198</c:v>
                </c:pt>
                <c:pt idx="128">
                  <c:v>116.83495607490795</c:v>
                </c:pt>
                <c:pt idx="129">
                  <c:v>116.80081614015606</c:v>
                </c:pt>
                <c:pt idx="130">
                  <c:v>116.73785665347253</c:v>
                </c:pt>
                <c:pt idx="131">
                  <c:v>116.80751590022274</c:v>
                </c:pt>
                <c:pt idx="132">
                  <c:v>116.87976872173144</c:v>
                </c:pt>
                <c:pt idx="133">
                  <c:v>117.12371525277966</c:v>
                </c:pt>
                <c:pt idx="134">
                  <c:v>117.32909013872896</c:v>
                </c:pt>
                <c:pt idx="135">
                  <c:v>117.60596516701756</c:v>
                </c:pt>
                <c:pt idx="136">
                  <c:v>118.19083816031825</c:v>
                </c:pt>
                <c:pt idx="137">
                  <c:v>118.34077633896214</c:v>
                </c:pt>
                <c:pt idx="138">
                  <c:v>118.21977940537118</c:v>
                </c:pt>
                <c:pt idx="139">
                  <c:v>118.2165397534266</c:v>
                </c:pt>
                <c:pt idx="140">
                  <c:v>118.25472162201773</c:v>
                </c:pt>
                <c:pt idx="141">
                  <c:v>118.62313642159006</c:v>
                </c:pt>
                <c:pt idx="142">
                  <c:v>118.91853895813136</c:v>
                </c:pt>
                <c:pt idx="143">
                  <c:v>119.00637966194314</c:v>
                </c:pt>
                <c:pt idx="144">
                  <c:v>119.42401610805253</c:v>
                </c:pt>
                <c:pt idx="145">
                  <c:v>119.90189311062856</c:v>
                </c:pt>
                <c:pt idx="146">
                  <c:v>120.0666474475353</c:v>
                </c:pt>
                <c:pt idx="147">
                  <c:v>120.19331431377735</c:v>
                </c:pt>
                <c:pt idx="148">
                  <c:v>120.06926650003024</c:v>
                </c:pt>
                <c:pt idx="149">
                  <c:v>119.71123632010331</c:v>
                </c:pt>
                <c:pt idx="150">
                  <c:v>119.44473149931785</c:v>
                </c:pt>
                <c:pt idx="151">
                  <c:v>119.51773523101367</c:v>
                </c:pt>
                <c:pt idx="152">
                  <c:v>119.68280216059503</c:v>
                </c:pt>
                <c:pt idx="153">
                  <c:v>119.99519297946537</c:v>
                </c:pt>
                <c:pt idx="154">
                  <c:v>120.10966985806074</c:v>
                </c:pt>
                <c:pt idx="155">
                  <c:v>120.29517081865424</c:v>
                </c:pt>
                <c:pt idx="156">
                  <c:v>120.28347825687938</c:v>
                </c:pt>
                <c:pt idx="157">
                  <c:v>120.41577167861779</c:v>
                </c:pt>
                <c:pt idx="158">
                  <c:v>120.55055459859005</c:v>
                </c:pt>
                <c:pt idx="159">
                  <c:v>120.37411170105045</c:v>
                </c:pt>
                <c:pt idx="160">
                  <c:v>120.51798019429688</c:v>
                </c:pt>
                <c:pt idx="161">
                  <c:v>120.54266005326302</c:v>
                </c:pt>
                <c:pt idx="162">
                  <c:v>120.50042141187558</c:v>
                </c:pt>
                <c:pt idx="163">
                  <c:v>120.70715713992477</c:v>
                </c:pt>
                <c:pt idx="164">
                  <c:v>120.65805236140574</c:v>
                </c:pt>
                <c:pt idx="165">
                  <c:v>120.48656421707848</c:v>
                </c:pt>
                <c:pt idx="166">
                  <c:v>120.58498203164703</c:v>
                </c:pt>
                <c:pt idx="167">
                  <c:v>120.66152625727921</c:v>
                </c:pt>
                <c:pt idx="168">
                  <c:v>120.6156796344839</c:v>
                </c:pt>
                <c:pt idx="169">
                  <c:v>120.62844174211502</c:v>
                </c:pt>
                <c:pt idx="170">
                  <c:v>120.87170506358351</c:v>
                </c:pt>
                <c:pt idx="171">
                  <c:v>121.02927196433693</c:v>
                </c:pt>
                <c:pt idx="172">
                  <c:v>120.77587513765947</c:v>
                </c:pt>
                <c:pt idx="173">
                  <c:v>120.89608393141253</c:v>
                </c:pt>
                <c:pt idx="174">
                  <c:v>121.18981084109141</c:v>
                </c:pt>
                <c:pt idx="175">
                  <c:v>120.92326308732072</c:v>
                </c:pt>
                <c:pt idx="176">
                  <c:v>120.59403738408491</c:v>
                </c:pt>
                <c:pt idx="177">
                  <c:v>120.18763626598826</c:v>
                </c:pt>
                <c:pt idx="178">
                  <c:v>119.66199736137061</c:v>
                </c:pt>
                <c:pt idx="179">
                  <c:v>119.66199736137061</c:v>
                </c:pt>
                <c:pt idx="180">
                  <c:v>119.80706003200558</c:v>
                </c:pt>
                <c:pt idx="181">
                  <c:v>119.84361942032918</c:v>
                </c:pt>
                <c:pt idx="182">
                  <c:v>119.98796412374156</c:v>
                </c:pt>
                <c:pt idx="183">
                  <c:v>119.66329784827022</c:v>
                </c:pt>
                <c:pt idx="184">
                  <c:v>119.30266686958561</c:v>
                </c:pt>
                <c:pt idx="185">
                  <c:v>119.05830464110079</c:v>
                </c:pt>
                <c:pt idx="186">
                  <c:v>118.65057779326285</c:v>
                </c:pt>
                <c:pt idx="187">
                  <c:v>118.49643455046242</c:v>
                </c:pt>
                <c:pt idx="188">
                  <c:v>119.41254990654089</c:v>
                </c:pt>
                <c:pt idx="189">
                  <c:v>120.7184242338075</c:v>
                </c:pt>
                <c:pt idx="190">
                  <c:v>122.09737894990059</c:v>
                </c:pt>
                <c:pt idx="191">
                  <c:v>123.83381170592915</c:v>
                </c:pt>
                <c:pt idx="192">
                  <c:v>125.41329138873526</c:v>
                </c:pt>
                <c:pt idx="193">
                  <c:v>125.94952328209011</c:v>
                </c:pt>
                <c:pt idx="194">
                  <c:v>126.21640369607542</c:v>
                </c:pt>
                <c:pt idx="195">
                  <c:v>126.65717205644201</c:v>
                </c:pt>
                <c:pt idx="196">
                  <c:v>126.9860182995872</c:v>
                </c:pt>
                <c:pt idx="197">
                  <c:v>127.40023186363402</c:v>
                </c:pt>
                <c:pt idx="198">
                  <c:v>127.36832229263904</c:v>
                </c:pt>
                <c:pt idx="199">
                  <c:v>127.33009223091969</c:v>
                </c:pt>
                <c:pt idx="200">
                  <c:v>127.32990374885888</c:v>
                </c:pt>
                <c:pt idx="201">
                  <c:v>127.21320173374056</c:v>
                </c:pt>
                <c:pt idx="202">
                  <c:v>127.21351531779665</c:v>
                </c:pt>
                <c:pt idx="203">
                  <c:v>127.20906841015089</c:v>
                </c:pt>
                <c:pt idx="204">
                  <c:v>126.89475652759914</c:v>
                </c:pt>
                <c:pt idx="205">
                  <c:v>125.94587167682347</c:v>
                </c:pt>
                <c:pt idx="206">
                  <c:v>125.4907731417163</c:v>
                </c:pt>
                <c:pt idx="207">
                  <c:v>125.27187725749401</c:v>
                </c:pt>
                <c:pt idx="208">
                  <c:v>125.53215723153045</c:v>
                </c:pt>
                <c:pt idx="209">
                  <c:v>125.77770437098064</c:v>
                </c:pt>
                <c:pt idx="210">
                  <c:v>125.81115906299503</c:v>
                </c:pt>
                <c:pt idx="211">
                  <c:v>125.59209479315992</c:v>
                </c:pt>
                <c:pt idx="212">
                  <c:v>124.73208549575833</c:v>
                </c:pt>
                <c:pt idx="213">
                  <c:v>124.49633923239838</c:v>
                </c:pt>
                <c:pt idx="214">
                  <c:v>124.35534473535965</c:v>
                </c:pt>
                <c:pt idx="215">
                  <c:v>124.02889661704091</c:v>
                </c:pt>
                <c:pt idx="216">
                  <c:v>123.55805326326362</c:v>
                </c:pt>
                <c:pt idx="217">
                  <c:v>122.80250100624818</c:v>
                </c:pt>
                <c:pt idx="218">
                  <c:v>122.80250100624815</c:v>
                </c:pt>
                <c:pt idx="219">
                  <c:v>122.92521777709555</c:v>
                </c:pt>
                <c:pt idx="220">
                  <c:v>122.94876595476214</c:v>
                </c:pt>
                <c:pt idx="221">
                  <c:v>122.90303463610738</c:v>
                </c:pt>
                <c:pt idx="222">
                  <c:v>122.92557611208028</c:v>
                </c:pt>
                <c:pt idx="223">
                  <c:v>122.78241933741978</c:v>
                </c:pt>
                <c:pt idx="224">
                  <c:v>122.78793478273694</c:v>
                </c:pt>
                <c:pt idx="225">
                  <c:v>123.09784683206499</c:v>
                </c:pt>
                <c:pt idx="226">
                  <c:v>123.36340492574112</c:v>
                </c:pt>
                <c:pt idx="227">
                  <c:v>123.40983489717095</c:v>
                </c:pt>
                <c:pt idx="228">
                  <c:v>123.36866583069731</c:v>
                </c:pt>
                <c:pt idx="229">
                  <c:v>123.28047842069705</c:v>
                </c:pt>
                <c:pt idx="230">
                  <c:v>123.17606818253087</c:v>
                </c:pt>
                <c:pt idx="231">
                  <c:v>122.656376808701</c:v>
                </c:pt>
                <c:pt idx="232">
                  <c:v>122.72794019571165</c:v>
                </c:pt>
                <c:pt idx="233">
                  <c:v>123.39897915308697</c:v>
                </c:pt>
                <c:pt idx="234">
                  <c:v>123.58551348159116</c:v>
                </c:pt>
                <c:pt idx="235">
                  <c:v>123.80480558537138</c:v>
                </c:pt>
                <c:pt idx="236">
                  <c:v>123.95659739498116</c:v>
                </c:pt>
                <c:pt idx="237">
                  <c:v>124.06139796587505</c:v>
                </c:pt>
                <c:pt idx="238">
                  <c:v>124.14019905894645</c:v>
                </c:pt>
                <c:pt idx="239">
                  <c:v>123.90131249149474</c:v>
                </c:pt>
                <c:pt idx="240">
                  <c:v>123.78652424141397</c:v>
                </c:pt>
                <c:pt idx="241">
                  <c:v>124.02268437583015</c:v>
                </c:pt>
                <c:pt idx="242">
                  <c:v>123.94866640388655</c:v>
                </c:pt>
                <c:pt idx="243">
                  <c:v>124.13315763861478</c:v>
                </c:pt>
                <c:pt idx="244">
                  <c:v>123.93771441538441</c:v>
                </c:pt>
                <c:pt idx="245">
                  <c:v>123.09923596791947</c:v>
                </c:pt>
                <c:pt idx="246">
                  <c:v>121.97014498907896</c:v>
                </c:pt>
                <c:pt idx="247">
                  <c:v>121.01172160943892</c:v>
                </c:pt>
                <c:pt idx="248">
                  <c:v>120.28356334188609</c:v>
                </c:pt>
                <c:pt idx="249">
                  <c:v>119.46193365058799</c:v>
                </c:pt>
                <c:pt idx="250">
                  <c:v>118.44000554213949</c:v>
                </c:pt>
                <c:pt idx="251">
                  <c:v>117.16412493956754</c:v>
                </c:pt>
                <c:pt idx="252">
                  <c:v>115.69199042832294</c:v>
                </c:pt>
                <c:pt idx="253">
                  <c:v>114.92878405762087</c:v>
                </c:pt>
                <c:pt idx="254">
                  <c:v>113.90929320274658</c:v>
                </c:pt>
                <c:pt idx="255">
                  <c:v>113.11835368114407</c:v>
                </c:pt>
                <c:pt idx="256">
                  <c:v>112.32726213256294</c:v>
                </c:pt>
                <c:pt idx="257">
                  <c:v>111.45163499580376</c:v>
                </c:pt>
                <c:pt idx="258">
                  <c:v>110.85125571839461</c:v>
                </c:pt>
                <c:pt idx="259">
                  <c:v>110.2745939614138</c:v>
                </c:pt>
                <c:pt idx="260">
                  <c:v>110.48710433743722</c:v>
                </c:pt>
                <c:pt idx="261">
                  <c:v>111.06721430289193</c:v>
                </c:pt>
                <c:pt idx="262">
                  <c:v>111.87601064684452</c:v>
                </c:pt>
                <c:pt idx="263">
                  <c:v>112.38525770222176</c:v>
                </c:pt>
                <c:pt idx="264">
                  <c:v>112.45975702596701</c:v>
                </c:pt>
                <c:pt idx="265">
                  <c:v>112.59692602804489</c:v>
                </c:pt>
                <c:pt idx="266">
                  <c:v>112.58632989523873</c:v>
                </c:pt>
                <c:pt idx="267">
                  <c:v>112.69473489968027</c:v>
                </c:pt>
                <c:pt idx="268">
                  <c:v>112.64068603995794</c:v>
                </c:pt>
                <c:pt idx="269">
                  <c:v>112.58380710633988</c:v>
                </c:pt>
                <c:pt idx="270">
                  <c:v>112.45039971370875</c:v>
                </c:pt>
                <c:pt idx="271">
                  <c:v>112.50378266425047</c:v>
                </c:pt>
                <c:pt idx="272">
                  <c:v>112.5188656101533</c:v>
                </c:pt>
                <c:pt idx="273">
                  <c:v>112.59124058848452</c:v>
                </c:pt>
                <c:pt idx="274">
                  <c:v>112.63680251859655</c:v>
                </c:pt>
                <c:pt idx="275">
                  <c:v>112.6354349682034</c:v>
                </c:pt>
                <c:pt idx="276">
                  <c:v>112.54963470093436</c:v>
                </c:pt>
                <c:pt idx="277">
                  <c:v>112.53798126647462</c:v>
                </c:pt>
                <c:pt idx="278">
                  <c:v>112.79092237023815</c:v>
                </c:pt>
                <c:pt idx="279">
                  <c:v>112.85489949997633</c:v>
                </c:pt>
                <c:pt idx="280">
                  <c:v>112.62351949488618</c:v>
                </c:pt>
                <c:pt idx="281">
                  <c:v>112.38615563029772</c:v>
                </c:pt>
                <c:pt idx="282">
                  <c:v>111.96644427816301</c:v>
                </c:pt>
                <c:pt idx="283">
                  <c:v>111.75057973049917</c:v>
                </c:pt>
                <c:pt idx="284">
                  <c:v>112.16932661557553</c:v>
                </c:pt>
                <c:pt idx="285">
                  <c:v>112.24085750684569</c:v>
                </c:pt>
                <c:pt idx="286">
                  <c:v>112.48365023384238</c:v>
                </c:pt>
                <c:pt idx="287">
                  <c:v>112.44511147906269</c:v>
                </c:pt>
                <c:pt idx="288">
                  <c:v>112.44897554177325</c:v>
                </c:pt>
                <c:pt idx="289">
                  <c:v>112.5135155276901</c:v>
                </c:pt>
                <c:pt idx="290">
                  <c:v>112.70775122784939</c:v>
                </c:pt>
                <c:pt idx="291">
                  <c:v>112.6009236391908</c:v>
                </c:pt>
                <c:pt idx="292">
                  <c:v>112.54579315076143</c:v>
                </c:pt>
                <c:pt idx="293">
                  <c:v>112.89058477547334</c:v>
                </c:pt>
                <c:pt idx="294">
                  <c:v>112.86842036255933</c:v>
                </c:pt>
                <c:pt idx="295">
                  <c:v>112.87503091526044</c:v>
                </c:pt>
                <c:pt idx="296">
                  <c:v>113.17294842466106</c:v>
                </c:pt>
                <c:pt idx="297">
                  <c:v>113.02128468569592</c:v>
                </c:pt>
                <c:pt idx="298">
                  <c:v>112.73805382208961</c:v>
                </c:pt>
                <c:pt idx="299">
                  <c:v>112.69388445460298</c:v>
                </c:pt>
                <c:pt idx="300">
                  <c:v>113.00965278415613</c:v>
                </c:pt>
                <c:pt idx="301">
                  <c:v>113.69799170654053</c:v>
                </c:pt>
                <c:pt idx="302">
                  <c:v>114.23086912962417</c:v>
                </c:pt>
                <c:pt idx="303">
                  <c:v>115.12911515392733</c:v>
                </c:pt>
                <c:pt idx="304">
                  <c:v>115.89563955336131</c:v>
                </c:pt>
                <c:pt idx="305">
                  <c:v>116.58514634742427</c:v>
                </c:pt>
                <c:pt idx="306">
                  <c:v>117.2365142647248</c:v>
                </c:pt>
                <c:pt idx="307">
                  <c:v>118.03362539379695</c:v>
                </c:pt>
                <c:pt idx="308">
                  <c:v>119.09517973673935</c:v>
                </c:pt>
                <c:pt idx="309">
                  <c:v>119.9338401410831</c:v>
                </c:pt>
                <c:pt idx="310">
                  <c:v>120.63422748855101</c:v>
                </c:pt>
                <c:pt idx="311">
                  <c:v>121.37387860268142</c:v>
                </c:pt>
                <c:pt idx="312">
                  <c:v>121.95392762969942</c:v>
                </c:pt>
                <c:pt idx="313">
                  <c:v>121.98242310027753</c:v>
                </c:pt>
                <c:pt idx="314">
                  <c:v>121.63760956515743</c:v>
                </c:pt>
                <c:pt idx="315">
                  <c:v>122.3884814099479</c:v>
                </c:pt>
                <c:pt idx="316">
                  <c:v>123.34277666284594</c:v>
                </c:pt>
                <c:pt idx="317">
                  <c:v>124.40035096362766</c:v>
                </c:pt>
                <c:pt idx="318">
                  <c:v>124.59743553438712</c:v>
                </c:pt>
                <c:pt idx="319">
                  <c:v>125.48475805914659</c:v>
                </c:pt>
                <c:pt idx="320">
                  <c:v>125.75513962323924</c:v>
                </c:pt>
                <c:pt idx="321">
                  <c:v>125.79238178634765</c:v>
                </c:pt>
                <c:pt idx="322">
                  <c:v>125.75986265033531</c:v>
                </c:pt>
                <c:pt idx="323">
                  <c:v>125.39297165923648</c:v>
                </c:pt>
                <c:pt idx="324">
                  <c:v>124.82536240774073</c:v>
                </c:pt>
                <c:pt idx="325">
                  <c:v>124.25751558860011</c:v>
                </c:pt>
                <c:pt idx="326">
                  <c:v>123.61022011551907</c:v>
                </c:pt>
                <c:pt idx="327">
                  <c:v>122.75841720541051</c:v>
                </c:pt>
                <c:pt idx="328">
                  <c:v>121.55858189410799</c:v>
                </c:pt>
                <c:pt idx="329">
                  <c:v>120.31875642195826</c:v>
                </c:pt>
                <c:pt idx="330">
                  <c:v>118.98984906184518</c:v>
                </c:pt>
                <c:pt idx="331">
                  <c:v>117.14657529247847</c:v>
                </c:pt>
                <c:pt idx="332">
                  <c:v>114.75106114932976</c:v>
                </c:pt>
                <c:pt idx="333">
                  <c:v>111.78185291803653</c:v>
                </c:pt>
                <c:pt idx="334">
                  <c:v>110.5930883577077</c:v>
                </c:pt>
                <c:pt idx="335">
                  <c:v>110.60537689771614</c:v>
                </c:pt>
                <c:pt idx="336">
                  <c:v>110.58477698380177</c:v>
                </c:pt>
                <c:pt idx="337">
                  <c:v>110.31838544359516</c:v>
                </c:pt>
                <c:pt idx="338">
                  <c:v>110.3358997228657</c:v>
                </c:pt>
                <c:pt idx="339">
                  <c:v>109.92697188530967</c:v>
                </c:pt>
                <c:pt idx="340">
                  <c:v>110.2351845387452</c:v>
                </c:pt>
                <c:pt idx="341">
                  <c:v>110.53715032247341</c:v>
                </c:pt>
                <c:pt idx="342">
                  <c:v>110.53146940892935</c:v>
                </c:pt>
                <c:pt idx="343">
                  <c:v>110.60358622067545</c:v>
                </c:pt>
                <c:pt idx="344">
                  <c:v>110.70121650396041</c:v>
                </c:pt>
                <c:pt idx="345">
                  <c:v>110.67352353608582</c:v>
                </c:pt>
                <c:pt idx="346">
                  <c:v>110.60201822988593</c:v>
                </c:pt>
                <c:pt idx="347">
                  <c:v>110.71280467000942</c:v>
                </c:pt>
                <c:pt idx="348">
                  <c:v>110.695801800995</c:v>
                </c:pt>
                <c:pt idx="349">
                  <c:v>110.58848708620272</c:v>
                </c:pt>
                <c:pt idx="350">
                  <c:v>110.35134774342058</c:v>
                </c:pt>
                <c:pt idx="351">
                  <c:v>110.22614854997073</c:v>
                </c:pt>
                <c:pt idx="352">
                  <c:v>110.27690487740921</c:v>
                </c:pt>
                <c:pt idx="353">
                  <c:v>110.32075076981648</c:v>
                </c:pt>
                <c:pt idx="354">
                  <c:v>110.2534153320053</c:v>
                </c:pt>
                <c:pt idx="355">
                  <c:v>110.24184269391054</c:v>
                </c:pt>
                <c:pt idx="356">
                  <c:v>110.29052606047831</c:v>
                </c:pt>
                <c:pt idx="357">
                  <c:v>110.35701166057476</c:v>
                </c:pt>
                <c:pt idx="358">
                  <c:v>110.25154305531375</c:v>
                </c:pt>
                <c:pt idx="359">
                  <c:v>110.01410766595518</c:v>
                </c:pt>
                <c:pt idx="360">
                  <c:v>109.64014962806634</c:v>
                </c:pt>
                <c:pt idx="361">
                  <c:v>109.60258391681802</c:v>
                </c:pt>
                <c:pt idx="362">
                  <c:v>109.89458655454713</c:v>
                </c:pt>
                <c:pt idx="363">
                  <c:v>110.8161264397247</c:v>
                </c:pt>
                <c:pt idx="364">
                  <c:v>111.79411880553528</c:v>
                </c:pt>
                <c:pt idx="365">
                  <c:v>113.25182708991194</c:v>
                </c:pt>
                <c:pt idx="366">
                  <c:v>114.38139197196675</c:v>
                </c:pt>
                <c:pt idx="367">
                  <c:v>115.7155334958705</c:v>
                </c:pt>
                <c:pt idx="368">
                  <c:v>116.2843015225075</c:v>
                </c:pt>
                <c:pt idx="369">
                  <c:v>116.38535170152412</c:v>
                </c:pt>
                <c:pt idx="370">
                  <c:v>116.47571392394606</c:v>
                </c:pt>
                <c:pt idx="371">
                  <c:v>116.57661314003369</c:v>
                </c:pt>
                <c:pt idx="372">
                  <c:v>116.59127033492146</c:v>
                </c:pt>
                <c:pt idx="373">
                  <c:v>116.40893006802656</c:v>
                </c:pt>
                <c:pt idx="374">
                  <c:v>116.30959102191187</c:v>
                </c:pt>
                <c:pt idx="375">
                  <c:v>116.36437828981265</c:v>
                </c:pt>
                <c:pt idx="376">
                  <c:v>116.22974093209027</c:v>
                </c:pt>
                <c:pt idx="377">
                  <c:v>115.61720661642782</c:v>
                </c:pt>
                <c:pt idx="378">
                  <c:v>115.69189328684048</c:v>
                </c:pt>
                <c:pt idx="379">
                  <c:v>115.60191412421622</c:v>
                </c:pt>
                <c:pt idx="380">
                  <c:v>115.94642277060727</c:v>
                </c:pt>
                <c:pt idx="381">
                  <c:v>116.48200061087769</c:v>
                </c:pt>
                <c:pt idx="382">
                  <c:v>116.69715710236206</c:v>
                </c:pt>
                <c:pt idx="383">
                  <c:v>116.75728025623651</c:v>
                </c:pt>
                <c:pt idx="384">
                  <c:v>116.74016069090914</c:v>
                </c:pt>
                <c:pt idx="385">
                  <c:v>116.52363968595915</c:v>
                </c:pt>
                <c:pt idx="386">
                  <c:v>116.53314964740798</c:v>
                </c:pt>
                <c:pt idx="387">
                  <c:v>116.19973868072005</c:v>
                </c:pt>
                <c:pt idx="388">
                  <c:v>116.17095135368072</c:v>
                </c:pt>
                <c:pt idx="389">
                  <c:v>116.1214597993295</c:v>
                </c:pt>
                <c:pt idx="390">
                  <c:v>116.07597831530494</c:v>
                </c:pt>
                <c:pt idx="391">
                  <c:v>116.07747550016191</c:v>
                </c:pt>
                <c:pt idx="392">
                  <c:v>116.09791566878826</c:v>
                </c:pt>
                <c:pt idx="393">
                  <c:v>116.08267280504616</c:v>
                </c:pt>
                <c:pt idx="394">
                  <c:v>116.07272776336735</c:v>
                </c:pt>
                <c:pt idx="395">
                  <c:v>116.08994384623907</c:v>
                </c:pt>
                <c:pt idx="396">
                  <c:v>116.06122656815728</c:v>
                </c:pt>
                <c:pt idx="397">
                  <c:v>116.27192491088957</c:v>
                </c:pt>
                <c:pt idx="398">
                  <c:v>116.09871128882193</c:v>
                </c:pt>
                <c:pt idx="399">
                  <c:v>115.97111099772748</c:v>
                </c:pt>
                <c:pt idx="400">
                  <c:v>115.55627587211306</c:v>
                </c:pt>
                <c:pt idx="401">
                  <c:v>114.7584925582342</c:v>
                </c:pt>
                <c:pt idx="402">
                  <c:v>114.28412703629158</c:v>
                </c:pt>
                <c:pt idx="403">
                  <c:v>113.88074823560939</c:v>
                </c:pt>
                <c:pt idx="404">
                  <c:v>113.46155718076879</c:v>
                </c:pt>
                <c:pt idx="405">
                  <c:v>113.10221595565173</c:v>
                </c:pt>
                <c:pt idx="406">
                  <c:v>113.13053098885304</c:v>
                </c:pt>
                <c:pt idx="407">
                  <c:v>113.13845020832483</c:v>
                </c:pt>
                <c:pt idx="408">
                  <c:v>113.11073308802999</c:v>
                </c:pt>
                <c:pt idx="409">
                  <c:v>112.99173066359026</c:v>
                </c:pt>
                <c:pt idx="410">
                  <c:v>112.79578466276544</c:v>
                </c:pt>
                <c:pt idx="411">
                  <c:v>112.94137545088934</c:v>
                </c:pt>
                <c:pt idx="412">
                  <c:v>113.00042573826629</c:v>
                </c:pt>
                <c:pt idx="413">
                  <c:v>112.68131170786482</c:v>
                </c:pt>
                <c:pt idx="414">
                  <c:v>112.8842136402795</c:v>
                </c:pt>
                <c:pt idx="415">
                  <c:v>113.28414322516912</c:v>
                </c:pt>
                <c:pt idx="416">
                  <c:v>114.16047913858893</c:v>
                </c:pt>
                <c:pt idx="417">
                  <c:v>115.10126716698881</c:v>
                </c:pt>
                <c:pt idx="418">
                  <c:v>115.39757622590894</c:v>
                </c:pt>
                <c:pt idx="419">
                  <c:v>115.69273759647861</c:v>
                </c:pt>
                <c:pt idx="420">
                  <c:v>115.61499597078682</c:v>
                </c:pt>
                <c:pt idx="421">
                  <c:v>115.59891807828981</c:v>
                </c:pt>
                <c:pt idx="422">
                  <c:v>115.50965853639602</c:v>
                </c:pt>
                <c:pt idx="423">
                  <c:v>115.57129173749739</c:v>
                </c:pt>
                <c:pt idx="424">
                  <c:v>115.66170966892219</c:v>
                </c:pt>
                <c:pt idx="425">
                  <c:v>115.68256492043891</c:v>
                </c:pt>
                <c:pt idx="426">
                  <c:v>115.51980226476113</c:v>
                </c:pt>
                <c:pt idx="427">
                  <c:v>115.62090883378032</c:v>
                </c:pt>
                <c:pt idx="428">
                  <c:v>115.81252202125546</c:v>
                </c:pt>
                <c:pt idx="429">
                  <c:v>115.79205153423754</c:v>
                </c:pt>
                <c:pt idx="430">
                  <c:v>115.66400413427469</c:v>
                </c:pt>
                <c:pt idx="431">
                  <c:v>115.65952768475766</c:v>
                </c:pt>
                <c:pt idx="432">
                  <c:v>115.81081996677348</c:v>
                </c:pt>
                <c:pt idx="433">
                  <c:v>116.02968390403376</c:v>
                </c:pt>
                <c:pt idx="434">
                  <c:v>116.40633605334301</c:v>
                </c:pt>
                <c:pt idx="435">
                  <c:v>117.09494085592236</c:v>
                </c:pt>
                <c:pt idx="436">
                  <c:v>117.08720171840902</c:v>
                </c:pt>
                <c:pt idx="437">
                  <c:v>116.92182115485522</c:v>
                </c:pt>
                <c:pt idx="438">
                  <c:v>116.92124062104136</c:v>
                </c:pt>
                <c:pt idx="439">
                  <c:v>116.93348633218848</c:v>
                </c:pt>
                <c:pt idx="440">
                  <c:v>116.72644173095595</c:v>
                </c:pt>
                <c:pt idx="441">
                  <c:v>116.60844068708779</c:v>
                </c:pt>
                <c:pt idx="442">
                  <c:v>116.540881426567</c:v>
                </c:pt>
                <c:pt idx="443">
                  <c:v>116.58049432898881</c:v>
                </c:pt>
                <c:pt idx="444">
                  <c:v>116.55617620541453</c:v>
                </c:pt>
                <c:pt idx="445">
                  <c:v>116.70523837644689</c:v>
                </c:pt>
                <c:pt idx="446">
                  <c:v>116.70945611749887</c:v>
                </c:pt>
                <c:pt idx="447">
                  <c:v>116.59830944181749</c:v>
                </c:pt>
                <c:pt idx="448">
                  <c:v>116.39813394914057</c:v>
                </c:pt>
                <c:pt idx="449">
                  <c:v>116.4336874698005</c:v>
                </c:pt>
                <c:pt idx="450">
                  <c:v>116.42619252530118</c:v>
                </c:pt>
                <c:pt idx="451">
                  <c:v>116.42747711940412</c:v>
                </c:pt>
                <c:pt idx="452">
                  <c:v>116.34739778775062</c:v>
                </c:pt>
                <c:pt idx="453">
                  <c:v>116.36989909327302</c:v>
                </c:pt>
                <c:pt idx="454">
                  <c:v>116.45599452325455</c:v>
                </c:pt>
                <c:pt idx="455">
                  <c:v>115.96788251424434</c:v>
                </c:pt>
                <c:pt idx="456">
                  <c:v>116.2925269387175</c:v>
                </c:pt>
                <c:pt idx="457">
                  <c:v>116.51568140375876</c:v>
                </c:pt>
                <c:pt idx="458">
                  <c:v>116.9853192172915</c:v>
                </c:pt>
                <c:pt idx="459">
                  <c:v>117.04800170961005</c:v>
                </c:pt>
                <c:pt idx="460">
                  <c:v>117.11523729031164</c:v>
                </c:pt>
                <c:pt idx="461">
                  <c:v>117.08423074919811</c:v>
                </c:pt>
                <c:pt idx="462">
                  <c:v>117.07405579940486</c:v>
                </c:pt>
                <c:pt idx="463">
                  <c:v>117.05224528928123</c:v>
                </c:pt>
                <c:pt idx="464">
                  <c:v>117.13711382011265</c:v>
                </c:pt>
                <c:pt idx="465">
                  <c:v>117.51011754589815</c:v>
                </c:pt>
                <c:pt idx="466">
                  <c:v>118.17411028482468</c:v>
                </c:pt>
                <c:pt idx="467">
                  <c:v>119.13140475524445</c:v>
                </c:pt>
                <c:pt idx="468">
                  <c:v>119.46145141594241</c:v>
                </c:pt>
                <c:pt idx="469">
                  <c:v>119.67102058731138</c:v>
                </c:pt>
                <c:pt idx="470">
                  <c:v>120.08187016574684</c:v>
                </c:pt>
                <c:pt idx="471">
                  <c:v>120.15514000679744</c:v>
                </c:pt>
                <c:pt idx="472">
                  <c:v>120.37011110958019</c:v>
                </c:pt>
                <c:pt idx="473">
                  <c:v>120.45022480190305</c:v>
                </c:pt>
                <c:pt idx="474">
                  <c:v>120.50244483099962</c:v>
                </c:pt>
                <c:pt idx="475">
                  <c:v>120.55740542587523</c:v>
                </c:pt>
                <c:pt idx="476">
                  <c:v>120.55786262252778</c:v>
                </c:pt>
                <c:pt idx="477">
                  <c:v>120.58212420859783</c:v>
                </c:pt>
                <c:pt idx="478">
                  <c:v>120.57952499879512</c:v>
                </c:pt>
                <c:pt idx="479">
                  <c:v>120.56263285210208</c:v>
                </c:pt>
                <c:pt idx="480">
                  <c:v>120.53996181571664</c:v>
                </c:pt>
                <c:pt idx="481">
                  <c:v>120.42705064661945</c:v>
                </c:pt>
                <c:pt idx="482">
                  <c:v>120.42155298046741</c:v>
                </c:pt>
                <c:pt idx="483">
                  <c:v>120.23913642029906</c:v>
                </c:pt>
                <c:pt idx="484">
                  <c:v>120.10716184439887</c:v>
                </c:pt>
                <c:pt idx="485">
                  <c:v>120.09708419682201</c:v>
                </c:pt>
                <c:pt idx="486">
                  <c:v>120.10090689845123</c:v>
                </c:pt>
                <c:pt idx="487">
                  <c:v>120.04551173613021</c:v>
                </c:pt>
                <c:pt idx="488">
                  <c:v>120.28205009726359</c:v>
                </c:pt>
                <c:pt idx="489">
                  <c:v>120.28682545503764</c:v>
                </c:pt>
                <c:pt idx="490">
                  <c:v>120.065357011061</c:v>
                </c:pt>
                <c:pt idx="491">
                  <c:v>120.09938385004627</c:v>
                </c:pt>
                <c:pt idx="492">
                  <c:v>119.87545749229984</c:v>
                </c:pt>
                <c:pt idx="493">
                  <c:v>119.83146852951874</c:v>
                </c:pt>
                <c:pt idx="494">
                  <c:v>119.81498608829267</c:v>
                </c:pt>
                <c:pt idx="495">
                  <c:v>119.92419384966158</c:v>
                </c:pt>
                <c:pt idx="496">
                  <c:v>120.26219895923582</c:v>
                </c:pt>
                <c:pt idx="497">
                  <c:v>120.39457867983846</c:v>
                </c:pt>
                <c:pt idx="498">
                  <c:v>120.46678686212059</c:v>
                </c:pt>
                <c:pt idx="499">
                  <c:v>120.88400968697228</c:v>
                </c:pt>
                <c:pt idx="500">
                  <c:v>121.36790831613291</c:v>
                </c:pt>
                <c:pt idx="501">
                  <c:v>121.54170646826127</c:v>
                </c:pt>
                <c:pt idx="502">
                  <c:v>122.31971686447437</c:v>
                </c:pt>
                <c:pt idx="503">
                  <c:v>123.75315361337135</c:v>
                </c:pt>
                <c:pt idx="504">
                  <c:v>123.94078779013914</c:v>
                </c:pt>
                <c:pt idx="505">
                  <c:v>123.85082889867375</c:v>
                </c:pt>
                <c:pt idx="506">
                  <c:v>124.33913279611295</c:v>
                </c:pt>
                <c:pt idx="507">
                  <c:v>125.10958152175942</c:v>
                </c:pt>
                <c:pt idx="508">
                  <c:v>125.66702343106432</c:v>
                </c:pt>
                <c:pt idx="509">
                  <c:v>126.73549756707679</c:v>
                </c:pt>
                <c:pt idx="510">
                  <c:v>128.60289616929524</c:v>
                </c:pt>
                <c:pt idx="511">
                  <c:v>129.55931084486718</c:v>
                </c:pt>
                <c:pt idx="512">
                  <c:v>130.72088531080351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Data!$M$2:$M$514</c:f>
              <c:numCache>
                <c:formatCode>General</c:formatCode>
                <c:ptCount val="513"/>
                <c:pt idx="19">
                  <c:v>95.03852930537866</c:v>
                </c:pt>
                <c:pt idx="20">
                  <c:v>95.018026114162609</c:v>
                </c:pt>
                <c:pt idx="21">
                  <c:v>95.063932167353485</c:v>
                </c:pt>
                <c:pt idx="22">
                  <c:v>95.074628152826179</c:v>
                </c:pt>
                <c:pt idx="23">
                  <c:v>95.107759428248656</c:v>
                </c:pt>
                <c:pt idx="24">
                  <c:v>95.09518749989914</c:v>
                </c:pt>
                <c:pt idx="25">
                  <c:v>95.150422536419498</c:v>
                </c:pt>
                <c:pt idx="26">
                  <c:v>95.228474452337636</c:v>
                </c:pt>
                <c:pt idx="27">
                  <c:v>95.437323346506972</c:v>
                </c:pt>
                <c:pt idx="28">
                  <c:v>95.504184438100481</c:v>
                </c:pt>
                <c:pt idx="29">
                  <c:v>95.900967507380102</c:v>
                </c:pt>
                <c:pt idx="30">
                  <c:v>96.462773935967888</c:v>
                </c:pt>
                <c:pt idx="31">
                  <c:v>97.182110506344841</c:v>
                </c:pt>
                <c:pt idx="32">
                  <c:v>98.014773573276614</c:v>
                </c:pt>
                <c:pt idx="33">
                  <c:v>99.131619316248504</c:v>
                </c:pt>
                <c:pt idx="34">
                  <c:v>100.01535058311987</c:v>
                </c:pt>
                <c:pt idx="35">
                  <c:v>100.51632940265141</c:v>
                </c:pt>
                <c:pt idx="36">
                  <c:v>100.58930829562421</c:v>
                </c:pt>
                <c:pt idx="37">
                  <c:v>100.58055501666425</c:v>
                </c:pt>
                <c:pt idx="38">
                  <c:v>100.5830832441937</c:v>
                </c:pt>
                <c:pt idx="39">
                  <c:v>100.6273675720074</c:v>
                </c:pt>
                <c:pt idx="40">
                  <c:v>100.6251689425262</c:v>
                </c:pt>
                <c:pt idx="41">
                  <c:v>100.54314123746605</c:v>
                </c:pt>
                <c:pt idx="42">
                  <c:v>100.69582796180002</c:v>
                </c:pt>
                <c:pt idx="43">
                  <c:v>100.87241819051573</c:v>
                </c:pt>
                <c:pt idx="44">
                  <c:v>100.83690586854705</c:v>
                </c:pt>
                <c:pt idx="45">
                  <c:v>100.80752383249853</c:v>
                </c:pt>
                <c:pt idx="46">
                  <c:v>100.51126023205717</c:v>
                </c:pt>
                <c:pt idx="47">
                  <c:v>100.52786414834974</c:v>
                </c:pt>
                <c:pt idx="48">
                  <c:v>100.54633551965075</c:v>
                </c:pt>
                <c:pt idx="49">
                  <c:v>100.84051505766038</c:v>
                </c:pt>
                <c:pt idx="50">
                  <c:v>101.10797373949853</c:v>
                </c:pt>
                <c:pt idx="51">
                  <c:v>101.02809941447133</c:v>
                </c:pt>
                <c:pt idx="52">
                  <c:v>100.94619021832663</c:v>
                </c:pt>
                <c:pt idx="53">
                  <c:v>101.1017351195991</c:v>
                </c:pt>
                <c:pt idx="54">
                  <c:v>101.09536978100712</c:v>
                </c:pt>
                <c:pt idx="55">
                  <c:v>101.17368864826628</c:v>
                </c:pt>
                <c:pt idx="56">
                  <c:v>101.54356967930951</c:v>
                </c:pt>
                <c:pt idx="57">
                  <c:v>101.85720837129948</c:v>
                </c:pt>
                <c:pt idx="58">
                  <c:v>102.45369288468531</c:v>
                </c:pt>
                <c:pt idx="59">
                  <c:v>103.034435423929</c:v>
                </c:pt>
                <c:pt idx="60">
                  <c:v>103.61201529885059</c:v>
                </c:pt>
                <c:pt idx="61">
                  <c:v>104.00881535766351</c:v>
                </c:pt>
                <c:pt idx="62">
                  <c:v>104.65061596049927</c:v>
                </c:pt>
                <c:pt idx="63">
                  <c:v>105.26462566780219</c:v>
                </c:pt>
                <c:pt idx="64">
                  <c:v>105.80718045330566</c:v>
                </c:pt>
                <c:pt idx="65">
                  <c:v>106.22205296066461</c:v>
                </c:pt>
                <c:pt idx="66">
                  <c:v>106.77209290173346</c:v>
                </c:pt>
                <c:pt idx="67">
                  <c:v>107.3134257314922</c:v>
                </c:pt>
                <c:pt idx="68">
                  <c:v>108.11430974312674</c:v>
                </c:pt>
                <c:pt idx="69">
                  <c:v>108.90858816775777</c:v>
                </c:pt>
                <c:pt idx="70">
                  <c:v>109.55578210665827</c:v>
                </c:pt>
                <c:pt idx="71">
                  <c:v>110.39175841166089</c:v>
                </c:pt>
                <c:pt idx="72">
                  <c:v>111.11549489371436</c:v>
                </c:pt>
                <c:pt idx="73">
                  <c:v>111.75170348190741</c:v>
                </c:pt>
                <c:pt idx="74">
                  <c:v>112.48542581983337</c:v>
                </c:pt>
                <c:pt idx="75">
                  <c:v>113.22168593761086</c:v>
                </c:pt>
                <c:pt idx="76">
                  <c:v>114.07685789899685</c:v>
                </c:pt>
                <c:pt idx="77">
                  <c:v>114.75232152182215</c:v>
                </c:pt>
                <c:pt idx="78">
                  <c:v>115.85790939376623</c:v>
                </c:pt>
                <c:pt idx="79">
                  <c:v>116.80439927516642</c:v>
                </c:pt>
                <c:pt idx="80">
                  <c:v>117.24310464560953</c:v>
                </c:pt>
                <c:pt idx="81">
                  <c:v>117.75657275653002</c:v>
                </c:pt>
                <c:pt idx="82">
                  <c:v>117.58954019080069</c:v>
                </c:pt>
                <c:pt idx="83">
                  <c:v>116.84791230834371</c:v>
                </c:pt>
                <c:pt idx="84">
                  <c:v>116.25967709489893</c:v>
                </c:pt>
                <c:pt idx="85">
                  <c:v>115.70204176557591</c:v>
                </c:pt>
                <c:pt idx="86">
                  <c:v>115.35948242326118</c:v>
                </c:pt>
                <c:pt idx="87">
                  <c:v>114.97968680751261</c:v>
                </c:pt>
                <c:pt idx="88">
                  <c:v>114.76816827477433</c:v>
                </c:pt>
                <c:pt idx="89">
                  <c:v>114.8695285918601</c:v>
                </c:pt>
                <c:pt idx="90">
                  <c:v>114.84007013966161</c:v>
                </c:pt>
                <c:pt idx="91">
                  <c:v>114.79209198108265</c:v>
                </c:pt>
                <c:pt idx="92">
                  <c:v>114.73177667216618</c:v>
                </c:pt>
                <c:pt idx="93">
                  <c:v>114.73014987145042</c:v>
                </c:pt>
                <c:pt idx="94">
                  <c:v>114.69398856931541</c:v>
                </c:pt>
                <c:pt idx="95">
                  <c:v>114.70309806916062</c:v>
                </c:pt>
                <c:pt idx="96">
                  <c:v>114.76867127369628</c:v>
                </c:pt>
                <c:pt idx="97">
                  <c:v>114.88716585625492</c:v>
                </c:pt>
                <c:pt idx="98">
                  <c:v>114.76083955511835</c:v>
                </c:pt>
                <c:pt idx="99">
                  <c:v>114.30675606265986</c:v>
                </c:pt>
                <c:pt idx="100">
                  <c:v>113.62915088562295</c:v>
                </c:pt>
                <c:pt idx="101">
                  <c:v>113.4652050102959</c:v>
                </c:pt>
                <c:pt idx="102">
                  <c:v>113.00913510411716</c:v>
                </c:pt>
                <c:pt idx="103">
                  <c:v>112.72483867130626</c:v>
                </c:pt>
                <c:pt idx="104">
                  <c:v>112.76543873458077</c:v>
                </c:pt>
                <c:pt idx="105">
                  <c:v>112.57638055794327</c:v>
                </c:pt>
                <c:pt idx="106">
                  <c:v>112.01725075535076</c:v>
                </c:pt>
                <c:pt idx="107">
                  <c:v>111.63343501681598</c:v>
                </c:pt>
                <c:pt idx="108">
                  <c:v>111.41991281466302</c:v>
                </c:pt>
                <c:pt idx="109">
                  <c:v>111.05578672226281</c:v>
                </c:pt>
                <c:pt idx="110">
                  <c:v>110.78545164807626</c:v>
                </c:pt>
                <c:pt idx="111">
                  <c:v>110.41356347698596</c:v>
                </c:pt>
                <c:pt idx="112">
                  <c:v>109.85674006646197</c:v>
                </c:pt>
                <c:pt idx="113">
                  <c:v>109.29887058129046</c:v>
                </c:pt>
                <c:pt idx="114">
                  <c:v>108.59682316445382</c:v>
                </c:pt>
                <c:pt idx="115">
                  <c:v>108.14410718278785</c:v>
                </c:pt>
                <c:pt idx="116">
                  <c:v>107.97880089336526</c:v>
                </c:pt>
                <c:pt idx="117">
                  <c:v>108.199276514476</c:v>
                </c:pt>
                <c:pt idx="118">
                  <c:v>108.08468647739929</c:v>
                </c:pt>
                <c:pt idx="119">
                  <c:v>108.07787023743256</c:v>
                </c:pt>
                <c:pt idx="120">
                  <c:v>108.06302090878668</c:v>
                </c:pt>
                <c:pt idx="121">
                  <c:v>108.08548848295563</c:v>
                </c:pt>
                <c:pt idx="122">
                  <c:v>108.04621528826017</c:v>
                </c:pt>
                <c:pt idx="123">
                  <c:v>108.00136244016805</c:v>
                </c:pt>
                <c:pt idx="124">
                  <c:v>108.27212643545802</c:v>
                </c:pt>
                <c:pt idx="125">
                  <c:v>108.28286260737789</c:v>
                </c:pt>
                <c:pt idx="126">
                  <c:v>108.26819355270308</c:v>
                </c:pt>
                <c:pt idx="127">
                  <c:v>108.27305077811806</c:v>
                </c:pt>
                <c:pt idx="128">
                  <c:v>108.22704392509209</c:v>
                </c:pt>
                <c:pt idx="129">
                  <c:v>108.08018385984397</c:v>
                </c:pt>
                <c:pt idx="130">
                  <c:v>108.02714334652748</c:v>
                </c:pt>
                <c:pt idx="131">
                  <c:v>108.06548409977725</c:v>
                </c:pt>
                <c:pt idx="132">
                  <c:v>108.22723127826859</c:v>
                </c:pt>
                <c:pt idx="133">
                  <c:v>108.50028474722036</c:v>
                </c:pt>
                <c:pt idx="134">
                  <c:v>108.98790986127105</c:v>
                </c:pt>
                <c:pt idx="135">
                  <c:v>109.63903483298247</c:v>
                </c:pt>
                <c:pt idx="136">
                  <c:v>109.99616183968179</c:v>
                </c:pt>
                <c:pt idx="137">
                  <c:v>110.27922366103792</c:v>
                </c:pt>
                <c:pt idx="138">
                  <c:v>110.85122059462887</c:v>
                </c:pt>
                <c:pt idx="139">
                  <c:v>110.7904602465734</c:v>
                </c:pt>
                <c:pt idx="140">
                  <c:v>110.81627837798227</c:v>
                </c:pt>
                <c:pt idx="141">
                  <c:v>110.74986357840993</c:v>
                </c:pt>
                <c:pt idx="142">
                  <c:v>110.69746104186862</c:v>
                </c:pt>
                <c:pt idx="143">
                  <c:v>110.70762033805686</c:v>
                </c:pt>
                <c:pt idx="144">
                  <c:v>110.6109838919475</c:v>
                </c:pt>
                <c:pt idx="145">
                  <c:v>110.57410688937146</c:v>
                </c:pt>
                <c:pt idx="146">
                  <c:v>110.62835255246469</c:v>
                </c:pt>
                <c:pt idx="147">
                  <c:v>110.85268568622264</c:v>
                </c:pt>
                <c:pt idx="148">
                  <c:v>111.23573349996974</c:v>
                </c:pt>
                <c:pt idx="149">
                  <c:v>111.91576367989664</c:v>
                </c:pt>
                <c:pt idx="150">
                  <c:v>112.55826850068213</c:v>
                </c:pt>
                <c:pt idx="151">
                  <c:v>112.94926476898628</c:v>
                </c:pt>
                <c:pt idx="152">
                  <c:v>113.34219783940492</c:v>
                </c:pt>
                <c:pt idx="153">
                  <c:v>113.40880702053462</c:v>
                </c:pt>
                <c:pt idx="154">
                  <c:v>113.47633014193933</c:v>
                </c:pt>
                <c:pt idx="155">
                  <c:v>113.4218291813458</c:v>
                </c:pt>
                <c:pt idx="156">
                  <c:v>113.4265217431206</c:v>
                </c:pt>
                <c:pt idx="157">
                  <c:v>113.5042283213822</c:v>
                </c:pt>
                <c:pt idx="158">
                  <c:v>113.69544540140996</c:v>
                </c:pt>
                <c:pt idx="159">
                  <c:v>113.98888829894955</c:v>
                </c:pt>
                <c:pt idx="160">
                  <c:v>113.72901980570313</c:v>
                </c:pt>
                <c:pt idx="161">
                  <c:v>113.43433994673698</c:v>
                </c:pt>
                <c:pt idx="162">
                  <c:v>113.37557858812445</c:v>
                </c:pt>
                <c:pt idx="163">
                  <c:v>113.43984286007522</c:v>
                </c:pt>
                <c:pt idx="164">
                  <c:v>113.43994763859422</c:v>
                </c:pt>
                <c:pt idx="165">
                  <c:v>113.40443578292151</c:v>
                </c:pt>
                <c:pt idx="166">
                  <c:v>113.42401796835293</c:v>
                </c:pt>
                <c:pt idx="167">
                  <c:v>113.4534737427208</c:v>
                </c:pt>
                <c:pt idx="168">
                  <c:v>113.56932036551611</c:v>
                </c:pt>
                <c:pt idx="169">
                  <c:v>113.54655825788494</c:v>
                </c:pt>
                <c:pt idx="170">
                  <c:v>113.05229493641647</c:v>
                </c:pt>
                <c:pt idx="171">
                  <c:v>112.3697280356631</c:v>
                </c:pt>
                <c:pt idx="172">
                  <c:v>112.23912486234055</c:v>
                </c:pt>
                <c:pt idx="173">
                  <c:v>111.30091606858753</c:v>
                </c:pt>
                <c:pt idx="174">
                  <c:v>110.19318915890862</c:v>
                </c:pt>
                <c:pt idx="175">
                  <c:v>109.6877369126793</c:v>
                </c:pt>
                <c:pt idx="176">
                  <c:v>109.2589626159151</c:v>
                </c:pt>
                <c:pt idx="177">
                  <c:v>109.11936373401176</c:v>
                </c:pt>
                <c:pt idx="178">
                  <c:v>109.21000263862938</c:v>
                </c:pt>
                <c:pt idx="179">
                  <c:v>109.21000263862938</c:v>
                </c:pt>
                <c:pt idx="180">
                  <c:v>109.27993996799447</c:v>
                </c:pt>
                <c:pt idx="181">
                  <c:v>109.29738057967084</c:v>
                </c:pt>
                <c:pt idx="182">
                  <c:v>109.25703587625841</c:v>
                </c:pt>
                <c:pt idx="183">
                  <c:v>109.40570215172983</c:v>
                </c:pt>
                <c:pt idx="184">
                  <c:v>109.47533313041441</c:v>
                </c:pt>
                <c:pt idx="185">
                  <c:v>109.34769535889924</c:v>
                </c:pt>
                <c:pt idx="186">
                  <c:v>109.52442220673719</c:v>
                </c:pt>
                <c:pt idx="187">
                  <c:v>109.60656544953756</c:v>
                </c:pt>
                <c:pt idx="188">
                  <c:v>109.13645009345903</c:v>
                </c:pt>
                <c:pt idx="189">
                  <c:v>108.57657576619243</c:v>
                </c:pt>
                <c:pt idx="190">
                  <c:v>108.13862105009937</c:v>
                </c:pt>
                <c:pt idx="191">
                  <c:v>107.62118829407083</c:v>
                </c:pt>
                <c:pt idx="192">
                  <c:v>107.07770861126473</c:v>
                </c:pt>
                <c:pt idx="193">
                  <c:v>107.66347671790986</c:v>
                </c:pt>
                <c:pt idx="194">
                  <c:v>108.63359630392458</c:v>
                </c:pt>
                <c:pt idx="195">
                  <c:v>109.38382794355799</c:v>
                </c:pt>
                <c:pt idx="196">
                  <c:v>110.30098170041278</c:v>
                </c:pt>
                <c:pt idx="197">
                  <c:v>111.02376813636596</c:v>
                </c:pt>
                <c:pt idx="198">
                  <c:v>111.67267770736096</c:v>
                </c:pt>
                <c:pt idx="199">
                  <c:v>112.31890776908028</c:v>
                </c:pt>
                <c:pt idx="200">
                  <c:v>112.75409625114109</c:v>
                </c:pt>
                <c:pt idx="201">
                  <c:v>113.34479826625943</c:v>
                </c:pt>
                <c:pt idx="202">
                  <c:v>113.61648468220334</c:v>
                </c:pt>
                <c:pt idx="203">
                  <c:v>113.9859315898491</c:v>
                </c:pt>
                <c:pt idx="204">
                  <c:v>114.85024347240083</c:v>
                </c:pt>
                <c:pt idx="205">
                  <c:v>116.47812832317651</c:v>
                </c:pt>
                <c:pt idx="206">
                  <c:v>117.30022685828364</c:v>
                </c:pt>
                <c:pt idx="207">
                  <c:v>117.68712274250596</c:v>
                </c:pt>
                <c:pt idx="208">
                  <c:v>117.16184276846957</c:v>
                </c:pt>
                <c:pt idx="209">
                  <c:v>116.43329562901937</c:v>
                </c:pt>
                <c:pt idx="210">
                  <c:v>115.819840937005</c:v>
                </c:pt>
                <c:pt idx="211">
                  <c:v>115.05090520684011</c:v>
                </c:pt>
                <c:pt idx="212">
                  <c:v>115.23491450424169</c:v>
                </c:pt>
                <c:pt idx="213">
                  <c:v>115.16266076760164</c:v>
                </c:pt>
                <c:pt idx="214">
                  <c:v>115.19465526464036</c:v>
                </c:pt>
                <c:pt idx="215">
                  <c:v>115.32210338295911</c:v>
                </c:pt>
                <c:pt idx="216">
                  <c:v>115.54294673673641</c:v>
                </c:pt>
                <c:pt idx="217">
                  <c:v>115.93749899375183</c:v>
                </c:pt>
                <c:pt idx="218">
                  <c:v>115.9374989937518</c:v>
                </c:pt>
                <c:pt idx="219">
                  <c:v>115.89578222290442</c:v>
                </c:pt>
                <c:pt idx="220">
                  <c:v>115.89323404523782</c:v>
                </c:pt>
                <c:pt idx="221">
                  <c:v>115.86896536389261</c:v>
                </c:pt>
                <c:pt idx="222">
                  <c:v>115.86942388791971</c:v>
                </c:pt>
                <c:pt idx="223">
                  <c:v>115.80558066258024</c:v>
                </c:pt>
                <c:pt idx="224">
                  <c:v>115.80506521726308</c:v>
                </c:pt>
                <c:pt idx="225">
                  <c:v>115.72915316793501</c:v>
                </c:pt>
                <c:pt idx="226">
                  <c:v>115.69359507425884</c:v>
                </c:pt>
                <c:pt idx="227">
                  <c:v>115.75416510282898</c:v>
                </c:pt>
                <c:pt idx="228">
                  <c:v>115.86433416930264</c:v>
                </c:pt>
                <c:pt idx="229">
                  <c:v>116.04952157930288</c:v>
                </c:pt>
                <c:pt idx="230">
                  <c:v>116.27193181746908</c:v>
                </c:pt>
                <c:pt idx="231">
                  <c:v>117.08162319129897</c:v>
                </c:pt>
                <c:pt idx="232">
                  <c:v>116.91605980428835</c:v>
                </c:pt>
                <c:pt idx="233">
                  <c:v>115.7770208469131</c:v>
                </c:pt>
                <c:pt idx="234">
                  <c:v>114.96848651840887</c:v>
                </c:pt>
                <c:pt idx="235">
                  <c:v>113.99119441462867</c:v>
                </c:pt>
                <c:pt idx="236">
                  <c:v>113.01840260501889</c:v>
                </c:pt>
                <c:pt idx="237">
                  <c:v>112.13360203412498</c:v>
                </c:pt>
                <c:pt idx="238">
                  <c:v>111.21180094105355</c:v>
                </c:pt>
                <c:pt idx="239">
                  <c:v>110.48568750850529</c:v>
                </c:pt>
                <c:pt idx="240">
                  <c:v>109.62847575858608</c:v>
                </c:pt>
                <c:pt idx="241">
                  <c:v>108.30831562416984</c:v>
                </c:pt>
                <c:pt idx="242">
                  <c:v>107.15233359611348</c:v>
                </c:pt>
                <c:pt idx="243">
                  <c:v>105.74684236138525</c:v>
                </c:pt>
                <c:pt idx="244">
                  <c:v>104.46128558461565</c:v>
                </c:pt>
                <c:pt idx="245">
                  <c:v>103.69376403208057</c:v>
                </c:pt>
                <c:pt idx="246">
                  <c:v>103.27385501092104</c:v>
                </c:pt>
                <c:pt idx="247">
                  <c:v>102.87527839056111</c:v>
                </c:pt>
                <c:pt idx="248">
                  <c:v>102.45543665811385</c:v>
                </c:pt>
                <c:pt idx="249">
                  <c:v>102.15906634941202</c:v>
                </c:pt>
                <c:pt idx="250">
                  <c:v>101.96099445786052</c:v>
                </c:pt>
                <c:pt idx="251">
                  <c:v>102.2088750604325</c:v>
                </c:pt>
                <c:pt idx="252">
                  <c:v>102.64500957167705</c:v>
                </c:pt>
                <c:pt idx="253">
                  <c:v>102.76621594237915</c:v>
                </c:pt>
                <c:pt idx="254">
                  <c:v>103.0817067972534</c:v>
                </c:pt>
                <c:pt idx="255">
                  <c:v>103.39064631885589</c:v>
                </c:pt>
                <c:pt idx="256">
                  <c:v>103.58473786743701</c:v>
                </c:pt>
                <c:pt idx="257">
                  <c:v>103.84736500419622</c:v>
                </c:pt>
                <c:pt idx="258">
                  <c:v>104.18474428160536</c:v>
                </c:pt>
                <c:pt idx="259">
                  <c:v>104.55140603858617</c:v>
                </c:pt>
                <c:pt idx="260">
                  <c:v>104.40589566256276</c:v>
                </c:pt>
                <c:pt idx="261">
                  <c:v>104.11078569710804</c:v>
                </c:pt>
                <c:pt idx="262">
                  <c:v>103.73298935315546</c:v>
                </c:pt>
                <c:pt idx="263">
                  <c:v>103.72874229777821</c:v>
                </c:pt>
                <c:pt idx="264">
                  <c:v>104.05624297403298</c:v>
                </c:pt>
                <c:pt idx="265">
                  <c:v>104.34707397195513</c:v>
                </c:pt>
                <c:pt idx="266">
                  <c:v>104.59367010476124</c:v>
                </c:pt>
                <c:pt idx="267">
                  <c:v>104.86226510031975</c:v>
                </c:pt>
                <c:pt idx="268">
                  <c:v>105.07131396004205</c:v>
                </c:pt>
                <c:pt idx="269">
                  <c:v>105.34719289366016</c:v>
                </c:pt>
                <c:pt idx="270">
                  <c:v>105.86160028629129</c:v>
                </c:pt>
                <c:pt idx="271">
                  <c:v>105.73421733574953</c:v>
                </c:pt>
                <c:pt idx="272">
                  <c:v>105.69713438984674</c:v>
                </c:pt>
                <c:pt idx="273">
                  <c:v>105.83475941151549</c:v>
                </c:pt>
                <c:pt idx="274">
                  <c:v>106.00319748140346</c:v>
                </c:pt>
                <c:pt idx="275">
                  <c:v>105.97256503179661</c:v>
                </c:pt>
                <c:pt idx="276">
                  <c:v>106.25436529906558</c:v>
                </c:pt>
                <c:pt idx="277">
                  <c:v>106.70901873352537</c:v>
                </c:pt>
                <c:pt idx="278">
                  <c:v>106.69407762976184</c:v>
                </c:pt>
                <c:pt idx="279">
                  <c:v>106.39310050002364</c:v>
                </c:pt>
                <c:pt idx="280">
                  <c:v>106.28648050511384</c:v>
                </c:pt>
                <c:pt idx="281">
                  <c:v>106.21584436970222</c:v>
                </c:pt>
                <c:pt idx="282">
                  <c:v>106.41755572183695</c:v>
                </c:pt>
                <c:pt idx="283">
                  <c:v>106.51642026950088</c:v>
                </c:pt>
                <c:pt idx="284">
                  <c:v>106.34467338442451</c:v>
                </c:pt>
                <c:pt idx="285">
                  <c:v>106.32714249315438</c:v>
                </c:pt>
                <c:pt idx="286">
                  <c:v>106.34534976615763</c:v>
                </c:pt>
                <c:pt idx="287">
                  <c:v>106.33988852093734</c:v>
                </c:pt>
                <c:pt idx="288">
                  <c:v>106.47802445822674</c:v>
                </c:pt>
                <c:pt idx="289">
                  <c:v>106.56148447230989</c:v>
                </c:pt>
                <c:pt idx="290">
                  <c:v>106.54324877215065</c:v>
                </c:pt>
                <c:pt idx="291">
                  <c:v>106.74307636080925</c:v>
                </c:pt>
                <c:pt idx="292">
                  <c:v>106.84320684923861</c:v>
                </c:pt>
                <c:pt idx="293">
                  <c:v>106.0464152245267</c:v>
                </c:pt>
                <c:pt idx="294">
                  <c:v>105.84257963744062</c:v>
                </c:pt>
                <c:pt idx="295">
                  <c:v>105.89496908473954</c:v>
                </c:pt>
                <c:pt idx="296">
                  <c:v>105.88805157533895</c:v>
                </c:pt>
                <c:pt idx="297">
                  <c:v>105.85871531430411</c:v>
                </c:pt>
                <c:pt idx="298">
                  <c:v>105.88794617791042</c:v>
                </c:pt>
                <c:pt idx="299">
                  <c:v>106.06411554539706</c:v>
                </c:pt>
                <c:pt idx="300">
                  <c:v>106.12534721584392</c:v>
                </c:pt>
                <c:pt idx="301">
                  <c:v>105.98900829345953</c:v>
                </c:pt>
                <c:pt idx="302">
                  <c:v>105.80613087037587</c:v>
                </c:pt>
                <c:pt idx="303">
                  <c:v>105.41888484607267</c:v>
                </c:pt>
                <c:pt idx="304">
                  <c:v>105.04236044663871</c:v>
                </c:pt>
                <c:pt idx="305">
                  <c:v>104.83385365257577</c:v>
                </c:pt>
                <c:pt idx="306">
                  <c:v>104.63548573527532</c:v>
                </c:pt>
                <c:pt idx="307">
                  <c:v>104.5243746062031</c:v>
                </c:pt>
                <c:pt idx="308">
                  <c:v>104.34382026326067</c:v>
                </c:pt>
                <c:pt idx="309">
                  <c:v>104.27915985891693</c:v>
                </c:pt>
                <c:pt idx="310">
                  <c:v>104.218772511449</c:v>
                </c:pt>
                <c:pt idx="311">
                  <c:v>104.59612139731856</c:v>
                </c:pt>
                <c:pt idx="312">
                  <c:v>105.16607237030055</c:v>
                </c:pt>
                <c:pt idx="313">
                  <c:v>106.46057689972251</c:v>
                </c:pt>
                <c:pt idx="314">
                  <c:v>107.28639043484255</c:v>
                </c:pt>
                <c:pt idx="315">
                  <c:v>106.06751859005209</c:v>
                </c:pt>
                <c:pt idx="316">
                  <c:v>104.22722333715409</c:v>
                </c:pt>
                <c:pt idx="317">
                  <c:v>102.33064903637239</c:v>
                </c:pt>
                <c:pt idx="318">
                  <c:v>101.80056446561288</c:v>
                </c:pt>
                <c:pt idx="319">
                  <c:v>100.03924194085344</c:v>
                </c:pt>
                <c:pt idx="320">
                  <c:v>98.892860376760751</c:v>
                </c:pt>
                <c:pt idx="321">
                  <c:v>97.818618213652371</c:v>
                </c:pt>
                <c:pt idx="322">
                  <c:v>96.797137349664709</c:v>
                </c:pt>
                <c:pt idx="323">
                  <c:v>96.042028340763551</c:v>
                </c:pt>
                <c:pt idx="324">
                  <c:v>95.711637592259308</c:v>
                </c:pt>
                <c:pt idx="325">
                  <c:v>95.264484411399877</c:v>
                </c:pt>
                <c:pt idx="326">
                  <c:v>95.16177988448095</c:v>
                </c:pt>
                <c:pt idx="327">
                  <c:v>95.091582794589485</c:v>
                </c:pt>
                <c:pt idx="328">
                  <c:v>95.327418105892036</c:v>
                </c:pt>
                <c:pt idx="329">
                  <c:v>95.635243578041781</c:v>
                </c:pt>
                <c:pt idx="330">
                  <c:v>96.054150938154834</c:v>
                </c:pt>
                <c:pt idx="331">
                  <c:v>96.840424707521521</c:v>
                </c:pt>
                <c:pt idx="332">
                  <c:v>97.894938850670201</c:v>
                </c:pt>
                <c:pt idx="333">
                  <c:v>99.575147081963436</c:v>
                </c:pt>
                <c:pt idx="334">
                  <c:v>100.14191164229226</c:v>
                </c:pt>
                <c:pt idx="335">
                  <c:v>100.02262310228384</c:v>
                </c:pt>
                <c:pt idx="336">
                  <c:v>100.22022301619815</c:v>
                </c:pt>
                <c:pt idx="337">
                  <c:v>100.87061455640477</c:v>
                </c:pt>
                <c:pt idx="338">
                  <c:v>100.88010027713428</c:v>
                </c:pt>
                <c:pt idx="339">
                  <c:v>102.02702811469034</c:v>
                </c:pt>
                <c:pt idx="340">
                  <c:v>102.32081546125475</c:v>
                </c:pt>
                <c:pt idx="341">
                  <c:v>102.62584967752655</c:v>
                </c:pt>
                <c:pt idx="342">
                  <c:v>103.16953059107067</c:v>
                </c:pt>
                <c:pt idx="343">
                  <c:v>103.53641377932456</c:v>
                </c:pt>
                <c:pt idx="344">
                  <c:v>103.56578349603956</c:v>
                </c:pt>
                <c:pt idx="345">
                  <c:v>103.70547646391417</c:v>
                </c:pt>
                <c:pt idx="346">
                  <c:v>103.44198177011403</c:v>
                </c:pt>
                <c:pt idx="347">
                  <c:v>102.96019532999058</c:v>
                </c:pt>
                <c:pt idx="348">
                  <c:v>102.41119819900503</c:v>
                </c:pt>
                <c:pt idx="349">
                  <c:v>101.96451291379731</c:v>
                </c:pt>
                <c:pt idx="350">
                  <c:v>101.69065225657948</c:v>
                </c:pt>
                <c:pt idx="351">
                  <c:v>101.19085145002927</c:v>
                </c:pt>
                <c:pt idx="352">
                  <c:v>100.84609512259075</c:v>
                </c:pt>
                <c:pt idx="353">
                  <c:v>100.45424923018355</c:v>
                </c:pt>
                <c:pt idx="354">
                  <c:v>100.2055846679947</c:v>
                </c:pt>
                <c:pt idx="355">
                  <c:v>100.27015730608949</c:v>
                </c:pt>
                <c:pt idx="356">
                  <c:v>99.980473939521701</c:v>
                </c:pt>
                <c:pt idx="357">
                  <c:v>99.635988339425239</c:v>
                </c:pt>
                <c:pt idx="358">
                  <c:v>99.561456944686213</c:v>
                </c:pt>
                <c:pt idx="359">
                  <c:v>99.564892334044771</c:v>
                </c:pt>
                <c:pt idx="360">
                  <c:v>99.744850371933595</c:v>
                </c:pt>
                <c:pt idx="361">
                  <c:v>99.767416083181956</c:v>
                </c:pt>
                <c:pt idx="362">
                  <c:v>99.600413445452844</c:v>
                </c:pt>
                <c:pt idx="363">
                  <c:v>99.032873560275291</c:v>
                </c:pt>
                <c:pt idx="364">
                  <c:v>98.483881194464686</c:v>
                </c:pt>
                <c:pt idx="365">
                  <c:v>97.779172910088064</c:v>
                </c:pt>
                <c:pt idx="366">
                  <c:v>97.473608028033212</c:v>
                </c:pt>
                <c:pt idx="367">
                  <c:v>97.243466504129472</c:v>
                </c:pt>
                <c:pt idx="368">
                  <c:v>97.551698477492508</c:v>
                </c:pt>
                <c:pt idx="369">
                  <c:v>97.981648298475903</c:v>
                </c:pt>
                <c:pt idx="370">
                  <c:v>98.376286076053944</c:v>
                </c:pt>
                <c:pt idx="371">
                  <c:v>99.063386859966329</c:v>
                </c:pt>
                <c:pt idx="372">
                  <c:v>99.717729665078565</c:v>
                </c:pt>
                <c:pt idx="373">
                  <c:v>100.45006993197345</c:v>
                </c:pt>
                <c:pt idx="374">
                  <c:v>101.16840897808811</c:v>
                </c:pt>
                <c:pt idx="375">
                  <c:v>101.83862171018738</c:v>
                </c:pt>
                <c:pt idx="376">
                  <c:v>102.96325906790972</c:v>
                </c:pt>
                <c:pt idx="377">
                  <c:v>104.50379338357219</c:v>
                </c:pt>
                <c:pt idx="378">
                  <c:v>105.42110671315952</c:v>
                </c:pt>
                <c:pt idx="379">
                  <c:v>106.39408587578373</c:v>
                </c:pt>
                <c:pt idx="380">
                  <c:v>106.82057722939273</c:v>
                </c:pt>
                <c:pt idx="381">
                  <c:v>106.89699938912227</c:v>
                </c:pt>
                <c:pt idx="382">
                  <c:v>107.10084289763795</c:v>
                </c:pt>
                <c:pt idx="383">
                  <c:v>107.1197197437635</c:v>
                </c:pt>
                <c:pt idx="384">
                  <c:v>107.11183930909087</c:v>
                </c:pt>
                <c:pt idx="385">
                  <c:v>107.09436031404084</c:v>
                </c:pt>
                <c:pt idx="386">
                  <c:v>106.54285035259204</c:v>
                </c:pt>
                <c:pt idx="387">
                  <c:v>106.21126131928001</c:v>
                </c:pt>
                <c:pt idx="388">
                  <c:v>105.92004864631932</c:v>
                </c:pt>
                <c:pt idx="389">
                  <c:v>106.1285402006705</c:v>
                </c:pt>
                <c:pt idx="390">
                  <c:v>106.41602168469508</c:v>
                </c:pt>
                <c:pt idx="391">
                  <c:v>106.45552449983813</c:v>
                </c:pt>
                <c:pt idx="392">
                  <c:v>106.64108433121177</c:v>
                </c:pt>
                <c:pt idx="393">
                  <c:v>107.16432719495386</c:v>
                </c:pt>
                <c:pt idx="394">
                  <c:v>107.44027223663265</c:v>
                </c:pt>
                <c:pt idx="395">
                  <c:v>107.48205615376096</c:v>
                </c:pt>
                <c:pt idx="396">
                  <c:v>107.25477343184269</c:v>
                </c:pt>
                <c:pt idx="397">
                  <c:v>106.67007508911044</c:v>
                </c:pt>
                <c:pt idx="398">
                  <c:v>106.14828871117808</c:v>
                </c:pt>
                <c:pt idx="399">
                  <c:v>105.54688900227255</c:v>
                </c:pt>
                <c:pt idx="400">
                  <c:v>105.06372412788691</c:v>
                </c:pt>
                <c:pt idx="401">
                  <c:v>104.99850744176581</c:v>
                </c:pt>
                <c:pt idx="402">
                  <c:v>104.66387296370843</c:v>
                </c:pt>
                <c:pt idx="403">
                  <c:v>104.38925176439065</c:v>
                </c:pt>
                <c:pt idx="404">
                  <c:v>104.34544281923122</c:v>
                </c:pt>
                <c:pt idx="405">
                  <c:v>104.27678404434832</c:v>
                </c:pt>
                <c:pt idx="406">
                  <c:v>104.12046901114694</c:v>
                </c:pt>
                <c:pt idx="407">
                  <c:v>103.97954979167517</c:v>
                </c:pt>
                <c:pt idx="408">
                  <c:v>103.89526691197001</c:v>
                </c:pt>
                <c:pt idx="409">
                  <c:v>103.87426933640978</c:v>
                </c:pt>
                <c:pt idx="410">
                  <c:v>103.91421533723459</c:v>
                </c:pt>
                <c:pt idx="411">
                  <c:v>103.85662454911066</c:v>
                </c:pt>
                <c:pt idx="412">
                  <c:v>103.82757426173369</c:v>
                </c:pt>
                <c:pt idx="413">
                  <c:v>104.00768829213511</c:v>
                </c:pt>
                <c:pt idx="414">
                  <c:v>103.88978635972053</c:v>
                </c:pt>
                <c:pt idx="415">
                  <c:v>103.6608567748309</c:v>
                </c:pt>
                <c:pt idx="416">
                  <c:v>103.24952086141107</c:v>
                </c:pt>
                <c:pt idx="417">
                  <c:v>103.04073283301119</c:v>
                </c:pt>
                <c:pt idx="418">
                  <c:v>103.21142377409105</c:v>
                </c:pt>
                <c:pt idx="419">
                  <c:v>103.5052624035214</c:v>
                </c:pt>
                <c:pt idx="420">
                  <c:v>103.91100402921316</c:v>
                </c:pt>
                <c:pt idx="421">
                  <c:v>104.23208192171018</c:v>
                </c:pt>
                <c:pt idx="422">
                  <c:v>104.803341463604</c:v>
                </c:pt>
                <c:pt idx="423">
                  <c:v>105.3787082625026</c:v>
                </c:pt>
                <c:pt idx="424">
                  <c:v>105.74229033107787</c:v>
                </c:pt>
                <c:pt idx="425">
                  <c:v>106.1994350795611</c:v>
                </c:pt>
                <c:pt idx="426">
                  <c:v>106.94819773523889</c:v>
                </c:pt>
                <c:pt idx="427">
                  <c:v>107.64309116621972</c:v>
                </c:pt>
                <c:pt idx="428">
                  <c:v>108.23847797874456</c:v>
                </c:pt>
                <c:pt idx="429">
                  <c:v>108.79894846576244</c:v>
                </c:pt>
                <c:pt idx="430">
                  <c:v>109.2859958657253</c:v>
                </c:pt>
                <c:pt idx="431">
                  <c:v>109.36447231524237</c:v>
                </c:pt>
                <c:pt idx="432">
                  <c:v>109.43418003322655</c:v>
                </c:pt>
                <c:pt idx="433">
                  <c:v>109.52231609596623</c:v>
                </c:pt>
                <c:pt idx="434">
                  <c:v>109.429663946657</c:v>
                </c:pt>
                <c:pt idx="435">
                  <c:v>109.1280591440776</c:v>
                </c:pt>
                <c:pt idx="436">
                  <c:v>109.12879828159093</c:v>
                </c:pt>
                <c:pt idx="437">
                  <c:v>109.10017884514477</c:v>
                </c:pt>
                <c:pt idx="438">
                  <c:v>109.10875937895861</c:v>
                </c:pt>
                <c:pt idx="439">
                  <c:v>108.98551366781147</c:v>
                </c:pt>
                <c:pt idx="440">
                  <c:v>109.59555826904408</c:v>
                </c:pt>
                <c:pt idx="441">
                  <c:v>110.14855931291218</c:v>
                </c:pt>
                <c:pt idx="442">
                  <c:v>110.577118573433</c:v>
                </c:pt>
                <c:pt idx="443">
                  <c:v>110.68950567101118</c:v>
                </c:pt>
                <c:pt idx="444">
                  <c:v>110.79082379458545</c:v>
                </c:pt>
                <c:pt idx="445">
                  <c:v>110.49876162355312</c:v>
                </c:pt>
                <c:pt idx="446">
                  <c:v>110.48354388250111</c:v>
                </c:pt>
                <c:pt idx="447">
                  <c:v>110.35569055818252</c:v>
                </c:pt>
                <c:pt idx="448">
                  <c:v>110.18786605085944</c:v>
                </c:pt>
                <c:pt idx="449">
                  <c:v>109.82331253019947</c:v>
                </c:pt>
                <c:pt idx="450">
                  <c:v>109.77280747469881</c:v>
                </c:pt>
                <c:pt idx="451">
                  <c:v>109.83952288059588</c:v>
                </c:pt>
                <c:pt idx="452">
                  <c:v>109.79560221224935</c:v>
                </c:pt>
                <c:pt idx="453">
                  <c:v>109.78810090672697</c:v>
                </c:pt>
                <c:pt idx="454">
                  <c:v>109.74100547674549</c:v>
                </c:pt>
                <c:pt idx="455">
                  <c:v>110.04611748575564</c:v>
                </c:pt>
                <c:pt idx="456">
                  <c:v>109.89347306128251</c:v>
                </c:pt>
                <c:pt idx="457">
                  <c:v>109.89831859624128</c:v>
                </c:pt>
                <c:pt idx="458">
                  <c:v>109.87468078270854</c:v>
                </c:pt>
                <c:pt idx="459">
                  <c:v>110.15199829039</c:v>
                </c:pt>
                <c:pt idx="460">
                  <c:v>110.19476270968839</c:v>
                </c:pt>
                <c:pt idx="461">
                  <c:v>110.18176925080191</c:v>
                </c:pt>
                <c:pt idx="462">
                  <c:v>110.17994420059519</c:v>
                </c:pt>
                <c:pt idx="463">
                  <c:v>110.16775471071874</c:v>
                </c:pt>
                <c:pt idx="464">
                  <c:v>110.2418861798874</c:v>
                </c:pt>
                <c:pt idx="465">
                  <c:v>110.51788245410187</c:v>
                </c:pt>
                <c:pt idx="466">
                  <c:v>110.4518897151753</c:v>
                </c:pt>
                <c:pt idx="467">
                  <c:v>110.24359524475555</c:v>
                </c:pt>
                <c:pt idx="468">
                  <c:v>110.5645485840576</c:v>
                </c:pt>
                <c:pt idx="469">
                  <c:v>111.1699794126886</c:v>
                </c:pt>
                <c:pt idx="470">
                  <c:v>111.46412983425316</c:v>
                </c:pt>
                <c:pt idx="471">
                  <c:v>111.88885999320257</c:v>
                </c:pt>
                <c:pt idx="472">
                  <c:v>112.30588889041982</c:v>
                </c:pt>
                <c:pt idx="473">
                  <c:v>112.48977519809695</c:v>
                </c:pt>
                <c:pt idx="474">
                  <c:v>112.54155516900039</c:v>
                </c:pt>
                <c:pt idx="475">
                  <c:v>112.65559457412473</c:v>
                </c:pt>
                <c:pt idx="476">
                  <c:v>112.6581373774722</c:v>
                </c:pt>
                <c:pt idx="477">
                  <c:v>112.58187579140215</c:v>
                </c:pt>
                <c:pt idx="478">
                  <c:v>112.41647500120489</c:v>
                </c:pt>
                <c:pt idx="479">
                  <c:v>112.55636714789792</c:v>
                </c:pt>
                <c:pt idx="480">
                  <c:v>112.80603818428337</c:v>
                </c:pt>
                <c:pt idx="481">
                  <c:v>113.08094935338053</c:v>
                </c:pt>
                <c:pt idx="482">
                  <c:v>113.45244701953261</c:v>
                </c:pt>
                <c:pt idx="483">
                  <c:v>113.98086357970091</c:v>
                </c:pt>
                <c:pt idx="484">
                  <c:v>114.3168381556011</c:v>
                </c:pt>
                <c:pt idx="485">
                  <c:v>114.20291580317803</c:v>
                </c:pt>
                <c:pt idx="486">
                  <c:v>114.2020931015488</c:v>
                </c:pt>
                <c:pt idx="487">
                  <c:v>114.23348826386984</c:v>
                </c:pt>
                <c:pt idx="488">
                  <c:v>114.1389499027364</c:v>
                </c:pt>
                <c:pt idx="489">
                  <c:v>114.13717454496239</c:v>
                </c:pt>
                <c:pt idx="490">
                  <c:v>114.20564298893905</c:v>
                </c:pt>
                <c:pt idx="491">
                  <c:v>113.87161614995374</c:v>
                </c:pt>
                <c:pt idx="492">
                  <c:v>113.93354250770012</c:v>
                </c:pt>
                <c:pt idx="493">
                  <c:v>113.89653147048124</c:v>
                </c:pt>
                <c:pt idx="494">
                  <c:v>113.88001391170732</c:v>
                </c:pt>
                <c:pt idx="495">
                  <c:v>113.87780615033842</c:v>
                </c:pt>
                <c:pt idx="496">
                  <c:v>113.88480104076417</c:v>
                </c:pt>
                <c:pt idx="497">
                  <c:v>114.22342132016153</c:v>
                </c:pt>
                <c:pt idx="498">
                  <c:v>114.58521313787941</c:v>
                </c:pt>
                <c:pt idx="499">
                  <c:v>114.62899031302778</c:v>
                </c:pt>
                <c:pt idx="500">
                  <c:v>114.5810916838671</c:v>
                </c:pt>
                <c:pt idx="501">
                  <c:v>114.90329353173875</c:v>
                </c:pt>
                <c:pt idx="502">
                  <c:v>114.61028313552563</c:v>
                </c:pt>
                <c:pt idx="503">
                  <c:v>113.99884638662868</c:v>
                </c:pt>
                <c:pt idx="504">
                  <c:v>114.26221220986092</c:v>
                </c:pt>
                <c:pt idx="505">
                  <c:v>114.60317110132625</c:v>
                </c:pt>
                <c:pt idx="506">
                  <c:v>114.58086720388698</c:v>
                </c:pt>
                <c:pt idx="507">
                  <c:v>114.31741847824054</c:v>
                </c:pt>
                <c:pt idx="508">
                  <c:v>114.20897656893565</c:v>
                </c:pt>
                <c:pt idx="509">
                  <c:v>113.9125024329232</c:v>
                </c:pt>
                <c:pt idx="510">
                  <c:v>113.28910383070473</c:v>
                </c:pt>
                <c:pt idx="511">
                  <c:v>113.7776891551328</c:v>
                </c:pt>
                <c:pt idx="512">
                  <c:v>113.86411468919648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ax val="46023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ax val="125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35">
                  <c:v>7.5342903256942928E-2</c:v>
                </c:pt>
                <c:pt idx="36">
                  <c:v>6.1579938402068213E-2</c:v>
                </c:pt>
                <c:pt idx="37">
                  <c:v>2.6571305334067041E-2</c:v>
                </c:pt>
                <c:pt idx="38">
                  <c:v>1.2567956588845464E-2</c:v>
                </c:pt>
                <c:pt idx="39">
                  <c:v>6.6921571389280121E-3</c:v>
                </c:pt>
                <c:pt idx="40">
                  <c:v>7.767909794296135E-2</c:v>
                </c:pt>
                <c:pt idx="41">
                  <c:v>1.4254357455592448E-2</c:v>
                </c:pt>
                <c:pt idx="42">
                  <c:v>4.6012072395280601E-2</c:v>
                </c:pt>
                <c:pt idx="43">
                  <c:v>0.12608599411886012</c:v>
                </c:pt>
                <c:pt idx="44">
                  <c:v>0.19813523361295338</c:v>
                </c:pt>
                <c:pt idx="45">
                  <c:v>0.28709146944872388</c:v>
                </c:pt>
                <c:pt idx="46">
                  <c:v>0.35771457502873871</c:v>
                </c:pt>
                <c:pt idx="47">
                  <c:v>0.32681367645217407</c:v>
                </c:pt>
                <c:pt idx="48">
                  <c:v>0.35504623849725347</c:v>
                </c:pt>
                <c:pt idx="49">
                  <c:v>0.46464018289086773</c:v>
                </c:pt>
                <c:pt idx="50">
                  <c:v>0.48185596031445899</c:v>
                </c:pt>
                <c:pt idx="51">
                  <c:v>0.51766589213619651</c:v>
                </c:pt>
                <c:pt idx="52">
                  <c:v>0.5467569593093935</c:v>
                </c:pt>
                <c:pt idx="53">
                  <c:v>0.51206787996947156</c:v>
                </c:pt>
                <c:pt idx="54">
                  <c:v>0.4763445912933264</c:v>
                </c:pt>
                <c:pt idx="55">
                  <c:v>0.40885123647653909</c:v>
                </c:pt>
                <c:pt idx="56">
                  <c:v>0.39807976823671165</c:v>
                </c:pt>
                <c:pt idx="57">
                  <c:v>0.29360615255513878</c:v>
                </c:pt>
                <c:pt idx="58">
                  <c:v>0.26539737211380432</c:v>
                </c:pt>
                <c:pt idx="59">
                  <c:v>0.29160735923736159</c:v>
                </c:pt>
                <c:pt idx="60">
                  <c:v>0.31670218742589284</c:v>
                </c:pt>
                <c:pt idx="61">
                  <c:v>0.4373399171690977</c:v>
                </c:pt>
                <c:pt idx="62">
                  <c:v>0.46567517449356055</c:v>
                </c:pt>
                <c:pt idx="63">
                  <c:v>0.45913734689923302</c:v>
                </c:pt>
                <c:pt idx="64">
                  <c:v>0.50853372861568591</c:v>
                </c:pt>
                <c:pt idx="65">
                  <c:v>0.43161046828625782</c:v>
                </c:pt>
                <c:pt idx="66">
                  <c:v>0.37109683292931583</c:v>
                </c:pt>
                <c:pt idx="67">
                  <c:v>0.34808374149877563</c:v>
                </c:pt>
                <c:pt idx="68">
                  <c:v>0.25772903625892729</c:v>
                </c:pt>
                <c:pt idx="69">
                  <c:v>6.4859197997308549E-2</c:v>
                </c:pt>
                <c:pt idx="70">
                  <c:v>-0.13571551661523173</c:v>
                </c:pt>
                <c:pt idx="71">
                  <c:v>-0.34944101651277348</c:v>
                </c:pt>
                <c:pt idx="72">
                  <c:v>-0.50005845587294573</c:v>
                </c:pt>
                <c:pt idx="73">
                  <c:v>-0.6052765192583256</c:v>
                </c:pt>
                <c:pt idx="74">
                  <c:v>-0.58133191513330829</c:v>
                </c:pt>
                <c:pt idx="75">
                  <c:v>-0.51975690739434688</c:v>
                </c:pt>
                <c:pt idx="76">
                  <c:v>-0.45004083361951208</c:v>
                </c:pt>
                <c:pt idx="77">
                  <c:v>-0.4065689437839306</c:v>
                </c:pt>
                <c:pt idx="78">
                  <c:v>-0.36430602285028568</c:v>
                </c:pt>
                <c:pt idx="79">
                  <c:v>-0.5571204981711273</c:v>
                </c:pt>
                <c:pt idx="80">
                  <c:v>-0.56362028526275232</c:v>
                </c:pt>
                <c:pt idx="81">
                  <c:v>-0.64636017571301219</c:v>
                </c:pt>
                <c:pt idx="82">
                  <c:v>-0.82659670608930957</c:v>
                </c:pt>
                <c:pt idx="83">
                  <c:v>-0.90025668734861419</c:v>
                </c:pt>
                <c:pt idx="84">
                  <c:v>-0.92992125604156262</c:v>
                </c:pt>
                <c:pt idx="85">
                  <c:v>-0.86515632093571315</c:v>
                </c:pt>
                <c:pt idx="86">
                  <c:v>-0.82750551378843706</c:v>
                </c:pt>
                <c:pt idx="87">
                  <c:v>-0.77119909009235177</c:v>
                </c:pt>
                <c:pt idx="88">
                  <c:v>-0.55697484099227901</c:v>
                </c:pt>
                <c:pt idx="89">
                  <c:v>-0.43050621788014232</c:v>
                </c:pt>
                <c:pt idx="90">
                  <c:v>-0.3372480090366754</c:v>
                </c:pt>
                <c:pt idx="91">
                  <c:v>-0.28105089356813928</c:v>
                </c:pt>
                <c:pt idx="92">
                  <c:v>-0.17699801386100111</c:v>
                </c:pt>
                <c:pt idx="93">
                  <c:v>-0.15138589325079488</c:v>
                </c:pt>
                <c:pt idx="94">
                  <c:v>-1.7668705136228924E-2</c:v>
                </c:pt>
                <c:pt idx="95">
                  <c:v>1.9768406813924222E-3</c:v>
                </c:pt>
                <c:pt idx="96">
                  <c:v>-4.1337216979378588E-2</c:v>
                </c:pt>
                <c:pt idx="97">
                  <c:v>-0.22066570293276844</c:v>
                </c:pt>
                <c:pt idx="98">
                  <c:v>-0.44981469464252521</c:v>
                </c:pt>
                <c:pt idx="99">
                  <c:v>-0.57717541872615252</c:v>
                </c:pt>
                <c:pt idx="100">
                  <c:v>-0.5351042438471918</c:v>
                </c:pt>
                <c:pt idx="101">
                  <c:v>-0.55821542922727052</c:v>
                </c:pt>
                <c:pt idx="102">
                  <c:v>-0.51822775734985616</c:v>
                </c:pt>
                <c:pt idx="103">
                  <c:v>-0.25389661641264138</c:v>
                </c:pt>
                <c:pt idx="104">
                  <c:v>-0.25024072478300519</c:v>
                </c:pt>
                <c:pt idx="105">
                  <c:v>-0.3438601342184201</c:v>
                </c:pt>
                <c:pt idx="106">
                  <c:v>-0.35044501656926985</c:v>
                </c:pt>
                <c:pt idx="107">
                  <c:v>-0.27580735246110821</c:v>
                </c:pt>
                <c:pt idx="108">
                  <c:v>-0.28564754281629268</c:v>
                </c:pt>
                <c:pt idx="109">
                  <c:v>-0.24835254925453709</c:v>
                </c:pt>
                <c:pt idx="110">
                  <c:v>-0.26203705820104473</c:v>
                </c:pt>
                <c:pt idx="111">
                  <c:v>-0.3274197607106426</c:v>
                </c:pt>
                <c:pt idx="112">
                  <c:v>-0.39869598187874722</c:v>
                </c:pt>
                <c:pt idx="113">
                  <c:v>-0.47157372683566479</c:v>
                </c:pt>
                <c:pt idx="114">
                  <c:v>-0.52907291266114376</c:v>
                </c:pt>
                <c:pt idx="115">
                  <c:v>-0.45975578407569162</c:v>
                </c:pt>
                <c:pt idx="116">
                  <c:v>-0.22802281893270515</c:v>
                </c:pt>
                <c:pt idx="117">
                  <c:v>-0.11926986592883759</c:v>
                </c:pt>
                <c:pt idx="118">
                  <c:v>0.17947385313447439</c:v>
                </c:pt>
                <c:pt idx="119">
                  <c:v>0.39169194547359298</c:v>
                </c:pt>
                <c:pt idx="120">
                  <c:v>0.51979093714391844</c:v>
                </c:pt>
                <c:pt idx="121">
                  <c:v>0.61598378538526077</c:v>
                </c:pt>
                <c:pt idx="122">
                  <c:v>0.66850117211568549</c:v>
                </c:pt>
                <c:pt idx="123">
                  <c:v>0.6651162158662397</c:v>
                </c:pt>
                <c:pt idx="124">
                  <c:v>0.58578731308324872</c:v>
                </c:pt>
                <c:pt idx="125">
                  <c:v>0.54847366307336987</c:v>
                </c:pt>
                <c:pt idx="126">
                  <c:v>0.41247952257860154</c:v>
                </c:pt>
                <c:pt idx="127">
                  <c:v>0.23358680846666396</c:v>
                </c:pt>
                <c:pt idx="128">
                  <c:v>3.3460676397756683E-2</c:v>
                </c:pt>
                <c:pt idx="129">
                  <c:v>-2.7884258125807915E-2</c:v>
                </c:pt>
                <c:pt idx="130">
                  <c:v>2.3371712369738284E-2</c:v>
                </c:pt>
                <c:pt idx="131">
                  <c:v>5.8862417558146474E-2</c:v>
                </c:pt>
                <c:pt idx="132">
                  <c:v>0.20500703363804912</c:v>
                </c:pt>
                <c:pt idx="133">
                  <c:v>0.34154137573887783</c:v>
                </c:pt>
                <c:pt idx="134">
                  <c:v>0.51325598772393177</c:v>
                </c:pt>
                <c:pt idx="135">
                  <c:v>0.66876976131532739</c:v>
                </c:pt>
                <c:pt idx="136">
                  <c:v>0.55620190046301654</c:v>
                </c:pt>
                <c:pt idx="137">
                  <c:v>0.40340705255001175</c:v>
                </c:pt>
                <c:pt idx="138">
                  <c:v>0.16484229696236791</c:v>
                </c:pt>
                <c:pt idx="139">
                  <c:v>0.10545799145116214</c:v>
                </c:pt>
                <c:pt idx="140">
                  <c:v>0.21358366840450005</c:v>
                </c:pt>
                <c:pt idx="141">
                  <c:v>0.25972591729954819</c:v>
                </c:pt>
                <c:pt idx="142">
                  <c:v>0.19189337335603818</c:v>
                </c:pt>
                <c:pt idx="143">
                  <c:v>0.26634045814585094</c:v>
                </c:pt>
                <c:pt idx="144">
                  <c:v>0.32015682953018776</c:v>
                </c:pt>
                <c:pt idx="145">
                  <c:v>0.22602703668004276</c:v>
                </c:pt>
                <c:pt idx="146">
                  <c:v>0.1437804644211087</c:v>
                </c:pt>
                <c:pt idx="147">
                  <c:v>-5.7222173113897101E-2</c:v>
                </c:pt>
                <c:pt idx="148">
                  <c:v>-0.22626500464209398</c:v>
                </c:pt>
                <c:pt idx="149">
                  <c:v>-0.2299672167248954</c:v>
                </c:pt>
                <c:pt idx="150">
                  <c:v>-8.5284725805713335E-2</c:v>
                </c:pt>
                <c:pt idx="151">
                  <c:v>6.5240228384590537E-2</c:v>
                </c:pt>
                <c:pt idx="152">
                  <c:v>0.15969535516703237</c:v>
                </c:pt>
                <c:pt idx="153">
                  <c:v>0.13136674221539235</c:v>
                </c:pt>
                <c:pt idx="154">
                  <c:v>0.16957867155160866</c:v>
                </c:pt>
                <c:pt idx="155">
                  <c:v>0.16350614751546855</c:v>
                </c:pt>
                <c:pt idx="156">
                  <c:v>0.10792464850022032</c:v>
                </c:pt>
                <c:pt idx="157">
                  <c:v>8.2691825746159187E-2</c:v>
                </c:pt>
                <c:pt idx="158">
                  <c:v>-0.19743889086675559</c:v>
                </c:pt>
                <c:pt idx="159">
                  <c:v>-0.4167068734357422</c:v>
                </c:pt>
                <c:pt idx="160">
                  <c:v>-0.48263668544153637</c:v>
                </c:pt>
                <c:pt idx="161">
                  <c:v>-0.40259038515910295</c:v>
                </c:pt>
                <c:pt idx="162">
                  <c:v>-0.17689176269336865</c:v>
                </c:pt>
                <c:pt idx="163">
                  <c:v>-0.1023493520877049</c:v>
                </c:pt>
                <c:pt idx="164">
                  <c:v>-0.12813761807091589</c:v>
                </c:pt>
                <c:pt idx="165">
                  <c:v>-3.8392364569807547E-2</c:v>
                </c:pt>
                <c:pt idx="166">
                  <c:v>4.2781752953555685E-3</c:v>
                </c:pt>
                <c:pt idx="167">
                  <c:v>-0.13030768789833386</c:v>
                </c:pt>
                <c:pt idx="168">
                  <c:v>-0.30099549593496405</c:v>
                </c:pt>
                <c:pt idx="169">
                  <c:v>-0.45149235183717551</c:v>
                </c:pt>
                <c:pt idx="170">
                  <c:v>-0.55744121486290021</c:v>
                </c:pt>
                <c:pt idx="171">
                  <c:v>-0.44357249816104805</c:v>
                </c:pt>
                <c:pt idx="172">
                  <c:v>-0.61552845054384453</c:v>
                </c:pt>
                <c:pt idx="173">
                  <c:v>-0.75902005795325855</c:v>
                </c:pt>
                <c:pt idx="174">
                  <c:v>-0.70885463540017279</c:v>
                </c:pt>
                <c:pt idx="175">
                  <c:v>-0.63979295494083366</c:v>
                </c:pt>
                <c:pt idx="176">
                  <c:v>-0.45638860729383435</c:v>
                </c:pt>
                <c:pt idx="177">
                  <c:v>-0.21563423779376967</c:v>
                </c:pt>
                <c:pt idx="178">
                  <c:v>-1.934815376634258E-2</c:v>
                </c:pt>
                <c:pt idx="179">
                  <c:v>0.20391454499874884</c:v>
                </c:pt>
                <c:pt idx="180">
                  <c:v>0.29470912396048699</c:v>
                </c:pt>
                <c:pt idx="181">
                  <c:v>0.47700976016210439</c:v>
                </c:pt>
                <c:pt idx="182">
                  <c:v>0.55285852479256603</c:v>
                </c:pt>
                <c:pt idx="183">
                  <c:v>0.43102832693104792</c:v>
                </c:pt>
                <c:pt idx="184">
                  <c:v>0.21048440038255689</c:v>
                </c:pt>
                <c:pt idx="185">
                  <c:v>0.25760030408206547</c:v>
                </c:pt>
                <c:pt idx="186">
                  <c:v>0.36603857183635369</c:v>
                </c:pt>
                <c:pt idx="187">
                  <c:v>0.58999485984106581</c:v>
                </c:pt>
                <c:pt idx="188">
                  <c:v>0.80179494519033701</c:v>
                </c:pt>
                <c:pt idx="189">
                  <c:v>0.95922203307300091</c:v>
                </c:pt>
                <c:pt idx="190">
                  <c:v>1.1480733503398568</c:v>
                </c:pt>
                <c:pt idx="191">
                  <c:v>1.2349759711580988</c:v>
                </c:pt>
                <c:pt idx="192">
                  <c:v>1.0036344261111754</c:v>
                </c:pt>
                <c:pt idx="193">
                  <c:v>0.79836712721133751</c:v>
                </c:pt>
                <c:pt idx="194">
                  <c:v>0.68220113529257698</c:v>
                </c:pt>
                <c:pt idx="195">
                  <c:v>0.58940261026528207</c:v>
                </c:pt>
                <c:pt idx="196">
                  <c:v>0.51477164503401163</c:v>
                </c:pt>
                <c:pt idx="197">
                  <c:v>0.18623257609721811</c:v>
                </c:pt>
                <c:pt idx="198">
                  <c:v>-2.6829712234615943E-2</c:v>
                </c:pt>
                <c:pt idx="199">
                  <c:v>-0.19585011564282739</c:v>
                </c:pt>
                <c:pt idx="200">
                  <c:v>-0.32987373785895269</c:v>
                </c:pt>
                <c:pt idx="201">
                  <c:v>-0.40801922474369645</c:v>
                </c:pt>
                <c:pt idx="202">
                  <c:v>-0.41101518994358899</c:v>
                </c:pt>
                <c:pt idx="203">
                  <c:v>-0.43282359764404421</c:v>
                </c:pt>
                <c:pt idx="204">
                  <c:v>-0.48024797050213608</c:v>
                </c:pt>
                <c:pt idx="205">
                  <c:v>-0.50313304278380588</c:v>
                </c:pt>
                <c:pt idx="206">
                  <c:v>-0.53956159685746252</c:v>
                </c:pt>
                <c:pt idx="207">
                  <c:v>-0.64707172164847471</c:v>
                </c:pt>
                <c:pt idx="208">
                  <c:v>-0.72629153841768501</c:v>
                </c:pt>
                <c:pt idx="209">
                  <c:v>-0.73857532776785439</c:v>
                </c:pt>
                <c:pt idx="210">
                  <c:v>-0.82910752732186088</c:v>
                </c:pt>
                <c:pt idx="211">
                  <c:v>-0.61168978884509884</c:v>
                </c:pt>
                <c:pt idx="212">
                  <c:v>-0.42249469478464419</c:v>
                </c:pt>
                <c:pt idx="213">
                  <c:v>-0.15209212421841423</c:v>
                </c:pt>
                <c:pt idx="214">
                  <c:v>3.4766033904007981E-2</c:v>
                </c:pt>
                <c:pt idx="215">
                  <c:v>0.14726016446458209</c:v>
                </c:pt>
                <c:pt idx="216">
                  <c:v>0.16862100101520699</c:v>
                </c:pt>
                <c:pt idx="217">
                  <c:v>0.16454234789194655</c:v>
                </c:pt>
                <c:pt idx="218">
                  <c:v>0.22349140306185492</c:v>
                </c:pt>
                <c:pt idx="219">
                  <c:v>0.18879555819447502</c:v>
                </c:pt>
                <c:pt idx="220">
                  <c:v>7.5095408742507641E-2</c:v>
                </c:pt>
                <c:pt idx="221">
                  <c:v>6.1255827422481091E-2</c:v>
                </c:pt>
                <c:pt idx="222">
                  <c:v>-6.0438544144338913E-2</c:v>
                </c:pt>
                <c:pt idx="223">
                  <c:v>-2.8151509962292931E-2</c:v>
                </c:pt>
                <c:pt idx="224">
                  <c:v>9.3914296424218779E-2</c:v>
                </c:pt>
                <c:pt idx="225">
                  <c:v>0.15395784529031464</c:v>
                </c:pt>
                <c:pt idx="226">
                  <c:v>6.4414886379035141E-2</c:v>
                </c:pt>
                <c:pt idx="227">
                  <c:v>-0.12582600180905257</c:v>
                </c:pt>
                <c:pt idx="228">
                  <c:v>-0.26107102474583721</c:v>
                </c:pt>
                <c:pt idx="229">
                  <c:v>-0.31523212860249039</c:v>
                </c:pt>
                <c:pt idx="230">
                  <c:v>-0.34117895265437859</c:v>
                </c:pt>
                <c:pt idx="231">
                  <c:v>-0.35177105795491231</c:v>
                </c:pt>
                <c:pt idx="232">
                  <c:v>-0.55623681080759801</c:v>
                </c:pt>
                <c:pt idx="233">
                  <c:v>-0.6219818889034463</c:v>
                </c:pt>
                <c:pt idx="234">
                  <c:v>-0.70504365248476508</c:v>
                </c:pt>
                <c:pt idx="235">
                  <c:v>-0.75853646858722956</c:v>
                </c:pt>
                <c:pt idx="236">
                  <c:v>-0.76088322931503183</c:v>
                </c:pt>
                <c:pt idx="237">
                  <c:v>-0.7625005907172786</c:v>
                </c:pt>
                <c:pt idx="238">
                  <c:v>-0.72035661943010432</c:v>
                </c:pt>
                <c:pt idx="239">
                  <c:v>-0.707510854936241</c:v>
                </c:pt>
                <c:pt idx="240">
                  <c:v>-0.80079602741465905</c:v>
                </c:pt>
                <c:pt idx="241">
                  <c:v>-0.83199493817903347</c:v>
                </c:pt>
                <c:pt idx="242">
                  <c:v>-0.89286155981037352</c:v>
                </c:pt>
                <c:pt idx="243">
                  <c:v>-0.9237015754726734</c:v>
                </c:pt>
                <c:pt idx="244">
                  <c:v>-0.85095107585929952</c:v>
                </c:pt>
                <c:pt idx="245">
                  <c:v>-0.71067902345834</c:v>
                </c:pt>
                <c:pt idx="246">
                  <c:v>-0.55487911046520821</c:v>
                </c:pt>
                <c:pt idx="247">
                  <c:v>-0.39688741906868419</c:v>
                </c:pt>
                <c:pt idx="248">
                  <c:v>-0.25128132863429276</c:v>
                </c:pt>
                <c:pt idx="249">
                  <c:v>-0.16580902513079598</c:v>
                </c:pt>
                <c:pt idx="250">
                  <c:v>3.9328588090179029E-2</c:v>
                </c:pt>
                <c:pt idx="251">
                  <c:v>0.17652424457073224</c:v>
                </c:pt>
                <c:pt idx="252">
                  <c:v>0.31523314903478505</c:v>
                </c:pt>
                <c:pt idx="253">
                  <c:v>0.40414286317121917</c:v>
                </c:pt>
                <c:pt idx="254">
                  <c:v>0.52837145222864823</c:v>
                </c:pt>
                <c:pt idx="255">
                  <c:v>0.48641670590770403</c:v>
                </c:pt>
                <c:pt idx="256">
                  <c:v>0.43265141880135927</c:v>
                </c:pt>
                <c:pt idx="257">
                  <c:v>0.57370334301962433</c:v>
                </c:pt>
                <c:pt idx="258">
                  <c:v>0.68010418009080897</c:v>
                </c:pt>
                <c:pt idx="259">
                  <c:v>0.84445060713766318</c:v>
                </c:pt>
                <c:pt idx="260">
                  <c:v>0.90821724800582926</c:v>
                </c:pt>
                <c:pt idx="261">
                  <c:v>0.97947268388911901</c:v>
                </c:pt>
                <c:pt idx="262">
                  <c:v>0.93139152927656577</c:v>
                </c:pt>
                <c:pt idx="263">
                  <c:v>0.73934892199269953</c:v>
                </c:pt>
                <c:pt idx="264">
                  <c:v>0.62882934960551817</c:v>
                </c:pt>
                <c:pt idx="265">
                  <c:v>0.4391119547953003</c:v>
                </c:pt>
                <c:pt idx="266">
                  <c:v>0.40015236502097706</c:v>
                </c:pt>
                <c:pt idx="267">
                  <c:v>0.22451884837408176</c:v>
                </c:pt>
                <c:pt idx="268">
                  <c:v>0.14805278960650969</c:v>
                </c:pt>
                <c:pt idx="269">
                  <c:v>0.15464477637480051</c:v>
                </c:pt>
                <c:pt idx="270">
                  <c:v>-1.9698388878971462E-2</c:v>
                </c:pt>
                <c:pt idx="271">
                  <c:v>-0.10681095724696077</c:v>
                </c:pt>
                <c:pt idx="272">
                  <c:v>3.2125053697441341E-2</c:v>
                </c:pt>
                <c:pt idx="273">
                  <c:v>0.11712535183381723</c:v>
                </c:pt>
                <c:pt idx="274">
                  <c:v>7.6166782206857686E-2</c:v>
                </c:pt>
                <c:pt idx="275">
                  <c:v>8.0124888783407455E-2</c:v>
                </c:pt>
                <c:pt idx="276">
                  <c:v>0.21523040189196513</c:v>
                </c:pt>
                <c:pt idx="277">
                  <c:v>0.33689518472796753</c:v>
                </c:pt>
                <c:pt idx="278">
                  <c:v>0.12262518462398708</c:v>
                </c:pt>
                <c:pt idx="279">
                  <c:v>3.4220756051140222E-2</c:v>
                </c:pt>
                <c:pt idx="280">
                  <c:v>-1.3495095263193257E-2</c:v>
                </c:pt>
                <c:pt idx="281">
                  <c:v>8.105758543752184E-2</c:v>
                </c:pt>
                <c:pt idx="282">
                  <c:v>0.14859733636632336</c:v>
                </c:pt>
                <c:pt idx="283">
                  <c:v>0.29360587978515124</c:v>
                </c:pt>
                <c:pt idx="284">
                  <c:v>0.28680841877395868</c:v>
                </c:pt>
                <c:pt idx="285">
                  <c:v>0.30517991950916917</c:v>
                </c:pt>
                <c:pt idx="286">
                  <c:v>0.20237475937566179</c:v>
                </c:pt>
                <c:pt idx="287">
                  <c:v>0.10959481219894376</c:v>
                </c:pt>
                <c:pt idx="288">
                  <c:v>8.8977320944679875E-2</c:v>
                </c:pt>
                <c:pt idx="289">
                  <c:v>0.14573851996183387</c:v>
                </c:pt>
                <c:pt idx="290">
                  <c:v>-5.5442403579915367E-2</c:v>
                </c:pt>
                <c:pt idx="291">
                  <c:v>-0.19383467768270596</c:v>
                </c:pt>
                <c:pt idx="292">
                  <c:v>-0.40515291058262953</c:v>
                </c:pt>
                <c:pt idx="293">
                  <c:v>-0.37703904411373557</c:v>
                </c:pt>
                <c:pt idx="294">
                  <c:v>-0.24924598119637753</c:v>
                </c:pt>
                <c:pt idx="295">
                  <c:v>2.2961405498577503E-2</c:v>
                </c:pt>
                <c:pt idx="296">
                  <c:v>2.5471259975529487E-2</c:v>
                </c:pt>
                <c:pt idx="297">
                  <c:v>2.5314403858985868E-2</c:v>
                </c:pt>
                <c:pt idx="298">
                  <c:v>-4.0049642265325147E-3</c:v>
                </c:pt>
                <c:pt idx="299">
                  <c:v>0.18543044749131285</c:v>
                </c:pt>
                <c:pt idx="300">
                  <c:v>0.41419376696740018</c:v>
                </c:pt>
                <c:pt idx="301">
                  <c:v>0.52831190016107665</c:v>
                </c:pt>
                <c:pt idx="302">
                  <c:v>0.68400164545439979</c:v>
                </c:pt>
                <c:pt idx="303">
                  <c:v>0.77434057032654535</c:v>
                </c:pt>
                <c:pt idx="304">
                  <c:v>0.76042055170418177</c:v>
                </c:pt>
                <c:pt idx="305">
                  <c:v>0.72482196992653691</c:v>
                </c:pt>
                <c:pt idx="306">
                  <c:v>0.70712046061217881</c:v>
                </c:pt>
                <c:pt idx="307">
                  <c:v>0.75675048219469931</c:v>
                </c:pt>
                <c:pt idx="308">
                  <c:v>0.7127917402856232</c:v>
                </c:pt>
                <c:pt idx="309">
                  <c:v>0.62489305390573602</c:v>
                </c:pt>
                <c:pt idx="310">
                  <c:v>0.5994292210947596</c:v>
                </c:pt>
                <c:pt idx="311">
                  <c:v>0.54350572712140233</c:v>
                </c:pt>
                <c:pt idx="312">
                  <c:v>0.43955107147194461</c:v>
                </c:pt>
                <c:pt idx="313">
                  <c:v>-6.4670623385400638E-2</c:v>
                </c:pt>
                <c:pt idx="314">
                  <c:v>-0.91125509015629769</c:v>
                </c:pt>
                <c:pt idx="315">
                  <c:v>-1.4990294474123023</c:v>
                </c:pt>
                <c:pt idx="316">
                  <c:v>-1.9394975487574053</c:v>
                </c:pt>
                <c:pt idx="317">
                  <c:v>-1.8006391902616232</c:v>
                </c:pt>
                <c:pt idx="318">
                  <c:v>-1.9974579294271417</c:v>
                </c:pt>
                <c:pt idx="319">
                  <c:v>-1.8103380085963861</c:v>
                </c:pt>
                <c:pt idx="320">
                  <c:v>-1.577156067643759</c:v>
                </c:pt>
                <c:pt idx="321">
                  <c:v>-1.358194008265482</c:v>
                </c:pt>
                <c:pt idx="322">
                  <c:v>-1.0684590731957968</c:v>
                </c:pt>
                <c:pt idx="323">
                  <c:v>-0.64245725178595858</c:v>
                </c:pt>
                <c:pt idx="324">
                  <c:v>-0.42632936974273639</c:v>
                </c:pt>
                <c:pt idx="325">
                  <c:v>-6.3648656344700294E-2</c:v>
                </c:pt>
                <c:pt idx="326">
                  <c:v>0.12440874279869529</c:v>
                </c:pt>
                <c:pt idx="327">
                  <c:v>0.33263448304035359</c:v>
                </c:pt>
                <c:pt idx="328">
                  <c:v>0.45758835386533492</c:v>
                </c:pt>
                <c:pt idx="329">
                  <c:v>0.53041392503805751</c:v>
                </c:pt>
                <c:pt idx="330">
                  <c:v>0.54448010141560088</c:v>
                </c:pt>
                <c:pt idx="331">
                  <c:v>0.3627472220056458</c:v>
                </c:pt>
                <c:pt idx="332">
                  <c:v>0.25078612302384706</c:v>
                </c:pt>
                <c:pt idx="333">
                  <c:v>0.20572316369173516</c:v>
                </c:pt>
                <c:pt idx="334">
                  <c:v>-1.0581474718180717E-2</c:v>
                </c:pt>
                <c:pt idx="335">
                  <c:v>-4.3332548656872749E-2</c:v>
                </c:pt>
                <c:pt idx="336">
                  <c:v>-5.7499377629547377E-2</c:v>
                </c:pt>
                <c:pt idx="337">
                  <c:v>4.0411294958226929E-2</c:v>
                </c:pt>
                <c:pt idx="338">
                  <c:v>0.18930534341984195</c:v>
                </c:pt>
                <c:pt idx="339">
                  <c:v>0.40084682186955778</c:v>
                </c:pt>
                <c:pt idx="340">
                  <c:v>0.54073415198992691</c:v>
                </c:pt>
                <c:pt idx="341">
                  <c:v>0.54545787291298509</c:v>
                </c:pt>
                <c:pt idx="342">
                  <c:v>0.53289590498497552</c:v>
                </c:pt>
                <c:pt idx="343">
                  <c:v>0.47767288844914318</c:v>
                </c:pt>
                <c:pt idx="344">
                  <c:v>0.31263942889272123</c:v>
                </c:pt>
                <c:pt idx="345">
                  <c:v>9.9481201952265508E-2</c:v>
                </c:pt>
                <c:pt idx="346">
                  <c:v>-0.11821526547352612</c:v>
                </c:pt>
                <c:pt idx="347">
                  <c:v>-0.28878417077327401</c:v>
                </c:pt>
                <c:pt idx="348">
                  <c:v>-0.37235148387397143</c:v>
                </c:pt>
                <c:pt idx="349">
                  <c:v>-0.36871688805176828</c:v>
                </c:pt>
                <c:pt idx="350">
                  <c:v>-0.43102953749920803</c:v>
                </c:pt>
                <c:pt idx="351">
                  <c:v>-0.40343055611898082</c:v>
                </c:pt>
                <c:pt idx="352">
                  <c:v>-0.38190712468297394</c:v>
                </c:pt>
                <c:pt idx="353">
                  <c:v>-0.29169744374951745</c:v>
                </c:pt>
                <c:pt idx="354">
                  <c:v>-0.1625006553651851</c:v>
                </c:pt>
                <c:pt idx="355">
                  <c:v>-0.15885958419677815</c:v>
                </c:pt>
                <c:pt idx="356">
                  <c:v>-0.1680110082695041</c:v>
                </c:pt>
                <c:pt idx="357">
                  <c:v>1.3915450267163454E-3</c:v>
                </c:pt>
                <c:pt idx="358">
                  <c:v>0.16278200374885854</c:v>
                </c:pt>
                <c:pt idx="359">
                  <c:v>0.40923664808416294</c:v>
                </c:pt>
                <c:pt idx="360">
                  <c:v>0.68494475697972546</c:v>
                </c:pt>
                <c:pt idx="361">
                  <c:v>0.85639866984680046</c:v>
                </c:pt>
                <c:pt idx="362">
                  <c:v>1.0772890668765653</c:v>
                </c:pt>
                <c:pt idx="363">
                  <c:v>1.1855806375728024</c:v>
                </c:pt>
                <c:pt idx="364">
                  <c:v>1.2889469341828805</c:v>
                </c:pt>
                <c:pt idx="365">
                  <c:v>1.2321746048558504</c:v>
                </c:pt>
                <c:pt idx="366">
                  <c:v>1.2232551913965557</c:v>
                </c:pt>
                <c:pt idx="367">
                  <c:v>0.95674362564503368</c:v>
                </c:pt>
                <c:pt idx="368">
                  <c:v>0.51248888156025152</c:v>
                </c:pt>
                <c:pt idx="369">
                  <c:v>0.19784324560250166</c:v>
                </c:pt>
                <c:pt idx="370">
                  <c:v>8.1947492531062149E-2</c:v>
                </c:pt>
                <c:pt idx="371">
                  <c:v>-4.5800402712821597E-2</c:v>
                </c:pt>
                <c:pt idx="372">
                  <c:v>-0.23607898081504053</c:v>
                </c:pt>
                <c:pt idx="373">
                  <c:v>-0.26230844554718535</c:v>
                </c:pt>
                <c:pt idx="374">
                  <c:v>-0.16012972267554471</c:v>
                </c:pt>
                <c:pt idx="375">
                  <c:v>-2.4578303079871411E-2</c:v>
                </c:pt>
                <c:pt idx="376">
                  <c:v>-1.8110901144627434E-2</c:v>
                </c:pt>
                <c:pt idx="377">
                  <c:v>0.17327104392455506</c:v>
                </c:pt>
                <c:pt idx="378">
                  <c:v>0.24867907123034216</c:v>
                </c:pt>
                <c:pt idx="379">
                  <c:v>0.34387993936989036</c:v>
                </c:pt>
                <c:pt idx="380">
                  <c:v>0.40550708972642058</c:v>
                </c:pt>
                <c:pt idx="381">
                  <c:v>0.31366255019518707</c:v>
                </c:pt>
                <c:pt idx="382">
                  <c:v>0.16163350272066523</c:v>
                </c:pt>
                <c:pt idx="383">
                  <c:v>5.4301913173993022E-4</c:v>
                </c:pt>
                <c:pt idx="384">
                  <c:v>-0.15076366235590521</c:v>
                </c:pt>
                <c:pt idx="385">
                  <c:v>-0.49953732295595521</c:v>
                </c:pt>
                <c:pt idx="386">
                  <c:v>-0.68653796415807999</c:v>
                </c:pt>
                <c:pt idx="387">
                  <c:v>-0.74737305995565961</c:v>
                </c:pt>
                <c:pt idx="388">
                  <c:v>-0.66680164806197983</c:v>
                </c:pt>
                <c:pt idx="389">
                  <c:v>-0.5341266491834199</c:v>
                </c:pt>
                <c:pt idx="390">
                  <c:v>-0.45430387116911064</c:v>
                </c:pt>
                <c:pt idx="391">
                  <c:v>-0.31949757352137531</c:v>
                </c:pt>
                <c:pt idx="392">
                  <c:v>-0.13104017472986762</c:v>
                </c:pt>
                <c:pt idx="393">
                  <c:v>-7.2974632765583969E-2</c:v>
                </c:pt>
                <c:pt idx="394">
                  <c:v>-5.3565030311055528E-2</c:v>
                </c:pt>
                <c:pt idx="395">
                  <c:v>-0.17032235478830543</c:v>
                </c:pt>
                <c:pt idx="396">
                  <c:v>-0.38314842932476939</c:v>
                </c:pt>
                <c:pt idx="397">
                  <c:v>-0.50758876738856862</c:v>
                </c:pt>
                <c:pt idx="398">
                  <c:v>-0.60724097081340433</c:v>
                </c:pt>
                <c:pt idx="399">
                  <c:v>-0.67389949064782728</c:v>
                </c:pt>
                <c:pt idx="400">
                  <c:v>-0.62486499980600485</c:v>
                </c:pt>
                <c:pt idx="401">
                  <c:v>-0.6206107946703675</c:v>
                </c:pt>
                <c:pt idx="402">
                  <c:v>-0.56218408695387834</c:v>
                </c:pt>
                <c:pt idx="403">
                  <c:v>-0.39691793076054949</c:v>
                </c:pt>
                <c:pt idx="404">
                  <c:v>-0.28029759868244197</c:v>
                </c:pt>
                <c:pt idx="405">
                  <c:v>-0.24239993707911123</c:v>
                </c:pt>
                <c:pt idx="406">
                  <c:v>-0.18380251629709865</c:v>
                </c:pt>
                <c:pt idx="407">
                  <c:v>-8.4889435999542129E-2</c:v>
                </c:pt>
                <c:pt idx="408">
                  <c:v>6.0466253884181254E-2</c:v>
                </c:pt>
                <c:pt idx="409">
                  <c:v>0.20100842927214035</c:v>
                </c:pt>
                <c:pt idx="410">
                  <c:v>0.4168618412423748</c:v>
                </c:pt>
                <c:pt idx="411">
                  <c:v>0.56618328681618846</c:v>
                </c:pt>
                <c:pt idx="412">
                  <c:v>0.61937512032381314</c:v>
                </c:pt>
                <c:pt idx="413">
                  <c:v>0.70447936269937683</c:v>
                </c:pt>
                <c:pt idx="414">
                  <c:v>0.76139907060507106</c:v>
                </c:pt>
                <c:pt idx="415">
                  <c:v>0.81763205638733749</c:v>
                </c:pt>
                <c:pt idx="416">
                  <c:v>0.8341617047033526</c:v>
                </c:pt>
                <c:pt idx="417">
                  <c:v>0.62009816459956624</c:v>
                </c:pt>
                <c:pt idx="418">
                  <c:v>0.47999527735579317</c:v>
                </c:pt>
                <c:pt idx="419">
                  <c:v>0.15892726342430796</c:v>
                </c:pt>
                <c:pt idx="420">
                  <c:v>-1.7228551720002816E-2</c:v>
                </c:pt>
                <c:pt idx="421">
                  <c:v>-8.1795382325248411E-2</c:v>
                </c:pt>
                <c:pt idx="422">
                  <c:v>-5.8407240769569047E-3</c:v>
                </c:pt>
                <c:pt idx="423">
                  <c:v>1.3184687491176295E-2</c:v>
                </c:pt>
                <c:pt idx="424">
                  <c:v>1.9751268311518078E-2</c:v>
                </c:pt>
                <c:pt idx="425">
                  <c:v>2.8968650082693004E-2</c:v>
                </c:pt>
                <c:pt idx="426">
                  <c:v>0.17586808730835957</c:v>
                </c:pt>
                <c:pt idx="427">
                  <c:v>0.2911960375972289</c:v>
                </c:pt>
                <c:pt idx="428">
                  <c:v>0.25430541739754997</c:v>
                </c:pt>
                <c:pt idx="429">
                  <c:v>0.13931581591660069</c:v>
                </c:pt>
                <c:pt idx="430">
                  <c:v>8.6917777648298777E-4</c:v>
                </c:pt>
                <c:pt idx="431">
                  <c:v>2.9197966230506522E-2</c:v>
                </c:pt>
                <c:pt idx="432">
                  <c:v>7.6267454884436758E-2</c:v>
                </c:pt>
                <c:pt idx="433">
                  <c:v>0.15924538082852513</c:v>
                </c:pt>
                <c:pt idx="434">
                  <c:v>0.29830782546720402</c:v>
                </c:pt>
                <c:pt idx="435">
                  <c:v>0.16907738939671524</c:v>
                </c:pt>
                <c:pt idx="436">
                  <c:v>-2.4283689533698194E-2</c:v>
                </c:pt>
                <c:pt idx="437">
                  <c:v>-0.20233841696907162</c:v>
                </c:pt>
                <c:pt idx="438">
                  <c:v>-0.35717526677682498</c:v>
                </c:pt>
                <c:pt idx="439">
                  <c:v>-0.31813556009466648</c:v>
                </c:pt>
                <c:pt idx="440">
                  <c:v>-0.22463140819054894</c:v>
                </c:pt>
                <c:pt idx="441">
                  <c:v>-0.15753920306606417</c:v>
                </c:pt>
                <c:pt idx="442">
                  <c:v>-0.12930481419045836</c:v>
                </c:pt>
                <c:pt idx="443">
                  <c:v>-0.18213250075279741</c:v>
                </c:pt>
                <c:pt idx="444">
                  <c:v>-0.35086879461710851</c:v>
                </c:pt>
                <c:pt idx="445">
                  <c:v>-0.34712204222397125</c:v>
                </c:pt>
                <c:pt idx="446">
                  <c:v>-0.32784529676422286</c:v>
                </c:pt>
                <c:pt idx="447">
                  <c:v>-0.34568484020588736</c:v>
                </c:pt>
                <c:pt idx="448">
                  <c:v>-0.4035722129547224</c:v>
                </c:pt>
                <c:pt idx="449">
                  <c:v>-0.31859501880508789</c:v>
                </c:pt>
                <c:pt idx="450">
                  <c:v>-0.22055372106468984</c:v>
                </c:pt>
                <c:pt idx="451">
                  <c:v>-0.14767884529468372</c:v>
                </c:pt>
                <c:pt idx="452">
                  <c:v>3.293572428895665E-2</c:v>
                </c:pt>
                <c:pt idx="453">
                  <c:v>0.22494937073649526</c:v>
                </c:pt>
                <c:pt idx="454">
                  <c:v>0.29482850527187943</c:v>
                </c:pt>
                <c:pt idx="455">
                  <c:v>0.35657307712822267</c:v>
                </c:pt>
                <c:pt idx="456">
                  <c:v>0.31599581886133998</c:v>
                </c:pt>
                <c:pt idx="457">
                  <c:v>0.36138728501018796</c:v>
                </c:pt>
                <c:pt idx="458">
                  <c:v>0.25451894080663873</c:v>
                </c:pt>
                <c:pt idx="459">
                  <c:v>0.14849847154088558</c:v>
                </c:pt>
                <c:pt idx="460">
                  <c:v>3.0997974763962377E-2</c:v>
                </c:pt>
                <c:pt idx="461">
                  <c:v>-2.5067750763879015E-2</c:v>
                </c:pt>
                <c:pt idx="462">
                  <c:v>-9.323799701788682E-2</c:v>
                </c:pt>
                <c:pt idx="463">
                  <c:v>-8.3522407462959025E-2</c:v>
                </c:pt>
                <c:pt idx="464">
                  <c:v>9.5945133533921534E-2</c:v>
                </c:pt>
                <c:pt idx="465">
                  <c:v>0.26241686386429519</c:v>
                </c:pt>
                <c:pt idx="466">
                  <c:v>0.44715613927785924</c:v>
                </c:pt>
                <c:pt idx="467">
                  <c:v>0.4271487831793771</c:v>
                </c:pt>
                <c:pt idx="468">
                  <c:v>0.42758062193280522</c:v>
                </c:pt>
                <c:pt idx="469">
                  <c:v>0.42897716876830194</c:v>
                </c:pt>
                <c:pt idx="470">
                  <c:v>0.2952721702512715</c:v>
                </c:pt>
                <c:pt idx="471">
                  <c:v>0.27212447731533729</c:v>
                </c:pt>
                <c:pt idx="472">
                  <c:v>0.1254976538836956</c:v>
                </c:pt>
                <c:pt idx="473">
                  <c:v>-4.9692643656635838E-3</c:v>
                </c:pt>
                <c:pt idx="474">
                  <c:v>-9.3567960827596997E-2</c:v>
                </c:pt>
                <c:pt idx="475">
                  <c:v>-0.22573338328157733</c:v>
                </c:pt>
                <c:pt idx="476">
                  <c:v>-0.40009894601611107</c:v>
                </c:pt>
                <c:pt idx="477">
                  <c:v>-0.48109592000588153</c:v>
                </c:pt>
                <c:pt idx="478">
                  <c:v>-0.44143104048780268</c:v>
                </c:pt>
                <c:pt idx="479">
                  <c:v>-0.35529060877315977</c:v>
                </c:pt>
                <c:pt idx="480">
                  <c:v>-0.36880866701090986</c:v>
                </c:pt>
                <c:pt idx="481">
                  <c:v>-0.20903068132942038</c:v>
                </c:pt>
                <c:pt idx="482">
                  <c:v>-0.14509190000472694</c:v>
                </c:pt>
                <c:pt idx="483">
                  <c:v>-0.14041529820958476</c:v>
                </c:pt>
                <c:pt idx="484">
                  <c:v>-0.17025549621775637</c:v>
                </c:pt>
                <c:pt idx="485">
                  <c:v>-3.9173847833905484E-2</c:v>
                </c:pt>
                <c:pt idx="486">
                  <c:v>0.12344695426575258</c:v>
                </c:pt>
                <c:pt idx="487">
                  <c:v>0.21470488883101702</c:v>
                </c:pt>
                <c:pt idx="488">
                  <c:v>0.21001199500702372</c:v>
                </c:pt>
                <c:pt idx="489">
                  <c:v>0.12324832455829093</c:v>
                </c:pt>
                <c:pt idx="490">
                  <c:v>-0.13960001250248899</c:v>
                </c:pt>
                <c:pt idx="491">
                  <c:v>-0.12793705965653257</c:v>
                </c:pt>
                <c:pt idx="492">
                  <c:v>-0.17427913503039555</c:v>
                </c:pt>
                <c:pt idx="493">
                  <c:v>-0.18905707568476904</c:v>
                </c:pt>
                <c:pt idx="494">
                  <c:v>-9.9244505208432365E-2</c:v>
                </c:pt>
                <c:pt idx="495">
                  <c:v>3.9516090214237687E-2</c:v>
                </c:pt>
                <c:pt idx="496">
                  <c:v>0.10778026871451152</c:v>
                </c:pt>
                <c:pt idx="497">
                  <c:v>0.13377807450167822</c:v>
                </c:pt>
                <c:pt idx="498">
                  <c:v>0.22925740711798503</c:v>
                </c:pt>
                <c:pt idx="499">
                  <c:v>0.30149374901228676</c:v>
                </c:pt>
                <c:pt idx="500">
                  <c:v>0.28385031412907935</c:v>
                </c:pt>
                <c:pt idx="501">
                  <c:v>0.39905020705070626</c:v>
                </c:pt>
                <c:pt idx="502">
                  <c:v>0.61609230487737254</c:v>
                </c:pt>
                <c:pt idx="503">
                  <c:v>0.43618521932850385</c:v>
                </c:pt>
                <c:pt idx="504">
                  <c:v>0.12759585986517252</c:v>
                </c:pt>
                <c:pt idx="505">
                  <c:v>0.19968418491766204</c:v>
                </c:pt>
                <c:pt idx="506">
                  <c:v>0.33255575231938006</c:v>
                </c:pt>
                <c:pt idx="507">
                  <c:v>0.35029749600253179</c:v>
                </c:pt>
                <c:pt idx="508">
                  <c:v>0.49134622743878742</c:v>
                </c:pt>
                <c:pt idx="509">
                  <c:v>0.77455781832036719</c:v>
                </c:pt>
                <c:pt idx="510">
                  <c:v>0.82840499196859652</c:v>
                </c:pt>
                <c:pt idx="511">
                  <c:v>0.85056645684178367</c:v>
                </c:pt>
                <c:pt idx="512">
                  <c:v>0.83764222356781559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25">
                  <c:v>1.2167396236240506</c:v>
                </c:pt>
                <c:pt idx="26">
                  <c:v>1.0976279051625966</c:v>
                </c:pt>
                <c:pt idx="27">
                  <c:v>1.1034790897849831</c:v>
                </c:pt>
                <c:pt idx="28">
                  <c:v>0.94950518497589087</c:v>
                </c:pt>
                <c:pt idx="29">
                  <c:v>0.77816374747615669</c:v>
                </c:pt>
                <c:pt idx="30">
                  <c:v>0.86559522809629641</c:v>
                </c:pt>
                <c:pt idx="31">
                  <c:v>0.92423134279189867</c:v>
                </c:pt>
                <c:pt idx="32">
                  <c:v>0.88146212960135983</c:v>
                </c:pt>
                <c:pt idx="33">
                  <c:v>1.0054297018355385</c:v>
                </c:pt>
                <c:pt idx="34">
                  <c:v>1.0839179170978213</c:v>
                </c:pt>
                <c:pt idx="35">
                  <c:v>1.0596688787181279</c:v>
                </c:pt>
                <c:pt idx="36">
                  <c:v>1.0613008984637702</c:v>
                </c:pt>
                <c:pt idx="37">
                  <c:v>1.0329350917292857</c:v>
                </c:pt>
                <c:pt idx="38">
                  <c:v>1.0220737321312754</c:v>
                </c:pt>
                <c:pt idx="39">
                  <c:v>1.0178709719660901</c:v>
                </c:pt>
                <c:pt idx="40">
                  <c:v>1.108277687255864</c:v>
                </c:pt>
                <c:pt idx="41">
                  <c:v>1.0484165361323932</c:v>
                </c:pt>
                <c:pt idx="42">
                  <c:v>1.0916772691709014</c:v>
                </c:pt>
                <c:pt idx="43">
                  <c:v>1.2032726894241961</c:v>
                </c:pt>
                <c:pt idx="44">
                  <c:v>1.3248557373215277</c:v>
                </c:pt>
                <c:pt idx="45">
                  <c:v>1.4855848405194791</c:v>
                </c:pt>
                <c:pt idx="46">
                  <c:v>1.6456365898566787</c:v>
                </c:pt>
                <c:pt idx="47">
                  <c:v>1.6964391103931575</c:v>
                </c:pt>
                <c:pt idx="48">
                  <c:v>1.8134332320625504</c:v>
                </c:pt>
                <c:pt idx="49">
                  <c:v>2.0391872221788816</c:v>
                </c:pt>
                <c:pt idx="50">
                  <c:v>2.1768669896810877</c:v>
                </c:pt>
                <c:pt idx="51">
                  <c:v>2.3420933945368745</c:v>
                </c:pt>
                <c:pt idx="52">
                  <c:v>2.5078737015374202</c:v>
                </c:pt>
                <c:pt idx="53">
                  <c:v>2.6012015921898666</c:v>
                </c:pt>
                <c:pt idx="54">
                  <c:v>2.684564451337053</c:v>
                </c:pt>
                <c:pt idx="55">
                  <c:v>2.7192839056394007</c:v>
                </c:pt>
                <c:pt idx="56">
                  <c:v>2.8080323794587514</c:v>
                </c:pt>
                <c:pt idx="57">
                  <c:v>2.7769603019159632</c:v>
                </c:pt>
                <c:pt idx="58">
                  <c:v>2.8151008645030799</c:v>
                </c:pt>
                <c:pt idx="59">
                  <c:v>2.9142126914359778</c:v>
                </c:pt>
                <c:pt idx="60">
                  <c:v>3.0184830664809823</c:v>
                </c:pt>
                <c:pt idx="61">
                  <c:v>3.2484557755164616</c:v>
                </c:pt>
                <c:pt idx="62">
                  <c:v>3.3932098264643145</c:v>
                </c:pt>
                <c:pt idx="63">
                  <c:v>3.5014563355947956</c:v>
                </c:pt>
                <c:pt idx="64">
                  <c:v>3.6779861494651698</c:v>
                </c:pt>
                <c:pt idx="65">
                  <c:v>3.7089655062073064</c:v>
                </c:pt>
                <c:pt idx="66">
                  <c:v>3.7412260790826934</c:v>
                </c:pt>
                <c:pt idx="67">
                  <c:v>3.8052339230268473</c:v>
                </c:pt>
                <c:pt idx="68">
                  <c:v>3.7793114768517313</c:v>
                </c:pt>
                <c:pt idx="69">
                  <c:v>3.6026564380894399</c:v>
                </c:pt>
                <c:pt idx="70">
                  <c:v>3.3681528443230917</c:v>
                </c:pt>
                <c:pt idx="71">
                  <c:v>3.0670670902973569</c:v>
                </c:pt>
                <c:pt idx="72">
                  <c:v>2.7914350369689487</c:v>
                </c:pt>
                <c:pt idx="73">
                  <c:v>2.534897843768988</c:v>
                </c:pt>
                <c:pt idx="74">
                  <c:v>2.4135094691106787</c:v>
                </c:pt>
                <c:pt idx="75">
                  <c:v>2.3451452500010532</c:v>
                </c:pt>
                <c:pt idx="76">
                  <c:v>2.3023511153710103</c:v>
                </c:pt>
                <c:pt idx="77">
                  <c:v>2.2441807692606091</c:v>
                </c:pt>
                <c:pt idx="78">
                  <c:v>2.1953671844816824</c:v>
                </c:pt>
                <c:pt idx="79">
                  <c:v>1.8632725846180591</c:v>
                </c:pt>
                <c:pt idx="80">
                  <c:v>1.715867726210746</c:v>
                </c:pt>
                <c:pt idx="81">
                  <c:v>1.4715377918322332</c:v>
                </c:pt>
                <c:pt idx="82">
                  <c:v>1.0846520849336088</c:v>
                </c:pt>
                <c:pt idx="83">
                  <c:v>0.7859279318371506</c:v>
                </c:pt>
                <c:pt idx="84">
                  <c:v>0.52378304913381157</c:v>
                </c:pt>
                <c:pt idx="85">
                  <c:v>0.37225890400573292</c:v>
                </c:pt>
                <c:pt idx="86">
                  <c:v>0.20303333270589974</c:v>
                </c:pt>
                <c:pt idx="87">
                  <c:v>6.6539983878897146E-2</c:v>
                </c:pt>
                <c:pt idx="88">
                  <c:v>0.14152052273090021</c:v>
                </c:pt>
                <c:pt idx="89">
                  <c:v>0.16036259137300135</c:v>
                </c:pt>
                <c:pt idx="90">
                  <c:v>0.16930879795729936</c:v>
                </c:pt>
                <c:pt idx="91">
                  <c:v>0.15524319003380072</c:v>
                </c:pt>
                <c:pt idx="92">
                  <c:v>0.21504656627568863</c:v>
                </c:pt>
                <c:pt idx="93">
                  <c:v>0.20281221357319623</c:v>
                </c:pt>
                <c:pt idx="94">
                  <c:v>0.332112225403705</c:v>
                </c:pt>
                <c:pt idx="95">
                  <c:v>0.35225198139167446</c:v>
                </c:pt>
                <c:pt idx="96">
                  <c:v>0.29860361948605885</c:v>
                </c:pt>
                <c:pt idx="97">
                  <c:v>6.4108707799476861E-2</c:v>
                </c:pt>
                <c:pt idx="98">
                  <c:v>-0.27749395757091122</c:v>
                </c:pt>
                <c:pt idx="99">
                  <c:v>-0.54914853633607663</c:v>
                </c:pt>
                <c:pt idx="100">
                  <c:v>-0.64085342241891396</c:v>
                </c:pt>
                <c:pt idx="101">
                  <c:v>-0.80351846510581026</c:v>
                </c:pt>
                <c:pt idx="102">
                  <c:v>-0.89308773256585994</c:v>
                </c:pt>
                <c:pt idx="103">
                  <c:v>-0.69223074573180554</c:v>
                </c:pt>
                <c:pt idx="104">
                  <c:v>-0.75113503529792069</c:v>
                </c:pt>
                <c:pt idx="105">
                  <c:v>-0.93071947828794066</c:v>
                </c:pt>
                <c:pt idx="106">
                  <c:v>-1.0249156147811078</c:v>
                </c:pt>
                <c:pt idx="107">
                  <c:v>-1.0192297887882233</c:v>
                </c:pt>
                <c:pt idx="108">
                  <c:v>-1.100481864847481</c:v>
                </c:pt>
                <c:pt idx="109">
                  <c:v>-1.1252750085993597</c:v>
                </c:pt>
                <c:pt idx="110">
                  <c:v>-1.2044687820961286</c:v>
                </c:pt>
                <c:pt idx="111">
                  <c:v>-1.3517064247833872</c:v>
                </c:pt>
                <c:pt idx="112">
                  <c:v>-1.5226566414211788</c:v>
                </c:pt>
                <c:pt idx="113">
                  <c:v>-1.7134278180870126</c:v>
                </c:pt>
                <c:pt idx="114">
                  <c:v>-1.9031952320777776</c:v>
                </c:pt>
                <c:pt idx="115">
                  <c:v>-1.9488170495112485</c:v>
                </c:pt>
                <c:pt idx="116">
                  <c:v>-1.7740897891014384</c:v>
                </c:pt>
                <c:pt idx="117">
                  <c:v>-1.6951543025797804</c:v>
                </c:pt>
                <c:pt idx="118">
                  <c:v>-1.3515421202328497</c:v>
                </c:pt>
                <c:pt idx="119">
                  <c:v>-1.041401041525333</c:v>
                </c:pt>
                <c:pt idx="120">
                  <c:v>-0.7833543155690279</c:v>
                </c:pt>
                <c:pt idx="121">
                  <c:v>-0.53316552098137038</c:v>
                </c:pt>
                <c:pt idx="122">
                  <c:v>-0.31352284122202434</c:v>
                </c:pt>
                <c:pt idx="123">
                  <c:v>-0.15062874350491029</c:v>
                </c:pt>
                <c:pt idx="124">
                  <c:v>-8.351081801708915E-2</c:v>
                </c:pt>
                <c:pt idx="125">
                  <c:v>1.6293947741374382E-2</c:v>
                </c:pt>
                <c:pt idx="126">
                  <c:v>-1.6580312108743556E-2</c:v>
                </c:pt>
                <c:pt idx="127">
                  <c:v>-0.13707632410401516</c:v>
                </c:pt>
                <c:pt idx="128">
                  <c:v>-0.32883728707348325</c:v>
                </c:pt>
                <c:pt idx="129">
                  <c:v>-0.39715328612849987</c:v>
                </c:pt>
                <c:pt idx="130">
                  <c:v>-0.34005438754051909</c:v>
                </c:pt>
                <c:pt idx="131">
                  <c:v>-0.28984807796257428</c:v>
                </c:pt>
                <c:pt idx="132">
                  <c:v>-9.2451703473159341E-2</c:v>
                </c:pt>
                <c:pt idx="133">
                  <c:v>0.12946798256238878</c:v>
                </c:pt>
                <c:pt idx="134">
                  <c:v>0.42949659147842567</c:v>
                </c:pt>
                <c:pt idx="135">
                  <c:v>0.75220280539865314</c:v>
                </c:pt>
                <c:pt idx="136">
                  <c:v>0.77868541966209648</c:v>
                </c:pt>
                <c:pt idx="137">
                  <c:v>0.72674233488659468</c:v>
                </c:pt>
                <c:pt idx="138">
                  <c:v>0.52938815353954283</c:v>
                </c:pt>
                <c:pt idx="139">
                  <c:v>0.49636834589112766</c:v>
                </c:pt>
                <c:pt idx="140">
                  <c:v>0.65788993994559064</c:v>
                </c:pt>
                <c:pt idx="141">
                  <c:v>0.76896366816552586</c:v>
                </c:pt>
                <c:pt idx="142">
                  <c:v>0.74910446756102544</c:v>
                </c:pt>
                <c:pt idx="143">
                  <c:v>0.89013666688730098</c:v>
                </c:pt>
                <c:pt idx="144">
                  <c:v>1.0239922456541848</c:v>
                </c:pt>
                <c:pt idx="145">
                  <c:v>0.98636921197405059</c:v>
                </c:pt>
                <c:pt idx="146">
                  <c:v>0.94006775582039381</c:v>
                </c:pt>
                <c:pt idx="147">
                  <c:v>0.72475957500691379</c:v>
                </c:pt>
                <c:pt idx="148">
                  <c:v>0.49915049231819353</c:v>
                </c:pt>
                <c:pt idx="149">
                  <c:v>0.43795647605416832</c:v>
                </c:pt>
                <c:pt idx="150">
                  <c:v>0.56131778552192202</c:v>
                </c:pt>
                <c:pt idx="151">
                  <c:v>0.72815279680837364</c:v>
                </c:pt>
                <c:pt idx="152">
                  <c:v>0.86253176238257367</c:v>
                </c:pt>
                <c:pt idx="153">
                  <c:v>0.86704483498478169</c:v>
                </c:pt>
                <c:pt idx="154">
                  <c:v>0.94765143220890025</c:v>
                </c:pt>
                <c:pt idx="155">
                  <c:v>0.98245544505162741</c:v>
                </c:pt>
                <c:pt idx="156">
                  <c:v>0.95385510816143437</c:v>
                </c:pt>
                <c:pt idx="157">
                  <c:v>0.94929524184391312</c:v>
                </c:pt>
                <c:pt idx="158">
                  <c:v>0.61980480251430947</c:v>
                </c:pt>
                <c:pt idx="159">
                  <c:v>0.29636010158638726</c:v>
                </c:pt>
                <c:pt idx="160">
                  <c:v>0.10977111822020902</c:v>
                </c:pt>
                <c:pt idx="161">
                  <c:v>8.9169822212866734E-2</c:v>
                </c:pt>
                <c:pt idx="162">
                  <c:v>0.27064550400525889</c:v>
                </c:pt>
                <c:pt idx="163">
                  <c:v>0.31960057658899643</c:v>
                </c:pt>
                <c:pt idx="164">
                  <c:v>0.26177790608805651</c:v>
                </c:pt>
                <c:pt idx="165">
                  <c:v>0.341925068446713</c:v>
                </c:pt>
                <c:pt idx="166">
                  <c:v>0.38566515213571506</c:v>
                </c:pt>
                <c:pt idx="167">
                  <c:v>0.21850236696744219</c:v>
                </c:pt>
                <c:pt idx="168">
                  <c:v>-2.7434315052929037E-2</c:v>
                </c:pt>
                <c:pt idx="169">
                  <c:v>-0.2908042589144344</c:v>
                </c:pt>
                <c:pt idx="170">
                  <c:v>-0.53611342565588416</c:v>
                </c:pt>
                <c:pt idx="171">
                  <c:v>-0.533137833494294</c:v>
                </c:pt>
                <c:pt idx="172">
                  <c:v>-0.85897589851305156</c:v>
                </c:pt>
                <c:pt idx="173">
                  <c:v>-1.1922225204107804</c:v>
                </c:pt>
                <c:pt idx="174">
                  <c:v>-1.3192707567077377</c:v>
                </c:pt>
                <c:pt idx="175">
                  <c:v>-1.4101573149836071</c:v>
                </c:pt>
                <c:pt idx="176">
                  <c:v>-1.3408501191600664</c:v>
                </c:pt>
                <c:pt idx="177">
                  <c:v>-1.1540043091084442</c:v>
                </c:pt>
                <c:pt idx="178">
                  <c:v>-0.9625552635226029</c:v>
                </c:pt>
                <c:pt idx="179">
                  <c:v>-0.68831392850782436</c:v>
                </c:pt>
                <c:pt idx="180">
                  <c:v>-0.5238420685559646</c:v>
                </c:pt>
                <c:pt idx="181">
                  <c:v>-0.22228899231382115</c:v>
                </c:pt>
                <c:pt idx="182">
                  <c:v>-8.2255964852180341E-3</c:v>
                </c:pt>
                <c:pt idx="183">
                  <c:v>-2.2298712613974203E-2</c:v>
                </c:pt>
                <c:pt idx="184">
                  <c:v>-0.19022153906682604</c:v>
                </c:pt>
                <c:pt idx="185">
                  <c:v>-7.8705559346801124E-2</c:v>
                </c:pt>
                <c:pt idx="186">
                  <c:v>0.12124235136657546</c:v>
                </c:pt>
                <c:pt idx="187">
                  <c:v>0.49269735433155404</c:v>
                </c:pt>
                <c:pt idx="188">
                  <c:v>0.90494617597840943</c:v>
                </c:pt>
                <c:pt idx="189">
                  <c:v>1.3021787721293236</c:v>
                </c:pt>
                <c:pt idx="190">
                  <c:v>1.7780484269811438</c:v>
                </c:pt>
                <c:pt idx="191">
                  <c:v>2.1736950405889104</c:v>
                </c:pt>
                <c:pt idx="192">
                  <c:v>2.1932621020697809</c:v>
                </c:pt>
                <c:pt idx="193">
                  <c:v>2.1875865849727774</c:v>
                </c:pt>
                <c:pt idx="194">
                  <c:v>2.2419708768771613</c:v>
                </c:pt>
                <c:pt idx="195">
                  <c:v>2.2965230044161871</c:v>
                </c:pt>
                <c:pt idx="196">
                  <c:v>2.3505849504434195</c:v>
                </c:pt>
                <c:pt idx="197">
                  <c:v>2.0686040255309308</c:v>
                </c:pt>
                <c:pt idx="198">
                  <c:v>1.8488343091404431</c:v>
                </c:pt>
                <c:pt idx="199">
                  <c:v>1.6308513768215249</c:v>
                </c:pt>
                <c:pt idx="200">
                  <c:v>1.4143593201406617</c:v>
                </c:pt>
                <c:pt idx="201">
                  <c:v>1.2342090270699941</c:v>
                </c:pt>
                <c:pt idx="202">
                  <c:v>1.1284592643842046</c:v>
                </c:pt>
                <c:pt idx="203">
                  <c:v>0.99844495727273852</c:v>
                </c:pt>
                <c:pt idx="204">
                  <c:v>0.83095859178911269</c:v>
                </c:pt>
                <c:pt idx="205">
                  <c:v>0.68229025881149141</c:v>
                </c:pt>
                <c:pt idx="206">
                  <c:v>0.51097130552346925</c:v>
                </c:pt>
                <c:pt idx="207">
                  <c:v>0.24169325032033839</c:v>
                </c:pt>
                <c:pt idx="208">
                  <c:v>-1.9099451053293137E-2</c:v>
                </c:pt>
                <c:pt idx="209">
                  <c:v>-0.21602707234542606</c:v>
                </c:pt>
                <c:pt idx="210">
                  <c:v>-0.51383615372989766</c:v>
                </c:pt>
                <c:pt idx="211">
                  <c:v>-0.44934086246441041</c:v>
                </c:pt>
                <c:pt idx="212">
                  <c:v>-0.36576944210011675</c:v>
                </c:pt>
                <c:pt idx="213">
                  <c:v>-0.13338990258849037</c:v>
                </c:pt>
                <c:pt idx="214">
                  <c:v>6.2159764009933838E-2</c:v>
                </c:pt>
                <c:pt idx="215">
                  <c:v>0.21146893568665348</c:v>
                </c:pt>
                <c:pt idx="216">
                  <c:v>0.27498502249108014</c:v>
                </c:pt>
                <c:pt idx="217">
                  <c:v>0.31204195634080634</c:v>
                </c:pt>
                <c:pt idx="218">
                  <c:v>0.42686386227617845</c:v>
                </c:pt>
                <c:pt idx="219">
                  <c:v>0.43936690695741731</c:v>
                </c:pt>
                <c:pt idx="220">
                  <c:v>0.34444060969107682</c:v>
                </c:pt>
                <c:pt idx="221">
                  <c:v>0.34591498522667052</c:v>
                </c:pt>
                <c:pt idx="222">
                  <c:v>0.20911097762376585</c:v>
                </c:pt>
                <c:pt idx="223">
                  <c:v>0.23436013431523861</c:v>
                </c:pt>
                <c:pt idx="224">
                  <c:v>0.37990451480780507</c:v>
                </c:pt>
                <c:pt idx="225">
                  <c:v>0.47843752499647962</c:v>
                </c:pt>
                <c:pt idx="226">
                  <c:v>0.40499828767995893</c:v>
                </c:pt>
                <c:pt idx="227">
                  <c:v>0.18330089903960811</c:v>
                </c:pt>
                <c:pt idx="228">
                  <c:v>-1.7211880083635833E-2</c:v>
                </c:pt>
                <c:pt idx="229">
                  <c:v>-0.15018101609091161</c:v>
                </c:pt>
                <c:pt idx="230">
                  <c:v>-0.26142257830639437</c:v>
                </c:pt>
                <c:pt idx="231">
                  <c:v>-0.35995744809565622</c:v>
                </c:pt>
                <c:pt idx="232">
                  <c:v>-0.70348240365024139</c:v>
                </c:pt>
                <c:pt idx="233">
                  <c:v>-0.92472295397195126</c:v>
                </c:pt>
                <c:pt idx="234">
                  <c:v>-1.1840456306744613</c:v>
                </c:pt>
                <c:pt idx="235">
                  <c:v>-1.4271725639237332</c:v>
                </c:pt>
                <c:pt idx="236">
                  <c:v>-1.6197401319802935</c:v>
                </c:pt>
                <c:pt idx="237">
                  <c:v>-1.81198264106186</c:v>
                </c:pt>
                <c:pt idx="238">
                  <c:v>-1.949927824632212</c:v>
                </c:pt>
                <c:pt idx="239">
                  <c:v>-2.1139597738724092</c:v>
                </c:pt>
                <c:pt idx="240">
                  <c:v>-2.407443953204492</c:v>
                </c:pt>
                <c:pt idx="241">
                  <c:v>-2.6466415985136251</c:v>
                </c:pt>
                <c:pt idx="242">
                  <c:v>-2.9307236100975587</c:v>
                </c:pt>
                <c:pt idx="243">
                  <c:v>-3.1924890196280273</c:v>
                </c:pt>
                <c:pt idx="244">
                  <c:v>-3.3324762889794783</c:v>
                </c:pt>
                <c:pt idx="245">
                  <c:v>-3.3698739924431038</c:v>
                </c:pt>
                <c:pt idx="246">
                  <c:v>-3.3527938570662741</c:v>
                </c:pt>
                <c:pt idx="247">
                  <c:v>-3.2940240204369218</c:v>
                </c:pt>
                <c:pt idx="248">
                  <c:v>-3.2112382621611033</c:v>
                </c:pt>
                <c:pt idx="249">
                  <c:v>-3.1672182149403056</c:v>
                </c:pt>
                <c:pt idx="250">
                  <c:v>-2.952248454696786</c:v>
                </c:pt>
                <c:pt idx="251">
                  <c:v>-2.7709217370735502</c:v>
                </c:pt>
                <c:pt idx="252">
                  <c:v>-2.5534045453508014</c:v>
                </c:pt>
                <c:pt idx="253">
                  <c:v>-2.3634591154215627</c:v>
                </c:pt>
                <c:pt idx="254">
                  <c:v>-2.1071376633069718</c:v>
                </c:pt>
                <c:pt idx="255">
                  <c:v>-2.02748823315099</c:v>
                </c:pt>
                <c:pt idx="256">
                  <c:v>-1.9730906655569953</c:v>
                </c:pt>
                <c:pt idx="257">
                  <c:v>-1.6886129055838239</c:v>
                </c:pt>
                <c:pt idx="258">
                  <c:v>-1.4121860234899373</c:v>
                </c:pt>
                <c:pt idx="259">
                  <c:v>-1.0367269446586675</c:v>
                </c:pt>
                <c:pt idx="260">
                  <c:v>-0.74590599178904426</c:v>
                </c:pt>
                <c:pt idx="261">
                  <c:v>-0.42978238493347476</c:v>
                </c:pt>
                <c:pt idx="262">
                  <c:v>-0.24501565722688667</c:v>
                </c:pt>
                <c:pt idx="263">
                  <c:v>-0.25222103401257812</c:v>
                </c:pt>
                <c:pt idx="264">
                  <c:v>-0.20553326899837998</c:v>
                </c:pt>
                <c:pt idx="265">
                  <c:v>-0.28547267510977292</c:v>
                </c:pt>
                <c:pt idx="266">
                  <c:v>-0.22439417362885195</c:v>
                </c:pt>
                <c:pt idx="267">
                  <c:v>-0.34389797818222689</c:v>
                </c:pt>
                <c:pt idx="268">
                  <c:v>-0.38335083954817151</c:v>
                </c:pt>
                <c:pt idx="269">
                  <c:v>-0.33809765868618058</c:v>
                </c:pt>
                <c:pt idx="270">
                  <c:v>-0.51736542115969542</c:v>
                </c:pt>
                <c:pt idx="271">
                  <c:v>-0.63118072883942489</c:v>
                </c:pt>
                <c:pt idx="272">
                  <c:v>-0.48421345447066244</c:v>
                </c:pt>
                <c:pt idx="273">
                  <c:v>-0.36993181837583222</c:v>
                </c:pt>
                <c:pt idx="274">
                  <c:v>-0.39184869245107734</c:v>
                </c:pt>
                <c:pt idx="275">
                  <c:v>-0.36785936367867578</c:v>
                </c:pt>
                <c:pt idx="276">
                  <c:v>-0.17894625009712684</c:v>
                </c:pt>
                <c:pt idx="277">
                  <c:v>2.6942328920867453E-2</c:v>
                </c:pt>
                <c:pt idx="278">
                  <c:v>-0.15667137502711626</c:v>
                </c:pt>
                <c:pt idx="279">
                  <c:v>-0.2365206145871781</c:v>
                </c:pt>
                <c:pt idx="280">
                  <c:v>-0.28761023971730992</c:v>
                </c:pt>
                <c:pt idx="281">
                  <c:v>-0.17279316265721434</c:v>
                </c:pt>
                <c:pt idx="282">
                  <c:v>-6.8104077636832017E-2</c:v>
                </c:pt>
                <c:pt idx="283">
                  <c:v>0.15030593572828366</c:v>
                </c:pt>
                <c:pt idx="284">
                  <c:v>0.21521057941058075</c:v>
                </c:pt>
                <c:pt idx="285">
                  <c:v>0.30987706002308357</c:v>
                </c:pt>
                <c:pt idx="286">
                  <c:v>0.25766558973349163</c:v>
                </c:pt>
                <c:pt idx="287">
                  <c:v>0.19228434560650953</c:v>
                </c:pt>
                <c:pt idx="288">
                  <c:v>0.19391118458841561</c:v>
                </c:pt>
                <c:pt idx="289">
                  <c:v>0.28710701359602808</c:v>
                </c:pt>
                <c:pt idx="290">
                  <c:v>7.20654891593E-2</c:v>
                </c:pt>
                <c:pt idx="291">
                  <c:v>-0.11478545436416709</c:v>
                </c:pt>
                <c:pt idx="292">
                  <c:v>-0.42739191490974804</c:v>
                </c:pt>
                <c:pt idx="293">
                  <c:v>-0.49353780946928794</c:v>
                </c:pt>
                <c:pt idx="294">
                  <c:v>-0.42805624185102431</c:v>
                </c:pt>
                <c:pt idx="295">
                  <c:v>-0.15010850378142493</c:v>
                </c:pt>
                <c:pt idx="296">
                  <c:v>-0.14123083431059058</c:v>
                </c:pt>
                <c:pt idx="297">
                  <c:v>-0.13505908946238776</c:v>
                </c:pt>
                <c:pt idx="298">
                  <c:v>-0.16537969860453927</c:v>
                </c:pt>
                <c:pt idx="299">
                  <c:v>7.0413324986134285E-2</c:v>
                </c:pt>
                <c:pt idx="300">
                  <c:v>0.40272508620407166</c:v>
                </c:pt>
                <c:pt idx="301">
                  <c:v>0.64892119443801732</c:v>
                </c:pt>
                <c:pt idx="302">
                  <c:v>0.97561135109494046</c:v>
                </c:pt>
                <c:pt idx="303">
                  <c:v>1.2595354185487224</c:v>
                </c:pt>
                <c:pt idx="304">
                  <c:v>1.4357205378524043</c:v>
                </c:pt>
                <c:pt idx="305">
                  <c:v>1.5813274485563937</c:v>
                </c:pt>
                <c:pt idx="306">
                  <c:v>1.7404060543950806</c:v>
                </c:pt>
                <c:pt idx="307">
                  <c:v>1.9792236965262759</c:v>
                </c:pt>
                <c:pt idx="308">
                  <c:v>2.1134628896886056</c:v>
                </c:pt>
                <c:pt idx="309">
                  <c:v>2.1817874667851527</c:v>
                </c:pt>
                <c:pt idx="310">
                  <c:v>2.3061809392478665</c:v>
                </c:pt>
                <c:pt idx="311">
                  <c:v>2.3861338770548599</c:v>
                </c:pt>
                <c:pt idx="312">
                  <c:v>2.3920669892733883</c:v>
                </c:pt>
                <c:pt idx="313">
                  <c:v>1.8716776385696932</c:v>
                </c:pt>
                <c:pt idx="314">
                  <c:v>0.7972793992597218</c:v>
                </c:pt>
                <c:pt idx="315">
                  <c:v>-0.16525231984935829</c:v>
                </c:pt>
                <c:pt idx="316">
                  <c:v>-1.0905948083838126</c:v>
                </c:pt>
                <c:pt idx="317">
                  <c:v>-1.4018962474534362</c:v>
                </c:pt>
                <c:pt idx="318">
                  <c:v>-2.0980794689757403</c:v>
                </c:pt>
                <c:pt idx="319">
                  <c:v>-2.363544050294081</c:v>
                </c:pt>
                <c:pt idx="320">
                  <c:v>-2.5246511262523939</c:v>
                </c:pt>
                <c:pt idx="321">
                  <c:v>-2.6452375689404874</c:v>
                </c:pt>
                <c:pt idx="322">
                  <c:v>-2.6226174021697517</c:v>
                </c:pt>
                <c:pt idx="323">
                  <c:v>-2.3572298937064033</c:v>
                </c:pt>
                <c:pt idx="324">
                  <c:v>-2.2476843540988654</c:v>
                </c:pt>
                <c:pt idx="325">
                  <c:v>-1.9009158047870045</c:v>
                </c:pt>
                <c:pt idx="326">
                  <c:v>-1.6817562199439351</c:v>
                </c:pt>
                <c:pt idx="327">
                  <c:v>-1.3903718589421885</c:v>
                </c:pt>
                <c:pt idx="328">
                  <c:v>-1.1510208996508737</c:v>
                </c:pt>
                <c:pt idx="329">
                  <c:v>-0.94559184721863687</c:v>
                </c:pt>
                <c:pt idx="330">
                  <c:v>-0.79540564548719317</c:v>
                </c:pt>
                <c:pt idx="331">
                  <c:v>-0.88645171939573686</c:v>
                </c:pt>
                <c:pt idx="332">
                  <c:v>-0.93571628762157388</c:v>
                </c:pt>
                <c:pt idx="333">
                  <c:v>-0.92934845603075189</c:v>
                </c:pt>
                <c:pt idx="334">
                  <c:v>-1.1482984631202129</c:v>
                </c:pt>
                <c:pt idx="335">
                  <c:v>-1.1918826742231232</c:v>
                </c:pt>
                <c:pt idx="336">
                  <c:v>-1.2204243476031849</c:v>
                </c:pt>
                <c:pt idx="337">
                  <c:v>-1.1124108512758539</c:v>
                </c:pt>
                <c:pt idx="338">
                  <c:v>-0.91619046695927864</c:v>
                </c:pt>
                <c:pt idx="339">
                  <c:v>-0.60443728304217359</c:v>
                </c:pt>
                <c:pt idx="340">
                  <c:v>-0.32936641492432273</c:v>
                </c:pt>
                <c:pt idx="341">
                  <c:v>-0.18827822577301845</c:v>
                </c:pt>
                <c:pt idx="342">
                  <c:v>-6.7616217454784078E-2</c:v>
                </c:pt>
                <c:pt idx="343">
                  <c:v>-3.4210118783306598E-3</c:v>
                </c:pt>
                <c:pt idx="344">
                  <c:v>-9.0294614211572366E-2</c:v>
                </c:pt>
                <c:pt idx="345">
                  <c:v>-0.27858254066396171</c:v>
                </c:pt>
                <c:pt idx="346">
                  <c:v>-0.52583282445813495</c:v>
                </c:pt>
                <c:pt idx="347">
                  <c:v>-0.76859777245120142</c:v>
                </c:pt>
                <c:pt idx="348">
                  <c:v>-0.94525295652039176</c:v>
                </c:pt>
                <c:pt idx="349">
                  <c:v>-1.0337975827111308</c:v>
                </c:pt>
                <c:pt idx="350">
                  <c:v>-1.2038676165333726</c:v>
                </c:pt>
                <c:pt idx="351">
                  <c:v>-1.2771262741828906</c:v>
                </c:pt>
                <c:pt idx="352">
                  <c:v>-1.3510796239176273</c:v>
                </c:pt>
                <c:pt idx="353">
                  <c:v>-1.3337943039215503</c:v>
                </c:pt>
                <c:pt idx="354">
                  <c:v>-1.2452226793785144</c:v>
                </c:pt>
                <c:pt idx="355">
                  <c:v>-1.2812965042593021</c:v>
                </c:pt>
                <c:pt idx="356">
                  <c:v>-1.3324506803994041</c:v>
                </c:pt>
                <c:pt idx="357">
                  <c:v>-1.1627002408465046</c:v>
                </c:pt>
                <c:pt idx="358">
                  <c:v>-0.96061428118714787</c:v>
                </c:pt>
                <c:pt idx="359">
                  <c:v>-0.61185047483080268</c:v>
                </c:pt>
                <c:pt idx="360">
                  <c:v>-0.16490617669030883</c:v>
                </c:pt>
                <c:pt idx="361">
                  <c:v>0.22064740363846624</c:v>
                </c:pt>
                <c:pt idx="362">
                  <c:v>0.7108600673873724</c:v>
                </c:pt>
                <c:pt idx="363">
                  <c:v>1.1155467974768101</c:v>
                </c:pt>
                <c:pt idx="364">
                  <c:v>1.5411498276326085</c:v>
                </c:pt>
                <c:pt idx="365">
                  <c:v>1.7924211495195408</c:v>
                </c:pt>
                <c:pt idx="366">
                  <c:v>2.0893155339093852</c:v>
                </c:pt>
                <c:pt idx="367">
                  <c:v>2.0619898745691216</c:v>
                </c:pt>
                <c:pt idx="368">
                  <c:v>1.7458573508744024</c:v>
                </c:pt>
                <c:pt idx="369">
                  <c:v>1.480672526317278</c:v>
                </c:pt>
                <c:pt idx="370">
                  <c:v>1.3852636463786041</c:v>
                </c:pt>
                <c:pt idx="371">
                  <c:v>1.2460656504565151</c:v>
                </c:pt>
                <c:pt idx="372">
                  <c:v>0.99676732715053618</c:v>
                </c:pt>
                <c:pt idx="373">
                  <c:v>0.90496075103159512</c:v>
                </c:pt>
                <c:pt idx="374">
                  <c:v>0.96710704323434982</c:v>
                </c:pt>
                <c:pt idx="375">
                  <c:v>1.0965138870600555</c:v>
                </c:pt>
                <c:pt idx="376">
                  <c:v>1.0984535637091426</c:v>
                </c:pt>
                <c:pt idx="377">
                  <c:v>1.3331532697594639</c:v>
                </c:pt>
                <c:pt idx="378">
                  <c:v>1.4707310648728367</c:v>
                </c:pt>
                <c:pt idx="379">
                  <c:v>1.6519019178548575</c:v>
                </c:pt>
                <c:pt idx="380">
                  <c:v>1.814905840642993</c:v>
                </c:pt>
                <c:pt idx="381">
                  <c:v>1.8014769386605565</c:v>
                </c:pt>
                <c:pt idx="382">
                  <c:v>1.6898562668662009</c:v>
                </c:pt>
                <c:pt idx="383">
                  <c:v>1.5289015380602109</c:v>
                </c:pt>
                <c:pt idx="384">
                  <c:v>1.3399039409835893</c:v>
                </c:pt>
                <c:pt idx="385">
                  <c:v>0.86624594964455071</c:v>
                </c:pt>
                <c:pt idx="386">
                  <c:v>0.50761081740290592</c:v>
                </c:pt>
                <c:pt idx="387">
                  <c:v>0.2599324566164114</c:v>
                </c:pt>
                <c:pt idx="388">
                  <c:v>0.17380345649459628</c:v>
                </c:pt>
                <c:pt idx="389">
                  <c:v>0.17294679307730121</c:v>
                </c:pt>
                <c:pt idx="390">
                  <c:v>0.13919360329933284</c:v>
                </c:pt>
                <c:pt idx="391">
                  <c:v>0.19412550756672431</c:v>
                </c:pt>
                <c:pt idx="392">
                  <c:v>0.34982286267576512</c:v>
                </c:pt>
                <c:pt idx="393">
                  <c:v>0.38964474644865277</c:v>
                </c:pt>
                <c:pt idx="394">
                  <c:v>0.39566309132541733</c:v>
                </c:pt>
                <c:pt idx="395">
                  <c:v>0.23632517815109111</c:v>
                </c:pt>
                <c:pt idx="396">
                  <c:v>-7.2288003716565186E-2</c:v>
                </c:pt>
                <c:pt idx="397">
                  <c:v>-0.32362553362750646</c:v>
                </c:pt>
                <c:pt idx="398">
                  <c:v>-0.57508797975569337</c:v>
                </c:pt>
                <c:pt idx="399">
                  <c:v>-0.81022137225207302</c:v>
                </c:pt>
                <c:pt idx="400">
                  <c:v>-0.91740313136175189</c:v>
                </c:pt>
                <c:pt idx="401">
                  <c:v>-1.0683016248937065</c:v>
                </c:pt>
                <c:pt idx="402">
                  <c:v>-1.150420938915687</c:v>
                </c:pt>
                <c:pt idx="403">
                  <c:v>-1.0843842654124956</c:v>
                </c:pt>
                <c:pt idx="404">
                  <c:v>-1.0378383330049985</c:v>
                </c:pt>
                <c:pt idx="405">
                  <c:v>-1.0605406556714456</c:v>
                </c:pt>
                <c:pt idx="406">
                  <c:v>-1.0478938639637079</c:v>
                </c:pt>
                <c:pt idx="407">
                  <c:v>-0.97020314266603691</c:v>
                </c:pt>
                <c:pt idx="408">
                  <c:v>-0.80973088931126824</c:v>
                </c:pt>
                <c:pt idx="409">
                  <c:v>-0.61893660660527416</c:v>
                </c:pt>
                <c:pt idx="410">
                  <c:v>-0.29886773432444613</c:v>
                </c:pt>
                <c:pt idx="411">
                  <c:v>-8.0004670465854133E-3</c:v>
                </c:pt>
                <c:pt idx="412">
                  <c:v>0.2000351465419925</c:v>
                </c:pt>
                <c:pt idx="413">
                  <c:v>0.46125922959240029</c:v>
                </c:pt>
                <c:pt idx="414">
                  <c:v>0.70852870514936228</c:v>
                </c:pt>
                <c:pt idx="415">
                  <c:v>0.96916970502846311</c:v>
                </c:pt>
                <c:pt idx="416">
                  <c:v>1.1942397795203163</c:v>
                </c:pt>
                <c:pt idx="417">
                  <c:v>1.1352007805664215</c:v>
                </c:pt>
                <c:pt idx="418">
                  <c:v>1.1150967126615967</c:v>
                </c:pt>
                <c:pt idx="419">
                  <c:v>0.83376051458618861</c:v>
                </c:pt>
                <c:pt idx="420">
                  <c:v>0.65329756151187723</c:v>
                </c:pt>
                <c:pt idx="421">
                  <c:v>0.56828188532531954</c:v>
                </c:pt>
                <c:pt idx="422">
                  <c:v>0.64277636255437187</c:v>
                </c:pt>
                <c:pt idx="423">
                  <c:v>0.66509794599529926</c:v>
                </c:pt>
                <c:pt idx="424">
                  <c:v>0.6766023438935207</c:v>
                </c:pt>
                <c:pt idx="425">
                  <c:v>0.69306188818536896</c:v>
                </c:pt>
                <c:pt idx="426">
                  <c:v>0.88392834723812541</c:v>
                </c:pt>
                <c:pt idx="427">
                  <c:v>1.0720553069263019</c:v>
                </c:pt>
                <c:pt idx="428">
                  <c:v>1.0987410410760106</c:v>
                </c:pt>
                <c:pt idx="429">
                  <c:v>1.0185803935742115</c:v>
                </c:pt>
                <c:pt idx="430">
                  <c:v>0.88035104987821455</c:v>
                </c:pt>
                <c:pt idx="431">
                  <c:v>0.91597932988986486</c:v>
                </c:pt>
                <c:pt idx="432">
                  <c:v>0.98211568226490442</c:v>
                </c:pt>
                <c:pt idx="433">
                  <c:v>1.1049049534161242</c:v>
                </c:pt>
                <c:pt idx="434">
                  <c:v>1.3185443544216042</c:v>
                </c:pt>
                <c:pt idx="435">
                  <c:v>1.2315832657002943</c:v>
                </c:pt>
                <c:pt idx="436">
                  <c:v>1.0321512643864565</c:v>
                </c:pt>
                <c:pt idx="437">
                  <c:v>0.80351193270881538</c:v>
                </c:pt>
                <c:pt idx="438">
                  <c:v>0.5593812662068558</c:v>
                </c:pt>
                <c:pt idx="439">
                  <c:v>0.51888708286534779</c:v>
                </c:pt>
                <c:pt idx="440">
                  <c:v>0.55623338272182821</c:v>
                </c:pt>
                <c:pt idx="441">
                  <c:v>0.58394078707979702</c:v>
                </c:pt>
                <c:pt idx="442">
                  <c:v>0.57984897240778821</c:v>
                </c:pt>
                <c:pt idx="443">
                  <c:v>0.48148816065724986</c:v>
                </c:pt>
                <c:pt idx="444">
                  <c:v>0.22503466813866169</c:v>
                </c:pt>
                <c:pt idx="445">
                  <c:v>0.14200090997580617</c:v>
                </c:pt>
                <c:pt idx="446">
                  <c:v>7.9316331244498883E-2</c:v>
                </c:pt>
                <c:pt idx="447">
                  <c:v>-2.4944422248637466E-2</c:v>
                </c:pt>
                <c:pt idx="448">
                  <c:v>-0.18372484823615309</c:v>
                </c:pt>
                <c:pt idx="449">
                  <c:v>-0.17839640878779051</c:v>
                </c:pt>
                <c:pt idx="450">
                  <c:v>-0.13549354131356495</c:v>
                </c:pt>
                <c:pt idx="451">
                  <c:v>-9.9538376867229772E-2</c:v>
                </c:pt>
                <c:pt idx="452">
                  <c:v>8.9310123788649776E-2</c:v>
                </c:pt>
                <c:pt idx="453">
                  <c:v>0.33756111292031221</c:v>
                </c:pt>
                <c:pt idx="454">
                  <c:v>0.48114737377366623</c:v>
                </c:pt>
                <c:pt idx="455">
                  <c:v>0.63203521491206516</c:v>
                </c:pt>
                <c:pt idx="456">
                  <c:v>0.67045691136051744</c:v>
                </c:pt>
                <c:pt idx="457">
                  <c:v>0.80619519876191248</c:v>
                </c:pt>
                <c:pt idx="458">
                  <c:v>0.76295658976002301</c:v>
                </c:pt>
                <c:pt idx="459">
                  <c:v>0.69406073837949123</c:v>
                </c:pt>
                <c:pt idx="460">
                  <c:v>0.58430973529355867</c:v>
                </c:pt>
                <c:pt idx="461">
                  <c:v>0.52197707207474764</c:v>
                </c:pt>
                <c:pt idx="462">
                  <c:v>0.43049732656626816</c:v>
                </c:pt>
                <c:pt idx="463">
                  <c:v>0.41933231425545614</c:v>
                </c:pt>
                <c:pt idx="464">
                  <c:v>0.62278613863581711</c:v>
                </c:pt>
                <c:pt idx="465">
                  <c:v>0.85486208493226457</c:v>
                </c:pt>
                <c:pt idx="466">
                  <c:v>1.1513903951652935</c:v>
                </c:pt>
                <c:pt idx="467">
                  <c:v>1.2381702348616557</c:v>
                </c:pt>
                <c:pt idx="468">
                  <c:v>1.3454972290982852</c:v>
                </c:pt>
                <c:pt idx="469">
                  <c:v>1.4541380681258573</c:v>
                </c:pt>
                <c:pt idx="470">
                  <c:v>1.394251112171645</c:v>
                </c:pt>
                <c:pt idx="471">
                  <c:v>1.4391345385645451</c:v>
                </c:pt>
                <c:pt idx="472">
                  <c:v>1.3238821286038274</c:v>
                </c:pt>
                <c:pt idx="473">
                  <c:v>1.1921728942630523</c:v>
                </c:pt>
                <c:pt idx="474">
                  <c:v>1.0801822075942198</c:v>
                </c:pt>
                <c:pt idx="475">
                  <c:v>0.89158343931984518</c:v>
                </c:pt>
                <c:pt idx="476">
                  <c:v>0.61719314008128379</c:v>
                </c:pt>
                <c:pt idx="477">
                  <c:v>0.41592218609004306</c:v>
                </c:pt>
                <c:pt idx="478">
                  <c:v>0.34522930548617126</c:v>
                </c:pt>
                <c:pt idx="479">
                  <c:v>0.34254708500752429</c:v>
                </c:pt>
                <c:pt idx="480">
                  <c:v>0.23682686001704667</c:v>
                </c:pt>
                <c:pt idx="481">
                  <c:v>0.34434717536618109</c:v>
                </c:pt>
                <c:pt idx="482">
                  <c:v>0.37201298168969288</c:v>
                </c:pt>
                <c:pt idx="483">
                  <c:v>0.34158575893243892</c:v>
                </c:pt>
                <c:pt idx="484">
                  <c:v>0.26918168686982824</c:v>
                </c:pt>
                <c:pt idx="485">
                  <c:v>0.39046987329520277</c:v>
                </c:pt>
                <c:pt idx="486">
                  <c:v>0.58395241396129904</c:v>
                </c:pt>
                <c:pt idx="487">
                  <c:v>0.72888657073431773</c:v>
                </c:pt>
                <c:pt idx="488">
                  <c:v>0.77669667566208034</c:v>
                </c:pt>
                <c:pt idx="489">
                  <c:v>0.72074508635292034</c:v>
                </c:pt>
                <c:pt idx="490">
                  <c:v>0.42299674616651828</c:v>
                </c:pt>
                <c:pt idx="491">
                  <c:v>0.40267543409834161</c:v>
                </c:pt>
                <c:pt idx="492">
                  <c:v>0.31276357496687979</c:v>
                </c:pt>
                <c:pt idx="493">
                  <c:v>0.25072136539131407</c:v>
                </c:pt>
                <c:pt idx="494">
                  <c:v>0.31572280956554266</c:v>
                </c:pt>
                <c:pt idx="495">
                  <c:v>0.46436242754177215</c:v>
                </c:pt>
                <c:pt idx="496">
                  <c:v>0.55957167322067392</c:v>
                </c:pt>
                <c:pt idx="497">
                  <c:v>0.61901399763326026</c:v>
                </c:pt>
                <c:pt idx="498">
                  <c:v>0.77180768202906336</c:v>
                </c:pt>
                <c:pt idx="499">
                  <c:v>0.91941746117643675</c:v>
                </c:pt>
                <c:pt idx="500">
                  <c:v>0.97273660482549928</c:v>
                </c:pt>
                <c:pt idx="501">
                  <c:v>1.1876990495098028</c:v>
                </c:pt>
                <c:pt idx="502">
                  <c:v>1.5587642235558121</c:v>
                </c:pt>
                <c:pt idx="503">
                  <c:v>1.4879034428390696</c:v>
                </c:pt>
                <c:pt idx="504">
                  <c:v>1.2112130483420316</c:v>
                </c:pt>
                <c:pt idx="505">
                  <c:v>1.3332224196239366</c:v>
                </c:pt>
                <c:pt idx="506">
                  <c:v>1.5492329251054997</c:v>
                </c:pt>
                <c:pt idx="507">
                  <c:v>1.6545490427892844</c:v>
                </c:pt>
                <c:pt idx="508">
                  <c:v>1.918434331085237</c:v>
                </c:pt>
                <c:pt idx="509">
                  <c:v>2.3952853765469087</c:v>
                </c:pt>
                <c:pt idx="510">
                  <c:v>2.6562337981872872</c:v>
                </c:pt>
                <c:pt idx="511">
                  <c:v>2.8910368772709205</c:v>
                </c:pt>
                <c:pt idx="512">
                  <c:v>3.0875231998889063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4">
                  <c:v>0.96549024964694907</c:v>
                </c:pt>
                <c:pt idx="35">
                  <c:v>0.98432597546118494</c:v>
                </c:pt>
                <c:pt idx="36">
                  <c:v>0.99972096006170197</c:v>
                </c:pt>
                <c:pt idx="37">
                  <c:v>1.0063637863952186</c:v>
                </c:pt>
                <c:pt idx="38">
                  <c:v>1.0095057755424299</c:v>
                </c:pt>
                <c:pt idx="39">
                  <c:v>1.0111788148271621</c:v>
                </c:pt>
                <c:pt idx="40">
                  <c:v>1.0305985893129026</c:v>
                </c:pt>
                <c:pt idx="41">
                  <c:v>1.0341621786768007</c:v>
                </c:pt>
                <c:pt idx="42">
                  <c:v>1.0456651967756208</c:v>
                </c:pt>
                <c:pt idx="43">
                  <c:v>1.077186695305336</c:v>
                </c:pt>
                <c:pt idx="44">
                  <c:v>1.1267205037085744</c:v>
                </c:pt>
                <c:pt idx="45">
                  <c:v>1.1984933710707553</c:v>
                </c:pt>
                <c:pt idx="46">
                  <c:v>1.28792201482794</c:v>
                </c:pt>
                <c:pt idx="47">
                  <c:v>1.3696254339409835</c:v>
                </c:pt>
                <c:pt idx="48">
                  <c:v>1.4583869935652969</c:v>
                </c:pt>
                <c:pt idx="49">
                  <c:v>1.5745470392880139</c:v>
                </c:pt>
                <c:pt idx="50">
                  <c:v>1.6950110293666287</c:v>
                </c:pt>
                <c:pt idx="51">
                  <c:v>1.824427502400678</c:v>
                </c:pt>
                <c:pt idx="52">
                  <c:v>1.9611167422280267</c:v>
                </c:pt>
                <c:pt idx="53">
                  <c:v>2.089133712220395</c:v>
                </c:pt>
                <c:pt idx="54">
                  <c:v>2.2082198600437266</c:v>
                </c:pt>
                <c:pt idx="55">
                  <c:v>2.3104326691628616</c:v>
                </c:pt>
                <c:pt idx="56">
                  <c:v>2.4099526112220397</c:v>
                </c:pt>
                <c:pt idx="57">
                  <c:v>2.4833541493608244</c:v>
                </c:pt>
                <c:pt idx="58">
                  <c:v>2.5497034923892756</c:v>
                </c:pt>
                <c:pt idx="59">
                  <c:v>2.6226053321986162</c:v>
                </c:pt>
                <c:pt idx="60">
                  <c:v>2.7017808790550895</c:v>
                </c:pt>
                <c:pt idx="61">
                  <c:v>2.8111158583473639</c:v>
                </c:pt>
                <c:pt idx="62">
                  <c:v>2.9275346519707539</c:v>
                </c:pt>
                <c:pt idx="63">
                  <c:v>3.0423189886955626</c:v>
                </c:pt>
                <c:pt idx="64">
                  <c:v>3.1694524208494839</c:v>
                </c:pt>
                <c:pt idx="65">
                  <c:v>3.2773550379210485</c:v>
                </c:pt>
                <c:pt idx="66">
                  <c:v>3.3701292461533776</c:v>
                </c:pt>
                <c:pt idx="67">
                  <c:v>3.4571501815280716</c:v>
                </c:pt>
                <c:pt idx="68">
                  <c:v>3.521582440592804</c:v>
                </c:pt>
                <c:pt idx="69">
                  <c:v>3.5377972400921314</c:v>
                </c:pt>
                <c:pt idx="70">
                  <c:v>3.5038683609383234</c:v>
                </c:pt>
                <c:pt idx="71">
                  <c:v>3.4165081068101304</c:v>
                </c:pt>
                <c:pt idx="72">
                  <c:v>3.2914934928418944</c:v>
                </c:pt>
                <c:pt idx="73">
                  <c:v>3.1401743630273136</c:v>
                </c:pt>
                <c:pt idx="74">
                  <c:v>2.9948413842439869</c:v>
                </c:pt>
                <c:pt idx="75">
                  <c:v>2.8649021573954001</c:v>
                </c:pt>
                <c:pt idx="76">
                  <c:v>2.7523919489905224</c:v>
                </c:pt>
                <c:pt idx="77">
                  <c:v>2.6507497130445397</c:v>
                </c:pt>
                <c:pt idx="78">
                  <c:v>2.5596732073319681</c:v>
                </c:pt>
                <c:pt idx="79">
                  <c:v>2.4203930827891864</c:v>
                </c:pt>
                <c:pt idx="80">
                  <c:v>2.2794880114734983</c:v>
                </c:pt>
                <c:pt idx="81">
                  <c:v>2.1178979675452454</c:v>
                </c:pt>
                <c:pt idx="82">
                  <c:v>1.9112487910229183</c:v>
                </c:pt>
                <c:pt idx="83">
                  <c:v>1.6861846191857648</c:v>
                </c:pt>
                <c:pt idx="84">
                  <c:v>1.4537043051753742</c:v>
                </c:pt>
                <c:pt idx="85">
                  <c:v>1.2374152249414461</c:v>
                </c:pt>
                <c:pt idx="86">
                  <c:v>1.0305388464943368</c:v>
                </c:pt>
                <c:pt idx="87">
                  <c:v>0.83773907397124892</c:v>
                </c:pt>
                <c:pt idx="88">
                  <c:v>0.69849536372317922</c:v>
                </c:pt>
                <c:pt idx="89">
                  <c:v>0.59086880925314367</c:v>
                </c:pt>
                <c:pt idx="90">
                  <c:v>0.50655680699397476</c:v>
                </c:pt>
                <c:pt idx="91">
                  <c:v>0.43629408360194</c:v>
                </c:pt>
                <c:pt idx="92">
                  <c:v>0.39204458013668975</c:v>
                </c:pt>
                <c:pt idx="93">
                  <c:v>0.35419810682399111</c:v>
                </c:pt>
                <c:pt idx="94">
                  <c:v>0.34978093053993392</c:v>
                </c:pt>
                <c:pt idx="95">
                  <c:v>0.35027514071028204</c:v>
                </c:pt>
                <c:pt idx="96">
                  <c:v>0.33994083646543743</c:v>
                </c:pt>
                <c:pt idx="97">
                  <c:v>0.2847744107322453</c:v>
                </c:pt>
                <c:pt idx="98">
                  <c:v>0.17232073707161399</c:v>
                </c:pt>
                <c:pt idx="99">
                  <c:v>2.8026882390075863E-2</c:v>
                </c:pt>
                <c:pt idx="100">
                  <c:v>-0.10574917857172211</c:v>
                </c:pt>
                <c:pt idx="101">
                  <c:v>-0.24530303587853974</c:v>
                </c:pt>
                <c:pt idx="102">
                  <c:v>-0.37485997521600378</c:v>
                </c:pt>
                <c:pt idx="103">
                  <c:v>-0.43833412931916416</c:v>
                </c:pt>
                <c:pt idx="104">
                  <c:v>-0.50089431051491551</c:v>
                </c:pt>
                <c:pt idx="105">
                  <c:v>-0.58685934406952056</c:v>
                </c:pt>
                <c:pt idx="106">
                  <c:v>-0.67447059821183797</c:v>
                </c:pt>
                <c:pt idx="107">
                  <c:v>-0.74342243632711513</c:v>
                </c:pt>
                <c:pt idx="108">
                  <c:v>-0.81483432203118833</c:v>
                </c:pt>
                <c:pt idx="109">
                  <c:v>-0.8769224593448226</c:v>
                </c:pt>
                <c:pt idx="110">
                  <c:v>-0.94243172389508389</c:v>
                </c:pt>
                <c:pt idx="111">
                  <c:v>-1.0242866640727446</c:v>
                </c:pt>
                <c:pt idx="112">
                  <c:v>-1.1239606595424316</c:v>
                </c:pt>
                <c:pt idx="113">
                  <c:v>-1.2418540912513478</c:v>
                </c:pt>
                <c:pt idx="114">
                  <c:v>-1.3741223194166339</c:v>
                </c:pt>
                <c:pt idx="115">
                  <c:v>-1.4890612654355568</c:v>
                </c:pt>
                <c:pt idx="116">
                  <c:v>-1.5460669701687333</c:v>
                </c:pt>
                <c:pt idx="117">
                  <c:v>-1.5758844366509428</c:v>
                </c:pt>
                <c:pt idx="118">
                  <c:v>-1.5310159733673241</c:v>
                </c:pt>
                <c:pt idx="119">
                  <c:v>-1.433092986998926</c:v>
                </c:pt>
                <c:pt idx="120">
                  <c:v>-1.3031452527129463</c:v>
                </c:pt>
                <c:pt idx="121">
                  <c:v>-1.1491493063666312</c:v>
                </c:pt>
                <c:pt idx="122">
                  <c:v>-0.98202401333770983</c:v>
                </c:pt>
                <c:pt idx="123">
                  <c:v>-0.81574495937114999</c:v>
                </c:pt>
                <c:pt idx="124">
                  <c:v>-0.66929813110033787</c:v>
                </c:pt>
                <c:pt idx="125">
                  <c:v>-0.53217971533199548</c:v>
                </c:pt>
                <c:pt idx="126">
                  <c:v>-0.4290598346873451</c:v>
                </c:pt>
                <c:pt idx="127">
                  <c:v>-0.37066313257067912</c:v>
                </c:pt>
                <c:pt idx="128">
                  <c:v>-0.36229796347123994</c:v>
                </c:pt>
                <c:pt idx="129">
                  <c:v>-0.36926902800269196</c:v>
                </c:pt>
                <c:pt idx="130">
                  <c:v>-0.36342609991025737</c:v>
                </c:pt>
                <c:pt idx="131">
                  <c:v>-0.34871049552072075</c:v>
                </c:pt>
                <c:pt idx="132">
                  <c:v>-0.29745873711120846</c:v>
                </c:pt>
                <c:pt idx="133">
                  <c:v>-0.21207339317648904</c:v>
                </c:pt>
                <c:pt idx="134">
                  <c:v>-8.3759396245506101E-2</c:v>
                </c:pt>
                <c:pt idx="135">
                  <c:v>8.3433044083325761E-2</c:v>
                </c:pt>
                <c:pt idx="136">
                  <c:v>0.22248351919907994</c:v>
                </c:pt>
                <c:pt idx="137">
                  <c:v>0.32333528233658293</c:v>
                </c:pt>
                <c:pt idx="138">
                  <c:v>0.36454585657717492</c:v>
                </c:pt>
                <c:pt idx="139">
                  <c:v>0.39091035443996552</c:v>
                </c:pt>
                <c:pt idx="140">
                  <c:v>0.44430627154109059</c:v>
                </c:pt>
                <c:pt idx="141">
                  <c:v>0.50923775086597767</c:v>
                </c:pt>
                <c:pt idx="142">
                  <c:v>0.55721109420498727</c:v>
                </c:pt>
                <c:pt idx="143">
                  <c:v>0.62379620874145003</c:v>
                </c:pt>
                <c:pt idx="144">
                  <c:v>0.70383541612399703</c:v>
                </c:pt>
                <c:pt idx="145">
                  <c:v>0.76034217529400783</c:v>
                </c:pt>
                <c:pt idx="146">
                  <c:v>0.79628729139928511</c:v>
                </c:pt>
                <c:pt idx="147">
                  <c:v>0.78198174812081089</c:v>
                </c:pt>
                <c:pt idx="148">
                  <c:v>0.72541549696028751</c:v>
                </c:pt>
                <c:pt idx="149">
                  <c:v>0.66792369277906372</c:v>
                </c:pt>
                <c:pt idx="150">
                  <c:v>0.64660251132763535</c:v>
                </c:pt>
                <c:pt idx="151">
                  <c:v>0.6629125684237831</c:v>
                </c:pt>
                <c:pt idx="152">
                  <c:v>0.7028364072155413</c:v>
                </c:pt>
                <c:pt idx="153">
                  <c:v>0.73567809276938934</c:v>
                </c:pt>
                <c:pt idx="154">
                  <c:v>0.77807276065729158</c:v>
                </c:pt>
                <c:pt idx="155">
                  <c:v>0.81894929753615886</c:v>
                </c:pt>
                <c:pt idx="156">
                  <c:v>0.84593045966121405</c:v>
                </c:pt>
                <c:pt idx="157">
                  <c:v>0.86660341609775393</c:v>
                </c:pt>
                <c:pt idx="158">
                  <c:v>0.81724369338106506</c:v>
                </c:pt>
                <c:pt idx="159">
                  <c:v>0.71306697502212946</c:v>
                </c:pt>
                <c:pt idx="160">
                  <c:v>0.59240780366174539</c:v>
                </c:pt>
                <c:pt idx="161">
                  <c:v>0.49176020737196968</c:v>
                </c:pt>
                <c:pt idx="162">
                  <c:v>0.44753726669862753</c:v>
                </c:pt>
                <c:pt idx="163">
                  <c:v>0.42194992867670134</c:v>
                </c:pt>
                <c:pt idx="164">
                  <c:v>0.3899155241589724</c:v>
                </c:pt>
                <c:pt idx="165">
                  <c:v>0.38031743301652055</c:v>
                </c:pt>
                <c:pt idx="166">
                  <c:v>0.38138697684035949</c:v>
                </c:pt>
                <c:pt idx="167">
                  <c:v>0.34881005486577604</c:v>
                </c:pt>
                <c:pt idx="168">
                  <c:v>0.27356118088203502</c:v>
                </c:pt>
                <c:pt idx="169">
                  <c:v>0.16068809292274114</c:v>
                </c:pt>
                <c:pt idx="170">
                  <c:v>2.1327789207016085E-2</c:v>
                </c:pt>
                <c:pt idx="171">
                  <c:v>-8.9565335333245941E-2</c:v>
                </c:pt>
                <c:pt idx="172">
                  <c:v>-0.24344744796920709</c:v>
                </c:pt>
                <c:pt idx="173">
                  <c:v>-0.43320246245752181</c:v>
                </c:pt>
                <c:pt idx="174">
                  <c:v>-0.61041612130756495</c:v>
                </c:pt>
                <c:pt idx="175">
                  <c:v>-0.77036436004277342</c:v>
                </c:pt>
                <c:pt idx="176">
                  <c:v>-0.88446151186623201</c:v>
                </c:pt>
                <c:pt idx="177">
                  <c:v>-0.93837007131467454</c:v>
                </c:pt>
                <c:pt idx="178">
                  <c:v>-0.94320710975626032</c:v>
                </c:pt>
                <c:pt idx="179">
                  <c:v>-0.89222847350657319</c:v>
                </c:pt>
                <c:pt idx="180">
                  <c:v>-0.81855119251645159</c:v>
                </c:pt>
                <c:pt idx="181">
                  <c:v>-0.69929875247592554</c:v>
                </c:pt>
                <c:pt idx="182">
                  <c:v>-0.56108412127778406</c:v>
                </c:pt>
                <c:pt idx="183">
                  <c:v>-0.45332703954502213</c:v>
                </c:pt>
                <c:pt idx="184">
                  <c:v>-0.40070593944938293</c:v>
                </c:pt>
                <c:pt idx="185">
                  <c:v>-0.33630586342886659</c:v>
                </c:pt>
                <c:pt idx="186">
                  <c:v>-0.2447962204697782</c:v>
                </c:pt>
                <c:pt idx="187">
                  <c:v>-9.7297505509511745E-2</c:v>
                </c:pt>
                <c:pt idx="188">
                  <c:v>0.10315123078807248</c:v>
                </c:pt>
                <c:pt idx="189">
                  <c:v>0.34295673905632273</c:v>
                </c:pt>
                <c:pt idx="190">
                  <c:v>0.62997507664128705</c:v>
                </c:pt>
                <c:pt idx="191">
                  <c:v>0.93871906943081174</c:v>
                </c:pt>
                <c:pt idx="192">
                  <c:v>1.1896276759586055</c:v>
                </c:pt>
                <c:pt idx="193">
                  <c:v>1.3892194577614398</c:v>
                </c:pt>
                <c:pt idx="194">
                  <c:v>1.5597697415845844</c:v>
                </c:pt>
                <c:pt idx="195">
                  <c:v>1.707120394150905</c:v>
                </c:pt>
                <c:pt idx="196">
                  <c:v>1.8358133054094079</c:v>
                </c:pt>
                <c:pt idx="197">
                  <c:v>1.8823714494337127</c:v>
                </c:pt>
                <c:pt idx="198">
                  <c:v>1.8756640213750591</c:v>
                </c:pt>
                <c:pt idx="199">
                  <c:v>1.8267014924643523</c:v>
                </c:pt>
                <c:pt idx="200">
                  <c:v>1.7442330579996144</c:v>
                </c:pt>
                <c:pt idx="201">
                  <c:v>1.6422282518136906</c:v>
                </c:pt>
                <c:pt idx="202">
                  <c:v>1.5394744543277936</c:v>
                </c:pt>
                <c:pt idx="203">
                  <c:v>1.4312685549167827</c:v>
                </c:pt>
                <c:pt idx="204">
                  <c:v>1.3112065622912488</c:v>
                </c:pt>
                <c:pt idx="205">
                  <c:v>1.1854233015952973</c:v>
                </c:pt>
                <c:pt idx="206">
                  <c:v>1.0505329023809318</c:v>
                </c:pt>
                <c:pt idx="207">
                  <c:v>0.8887649719688131</c:v>
                </c:pt>
                <c:pt idx="208">
                  <c:v>0.70719208736439187</c:v>
                </c:pt>
                <c:pt idx="209">
                  <c:v>0.52254825542242833</c:v>
                </c:pt>
                <c:pt idx="210">
                  <c:v>0.31527137359196317</c:v>
                </c:pt>
                <c:pt idx="211">
                  <c:v>0.16234892638068843</c:v>
                </c:pt>
                <c:pt idx="212">
                  <c:v>5.6725252684527411E-2</c:v>
                </c:pt>
                <c:pt idx="213">
                  <c:v>1.8702221629923854E-2</c:v>
                </c:pt>
                <c:pt idx="214">
                  <c:v>2.7393730105925853E-2</c:v>
                </c:pt>
                <c:pt idx="215">
                  <c:v>6.4208771222071387E-2</c:v>
                </c:pt>
                <c:pt idx="216">
                  <c:v>0.10636402147587315</c:v>
                </c:pt>
                <c:pt idx="217">
                  <c:v>0.14749960844885979</c:v>
                </c:pt>
                <c:pt idx="218">
                  <c:v>0.20337245921432354</c:v>
                </c:pt>
                <c:pt idx="219">
                  <c:v>0.25057134876294229</c:v>
                </c:pt>
                <c:pt idx="220">
                  <c:v>0.26934520094856917</c:v>
                </c:pt>
                <c:pt idx="221">
                  <c:v>0.28465915780418943</c:v>
                </c:pt>
                <c:pt idx="222">
                  <c:v>0.26954952176810476</c:v>
                </c:pt>
                <c:pt idx="223">
                  <c:v>0.26251164427753154</c:v>
                </c:pt>
                <c:pt idx="224">
                  <c:v>0.28599021838358629</c:v>
                </c:pt>
                <c:pt idx="225">
                  <c:v>0.32447967970616498</c:v>
                </c:pt>
                <c:pt idx="226">
                  <c:v>0.34058340130092379</c:v>
                </c:pt>
                <c:pt idx="227">
                  <c:v>0.30912690084866068</c:v>
                </c:pt>
                <c:pt idx="228">
                  <c:v>0.24385914466220138</c:v>
                </c:pt>
                <c:pt idx="229">
                  <c:v>0.16505111251157881</c:v>
                </c:pt>
                <c:pt idx="230">
                  <c:v>7.9756374347984188E-2</c:v>
                </c:pt>
                <c:pt idx="231">
                  <c:v>-8.1863901407439044E-3</c:v>
                </c:pt>
                <c:pt idx="232">
                  <c:v>-0.14724559284264341</c:v>
                </c:pt>
                <c:pt idx="233">
                  <c:v>-0.30274106506850501</c:v>
                </c:pt>
                <c:pt idx="234">
                  <c:v>-0.47900197818969625</c:v>
                </c:pt>
                <c:pt idx="235">
                  <c:v>-0.66863609533650359</c:v>
                </c:pt>
                <c:pt idx="236">
                  <c:v>-0.85885690266526171</c:v>
                </c:pt>
                <c:pt idx="237">
                  <c:v>-1.0494820503445814</c:v>
                </c:pt>
                <c:pt idx="238">
                  <c:v>-1.2295712052021077</c:v>
                </c:pt>
                <c:pt idx="239">
                  <c:v>-1.4064489189361682</c:v>
                </c:pt>
                <c:pt idx="240">
                  <c:v>-1.606647925789833</c:v>
                </c:pt>
                <c:pt idx="241">
                  <c:v>-1.8146466603345917</c:v>
                </c:pt>
                <c:pt idx="242">
                  <c:v>-2.0378620502871851</c:v>
                </c:pt>
                <c:pt idx="243">
                  <c:v>-2.2687874441553539</c:v>
                </c:pt>
                <c:pt idx="244">
                  <c:v>-2.4815252131201788</c:v>
                </c:pt>
                <c:pt idx="245">
                  <c:v>-2.6591949689847638</c:v>
                </c:pt>
                <c:pt idx="246">
                  <c:v>-2.7979147466010659</c:v>
                </c:pt>
                <c:pt idx="247">
                  <c:v>-2.8971366013682376</c:v>
                </c:pt>
                <c:pt idx="248">
                  <c:v>-2.9599569335268106</c:v>
                </c:pt>
                <c:pt idx="249">
                  <c:v>-3.0014091898095097</c:v>
                </c:pt>
                <c:pt idx="250">
                  <c:v>-2.991577042786965</c:v>
                </c:pt>
                <c:pt idx="251">
                  <c:v>-2.9474459816442824</c:v>
                </c:pt>
                <c:pt idx="252">
                  <c:v>-2.8686376943855865</c:v>
                </c:pt>
                <c:pt idx="253">
                  <c:v>-2.7676019785927819</c:v>
                </c:pt>
                <c:pt idx="254">
                  <c:v>-2.6355091155356201</c:v>
                </c:pt>
                <c:pt idx="255">
                  <c:v>-2.5139049390586941</c:v>
                </c:pt>
                <c:pt idx="256">
                  <c:v>-2.4057420843583546</c:v>
                </c:pt>
                <c:pt idx="257">
                  <c:v>-2.2623162486034483</c:v>
                </c:pt>
                <c:pt idx="258">
                  <c:v>-2.0922902035807462</c:v>
                </c:pt>
                <c:pt idx="259">
                  <c:v>-1.8811775517963307</c:v>
                </c:pt>
                <c:pt idx="260">
                  <c:v>-1.6541232397948735</c:v>
                </c:pt>
                <c:pt idx="261">
                  <c:v>-1.4092550688225938</c:v>
                </c:pt>
                <c:pt idx="262">
                  <c:v>-1.1764071865034524</c:v>
                </c:pt>
                <c:pt idx="263">
                  <c:v>-0.99156995600527764</c:v>
                </c:pt>
                <c:pt idx="264">
                  <c:v>-0.83436261860389815</c:v>
                </c:pt>
                <c:pt idx="265">
                  <c:v>-0.72458462990507322</c:v>
                </c:pt>
                <c:pt idx="266">
                  <c:v>-0.62454653864982901</c:v>
                </c:pt>
                <c:pt idx="267">
                  <c:v>-0.56841682655630865</c:v>
                </c:pt>
                <c:pt idx="268">
                  <c:v>-0.5314036291546812</c:v>
                </c:pt>
                <c:pt idx="269">
                  <c:v>-0.49274243506098109</c:v>
                </c:pt>
                <c:pt idx="270">
                  <c:v>-0.49766703228072395</c:v>
                </c:pt>
                <c:pt idx="271">
                  <c:v>-0.52436977159246412</c:v>
                </c:pt>
                <c:pt idx="272">
                  <c:v>-0.51633850816810378</c:v>
                </c:pt>
                <c:pt idx="273">
                  <c:v>-0.48705717020964945</c:v>
                </c:pt>
                <c:pt idx="274">
                  <c:v>-0.46801547465793503</c:v>
                </c:pt>
                <c:pt idx="275">
                  <c:v>-0.44798425246208323</c:v>
                </c:pt>
                <c:pt idx="276">
                  <c:v>-0.39417665198909196</c:v>
                </c:pt>
                <c:pt idx="277">
                  <c:v>-0.30995285580710008</c:v>
                </c:pt>
                <c:pt idx="278">
                  <c:v>-0.27929655965110334</c:v>
                </c:pt>
                <c:pt idx="279">
                  <c:v>-0.27074137063831832</c:v>
                </c:pt>
                <c:pt idx="280">
                  <c:v>-0.27411514445411667</c:v>
                </c:pt>
                <c:pt idx="281">
                  <c:v>-0.25385074809473618</c:v>
                </c:pt>
                <c:pt idx="282">
                  <c:v>-0.21670141400315537</c:v>
                </c:pt>
                <c:pt idx="283">
                  <c:v>-0.14329994405686758</c:v>
                </c:pt>
                <c:pt idx="284">
                  <c:v>-7.1597839363377921E-2</c:v>
                </c:pt>
                <c:pt idx="285">
                  <c:v>4.6971405139143788E-3</c:v>
                </c:pt>
                <c:pt idx="286">
                  <c:v>5.5290830357829827E-2</c:v>
                </c:pt>
                <c:pt idx="287">
                  <c:v>8.2689533407565768E-2</c:v>
                </c:pt>
                <c:pt idx="288">
                  <c:v>0.10493386364373573</c:v>
                </c:pt>
                <c:pt idx="289">
                  <c:v>0.14136849363419421</c:v>
                </c:pt>
                <c:pt idx="290">
                  <c:v>0.12750789273921537</c:v>
                </c:pt>
                <c:pt idx="291">
                  <c:v>7.9049223318538878E-2</c:v>
                </c:pt>
                <c:pt idx="292">
                  <c:v>-2.2239004327118506E-2</c:v>
                </c:pt>
                <c:pt idx="293">
                  <c:v>-0.1164987653555524</c:v>
                </c:pt>
                <c:pt idx="294">
                  <c:v>-0.17881026065464678</c:v>
                </c:pt>
                <c:pt idx="295">
                  <c:v>-0.17306990928000243</c:v>
                </c:pt>
                <c:pt idx="296">
                  <c:v>-0.16670209428612007</c:v>
                </c:pt>
                <c:pt idx="297">
                  <c:v>-0.16037349332137363</c:v>
                </c:pt>
                <c:pt idx="298">
                  <c:v>-0.16137473437800676</c:v>
                </c:pt>
                <c:pt idx="299">
                  <c:v>-0.11501712250517857</c:v>
                </c:pt>
                <c:pt idx="300">
                  <c:v>-1.146868076332852E-2</c:v>
                </c:pt>
                <c:pt idx="301">
                  <c:v>0.12060929427694064</c:v>
                </c:pt>
                <c:pt idx="302">
                  <c:v>0.29160970564054062</c:v>
                </c:pt>
                <c:pt idx="303">
                  <c:v>0.48519484822217701</c:v>
                </c:pt>
                <c:pt idx="304">
                  <c:v>0.67529998614822251</c:v>
                </c:pt>
                <c:pt idx="305">
                  <c:v>0.85650547862985682</c:v>
                </c:pt>
                <c:pt idx="306">
                  <c:v>1.0332855937829017</c:v>
                </c:pt>
                <c:pt idx="307">
                  <c:v>1.2224732143315766</c:v>
                </c:pt>
                <c:pt idx="308">
                  <c:v>1.4006711494029824</c:v>
                </c:pt>
                <c:pt idx="309">
                  <c:v>1.5568944128794167</c:v>
                </c:pt>
                <c:pt idx="310">
                  <c:v>1.7067517181531069</c:v>
                </c:pt>
                <c:pt idx="311">
                  <c:v>1.8426281499334576</c:v>
                </c:pt>
                <c:pt idx="312">
                  <c:v>1.9525159178014437</c:v>
                </c:pt>
                <c:pt idx="313">
                  <c:v>1.9363482619550938</c:v>
                </c:pt>
                <c:pt idx="314">
                  <c:v>1.7085344894160195</c:v>
                </c:pt>
                <c:pt idx="315">
                  <c:v>1.333777127562944</c:v>
                </c:pt>
                <c:pt idx="316">
                  <c:v>0.8489027403735927</c:v>
                </c:pt>
                <c:pt idx="317">
                  <c:v>0.3987429428081869</c:v>
                </c:pt>
                <c:pt idx="318">
                  <c:v>-0.10062153954859854</c:v>
                </c:pt>
                <c:pt idx="319">
                  <c:v>-0.55320604169769505</c:v>
                </c:pt>
                <c:pt idx="320">
                  <c:v>-0.94749505860863481</c:v>
                </c:pt>
                <c:pt idx="321">
                  <c:v>-1.2870435606750055</c:v>
                </c:pt>
                <c:pt idx="322">
                  <c:v>-1.5541583289739549</c:v>
                </c:pt>
                <c:pt idx="323">
                  <c:v>-1.7147726419204448</c:v>
                </c:pt>
                <c:pt idx="324">
                  <c:v>-1.821354984356129</c:v>
                </c:pt>
                <c:pt idx="325">
                  <c:v>-1.8372671484423042</c:v>
                </c:pt>
                <c:pt idx="326">
                  <c:v>-1.8061649627426304</c:v>
                </c:pt>
                <c:pt idx="327">
                  <c:v>-1.7230063419825421</c:v>
                </c:pt>
                <c:pt idx="328">
                  <c:v>-1.6086092535162086</c:v>
                </c:pt>
                <c:pt idx="329">
                  <c:v>-1.4760057722566944</c:v>
                </c:pt>
                <c:pt idx="330">
                  <c:v>-1.3398857469027941</c:v>
                </c:pt>
                <c:pt idx="331">
                  <c:v>-1.2491989414013827</c:v>
                </c:pt>
                <c:pt idx="332">
                  <c:v>-1.1865024106454209</c:v>
                </c:pt>
                <c:pt idx="333">
                  <c:v>-1.135071619722487</c:v>
                </c:pt>
                <c:pt idx="334">
                  <c:v>-1.1377169884020322</c:v>
                </c:pt>
                <c:pt idx="335">
                  <c:v>-1.1485501255662505</c:v>
                </c:pt>
                <c:pt idx="336">
                  <c:v>-1.1629249699736375</c:v>
                </c:pt>
                <c:pt idx="337">
                  <c:v>-1.1528221462340809</c:v>
                </c:pt>
                <c:pt idx="338">
                  <c:v>-1.1054958103791206</c:v>
                </c:pt>
                <c:pt idx="339">
                  <c:v>-1.0052841049117314</c:v>
                </c:pt>
                <c:pt idx="340">
                  <c:v>-0.87010056691424964</c:v>
                </c:pt>
                <c:pt idx="341">
                  <c:v>-0.73373609868600354</c:v>
                </c:pt>
                <c:pt idx="342">
                  <c:v>-0.6005121224397596</c:v>
                </c:pt>
                <c:pt idx="343">
                  <c:v>-0.48109390032747384</c:v>
                </c:pt>
                <c:pt idx="344">
                  <c:v>-0.40293404310429359</c:v>
                </c:pt>
                <c:pt idx="345">
                  <c:v>-0.37806374261622722</c:v>
                </c:pt>
                <c:pt idx="346">
                  <c:v>-0.40761755898460883</c:v>
                </c:pt>
                <c:pt idx="347">
                  <c:v>-0.47981360167792741</c:v>
                </c:pt>
                <c:pt idx="348">
                  <c:v>-0.57290147264642033</c:v>
                </c:pt>
                <c:pt idx="349">
                  <c:v>-0.66508069465936248</c:v>
                </c:pt>
                <c:pt idx="350">
                  <c:v>-0.77283807903416457</c:v>
                </c:pt>
                <c:pt idx="351">
                  <c:v>-0.87369571806390978</c:v>
                </c:pt>
                <c:pt idx="352">
                  <c:v>-0.96917249923465332</c:v>
                </c:pt>
                <c:pt idx="353">
                  <c:v>-1.0420968601720328</c:v>
                </c:pt>
                <c:pt idx="354">
                  <c:v>-1.0827220240133293</c:v>
                </c:pt>
                <c:pt idx="355">
                  <c:v>-1.1224369200625239</c:v>
                </c:pt>
                <c:pt idx="356">
                  <c:v>-1.1644396721299</c:v>
                </c:pt>
                <c:pt idx="357">
                  <c:v>-1.1640917858732209</c:v>
                </c:pt>
                <c:pt idx="358">
                  <c:v>-1.1233962849360064</c:v>
                </c:pt>
                <c:pt idx="359">
                  <c:v>-1.0210871229149656</c:v>
                </c:pt>
                <c:pt idx="360">
                  <c:v>-0.84985093367003428</c:v>
                </c:pt>
                <c:pt idx="361">
                  <c:v>-0.63575126620833422</c:v>
                </c:pt>
                <c:pt idx="362">
                  <c:v>-0.36642899948919289</c:v>
                </c:pt>
                <c:pt idx="363">
                  <c:v>-7.0033840095992284E-2</c:v>
                </c:pt>
                <c:pt idx="364">
                  <c:v>0.25220289344972791</c:v>
                </c:pt>
                <c:pt idx="365">
                  <c:v>0.5602465446636905</c:v>
                </c:pt>
                <c:pt idx="366">
                  <c:v>0.86606034251282948</c:v>
                </c:pt>
                <c:pt idx="367">
                  <c:v>1.105246248924088</c:v>
                </c:pt>
                <c:pt idx="368">
                  <c:v>1.2333684693141509</c:v>
                </c:pt>
                <c:pt idx="369">
                  <c:v>1.2828292807147763</c:v>
                </c:pt>
                <c:pt idx="370">
                  <c:v>1.303316153847542</c:v>
                </c:pt>
                <c:pt idx="371">
                  <c:v>1.2918660531693367</c:v>
                </c:pt>
                <c:pt idx="372">
                  <c:v>1.2328463079655767</c:v>
                </c:pt>
                <c:pt idx="373">
                  <c:v>1.1672691965787805</c:v>
                </c:pt>
                <c:pt idx="374">
                  <c:v>1.1272367659098945</c:v>
                </c:pt>
                <c:pt idx="375">
                  <c:v>1.1210921901399269</c:v>
                </c:pt>
                <c:pt idx="376">
                  <c:v>1.11656446485377</c:v>
                </c:pt>
                <c:pt idx="377">
                  <c:v>1.1598822258349089</c:v>
                </c:pt>
                <c:pt idx="378">
                  <c:v>1.2220519936424945</c:v>
                </c:pt>
                <c:pt idx="379">
                  <c:v>1.3080219784849672</c:v>
                </c:pt>
                <c:pt idx="380">
                  <c:v>1.4093987509165724</c:v>
                </c:pt>
                <c:pt idx="381">
                  <c:v>1.4878143884653694</c:v>
                </c:pt>
                <c:pt idx="382">
                  <c:v>1.5282227641455357</c:v>
                </c:pt>
                <c:pt idx="383">
                  <c:v>1.528358518928471</c:v>
                </c:pt>
                <c:pt idx="384">
                  <c:v>1.4906676033394946</c:v>
                </c:pt>
                <c:pt idx="385">
                  <c:v>1.3657832726005059</c:v>
                </c:pt>
                <c:pt idx="386">
                  <c:v>1.1941487815609859</c:v>
                </c:pt>
                <c:pt idx="387">
                  <c:v>1.007305516572071</c:v>
                </c:pt>
                <c:pt idx="388">
                  <c:v>0.84060510455657611</c:v>
                </c:pt>
                <c:pt idx="389">
                  <c:v>0.70707344226072111</c:v>
                </c:pt>
                <c:pt idx="390">
                  <c:v>0.59349747446844348</c:v>
                </c:pt>
                <c:pt idx="391">
                  <c:v>0.51362308108809962</c:v>
                </c:pt>
                <c:pt idx="392">
                  <c:v>0.48086303740563274</c:v>
                </c:pt>
                <c:pt idx="393">
                  <c:v>0.46261937921423674</c:v>
                </c:pt>
                <c:pt idx="394">
                  <c:v>0.44922812163647285</c:v>
                </c:pt>
                <c:pt idx="395">
                  <c:v>0.40664753293939654</c:v>
                </c:pt>
                <c:pt idx="396">
                  <c:v>0.3108604256082042</c:v>
                </c:pt>
                <c:pt idx="397">
                  <c:v>0.18396323376106211</c:v>
                </c:pt>
                <c:pt idx="398">
                  <c:v>3.2152991057711008E-2</c:v>
                </c:pt>
                <c:pt idx="399">
                  <c:v>-0.1363218816042458</c:v>
                </c:pt>
                <c:pt idx="400">
                  <c:v>-0.29253813155574704</c:v>
                </c:pt>
                <c:pt idx="401">
                  <c:v>-0.447690830223339</c:v>
                </c:pt>
                <c:pt idx="402">
                  <c:v>-0.58823685196180864</c:v>
                </c:pt>
                <c:pt idx="403">
                  <c:v>-0.68746633465194606</c:v>
                </c:pt>
                <c:pt idx="404">
                  <c:v>-0.75754073432255653</c:v>
                </c:pt>
                <c:pt idx="405">
                  <c:v>-0.81814071859233439</c:v>
                </c:pt>
                <c:pt idx="406">
                  <c:v>-0.86409134766660922</c:v>
                </c:pt>
                <c:pt idx="407">
                  <c:v>-0.88531370666649478</c:v>
                </c:pt>
                <c:pt idx="408">
                  <c:v>-0.8701971431954495</c:v>
                </c:pt>
                <c:pt idx="409">
                  <c:v>-0.81994503587741452</c:v>
                </c:pt>
                <c:pt idx="410">
                  <c:v>-0.71572957556682093</c:v>
                </c:pt>
                <c:pt idx="411">
                  <c:v>-0.57418375386277387</c:v>
                </c:pt>
                <c:pt idx="412">
                  <c:v>-0.41933997378182064</c:v>
                </c:pt>
                <c:pt idx="413">
                  <c:v>-0.24322013310697649</c:v>
                </c:pt>
                <c:pt idx="414">
                  <c:v>-5.2870365455708751E-2</c:v>
                </c:pt>
                <c:pt idx="415">
                  <c:v>0.15153764864112562</c:v>
                </c:pt>
                <c:pt idx="416">
                  <c:v>0.36007807481696374</c:v>
                </c:pt>
                <c:pt idx="417">
                  <c:v>0.51510261596685525</c:v>
                </c:pt>
                <c:pt idx="418">
                  <c:v>0.63510143530580354</c:v>
                </c:pt>
                <c:pt idx="419">
                  <c:v>0.67483325116188064</c:v>
                </c:pt>
                <c:pt idx="420">
                  <c:v>0.67052611323188005</c:v>
                </c:pt>
                <c:pt idx="421">
                  <c:v>0.65007726765056795</c:v>
                </c:pt>
                <c:pt idx="422">
                  <c:v>0.64861708663132878</c:v>
                </c:pt>
                <c:pt idx="423">
                  <c:v>0.65191325850412296</c:v>
                </c:pt>
                <c:pt idx="424">
                  <c:v>0.65685107558200262</c:v>
                </c:pt>
                <c:pt idx="425">
                  <c:v>0.66409323810267595</c:v>
                </c:pt>
                <c:pt idx="426">
                  <c:v>0.70806025992976585</c:v>
                </c:pt>
                <c:pt idx="427">
                  <c:v>0.78085926932907301</c:v>
                </c:pt>
                <c:pt idx="428">
                  <c:v>0.84443562367846059</c:v>
                </c:pt>
                <c:pt idx="429">
                  <c:v>0.87926457765761079</c:v>
                </c:pt>
                <c:pt idx="430">
                  <c:v>0.87948187210173157</c:v>
                </c:pt>
                <c:pt idx="431">
                  <c:v>0.88678136365935833</c:v>
                </c:pt>
                <c:pt idx="432">
                  <c:v>0.90584822738046766</c:v>
                </c:pt>
                <c:pt idx="433">
                  <c:v>0.94565957258759903</c:v>
                </c:pt>
                <c:pt idx="434">
                  <c:v>1.0202365289544002</c:v>
                </c:pt>
                <c:pt idx="435">
                  <c:v>1.0625058763035791</c:v>
                </c:pt>
                <c:pt idx="436">
                  <c:v>1.0564349539201547</c:v>
                </c:pt>
                <c:pt idx="437">
                  <c:v>1.005850349677887</c:v>
                </c:pt>
                <c:pt idx="438">
                  <c:v>0.91655653298368078</c:v>
                </c:pt>
                <c:pt idx="439">
                  <c:v>0.83702264296001427</c:v>
                </c:pt>
                <c:pt idx="440">
                  <c:v>0.78086479091237715</c:v>
                </c:pt>
                <c:pt idx="441">
                  <c:v>0.74147999014586119</c:v>
                </c:pt>
                <c:pt idx="442">
                  <c:v>0.70915378659824657</c:v>
                </c:pt>
                <c:pt idx="443">
                  <c:v>0.66362066141004727</c:v>
                </c:pt>
                <c:pt idx="444">
                  <c:v>0.5759034627557702</c:v>
                </c:pt>
                <c:pt idx="445">
                  <c:v>0.48912295219977742</c:v>
                </c:pt>
                <c:pt idx="446">
                  <c:v>0.40716162800872174</c:v>
                </c:pt>
                <c:pt idx="447">
                  <c:v>0.32074041795724989</c:v>
                </c:pt>
                <c:pt idx="448">
                  <c:v>0.2198473647185693</c:v>
                </c:pt>
                <c:pt idx="449">
                  <c:v>0.14019861001729736</c:v>
                </c:pt>
                <c:pt idx="450">
                  <c:v>8.5060179751124898E-2</c:v>
                </c:pt>
                <c:pt idx="451">
                  <c:v>4.8140468427453967E-2</c:v>
                </c:pt>
                <c:pt idx="452">
                  <c:v>5.6374399499693126E-2</c:v>
                </c:pt>
                <c:pt idx="453">
                  <c:v>0.11261174218381695</c:v>
                </c:pt>
                <c:pt idx="454">
                  <c:v>0.18631886850178681</c:v>
                </c:pt>
                <c:pt idx="455">
                  <c:v>0.27546213778384249</c:v>
                </c:pt>
                <c:pt idx="456">
                  <c:v>0.35446109249917745</c:v>
                </c:pt>
                <c:pt idx="457">
                  <c:v>0.44480791375172452</c:v>
                </c:pt>
                <c:pt idx="458">
                  <c:v>0.50843764895338428</c:v>
                </c:pt>
                <c:pt idx="459">
                  <c:v>0.54556226683860565</c:v>
                </c:pt>
                <c:pt idx="460">
                  <c:v>0.5533117605295963</c:v>
                </c:pt>
                <c:pt idx="461">
                  <c:v>0.54704482283862665</c:v>
                </c:pt>
                <c:pt idx="462">
                  <c:v>0.52373532358415498</c:v>
                </c:pt>
                <c:pt idx="463">
                  <c:v>0.50285472171841517</c:v>
                </c:pt>
                <c:pt idx="464">
                  <c:v>0.52684100510189558</c:v>
                </c:pt>
                <c:pt idx="465">
                  <c:v>0.59244522106796937</c:v>
                </c:pt>
                <c:pt idx="466">
                  <c:v>0.70423425588743427</c:v>
                </c:pt>
                <c:pt idx="467">
                  <c:v>0.81102145168227857</c:v>
                </c:pt>
                <c:pt idx="468">
                  <c:v>0.91791660716547996</c:v>
                </c:pt>
                <c:pt idx="469">
                  <c:v>1.0251608993575554</c:v>
                </c:pt>
                <c:pt idx="470">
                  <c:v>1.0989789419203735</c:v>
                </c:pt>
                <c:pt idx="471">
                  <c:v>1.1670100612492078</c:v>
                </c:pt>
                <c:pt idx="472">
                  <c:v>1.1983844747201318</c:v>
                </c:pt>
                <c:pt idx="473">
                  <c:v>1.1971421586287159</c:v>
                </c:pt>
                <c:pt idx="474">
                  <c:v>1.1737501684218168</c:v>
                </c:pt>
                <c:pt idx="475">
                  <c:v>1.1173168226014225</c:v>
                </c:pt>
                <c:pt idx="476">
                  <c:v>1.0172920860973949</c:v>
                </c:pt>
                <c:pt idx="477">
                  <c:v>0.89701810609592458</c:v>
                </c:pt>
                <c:pt idx="478">
                  <c:v>0.78666034597397394</c:v>
                </c:pt>
                <c:pt idx="479">
                  <c:v>0.69783769378068405</c:v>
                </c:pt>
                <c:pt idx="480">
                  <c:v>0.60563552702795653</c:v>
                </c:pt>
                <c:pt idx="481">
                  <c:v>0.55337785669560147</c:v>
                </c:pt>
                <c:pt idx="482">
                  <c:v>0.51710488169441982</c:v>
                </c:pt>
                <c:pt idx="483">
                  <c:v>0.48200105714202368</c:v>
                </c:pt>
                <c:pt idx="484">
                  <c:v>0.43943718308758462</c:v>
                </c:pt>
                <c:pt idx="485">
                  <c:v>0.42964372112910826</c:v>
                </c:pt>
                <c:pt idx="486">
                  <c:v>0.46050545969554646</c:v>
                </c:pt>
                <c:pt idx="487">
                  <c:v>0.51418168190330071</c:v>
                </c:pt>
                <c:pt idx="488">
                  <c:v>0.56668468065505662</c:v>
                </c:pt>
                <c:pt idx="489">
                  <c:v>0.59749676179462941</c:v>
                </c:pt>
                <c:pt idx="490">
                  <c:v>0.56259675866900727</c:v>
                </c:pt>
                <c:pt idx="491">
                  <c:v>0.53061249375487418</c:v>
                </c:pt>
                <c:pt idx="492">
                  <c:v>0.48704270999727534</c:v>
                </c:pt>
                <c:pt idx="493">
                  <c:v>0.4397784410760831</c:v>
                </c:pt>
                <c:pt idx="494">
                  <c:v>0.41496731477397503</c:v>
                </c:pt>
                <c:pt idx="495">
                  <c:v>0.42484633732753446</c:v>
                </c:pt>
                <c:pt idx="496">
                  <c:v>0.4517914045061624</c:v>
                </c:pt>
                <c:pt idx="497">
                  <c:v>0.48523592313158204</c:v>
                </c:pt>
                <c:pt idx="498">
                  <c:v>0.54255027491107832</c:v>
                </c:pt>
                <c:pt idx="499">
                  <c:v>0.61792371216414999</c:v>
                </c:pt>
                <c:pt idx="500">
                  <c:v>0.68888629069641993</c:v>
                </c:pt>
                <c:pt idx="501">
                  <c:v>0.7886488424590965</c:v>
                </c:pt>
                <c:pt idx="502">
                  <c:v>0.94267191867843958</c:v>
                </c:pt>
                <c:pt idx="503">
                  <c:v>1.0517182235105658</c:v>
                </c:pt>
                <c:pt idx="504">
                  <c:v>1.0836171884768591</c:v>
                </c:pt>
                <c:pt idx="505">
                  <c:v>1.1335382347062746</c:v>
                </c:pt>
                <c:pt idx="506">
                  <c:v>1.2166771727861196</c:v>
                </c:pt>
                <c:pt idx="507">
                  <c:v>1.3042515467867526</c:v>
                </c:pt>
                <c:pt idx="508">
                  <c:v>1.4270881036464496</c:v>
                </c:pt>
                <c:pt idx="509">
                  <c:v>1.6207275582265415</c:v>
                </c:pt>
                <c:pt idx="510">
                  <c:v>1.8278288062186907</c:v>
                </c:pt>
                <c:pt idx="511">
                  <c:v>2.0404704204291368</c:v>
                </c:pt>
                <c:pt idx="512">
                  <c:v>2.2498809763210907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ax val="46044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+ 20d SMA + 100d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Data!$C$2:$C$523</c:f>
              <c:numCache>
                <c:formatCode>_([$$-409]* #,##0.00_);_([$$-409]* \(#,##0.00\);_([$$-409]* "-"??_);_(@_)</c:formatCode>
                <c:ptCount val="522"/>
                <c:pt idx="0">
                  <c:v>102.36</c:v>
                </c:pt>
                <c:pt idx="1">
                  <c:v>103.22</c:v>
                </c:pt>
                <c:pt idx="2">
                  <c:v>102.32</c:v>
                </c:pt>
                <c:pt idx="3">
                  <c:v>102.63</c:v>
                </c:pt>
                <c:pt idx="4">
                  <c:v>100.92</c:v>
                </c:pt>
                <c:pt idx="5">
                  <c:v>99.67</c:v>
                </c:pt>
                <c:pt idx="6">
                  <c:v>98.69</c:v>
                </c:pt>
                <c:pt idx="7">
                  <c:v>98.67</c:v>
                </c:pt>
                <c:pt idx="8">
                  <c:v>99.95</c:v>
                </c:pt>
                <c:pt idx="9">
                  <c:v>97.69</c:v>
                </c:pt>
                <c:pt idx="10">
                  <c:v>96.98</c:v>
                </c:pt>
                <c:pt idx="11">
                  <c:v>96.8</c:v>
                </c:pt>
                <c:pt idx="12">
                  <c:v>96.95</c:v>
                </c:pt>
                <c:pt idx="13">
                  <c:v>96.82</c:v>
                </c:pt>
                <c:pt idx="14">
                  <c:v>97.91</c:v>
                </c:pt>
                <c:pt idx="15">
                  <c:v>99.6</c:v>
                </c:pt>
                <c:pt idx="16">
                  <c:v>102.13</c:v>
                </c:pt>
                <c:pt idx="17">
                  <c:v>103</c:v>
                </c:pt>
                <c:pt idx="18">
                  <c:v>103.13</c:v>
                </c:pt>
                <c:pt idx="19">
                  <c:v>104.85</c:v>
                </c:pt>
                <c:pt idx="20">
                  <c:v>102.81</c:v>
                </c:pt>
                <c:pt idx="21">
                  <c:v>102.39</c:v>
                </c:pt>
                <c:pt idx="22">
                  <c:v>101.97</c:v>
                </c:pt>
                <c:pt idx="23">
                  <c:v>101.55</c:v>
                </c:pt>
                <c:pt idx="24">
                  <c:v>102.25</c:v>
                </c:pt>
                <c:pt idx="25">
                  <c:v>102.22</c:v>
                </c:pt>
                <c:pt idx="26">
                  <c:v>103.97</c:v>
                </c:pt>
                <c:pt idx="27">
                  <c:v>101.77</c:v>
                </c:pt>
                <c:pt idx="28">
                  <c:v>103.17</c:v>
                </c:pt>
                <c:pt idx="29">
                  <c:v>101.34</c:v>
                </c:pt>
                <c:pt idx="30">
                  <c:v>100.84</c:v>
                </c:pt>
                <c:pt idx="31">
                  <c:v>103.73</c:v>
                </c:pt>
                <c:pt idx="32">
                  <c:v>103.73</c:v>
                </c:pt>
                <c:pt idx="33">
                  <c:v>102.75</c:v>
                </c:pt>
                <c:pt idx="34">
                  <c:v>104.85</c:v>
                </c:pt>
                <c:pt idx="35">
                  <c:v>104.76</c:v>
                </c:pt>
                <c:pt idx="36">
                  <c:v>103.84</c:v>
                </c:pt>
                <c:pt idx="37">
                  <c:v>104.25</c:v>
                </c:pt>
                <c:pt idx="38">
                  <c:v>104.03</c:v>
                </c:pt>
                <c:pt idx="39">
                  <c:v>104.32</c:v>
                </c:pt>
                <c:pt idx="40">
                  <c:v>104.52</c:v>
                </c:pt>
                <c:pt idx="41">
                  <c:v>105.84</c:v>
                </c:pt>
                <c:pt idx="42">
                  <c:v>104.36</c:v>
                </c:pt>
                <c:pt idx="43">
                  <c:v>105.64</c:v>
                </c:pt>
                <c:pt idx="44">
                  <c:v>106.77</c:v>
                </c:pt>
                <c:pt idx="45">
                  <c:v>107.37</c:v>
                </c:pt>
                <c:pt idx="46">
                  <c:v>108.38</c:v>
                </c:pt>
                <c:pt idx="47">
                  <c:v>109.02</c:v>
                </c:pt>
                <c:pt idx="48">
                  <c:v>108.32</c:v>
                </c:pt>
                <c:pt idx="49">
                  <c:v>109.53</c:v>
                </c:pt>
                <c:pt idx="50">
                  <c:v>111.47</c:v>
                </c:pt>
                <c:pt idx="51">
                  <c:v>111.27</c:v>
                </c:pt>
                <c:pt idx="52">
                  <c:v>112.3</c:v>
                </c:pt>
                <c:pt idx="53">
                  <c:v>113.09</c:v>
                </c:pt>
                <c:pt idx="54">
                  <c:v>112.99</c:v>
                </c:pt>
                <c:pt idx="55">
                  <c:v>113.49</c:v>
                </c:pt>
                <c:pt idx="56">
                  <c:v>113.49</c:v>
                </c:pt>
                <c:pt idx="57">
                  <c:v>114.65</c:v>
                </c:pt>
                <c:pt idx="58">
                  <c:v>113.79</c:v>
                </c:pt>
                <c:pt idx="59">
                  <c:v>114.97</c:v>
                </c:pt>
                <c:pt idx="60">
                  <c:v>116.24</c:v>
                </c:pt>
                <c:pt idx="61">
                  <c:v>116.99</c:v>
                </c:pt>
                <c:pt idx="62">
                  <c:v>119.28</c:v>
                </c:pt>
                <c:pt idx="63">
                  <c:v>119.3</c:v>
                </c:pt>
                <c:pt idx="64">
                  <c:v>119.72</c:v>
                </c:pt>
                <c:pt idx="65">
                  <c:v>121.37</c:v>
                </c:pt>
                <c:pt idx="66">
                  <c:v>120.55</c:v>
                </c:pt>
                <c:pt idx="67">
                  <c:v>121.18</c:v>
                </c:pt>
                <c:pt idx="68">
                  <c:v>122.2</c:v>
                </c:pt>
                <c:pt idx="69">
                  <c:v>121.79</c:v>
                </c:pt>
                <c:pt idx="70">
                  <c:v>120.37</c:v>
                </c:pt>
                <c:pt idx="71">
                  <c:v>119.68</c:v>
                </c:pt>
                <c:pt idx="72">
                  <c:v>118.69</c:v>
                </c:pt>
                <c:pt idx="73">
                  <c:v>118.63</c:v>
                </c:pt>
                <c:pt idx="74">
                  <c:v>118.52</c:v>
                </c:pt>
                <c:pt idx="75">
                  <c:v>119.88</c:v>
                </c:pt>
                <c:pt idx="76">
                  <c:v>120.56</c:v>
                </c:pt>
                <c:pt idx="77">
                  <c:v>121.03</c:v>
                </c:pt>
                <c:pt idx="78">
                  <c:v>121.05</c:v>
                </c:pt>
                <c:pt idx="79">
                  <c:v>121.33</c:v>
                </c:pt>
                <c:pt idx="80">
                  <c:v>117.96</c:v>
                </c:pt>
                <c:pt idx="81">
                  <c:v>119.64</c:v>
                </c:pt>
                <c:pt idx="82">
                  <c:v>118.27</c:v>
                </c:pt>
                <c:pt idx="83">
                  <c:v>116.03</c:v>
                </c:pt>
                <c:pt idx="84">
                  <c:v>116.24</c:v>
                </c:pt>
                <c:pt idx="85">
                  <c:v>116</c:v>
                </c:pt>
                <c:pt idx="86">
                  <c:v>116.75</c:v>
                </c:pt>
                <c:pt idx="87">
                  <c:v>116.17</c:v>
                </c:pt>
                <c:pt idx="88">
                  <c:v>116.15</c:v>
                </c:pt>
                <c:pt idx="89">
                  <c:v>118.44</c:v>
                </c:pt>
                <c:pt idx="90">
                  <c:v>117.96</c:v>
                </c:pt>
                <c:pt idx="91">
                  <c:v>117.91</c:v>
                </c:pt>
                <c:pt idx="92">
                  <c:v>117.67</c:v>
                </c:pt>
                <c:pt idx="93">
                  <c:v>118.58</c:v>
                </c:pt>
                <c:pt idx="94">
                  <c:v>117.87</c:v>
                </c:pt>
                <c:pt idx="95">
                  <c:v>119.64</c:v>
                </c:pt>
                <c:pt idx="96">
                  <c:v>118.67</c:v>
                </c:pt>
                <c:pt idx="97">
                  <c:v>117.85</c:v>
                </c:pt>
                <c:pt idx="98">
                  <c:v>115.48</c:v>
                </c:pt>
                <c:pt idx="99">
                  <c:v>113.51</c:v>
                </c:pt>
                <c:pt idx="100">
                  <c:v>113.42</c:v>
                </c:pt>
                <c:pt idx="101">
                  <c:v>114.86</c:v>
                </c:pt>
                <c:pt idx="102">
                  <c:v>113.63</c:v>
                </c:pt>
                <c:pt idx="103">
                  <c:v>113.99</c:v>
                </c:pt>
                <c:pt idx="104">
                  <c:v>117.26</c:v>
                </c:pt>
                <c:pt idx="105">
                  <c:v>114.45</c:v>
                </c:pt>
                <c:pt idx="106">
                  <c:v>112.67</c:v>
                </c:pt>
                <c:pt idx="107">
                  <c:v>113.12</c:v>
                </c:pt>
                <c:pt idx="108">
                  <c:v>113.97</c:v>
                </c:pt>
                <c:pt idx="109">
                  <c:v>112.75</c:v>
                </c:pt>
                <c:pt idx="110">
                  <c:v>113.08</c:v>
                </c:pt>
                <c:pt idx="111">
                  <c:v>112.17</c:v>
                </c:pt>
                <c:pt idx="112">
                  <c:v>110.93</c:v>
                </c:pt>
                <c:pt idx="113">
                  <c:v>110.04</c:v>
                </c:pt>
                <c:pt idx="114">
                  <c:v>109.11</c:v>
                </c:pt>
                <c:pt idx="115">
                  <c:v>108.36</c:v>
                </c:pt>
                <c:pt idx="116">
                  <c:v>109.38</c:v>
                </c:pt>
                <c:pt idx="117">
                  <c:v>111.74</c:v>
                </c:pt>
                <c:pt idx="118">
                  <c:v>110.76</c:v>
                </c:pt>
                <c:pt idx="119">
                  <c:v>114.05</c:v>
                </c:pt>
                <c:pt idx="120">
                  <c:v>114.37</c:v>
                </c:pt>
                <c:pt idx="121">
                  <c:v>114.41</c:v>
                </c:pt>
                <c:pt idx="122">
                  <c:v>114.9</c:v>
                </c:pt>
                <c:pt idx="123">
                  <c:v>115.12</c:v>
                </c:pt>
                <c:pt idx="124">
                  <c:v>114.96</c:v>
                </c:pt>
                <c:pt idx="125">
                  <c:v>114.18</c:v>
                </c:pt>
                <c:pt idx="126">
                  <c:v>114.76</c:v>
                </c:pt>
                <c:pt idx="127">
                  <c:v>113.37</c:v>
                </c:pt>
                <c:pt idx="128">
                  <c:v>112.18</c:v>
                </c:pt>
                <c:pt idx="129">
                  <c:v>110.94</c:v>
                </c:pt>
                <c:pt idx="130">
                  <c:v>111.92</c:v>
                </c:pt>
                <c:pt idx="131">
                  <c:v>113.25</c:v>
                </c:pt>
                <c:pt idx="132">
                  <c:v>113.27</c:v>
                </c:pt>
                <c:pt idx="133">
                  <c:v>115.21</c:v>
                </c:pt>
                <c:pt idx="134">
                  <c:v>116.04</c:v>
                </c:pt>
                <c:pt idx="135">
                  <c:v>117.64</c:v>
                </c:pt>
                <c:pt idx="136">
                  <c:v>118.8</c:v>
                </c:pt>
                <c:pt idx="137">
                  <c:v>116.07</c:v>
                </c:pt>
                <c:pt idx="138">
                  <c:v>115.27</c:v>
                </c:pt>
                <c:pt idx="139">
                  <c:v>113.41</c:v>
                </c:pt>
                <c:pt idx="140">
                  <c:v>115.01</c:v>
                </c:pt>
                <c:pt idx="141">
                  <c:v>117.43</c:v>
                </c:pt>
                <c:pt idx="142">
                  <c:v>117.33</c:v>
                </c:pt>
                <c:pt idx="143">
                  <c:v>116.1</c:v>
                </c:pt>
                <c:pt idx="144">
                  <c:v>118.17</c:v>
                </c:pt>
                <c:pt idx="145">
                  <c:v>118.59</c:v>
                </c:pt>
                <c:pt idx="146">
                  <c:v>116.95</c:v>
                </c:pt>
                <c:pt idx="147">
                  <c:v>116.88</c:v>
                </c:pt>
                <c:pt idx="148">
                  <c:v>114.77</c:v>
                </c:pt>
                <c:pt idx="149">
                  <c:v>114.16</c:v>
                </c:pt>
                <c:pt idx="150">
                  <c:v>115.68</c:v>
                </c:pt>
                <c:pt idx="151">
                  <c:v>117.89</c:v>
                </c:pt>
                <c:pt idx="152">
                  <c:v>118.85</c:v>
                </c:pt>
                <c:pt idx="153">
                  <c:v>119</c:v>
                </c:pt>
                <c:pt idx="154">
                  <c:v>117.86</c:v>
                </c:pt>
                <c:pt idx="155">
                  <c:v>118.95</c:v>
                </c:pt>
                <c:pt idx="156">
                  <c:v>118.73</c:v>
                </c:pt>
                <c:pt idx="157">
                  <c:v>118.17</c:v>
                </c:pt>
                <c:pt idx="158">
                  <c:v>118.53</c:v>
                </c:pt>
                <c:pt idx="159">
                  <c:v>114.58</c:v>
                </c:pt>
                <c:pt idx="160">
                  <c:v>113.85</c:v>
                </c:pt>
                <c:pt idx="161">
                  <c:v>114.73</c:v>
                </c:pt>
                <c:pt idx="162">
                  <c:v>116.32</c:v>
                </c:pt>
                <c:pt idx="163">
                  <c:v>118.81</c:v>
                </c:pt>
                <c:pt idx="164">
                  <c:v>117.68</c:v>
                </c:pt>
                <c:pt idx="165">
                  <c:v>116.52</c:v>
                </c:pt>
                <c:pt idx="166">
                  <c:v>118.13</c:v>
                </c:pt>
                <c:pt idx="167">
                  <c:v>117.94</c:v>
                </c:pt>
                <c:pt idx="168">
                  <c:v>115.47</c:v>
                </c:pt>
                <c:pt idx="169">
                  <c:v>114.06</c:v>
                </c:pt>
                <c:pt idx="170">
                  <c:v>113.17</c:v>
                </c:pt>
                <c:pt idx="171">
                  <c:v>112.64</c:v>
                </c:pt>
                <c:pt idx="172">
                  <c:v>115.01</c:v>
                </c:pt>
                <c:pt idx="173">
                  <c:v>110.82</c:v>
                </c:pt>
                <c:pt idx="174">
                  <c:v>109.72</c:v>
                </c:pt>
                <c:pt idx="175">
                  <c:v>111.23</c:v>
                </c:pt>
                <c:pt idx="176">
                  <c:v>111.15</c:v>
                </c:pt>
                <c:pt idx="177">
                  <c:v>112.71</c:v>
                </c:pt>
                <c:pt idx="178">
                  <c:v>114.18</c:v>
                </c:pt>
                <c:pt idx="179">
                  <c:v>114.58</c:v>
                </c:pt>
                <c:pt idx="180">
                  <c:v>116</c:v>
                </c:pt>
                <c:pt idx="181">
                  <c:v>115.27</c:v>
                </c:pt>
                <c:pt idx="182">
                  <c:v>117.36</c:v>
                </c:pt>
                <c:pt idx="183">
                  <c:v>117.05</c:v>
                </c:pt>
                <c:pt idx="184">
                  <c:v>114.77</c:v>
                </c:pt>
                <c:pt idx="185">
                  <c:v>112.8</c:v>
                </c:pt>
                <c:pt idx="186">
                  <c:v>115.82</c:v>
                </c:pt>
                <c:pt idx="187">
                  <c:v>117.22</c:v>
                </c:pt>
                <c:pt idx="188">
                  <c:v>119.93</c:v>
                </c:pt>
                <c:pt idx="189">
                  <c:v>121.52</c:v>
                </c:pt>
                <c:pt idx="190">
                  <c:v>122.58</c:v>
                </c:pt>
                <c:pt idx="191">
                  <c:v>124.83</c:v>
                </c:pt>
                <c:pt idx="192">
                  <c:v>125.37</c:v>
                </c:pt>
                <c:pt idx="193">
                  <c:v>122.04</c:v>
                </c:pt>
                <c:pt idx="194">
                  <c:v>122.09</c:v>
                </c:pt>
                <c:pt idx="195">
                  <c:v>123.14</c:v>
                </c:pt>
                <c:pt idx="196">
                  <c:v>123.61</c:v>
                </c:pt>
                <c:pt idx="197">
                  <c:v>124.08</c:v>
                </c:pt>
                <c:pt idx="198">
                  <c:v>120.35</c:v>
                </c:pt>
                <c:pt idx="199">
                  <c:v>120.66</c:v>
                </c:pt>
                <c:pt idx="200">
                  <c:v>120.35</c:v>
                </c:pt>
                <c:pt idx="201">
                  <c:v>120.01</c:v>
                </c:pt>
                <c:pt idx="202">
                  <c:v>120.08</c:v>
                </c:pt>
                <c:pt idx="203">
                  <c:v>120.7</c:v>
                </c:pt>
                <c:pt idx="204">
                  <c:v>120.27</c:v>
                </c:pt>
                <c:pt idx="205">
                  <c:v>119.59</c:v>
                </c:pt>
                <c:pt idx="206">
                  <c:v>119.49</c:v>
                </c:pt>
                <c:pt idx="207">
                  <c:v>118.9</c:v>
                </c:pt>
                <c:pt idx="208">
                  <c:v>117.28</c:v>
                </c:pt>
                <c:pt idx="209">
                  <c:v>116.69</c:v>
                </c:pt>
                <c:pt idx="210">
                  <c:v>116.78</c:v>
                </c:pt>
                <c:pt idx="211">
                  <c:v>114.95</c:v>
                </c:pt>
                <c:pt idx="212">
                  <c:v>118.61</c:v>
                </c:pt>
                <c:pt idx="213">
                  <c:v>118.96</c:v>
                </c:pt>
                <c:pt idx="214">
                  <c:v>121</c:v>
                </c:pt>
                <c:pt idx="215">
                  <c:v>121.15</c:v>
                </c:pt>
                <c:pt idx="216">
                  <c:v>121.11</c:v>
                </c:pt>
                <c:pt idx="217">
                  <c:v>120.47</c:v>
                </c:pt>
                <c:pt idx="218">
                  <c:v>120.35</c:v>
                </c:pt>
                <c:pt idx="219">
                  <c:v>121.47</c:v>
                </c:pt>
                <c:pt idx="220">
                  <c:v>120.56</c:v>
                </c:pt>
                <c:pt idx="221">
                  <c:v>119.31</c:v>
                </c:pt>
                <c:pt idx="222">
                  <c:v>120.31</c:v>
                </c:pt>
                <c:pt idx="223">
                  <c:v>118.63</c:v>
                </c:pt>
                <c:pt idx="224">
                  <c:v>120.32</c:v>
                </c:pt>
                <c:pt idx="225">
                  <c:v>121.93</c:v>
                </c:pt>
                <c:pt idx="226">
                  <c:v>121.79</c:v>
                </c:pt>
                <c:pt idx="227">
                  <c:v>119.97</c:v>
                </c:pt>
                <c:pt idx="228">
                  <c:v>117.97</c:v>
                </c:pt>
                <c:pt idx="229">
                  <c:v>117.66</c:v>
                </c:pt>
                <c:pt idx="230">
                  <c:v>117.96</c:v>
                </c:pt>
                <c:pt idx="231">
                  <c:v>117.85</c:v>
                </c:pt>
                <c:pt idx="232">
                  <c:v>117.67</c:v>
                </c:pt>
                <c:pt idx="233">
                  <c:v>114.28</c:v>
                </c:pt>
                <c:pt idx="234">
                  <c:v>114.78</c:v>
                </c:pt>
                <c:pt idx="235">
                  <c:v>113.57</c:v>
                </c:pt>
                <c:pt idx="236">
                  <c:v>112.9</c:v>
                </c:pt>
                <c:pt idx="237">
                  <c:v>112.67</c:v>
                </c:pt>
                <c:pt idx="238">
                  <c:v>111.92</c:v>
                </c:pt>
                <c:pt idx="239">
                  <c:v>111.82</c:v>
                </c:pt>
                <c:pt idx="240">
                  <c:v>110.84</c:v>
                </c:pt>
                <c:pt idx="241">
                  <c:v>108.47</c:v>
                </c:pt>
                <c:pt idx="242">
                  <c:v>108.01</c:v>
                </c:pt>
                <c:pt idx="243">
                  <c:v>106.42</c:v>
                </c:pt>
                <c:pt idx="244">
                  <c:v>105.51</c:v>
                </c:pt>
                <c:pt idx="245">
                  <c:v>105.87</c:v>
                </c:pt>
                <c:pt idx="246">
                  <c:v>106.3</c:v>
                </c:pt>
                <c:pt idx="247">
                  <c:v>106.4</c:v>
                </c:pt>
                <c:pt idx="248">
                  <c:v>106.49</c:v>
                </c:pt>
                <c:pt idx="249">
                  <c:v>106.48</c:v>
                </c:pt>
                <c:pt idx="250">
                  <c:v>105.76</c:v>
                </c:pt>
                <c:pt idx="251">
                  <c:v>107.57</c:v>
                </c:pt>
                <c:pt idx="252">
                  <c:v>107.31</c:v>
                </c:pt>
                <c:pt idx="253">
                  <c:v>107.86</c:v>
                </c:pt>
                <c:pt idx="254">
                  <c:v>107.74</c:v>
                </c:pt>
                <c:pt idx="255">
                  <c:v>108.75</c:v>
                </c:pt>
                <c:pt idx="256">
                  <c:v>106.93</c:v>
                </c:pt>
                <c:pt idx="257">
                  <c:v>106.54</c:v>
                </c:pt>
                <c:pt idx="258">
                  <c:v>109.29</c:v>
                </c:pt>
                <c:pt idx="259">
                  <c:v>109.72</c:v>
                </c:pt>
                <c:pt idx="260">
                  <c:v>111.51</c:v>
                </c:pt>
                <c:pt idx="261">
                  <c:v>111.32</c:v>
                </c:pt>
                <c:pt idx="262">
                  <c:v>112.32</c:v>
                </c:pt>
                <c:pt idx="263">
                  <c:v>111.47</c:v>
                </c:pt>
                <c:pt idx="264">
                  <c:v>109.53</c:v>
                </c:pt>
                <c:pt idx="265">
                  <c:v>110.15</c:v>
                </c:pt>
                <c:pt idx="266">
                  <c:v>108.66</c:v>
                </c:pt>
                <c:pt idx="267">
                  <c:v>110.17</c:v>
                </c:pt>
                <c:pt idx="268">
                  <c:v>108.04</c:v>
                </c:pt>
                <c:pt idx="269">
                  <c:v>108.67</c:v>
                </c:pt>
                <c:pt idx="270">
                  <c:v>109.57</c:v>
                </c:pt>
                <c:pt idx="271">
                  <c:v>106.83</c:v>
                </c:pt>
                <c:pt idx="272">
                  <c:v>107.09</c:v>
                </c:pt>
                <c:pt idx="273">
                  <c:v>109.96</c:v>
                </c:pt>
                <c:pt idx="274">
                  <c:v>109.88</c:v>
                </c:pt>
                <c:pt idx="275">
                  <c:v>108.43</c:v>
                </c:pt>
                <c:pt idx="276">
                  <c:v>108.89</c:v>
                </c:pt>
                <c:pt idx="277">
                  <c:v>110.97</c:v>
                </c:pt>
                <c:pt idx="278">
                  <c:v>111.67</c:v>
                </c:pt>
                <c:pt idx="279">
                  <c:v>107.35</c:v>
                </c:pt>
                <c:pt idx="280">
                  <c:v>108.13</c:v>
                </c:pt>
                <c:pt idx="281">
                  <c:v>108.24</c:v>
                </c:pt>
                <c:pt idx="282">
                  <c:v>110.14</c:v>
                </c:pt>
                <c:pt idx="283">
                  <c:v>110.3</c:v>
                </c:pt>
                <c:pt idx="284">
                  <c:v>112</c:v>
                </c:pt>
                <c:pt idx="285">
                  <c:v>110.69</c:v>
                </c:pt>
                <c:pt idx="286">
                  <c:v>111.27</c:v>
                </c:pt>
                <c:pt idx="287">
                  <c:v>109.73</c:v>
                </c:pt>
                <c:pt idx="288">
                  <c:v>109.46</c:v>
                </c:pt>
                <c:pt idx="289">
                  <c:v>110.15</c:v>
                </c:pt>
                <c:pt idx="290">
                  <c:v>111.33</c:v>
                </c:pt>
                <c:pt idx="291">
                  <c:v>107.76</c:v>
                </c:pt>
                <c:pt idx="292">
                  <c:v>107.54</c:v>
                </c:pt>
                <c:pt idx="293">
                  <c:v>105.44</c:v>
                </c:pt>
                <c:pt idx="294">
                  <c:v>107.62</c:v>
                </c:pt>
                <c:pt idx="295">
                  <c:v>109.02</c:v>
                </c:pt>
                <c:pt idx="296">
                  <c:v>111.8</c:v>
                </c:pt>
                <c:pt idx="297">
                  <c:v>109.16</c:v>
                </c:pt>
                <c:pt idx="298">
                  <c:v>109.13</c:v>
                </c:pt>
                <c:pt idx="299">
                  <c:v>108.67</c:v>
                </c:pt>
                <c:pt idx="300">
                  <c:v>111.9</c:v>
                </c:pt>
                <c:pt idx="301">
                  <c:v>113.76</c:v>
                </c:pt>
                <c:pt idx="302">
                  <c:v>113.64</c:v>
                </c:pt>
                <c:pt idx="303">
                  <c:v>115.41</c:v>
                </c:pt>
                <c:pt idx="304">
                  <c:v>115.9</c:v>
                </c:pt>
                <c:pt idx="305">
                  <c:v>115.5</c:v>
                </c:pt>
                <c:pt idx="306">
                  <c:v>115.8</c:v>
                </c:pt>
                <c:pt idx="307">
                  <c:v>116.59</c:v>
                </c:pt>
                <c:pt idx="308">
                  <c:v>118.27</c:v>
                </c:pt>
                <c:pt idx="309">
                  <c:v>117.89</c:v>
                </c:pt>
                <c:pt idx="310">
                  <c:v>117.73</c:v>
                </c:pt>
                <c:pt idx="311">
                  <c:v>118.93</c:v>
                </c:pt>
                <c:pt idx="312">
                  <c:v>119.04</c:v>
                </c:pt>
                <c:pt idx="313">
                  <c:v>118.67</c:v>
                </c:pt>
                <c:pt idx="314">
                  <c:v>112.43</c:v>
                </c:pt>
                <c:pt idx="315">
                  <c:v>104.34</c:v>
                </c:pt>
                <c:pt idx="316">
                  <c:v>102.94</c:v>
                </c:pt>
                <c:pt idx="317">
                  <c:v>100.77</c:v>
                </c:pt>
                <c:pt idx="318">
                  <c:v>105.8</c:v>
                </c:pt>
                <c:pt idx="319">
                  <c:v>99.93</c:v>
                </c:pt>
                <c:pt idx="320">
                  <c:v>103.14</c:v>
                </c:pt>
                <c:pt idx="321">
                  <c:v>103.39</c:v>
                </c:pt>
                <c:pt idx="322">
                  <c:v>103.1</c:v>
                </c:pt>
                <c:pt idx="323">
                  <c:v>104.19</c:v>
                </c:pt>
                <c:pt idx="324">
                  <c:v>106.92</c:v>
                </c:pt>
                <c:pt idx="325">
                  <c:v>105.35</c:v>
                </c:pt>
                <c:pt idx="326">
                  <c:v>108.3</c:v>
                </c:pt>
                <c:pt idx="327">
                  <c:v>107.37</c:v>
                </c:pt>
                <c:pt idx="328">
                  <c:v>108.63</c:v>
                </c:pt>
                <c:pt idx="329">
                  <c:v>108.57</c:v>
                </c:pt>
                <c:pt idx="330">
                  <c:v>108.63</c:v>
                </c:pt>
                <c:pt idx="331">
                  <c:v>108.36</c:v>
                </c:pt>
                <c:pt idx="332">
                  <c:v>105.63</c:v>
                </c:pt>
                <c:pt idx="333">
                  <c:v>105.78</c:v>
                </c:pt>
                <c:pt idx="334">
                  <c:v>106.21</c:v>
                </c:pt>
                <c:pt idx="335">
                  <c:v>103.27</c:v>
                </c:pt>
                <c:pt idx="336">
                  <c:v>104.71</c:v>
                </c:pt>
                <c:pt idx="337">
                  <c:v>104.61</c:v>
                </c:pt>
                <c:pt idx="338">
                  <c:v>106.07</c:v>
                </c:pt>
                <c:pt idx="339">
                  <c:v>107.31</c:v>
                </c:pt>
                <c:pt idx="340">
                  <c:v>109.16</c:v>
                </c:pt>
                <c:pt idx="341">
                  <c:v>109.46</c:v>
                </c:pt>
                <c:pt idx="342">
                  <c:v>108.48</c:v>
                </c:pt>
                <c:pt idx="343">
                  <c:v>108.58</c:v>
                </c:pt>
                <c:pt idx="344">
                  <c:v>108.19</c:v>
                </c:pt>
                <c:pt idx="345">
                  <c:v>106.47</c:v>
                </c:pt>
                <c:pt idx="346">
                  <c:v>104.95</c:v>
                </c:pt>
                <c:pt idx="347">
                  <c:v>103.66</c:v>
                </c:pt>
                <c:pt idx="348">
                  <c:v>102.97</c:v>
                </c:pt>
                <c:pt idx="349">
                  <c:v>103.03</c:v>
                </c:pt>
                <c:pt idx="350">
                  <c:v>103.52</c:v>
                </c:pt>
                <c:pt idx="351">
                  <c:v>102.11</c:v>
                </c:pt>
                <c:pt idx="352">
                  <c:v>102.69</c:v>
                </c:pt>
                <c:pt idx="353">
                  <c:v>102.3</c:v>
                </c:pt>
                <c:pt idx="354">
                  <c:v>103.05</c:v>
                </c:pt>
                <c:pt idx="355">
                  <c:v>103.8</c:v>
                </c:pt>
                <c:pt idx="356">
                  <c:v>102.3</c:v>
                </c:pt>
                <c:pt idx="357">
                  <c:v>101.83</c:v>
                </c:pt>
                <c:pt idx="358">
                  <c:v>104.27</c:v>
                </c:pt>
                <c:pt idx="359">
                  <c:v>104.97</c:v>
                </c:pt>
                <c:pt idx="360">
                  <c:v>107.22</c:v>
                </c:pt>
                <c:pt idx="361">
                  <c:v>109.31</c:v>
                </c:pt>
                <c:pt idx="362">
                  <c:v>109.73</c:v>
                </c:pt>
                <c:pt idx="363">
                  <c:v>112.12</c:v>
                </c:pt>
                <c:pt idx="364">
                  <c:v>112.48</c:v>
                </c:pt>
                <c:pt idx="365">
                  <c:v>114</c:v>
                </c:pt>
                <c:pt idx="366">
                  <c:v>113.19</c:v>
                </c:pt>
                <c:pt idx="367">
                  <c:v>114.7</c:v>
                </c:pt>
                <c:pt idx="368">
                  <c:v>111.74</c:v>
                </c:pt>
                <c:pt idx="369">
                  <c:v>108.34</c:v>
                </c:pt>
                <c:pt idx="370">
                  <c:v>108.37</c:v>
                </c:pt>
                <c:pt idx="371">
                  <c:v>109.99</c:v>
                </c:pt>
                <c:pt idx="372">
                  <c:v>109.38</c:v>
                </c:pt>
                <c:pt idx="373">
                  <c:v>107.8</c:v>
                </c:pt>
                <c:pt idx="374">
                  <c:v>109.24</c:v>
                </c:pt>
                <c:pt idx="375">
                  <c:v>111.05</c:v>
                </c:pt>
                <c:pt idx="376">
                  <c:v>112.2</c:v>
                </c:pt>
                <c:pt idx="377">
                  <c:v>111.11</c:v>
                </c:pt>
                <c:pt idx="378">
                  <c:v>114.19</c:v>
                </c:pt>
                <c:pt idx="379">
                  <c:v>113.8</c:v>
                </c:pt>
                <c:pt idx="380">
                  <c:v>114.93</c:v>
                </c:pt>
                <c:pt idx="381">
                  <c:v>115.43</c:v>
                </c:pt>
                <c:pt idx="382">
                  <c:v>113.92</c:v>
                </c:pt>
                <c:pt idx="383">
                  <c:v>112.91</c:v>
                </c:pt>
                <c:pt idx="384">
                  <c:v>112.23</c:v>
                </c:pt>
                <c:pt idx="385">
                  <c:v>111.66</c:v>
                </c:pt>
                <c:pt idx="386">
                  <c:v>107.77</c:v>
                </c:pt>
                <c:pt idx="387">
                  <c:v>108.05</c:v>
                </c:pt>
                <c:pt idx="388">
                  <c:v>108.54</c:v>
                </c:pt>
                <c:pt idx="389">
                  <c:v>109.93</c:v>
                </c:pt>
                <c:pt idx="390">
                  <c:v>110.79</c:v>
                </c:pt>
                <c:pt idx="391">
                  <c:v>110.4</c:v>
                </c:pt>
                <c:pt idx="392">
                  <c:v>111.44</c:v>
                </c:pt>
                <c:pt idx="393">
                  <c:v>112.88</c:v>
                </c:pt>
                <c:pt idx="394">
                  <c:v>111.9</c:v>
                </c:pt>
                <c:pt idx="395">
                  <c:v>111.64</c:v>
                </c:pt>
                <c:pt idx="396">
                  <c:v>109.64</c:v>
                </c:pt>
                <c:pt idx="397">
                  <c:v>107.37</c:v>
                </c:pt>
                <c:pt idx="398">
                  <c:v>107.24</c:v>
                </c:pt>
                <c:pt idx="399">
                  <c:v>106.51</c:v>
                </c:pt>
                <c:pt idx="400">
                  <c:v>105.95</c:v>
                </c:pt>
                <c:pt idx="401">
                  <c:v>106.8</c:v>
                </c:pt>
                <c:pt idx="402">
                  <c:v>105.83</c:v>
                </c:pt>
                <c:pt idx="403">
                  <c:v>106.13</c:v>
                </c:pt>
                <c:pt idx="404">
                  <c:v>107.6</c:v>
                </c:pt>
                <c:pt idx="405">
                  <c:v>107.38</c:v>
                </c:pt>
                <c:pt idx="406">
                  <c:v>106.49</c:v>
                </c:pt>
                <c:pt idx="407">
                  <c:v>106.72</c:v>
                </c:pt>
                <c:pt idx="408">
                  <c:v>107.42</c:v>
                </c:pt>
                <c:pt idx="409">
                  <c:v>108.53</c:v>
                </c:pt>
                <c:pt idx="410">
                  <c:v>109.23</c:v>
                </c:pt>
                <c:pt idx="411">
                  <c:v>111.28</c:v>
                </c:pt>
                <c:pt idx="412">
                  <c:v>111.74</c:v>
                </c:pt>
                <c:pt idx="413">
                  <c:v>111.49</c:v>
                </c:pt>
                <c:pt idx="414">
                  <c:v>112.75</c:v>
                </c:pt>
                <c:pt idx="415">
                  <c:v>113.35</c:v>
                </c:pt>
                <c:pt idx="416">
                  <c:v>114.29</c:v>
                </c:pt>
                <c:pt idx="417">
                  <c:v>114.69</c:v>
                </c:pt>
                <c:pt idx="418">
                  <c:v>111.91</c:v>
                </c:pt>
                <c:pt idx="419">
                  <c:v>112.4</c:v>
                </c:pt>
                <c:pt idx="420">
                  <c:v>109.23</c:v>
                </c:pt>
                <c:pt idx="421">
                  <c:v>109.85</c:v>
                </c:pt>
                <c:pt idx="422">
                  <c:v>110.65</c:v>
                </c:pt>
                <c:pt idx="423">
                  <c:v>112.5</c:v>
                </c:pt>
                <c:pt idx="424">
                  <c:v>112.14</c:v>
                </c:pt>
                <c:pt idx="425">
                  <c:v>112.16</c:v>
                </c:pt>
                <c:pt idx="426">
                  <c:v>112.35</c:v>
                </c:pt>
                <c:pt idx="427">
                  <c:v>114.68</c:v>
                </c:pt>
                <c:pt idx="428">
                  <c:v>115.29</c:v>
                </c:pt>
                <c:pt idx="429">
                  <c:v>113.93</c:v>
                </c:pt>
                <c:pt idx="430">
                  <c:v>112.82</c:v>
                </c:pt>
                <c:pt idx="431">
                  <c:v>112.02</c:v>
                </c:pt>
                <c:pt idx="432">
                  <c:v>113.95</c:v>
                </c:pt>
                <c:pt idx="433">
                  <c:v>114.56</c:v>
                </c:pt>
                <c:pt idx="434">
                  <c:v>115.59</c:v>
                </c:pt>
                <c:pt idx="435">
                  <c:v>117.22</c:v>
                </c:pt>
                <c:pt idx="436">
                  <c:v>114.22</c:v>
                </c:pt>
                <c:pt idx="437">
                  <c:v>112.75</c:v>
                </c:pt>
                <c:pt idx="438">
                  <c:v>111.99</c:v>
                </c:pt>
                <c:pt idx="439">
                  <c:v>111.29</c:v>
                </c:pt>
                <c:pt idx="440">
                  <c:v>113.26</c:v>
                </c:pt>
                <c:pt idx="441">
                  <c:v>114.2</c:v>
                </c:pt>
                <c:pt idx="442">
                  <c:v>114.26</c:v>
                </c:pt>
                <c:pt idx="443">
                  <c:v>114.02</c:v>
                </c:pt>
                <c:pt idx="444">
                  <c:v>112.91</c:v>
                </c:pt>
                <c:pt idx="445">
                  <c:v>110.73</c:v>
                </c:pt>
                <c:pt idx="446">
                  <c:v>112.24</c:v>
                </c:pt>
                <c:pt idx="447">
                  <c:v>112.29</c:v>
                </c:pt>
                <c:pt idx="448">
                  <c:v>111.61</c:v>
                </c:pt>
                <c:pt idx="449">
                  <c:v>110.64</c:v>
                </c:pt>
                <c:pt idx="450">
                  <c:v>112.24</c:v>
                </c:pt>
                <c:pt idx="451">
                  <c:v>112.7</c:v>
                </c:pt>
                <c:pt idx="452">
                  <c:v>112.71</c:v>
                </c:pt>
                <c:pt idx="453">
                  <c:v>114.71</c:v>
                </c:pt>
                <c:pt idx="454">
                  <c:v>115.98</c:v>
                </c:pt>
                <c:pt idx="455">
                  <c:v>115.39</c:v>
                </c:pt>
                <c:pt idx="456">
                  <c:v>115.94</c:v>
                </c:pt>
                <c:pt idx="457">
                  <c:v>115.03</c:v>
                </c:pt>
                <c:pt idx="458">
                  <c:v>116.45</c:v>
                </c:pt>
                <c:pt idx="459">
                  <c:v>114.69</c:v>
                </c:pt>
                <c:pt idx="460">
                  <c:v>114.36</c:v>
                </c:pt>
                <c:pt idx="461">
                  <c:v>113.76</c:v>
                </c:pt>
                <c:pt idx="462">
                  <c:v>114.14</c:v>
                </c:pt>
                <c:pt idx="463">
                  <c:v>113.68</c:v>
                </c:pt>
                <c:pt idx="464">
                  <c:v>114.5</c:v>
                </c:pt>
                <c:pt idx="465">
                  <c:v>117.22</c:v>
                </c:pt>
                <c:pt idx="466">
                  <c:v>118.22</c:v>
                </c:pt>
                <c:pt idx="467">
                  <c:v>119.78</c:v>
                </c:pt>
                <c:pt idx="468">
                  <c:v>118.12</c:v>
                </c:pt>
                <c:pt idx="469">
                  <c:v>118.79</c:v>
                </c:pt>
                <c:pt idx="470">
                  <c:v>119.29</c:v>
                </c:pt>
                <c:pt idx="471">
                  <c:v>117.68</c:v>
                </c:pt>
                <c:pt idx="472">
                  <c:v>119.03</c:v>
                </c:pt>
                <c:pt idx="473">
                  <c:v>117.35</c:v>
                </c:pt>
                <c:pt idx="474">
                  <c:v>117.02</c:v>
                </c:pt>
                <c:pt idx="475">
                  <c:v>117.08</c:v>
                </c:pt>
                <c:pt idx="476">
                  <c:v>115.97</c:v>
                </c:pt>
                <c:pt idx="477">
                  <c:v>114.51</c:v>
                </c:pt>
                <c:pt idx="478">
                  <c:v>114.77</c:v>
                </c:pt>
                <c:pt idx="479">
                  <c:v>115.92</c:v>
                </c:pt>
                <c:pt idx="480">
                  <c:v>116.63</c:v>
                </c:pt>
                <c:pt idx="481">
                  <c:v>115.38</c:v>
                </c:pt>
                <c:pt idx="482">
                  <c:v>117.8</c:v>
                </c:pt>
                <c:pt idx="483">
                  <c:v>117.14</c:v>
                </c:pt>
                <c:pt idx="484">
                  <c:v>116.54</c:v>
                </c:pt>
                <c:pt idx="485">
                  <c:v>115.98</c:v>
                </c:pt>
                <c:pt idx="486">
                  <c:v>118.25</c:v>
                </c:pt>
                <c:pt idx="487">
                  <c:v>119.54</c:v>
                </c:pt>
                <c:pt idx="488">
                  <c:v>119.54</c:v>
                </c:pt>
                <c:pt idx="489">
                  <c:v>118.82</c:v>
                </c:pt>
                <c:pt idx="490">
                  <c:v>117.76</c:v>
                </c:pt>
                <c:pt idx="491">
                  <c:v>114.68</c:v>
                </c:pt>
                <c:pt idx="492">
                  <c:v>117.41</c:v>
                </c:pt>
                <c:pt idx="493">
                  <c:v>116.54</c:v>
                </c:pt>
                <c:pt idx="494">
                  <c:v>116.69</c:v>
                </c:pt>
                <c:pt idx="495">
                  <c:v>118.15</c:v>
                </c:pt>
                <c:pt idx="496">
                  <c:v>119.42</c:v>
                </c:pt>
                <c:pt idx="497">
                  <c:v>119.22</c:v>
                </c:pt>
                <c:pt idx="498">
                  <c:v>119.11</c:v>
                </c:pt>
                <c:pt idx="499">
                  <c:v>120.53</c:v>
                </c:pt>
                <c:pt idx="500">
                  <c:v>120.99</c:v>
                </c:pt>
                <c:pt idx="501">
                  <c:v>120.34</c:v>
                </c:pt>
                <c:pt idx="502">
                  <c:v>122.65</c:v>
                </c:pt>
                <c:pt idx="503">
                  <c:v>125.36</c:v>
                </c:pt>
                <c:pt idx="504">
                  <c:v>121.05</c:v>
                </c:pt>
                <c:pt idx="505">
                  <c:v>118.49</c:v>
                </c:pt>
                <c:pt idx="506">
                  <c:v>122.91</c:v>
                </c:pt>
                <c:pt idx="507">
                  <c:v>124.61</c:v>
                </c:pt>
                <c:pt idx="508">
                  <c:v>124.03</c:v>
                </c:pt>
                <c:pt idx="509">
                  <c:v>126.54</c:v>
                </c:pt>
                <c:pt idx="510">
                  <c:v>130.19999999999999</c:v>
                </c:pt>
                <c:pt idx="511">
                  <c:v>129.13</c:v>
                </c:pt>
                <c:pt idx="512">
                  <c:v>129.88999999999999</c:v>
                </c:pt>
                <c:pt idx="513">
                  <c:v>130.46</c:v>
                </c:pt>
                <c:pt idx="514">
                  <c:v>133.61000000000001</c:v>
                </c:pt>
                <c:pt idx="515">
                  <c:v>133.63999999999999</c:v>
                </c:pt>
                <c:pt idx="516">
                  <c:v>134.97</c:v>
                </c:pt>
                <c:pt idx="517">
                  <c:v>134.84</c:v>
                </c:pt>
                <c:pt idx="518">
                  <c:v>136.83000000000001</c:v>
                </c:pt>
                <c:pt idx="519">
                  <c:v>137.58000000000001</c:v>
                </c:pt>
                <c:pt idx="520">
                  <c:v>140.51</c:v>
                </c:pt>
                <c:pt idx="521">
                  <c:v>141.4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B-4536-BB01-2BC035A9E0F4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Data!$J$2:$J$523</c:f>
              <c:numCache>
                <c:formatCode>General</c:formatCode>
                <c:ptCount val="522"/>
                <c:pt idx="19">
                  <c:v>100.2145</c:v>
                </c:pt>
                <c:pt idx="20">
                  <c:v>100.23699999999999</c:v>
                </c:pt>
                <c:pt idx="21">
                  <c:v>100.19550000000001</c:v>
                </c:pt>
                <c:pt idx="22">
                  <c:v>100.178</c:v>
                </c:pt>
                <c:pt idx="23">
                  <c:v>100.124</c:v>
                </c:pt>
                <c:pt idx="24">
                  <c:v>100.19050000000001</c:v>
                </c:pt>
                <c:pt idx="25">
                  <c:v>100.31800000000001</c:v>
                </c:pt>
                <c:pt idx="26">
                  <c:v>100.58200000000001</c:v>
                </c:pt>
                <c:pt idx="27">
                  <c:v>100.73699999999999</c:v>
                </c:pt>
                <c:pt idx="28">
                  <c:v>100.898</c:v>
                </c:pt>
                <c:pt idx="29">
                  <c:v>101.0805</c:v>
                </c:pt>
                <c:pt idx="30">
                  <c:v>101.2735</c:v>
                </c:pt>
                <c:pt idx="31">
                  <c:v>101.61999999999999</c:v>
                </c:pt>
                <c:pt idx="32">
                  <c:v>101.959</c:v>
                </c:pt>
                <c:pt idx="33">
                  <c:v>102.25550000000001</c:v>
                </c:pt>
                <c:pt idx="34">
                  <c:v>102.60249999999999</c:v>
                </c:pt>
                <c:pt idx="35">
                  <c:v>102.8605</c:v>
                </c:pt>
                <c:pt idx="36">
                  <c:v>102.946</c:v>
                </c:pt>
                <c:pt idx="37">
                  <c:v>103.0085</c:v>
                </c:pt>
                <c:pt idx="38">
                  <c:v>103.05349999999999</c:v>
                </c:pt>
                <c:pt idx="39">
                  <c:v>103.027</c:v>
                </c:pt>
                <c:pt idx="40">
                  <c:v>103.1125</c:v>
                </c:pt>
                <c:pt idx="41">
                  <c:v>103.285</c:v>
                </c:pt>
                <c:pt idx="42">
                  <c:v>103.40449999999998</c:v>
                </c:pt>
                <c:pt idx="43">
                  <c:v>103.60899999999997</c:v>
                </c:pt>
                <c:pt idx="44">
                  <c:v>103.83499999999999</c:v>
                </c:pt>
                <c:pt idx="45">
                  <c:v>104.0925</c:v>
                </c:pt>
                <c:pt idx="46">
                  <c:v>104.31299999999999</c:v>
                </c:pt>
                <c:pt idx="47">
                  <c:v>104.67550000000001</c:v>
                </c:pt>
                <c:pt idx="48">
                  <c:v>104.93300000000002</c:v>
                </c:pt>
                <c:pt idx="49">
                  <c:v>105.3425</c:v>
                </c:pt>
                <c:pt idx="50">
                  <c:v>105.87399999999998</c:v>
                </c:pt>
                <c:pt idx="51">
                  <c:v>106.251</c:v>
                </c:pt>
                <c:pt idx="52">
                  <c:v>106.6795</c:v>
                </c:pt>
                <c:pt idx="53">
                  <c:v>107.19650000000001</c:v>
                </c:pt>
                <c:pt idx="54">
                  <c:v>107.60350000000001</c:v>
                </c:pt>
                <c:pt idx="55">
                  <c:v>108.03999999999999</c:v>
                </c:pt>
                <c:pt idx="56">
                  <c:v>108.52249999999997</c:v>
                </c:pt>
                <c:pt idx="57">
                  <c:v>109.04249999999999</c:v>
                </c:pt>
                <c:pt idx="58">
                  <c:v>109.53049999999999</c:v>
                </c:pt>
                <c:pt idx="59">
                  <c:v>110.06299999999999</c:v>
                </c:pt>
                <c:pt idx="60">
                  <c:v>110.64899999999997</c:v>
                </c:pt>
                <c:pt idx="61">
                  <c:v>111.20649999999998</c:v>
                </c:pt>
                <c:pt idx="62">
                  <c:v>111.95250000000001</c:v>
                </c:pt>
                <c:pt idx="63">
                  <c:v>112.63550000000001</c:v>
                </c:pt>
                <c:pt idx="64">
                  <c:v>113.28299999999999</c:v>
                </c:pt>
                <c:pt idx="65">
                  <c:v>113.98299999999999</c:v>
                </c:pt>
                <c:pt idx="66">
                  <c:v>114.5915</c:v>
                </c:pt>
                <c:pt idx="67">
                  <c:v>115.19950000000001</c:v>
                </c:pt>
                <c:pt idx="68">
                  <c:v>115.89349999999999</c:v>
                </c:pt>
                <c:pt idx="69">
                  <c:v>116.50649999999999</c:v>
                </c:pt>
                <c:pt idx="70">
                  <c:v>116.95149999999998</c:v>
                </c:pt>
                <c:pt idx="71">
                  <c:v>117.372</c:v>
                </c:pt>
                <c:pt idx="72">
                  <c:v>117.69149999999999</c:v>
                </c:pt>
                <c:pt idx="73">
                  <c:v>117.96850000000002</c:v>
                </c:pt>
                <c:pt idx="74">
                  <c:v>118.245</c:v>
                </c:pt>
                <c:pt idx="75">
                  <c:v>118.5645</c:v>
                </c:pt>
                <c:pt idx="76">
                  <c:v>118.91800000000001</c:v>
                </c:pt>
                <c:pt idx="77">
                  <c:v>119.23700000000001</c:v>
                </c:pt>
                <c:pt idx="78">
                  <c:v>119.60000000000002</c:v>
                </c:pt>
                <c:pt idx="79">
                  <c:v>119.91800000000001</c:v>
                </c:pt>
                <c:pt idx="80">
                  <c:v>120.00399999999999</c:v>
                </c:pt>
                <c:pt idx="81">
                  <c:v>120.13649999999998</c:v>
                </c:pt>
                <c:pt idx="82">
                  <c:v>120.08599999999998</c:v>
                </c:pt>
                <c:pt idx="83">
                  <c:v>119.92249999999999</c:v>
                </c:pt>
                <c:pt idx="84">
                  <c:v>119.74850000000001</c:v>
                </c:pt>
                <c:pt idx="85">
                  <c:v>119.47999999999999</c:v>
                </c:pt>
                <c:pt idx="86">
                  <c:v>119.28999999999999</c:v>
                </c:pt>
                <c:pt idx="87">
                  <c:v>119.0395</c:v>
                </c:pt>
                <c:pt idx="88">
                  <c:v>118.73700000000001</c:v>
                </c:pt>
                <c:pt idx="89">
                  <c:v>118.56949999999999</c:v>
                </c:pt>
                <c:pt idx="90">
                  <c:v>118.449</c:v>
                </c:pt>
                <c:pt idx="91">
                  <c:v>118.3605</c:v>
                </c:pt>
                <c:pt idx="92">
                  <c:v>118.3095</c:v>
                </c:pt>
                <c:pt idx="93">
                  <c:v>118.30700000000002</c:v>
                </c:pt>
                <c:pt idx="94">
                  <c:v>118.27450000000002</c:v>
                </c:pt>
                <c:pt idx="95">
                  <c:v>118.2625</c:v>
                </c:pt>
                <c:pt idx="96">
                  <c:v>118.16800000000001</c:v>
                </c:pt>
                <c:pt idx="97">
                  <c:v>118.00900000000001</c:v>
                </c:pt>
                <c:pt idx="98">
                  <c:v>117.73050000000001</c:v>
                </c:pt>
                <c:pt idx="99">
                  <c:v>117.33950000000004</c:v>
                </c:pt>
                <c:pt idx="100">
                  <c:v>117.11250000000003</c:v>
                </c:pt>
                <c:pt idx="101">
                  <c:v>116.87350000000001</c:v>
                </c:pt>
                <c:pt idx="102">
                  <c:v>116.64150000000002</c:v>
                </c:pt>
                <c:pt idx="103">
                  <c:v>116.5395</c:v>
                </c:pt>
                <c:pt idx="104">
                  <c:v>116.59049999999999</c:v>
                </c:pt>
                <c:pt idx="105">
                  <c:v>116.51299999999999</c:v>
                </c:pt>
                <c:pt idx="106">
                  <c:v>116.309</c:v>
                </c:pt>
                <c:pt idx="107">
                  <c:v>116.15649999999998</c:v>
                </c:pt>
                <c:pt idx="108">
                  <c:v>116.04749999999997</c:v>
                </c:pt>
                <c:pt idx="109">
                  <c:v>115.76299999999999</c:v>
                </c:pt>
                <c:pt idx="110">
                  <c:v>115.51900000000001</c:v>
                </c:pt>
                <c:pt idx="111">
                  <c:v>115.23200000000001</c:v>
                </c:pt>
                <c:pt idx="112">
                  <c:v>114.89500000000001</c:v>
                </c:pt>
                <c:pt idx="113">
                  <c:v>114.46799999999999</c:v>
                </c:pt>
                <c:pt idx="114">
                  <c:v>114.03000000000002</c:v>
                </c:pt>
                <c:pt idx="115">
                  <c:v>113.46600000000004</c:v>
                </c:pt>
                <c:pt idx="116">
                  <c:v>113.00150000000001</c:v>
                </c:pt>
                <c:pt idx="117">
                  <c:v>112.696</c:v>
                </c:pt>
                <c:pt idx="118">
                  <c:v>112.46</c:v>
                </c:pt>
                <c:pt idx="119">
                  <c:v>112.48699999999999</c:v>
                </c:pt>
                <c:pt idx="120">
                  <c:v>112.53450000000001</c:v>
                </c:pt>
                <c:pt idx="121">
                  <c:v>112.51199999999999</c:v>
                </c:pt>
                <c:pt idx="122">
                  <c:v>112.57549999999999</c:v>
                </c:pt>
                <c:pt idx="123">
                  <c:v>112.63199999999999</c:v>
                </c:pt>
                <c:pt idx="124">
                  <c:v>112.51700000000001</c:v>
                </c:pt>
                <c:pt idx="125">
                  <c:v>112.5035</c:v>
                </c:pt>
                <c:pt idx="126">
                  <c:v>112.60800000000002</c:v>
                </c:pt>
                <c:pt idx="127">
                  <c:v>112.62050000000002</c:v>
                </c:pt>
                <c:pt idx="128">
                  <c:v>112.53100000000002</c:v>
                </c:pt>
                <c:pt idx="129">
                  <c:v>112.44050000000001</c:v>
                </c:pt>
                <c:pt idx="130">
                  <c:v>112.38250000000001</c:v>
                </c:pt>
                <c:pt idx="131">
                  <c:v>112.4365</c:v>
                </c:pt>
                <c:pt idx="132">
                  <c:v>112.55350000000001</c:v>
                </c:pt>
                <c:pt idx="133">
                  <c:v>112.81200000000001</c:v>
                </c:pt>
                <c:pt idx="134">
                  <c:v>113.1585</c:v>
                </c:pt>
                <c:pt idx="135">
                  <c:v>113.62250000000002</c:v>
                </c:pt>
                <c:pt idx="136">
                  <c:v>114.09350000000002</c:v>
                </c:pt>
                <c:pt idx="137">
                  <c:v>114.31000000000003</c:v>
                </c:pt>
                <c:pt idx="138">
                  <c:v>114.53550000000003</c:v>
                </c:pt>
                <c:pt idx="139">
                  <c:v>114.5035</c:v>
                </c:pt>
                <c:pt idx="140">
                  <c:v>114.5355</c:v>
                </c:pt>
                <c:pt idx="141">
                  <c:v>114.6865</c:v>
                </c:pt>
                <c:pt idx="142">
                  <c:v>114.80799999999999</c:v>
                </c:pt>
                <c:pt idx="143">
                  <c:v>114.857</c:v>
                </c:pt>
                <c:pt idx="144">
                  <c:v>115.01750000000001</c:v>
                </c:pt>
                <c:pt idx="145">
                  <c:v>115.23800000000001</c:v>
                </c:pt>
                <c:pt idx="146">
                  <c:v>115.3475</c:v>
                </c:pt>
                <c:pt idx="147">
                  <c:v>115.523</c:v>
                </c:pt>
                <c:pt idx="148">
                  <c:v>115.65249999999999</c:v>
                </c:pt>
                <c:pt idx="149">
                  <c:v>115.81349999999998</c:v>
                </c:pt>
                <c:pt idx="150">
                  <c:v>116.00149999999999</c:v>
                </c:pt>
                <c:pt idx="151">
                  <c:v>116.23349999999998</c:v>
                </c:pt>
                <c:pt idx="152">
                  <c:v>116.51249999999997</c:v>
                </c:pt>
                <c:pt idx="153">
                  <c:v>116.702</c:v>
                </c:pt>
                <c:pt idx="154">
                  <c:v>116.79300000000003</c:v>
                </c:pt>
                <c:pt idx="155">
                  <c:v>116.85850000000002</c:v>
                </c:pt>
                <c:pt idx="156">
                  <c:v>116.85499999999999</c:v>
                </c:pt>
                <c:pt idx="157">
                  <c:v>116.96</c:v>
                </c:pt>
                <c:pt idx="158">
                  <c:v>117.123</c:v>
                </c:pt>
                <c:pt idx="159">
                  <c:v>117.1815</c:v>
                </c:pt>
                <c:pt idx="160">
                  <c:v>117.12350000000001</c:v>
                </c:pt>
                <c:pt idx="161">
                  <c:v>116.9885</c:v>
                </c:pt>
                <c:pt idx="162">
                  <c:v>116.93800000000002</c:v>
                </c:pt>
                <c:pt idx="163">
                  <c:v>117.0735</c:v>
                </c:pt>
                <c:pt idx="164">
                  <c:v>117.04899999999998</c:v>
                </c:pt>
                <c:pt idx="165">
                  <c:v>116.9455</c:v>
                </c:pt>
                <c:pt idx="166">
                  <c:v>117.00449999999998</c:v>
                </c:pt>
                <c:pt idx="167">
                  <c:v>117.0575</c:v>
                </c:pt>
                <c:pt idx="168">
                  <c:v>117.0925</c:v>
                </c:pt>
                <c:pt idx="169">
                  <c:v>117.08749999999998</c:v>
                </c:pt>
                <c:pt idx="170">
                  <c:v>116.96199999999999</c:v>
                </c:pt>
                <c:pt idx="171">
                  <c:v>116.69950000000001</c:v>
                </c:pt>
                <c:pt idx="172">
                  <c:v>116.50750000000001</c:v>
                </c:pt>
                <c:pt idx="173">
                  <c:v>116.09850000000003</c:v>
                </c:pt>
                <c:pt idx="174">
                  <c:v>115.69150000000002</c:v>
                </c:pt>
                <c:pt idx="175">
                  <c:v>115.30550000000001</c:v>
                </c:pt>
                <c:pt idx="176">
                  <c:v>114.9265</c:v>
                </c:pt>
                <c:pt idx="177">
                  <c:v>114.65350000000001</c:v>
                </c:pt>
                <c:pt idx="178">
                  <c:v>114.43599999999999</c:v>
                </c:pt>
                <c:pt idx="179">
                  <c:v>114.43599999999999</c:v>
                </c:pt>
                <c:pt idx="180">
                  <c:v>114.54350000000002</c:v>
                </c:pt>
                <c:pt idx="181">
                  <c:v>114.57050000000001</c:v>
                </c:pt>
                <c:pt idx="182">
                  <c:v>114.62249999999999</c:v>
                </c:pt>
                <c:pt idx="183">
                  <c:v>114.53450000000002</c:v>
                </c:pt>
                <c:pt idx="184">
                  <c:v>114.38900000000001</c:v>
                </c:pt>
                <c:pt idx="185">
                  <c:v>114.20300000000002</c:v>
                </c:pt>
                <c:pt idx="186">
                  <c:v>114.08750000000002</c:v>
                </c:pt>
                <c:pt idx="187">
                  <c:v>114.05149999999999</c:v>
                </c:pt>
                <c:pt idx="188">
                  <c:v>114.27449999999996</c:v>
                </c:pt>
                <c:pt idx="189">
                  <c:v>114.64749999999997</c:v>
                </c:pt>
                <c:pt idx="190">
                  <c:v>115.11799999999998</c:v>
                </c:pt>
                <c:pt idx="191">
                  <c:v>115.72749999999999</c:v>
                </c:pt>
                <c:pt idx="192">
                  <c:v>116.24549999999999</c:v>
                </c:pt>
                <c:pt idx="193">
                  <c:v>116.80649999999999</c:v>
                </c:pt>
                <c:pt idx="194">
                  <c:v>117.425</c:v>
                </c:pt>
                <c:pt idx="195">
                  <c:v>118.0205</c:v>
                </c:pt>
                <c:pt idx="196">
                  <c:v>118.64349999999999</c:v>
                </c:pt>
                <c:pt idx="197">
                  <c:v>119.21199999999999</c:v>
                </c:pt>
                <c:pt idx="198">
                  <c:v>119.5205</c:v>
                </c:pt>
                <c:pt idx="199">
                  <c:v>119.82449999999999</c:v>
                </c:pt>
                <c:pt idx="200">
                  <c:v>120.04199999999999</c:v>
                </c:pt>
                <c:pt idx="201">
                  <c:v>120.279</c:v>
                </c:pt>
                <c:pt idx="202">
                  <c:v>120.41499999999999</c:v>
                </c:pt>
                <c:pt idx="203">
                  <c:v>120.5975</c:v>
                </c:pt>
                <c:pt idx="204">
                  <c:v>120.87249999999999</c:v>
                </c:pt>
                <c:pt idx="205">
                  <c:v>121.21199999999999</c:v>
                </c:pt>
                <c:pt idx="206">
                  <c:v>121.39549999999997</c:v>
                </c:pt>
                <c:pt idx="207">
                  <c:v>121.47949999999999</c:v>
                </c:pt>
                <c:pt idx="208">
                  <c:v>121.34700000000001</c:v>
                </c:pt>
                <c:pt idx="209">
                  <c:v>121.10550000000001</c:v>
                </c:pt>
                <c:pt idx="210">
                  <c:v>120.81550000000001</c:v>
                </c:pt>
                <c:pt idx="211">
                  <c:v>120.32150000000001</c:v>
                </c:pt>
                <c:pt idx="212">
                  <c:v>119.98350000000001</c:v>
                </c:pt>
                <c:pt idx="213">
                  <c:v>119.82950000000001</c:v>
                </c:pt>
                <c:pt idx="214">
                  <c:v>119.77500000000001</c:v>
                </c:pt>
                <c:pt idx="215">
                  <c:v>119.67550000000001</c:v>
                </c:pt>
                <c:pt idx="216">
                  <c:v>119.55050000000001</c:v>
                </c:pt>
                <c:pt idx="217">
                  <c:v>119.37</c:v>
                </c:pt>
                <c:pt idx="218">
                  <c:v>119.36999999999998</c:v>
                </c:pt>
                <c:pt idx="219">
                  <c:v>119.41049999999998</c:v>
                </c:pt>
                <c:pt idx="220">
                  <c:v>119.42099999999998</c:v>
                </c:pt>
                <c:pt idx="221">
                  <c:v>119.386</c:v>
                </c:pt>
                <c:pt idx="222">
                  <c:v>119.39749999999999</c:v>
                </c:pt>
                <c:pt idx="223">
                  <c:v>119.29400000000001</c:v>
                </c:pt>
                <c:pt idx="224">
                  <c:v>119.29650000000001</c:v>
                </c:pt>
                <c:pt idx="225">
                  <c:v>119.4135</c:v>
                </c:pt>
                <c:pt idx="226">
                  <c:v>119.52849999999998</c:v>
                </c:pt>
                <c:pt idx="227">
                  <c:v>119.58199999999997</c:v>
                </c:pt>
                <c:pt idx="228">
                  <c:v>119.61649999999997</c:v>
                </c:pt>
                <c:pt idx="229">
                  <c:v>119.66499999999996</c:v>
                </c:pt>
                <c:pt idx="230">
                  <c:v>119.72399999999998</c:v>
                </c:pt>
                <c:pt idx="231">
                  <c:v>119.86899999999999</c:v>
                </c:pt>
                <c:pt idx="232">
                  <c:v>119.822</c:v>
                </c:pt>
                <c:pt idx="233">
                  <c:v>119.58800000000004</c:v>
                </c:pt>
                <c:pt idx="234">
                  <c:v>119.27700000000002</c:v>
                </c:pt>
                <c:pt idx="235">
                  <c:v>118.89800000000002</c:v>
                </c:pt>
                <c:pt idx="236">
                  <c:v>118.48750000000003</c:v>
                </c:pt>
                <c:pt idx="237">
                  <c:v>118.09750000000001</c:v>
                </c:pt>
                <c:pt idx="238">
                  <c:v>117.676</c:v>
                </c:pt>
                <c:pt idx="239">
                  <c:v>117.19350000000001</c:v>
                </c:pt>
                <c:pt idx="240">
                  <c:v>116.70750000000002</c:v>
                </c:pt>
                <c:pt idx="241">
                  <c:v>116.16549999999999</c:v>
                </c:pt>
                <c:pt idx="242">
                  <c:v>115.55050000000001</c:v>
                </c:pt>
                <c:pt idx="243">
                  <c:v>114.94000000000001</c:v>
                </c:pt>
                <c:pt idx="244">
                  <c:v>114.19950000000003</c:v>
                </c:pt>
                <c:pt idx="245">
                  <c:v>113.39650000000002</c:v>
                </c:pt>
                <c:pt idx="246">
                  <c:v>112.622</c:v>
                </c:pt>
                <c:pt idx="247">
                  <c:v>111.94350000000001</c:v>
                </c:pt>
                <c:pt idx="248">
                  <c:v>111.36949999999997</c:v>
                </c:pt>
                <c:pt idx="249">
                  <c:v>110.8105</c:v>
                </c:pt>
                <c:pt idx="250">
                  <c:v>110.20050000000001</c:v>
                </c:pt>
                <c:pt idx="251">
                  <c:v>109.68650000000002</c:v>
                </c:pt>
                <c:pt idx="252">
                  <c:v>109.16849999999999</c:v>
                </c:pt>
                <c:pt idx="253">
                  <c:v>108.84750000000001</c:v>
                </c:pt>
                <c:pt idx="254">
                  <c:v>108.49549999999999</c:v>
                </c:pt>
                <c:pt idx="255">
                  <c:v>108.25449999999998</c:v>
                </c:pt>
                <c:pt idx="256">
                  <c:v>107.95599999999997</c:v>
                </c:pt>
                <c:pt idx="257">
                  <c:v>107.64949999999999</c:v>
                </c:pt>
                <c:pt idx="258">
                  <c:v>107.51799999999999</c:v>
                </c:pt>
                <c:pt idx="259">
                  <c:v>107.41299999999998</c:v>
                </c:pt>
                <c:pt idx="260">
                  <c:v>107.44649999999999</c:v>
                </c:pt>
                <c:pt idx="261">
                  <c:v>107.58899999999998</c:v>
                </c:pt>
                <c:pt idx="262">
                  <c:v>107.80449999999999</c:v>
                </c:pt>
                <c:pt idx="263">
                  <c:v>108.05699999999999</c:v>
                </c:pt>
                <c:pt idx="264">
                  <c:v>108.258</c:v>
                </c:pt>
                <c:pt idx="265">
                  <c:v>108.47200000000001</c:v>
                </c:pt>
                <c:pt idx="266">
                  <c:v>108.58999999999999</c:v>
                </c:pt>
                <c:pt idx="267">
                  <c:v>108.77850000000001</c:v>
                </c:pt>
                <c:pt idx="268">
                  <c:v>108.85599999999999</c:v>
                </c:pt>
                <c:pt idx="269">
                  <c:v>108.96550000000002</c:v>
                </c:pt>
                <c:pt idx="270">
                  <c:v>109.15600000000002</c:v>
                </c:pt>
                <c:pt idx="271">
                  <c:v>109.119</c:v>
                </c:pt>
                <c:pt idx="272">
                  <c:v>109.10800000000002</c:v>
                </c:pt>
                <c:pt idx="273">
                  <c:v>109.21300000000001</c:v>
                </c:pt>
                <c:pt idx="274">
                  <c:v>109.32000000000001</c:v>
                </c:pt>
                <c:pt idx="275">
                  <c:v>109.304</c:v>
                </c:pt>
                <c:pt idx="276">
                  <c:v>109.40199999999997</c:v>
                </c:pt>
                <c:pt idx="277">
                  <c:v>109.62349999999999</c:v>
                </c:pt>
                <c:pt idx="278">
                  <c:v>109.74249999999999</c:v>
                </c:pt>
                <c:pt idx="279">
                  <c:v>109.62399999999998</c:v>
                </c:pt>
                <c:pt idx="280">
                  <c:v>109.45500000000001</c:v>
                </c:pt>
                <c:pt idx="281">
                  <c:v>109.30099999999997</c:v>
                </c:pt>
                <c:pt idx="282">
                  <c:v>109.19199999999998</c:v>
                </c:pt>
                <c:pt idx="283">
                  <c:v>109.13350000000003</c:v>
                </c:pt>
                <c:pt idx="284">
                  <c:v>109.25700000000002</c:v>
                </c:pt>
                <c:pt idx="285">
                  <c:v>109.28400000000003</c:v>
                </c:pt>
                <c:pt idx="286">
                  <c:v>109.4145</c:v>
                </c:pt>
                <c:pt idx="287">
                  <c:v>109.39250000000001</c:v>
                </c:pt>
                <c:pt idx="288">
                  <c:v>109.4635</c:v>
                </c:pt>
                <c:pt idx="289">
                  <c:v>109.53749999999999</c:v>
                </c:pt>
                <c:pt idx="290">
                  <c:v>109.62550000000002</c:v>
                </c:pt>
                <c:pt idx="291">
                  <c:v>109.67200000000003</c:v>
                </c:pt>
                <c:pt idx="292">
                  <c:v>109.69450000000002</c:v>
                </c:pt>
                <c:pt idx="293">
                  <c:v>109.46850000000002</c:v>
                </c:pt>
                <c:pt idx="294">
                  <c:v>109.35549999999998</c:v>
                </c:pt>
                <c:pt idx="295">
                  <c:v>109.38499999999999</c:v>
                </c:pt>
                <c:pt idx="296">
                  <c:v>109.5305</c:v>
                </c:pt>
                <c:pt idx="297">
                  <c:v>109.44000000000001</c:v>
                </c:pt>
                <c:pt idx="298">
                  <c:v>109.31300000000002</c:v>
                </c:pt>
                <c:pt idx="299">
                  <c:v>109.37900000000002</c:v>
                </c:pt>
                <c:pt idx="300">
                  <c:v>109.56750000000002</c:v>
                </c:pt>
                <c:pt idx="301">
                  <c:v>109.84350000000003</c:v>
                </c:pt>
                <c:pt idx="302">
                  <c:v>110.01850000000002</c:v>
                </c:pt>
                <c:pt idx="303">
                  <c:v>110.274</c:v>
                </c:pt>
                <c:pt idx="304">
                  <c:v>110.46900000000001</c:v>
                </c:pt>
                <c:pt idx="305">
                  <c:v>110.70950000000002</c:v>
                </c:pt>
                <c:pt idx="306">
                  <c:v>110.93600000000006</c:v>
                </c:pt>
                <c:pt idx="307">
                  <c:v>111.27900000000002</c:v>
                </c:pt>
                <c:pt idx="308">
                  <c:v>111.71950000000001</c:v>
                </c:pt>
                <c:pt idx="309">
                  <c:v>112.10650000000001</c:v>
                </c:pt>
                <c:pt idx="310">
                  <c:v>112.4265</c:v>
                </c:pt>
                <c:pt idx="311">
                  <c:v>112.98499999999999</c:v>
                </c:pt>
                <c:pt idx="312">
                  <c:v>113.55999999999999</c:v>
                </c:pt>
                <c:pt idx="313">
                  <c:v>114.22150000000002</c:v>
                </c:pt>
                <c:pt idx="314">
                  <c:v>114.46199999999999</c:v>
                </c:pt>
                <c:pt idx="315">
                  <c:v>114.22799999999999</c:v>
                </c:pt>
                <c:pt idx="316">
                  <c:v>113.78500000000001</c:v>
                </c:pt>
                <c:pt idx="317">
                  <c:v>113.36550000000003</c:v>
                </c:pt>
                <c:pt idx="318">
                  <c:v>113.199</c:v>
                </c:pt>
                <c:pt idx="319">
                  <c:v>112.76200000000001</c:v>
                </c:pt>
                <c:pt idx="320">
                  <c:v>112.324</c:v>
                </c:pt>
                <c:pt idx="321">
                  <c:v>111.80550000000001</c:v>
                </c:pt>
                <c:pt idx="322">
                  <c:v>111.27850000000001</c:v>
                </c:pt>
                <c:pt idx="323">
                  <c:v>110.71750000000002</c:v>
                </c:pt>
                <c:pt idx="324">
                  <c:v>110.26850000000002</c:v>
                </c:pt>
                <c:pt idx="325">
                  <c:v>109.761</c:v>
                </c:pt>
                <c:pt idx="326">
                  <c:v>109.38600000000001</c:v>
                </c:pt>
                <c:pt idx="327">
                  <c:v>108.925</c:v>
                </c:pt>
                <c:pt idx="328">
                  <c:v>108.44300000000001</c:v>
                </c:pt>
                <c:pt idx="329">
                  <c:v>107.97700000000002</c:v>
                </c:pt>
                <c:pt idx="330">
                  <c:v>107.52200000000001</c:v>
                </c:pt>
                <c:pt idx="331">
                  <c:v>106.9935</c:v>
                </c:pt>
                <c:pt idx="332">
                  <c:v>106.32299999999998</c:v>
                </c:pt>
                <c:pt idx="333">
                  <c:v>105.67849999999999</c:v>
                </c:pt>
                <c:pt idx="334">
                  <c:v>105.36749999999998</c:v>
                </c:pt>
                <c:pt idx="335">
                  <c:v>105.31399999999999</c:v>
                </c:pt>
                <c:pt idx="336">
                  <c:v>105.40249999999996</c:v>
                </c:pt>
                <c:pt idx="337">
                  <c:v>105.59449999999997</c:v>
                </c:pt>
                <c:pt idx="338">
                  <c:v>105.60799999999999</c:v>
                </c:pt>
                <c:pt idx="339">
                  <c:v>105.977</c:v>
                </c:pt>
                <c:pt idx="340">
                  <c:v>106.27799999999998</c:v>
                </c:pt>
                <c:pt idx="341">
                  <c:v>106.58149999999998</c:v>
                </c:pt>
                <c:pt idx="342">
                  <c:v>106.85050000000001</c:v>
                </c:pt>
                <c:pt idx="343">
                  <c:v>107.07000000000001</c:v>
                </c:pt>
                <c:pt idx="344">
                  <c:v>107.13349999999998</c:v>
                </c:pt>
                <c:pt idx="345">
                  <c:v>107.1895</c:v>
                </c:pt>
                <c:pt idx="346">
                  <c:v>107.02199999999998</c:v>
                </c:pt>
                <c:pt idx="347">
                  <c:v>106.8365</c:v>
                </c:pt>
                <c:pt idx="348">
                  <c:v>106.55350000000001</c:v>
                </c:pt>
                <c:pt idx="349">
                  <c:v>106.27650000000001</c:v>
                </c:pt>
                <c:pt idx="350">
                  <c:v>106.02100000000003</c:v>
                </c:pt>
                <c:pt idx="351">
                  <c:v>105.7085</c:v>
                </c:pt>
                <c:pt idx="352">
                  <c:v>105.56149999999998</c:v>
                </c:pt>
                <c:pt idx="353">
                  <c:v>105.38750000000002</c:v>
                </c:pt>
                <c:pt idx="354">
                  <c:v>105.2295</c:v>
                </c:pt>
                <c:pt idx="355">
                  <c:v>105.25600000000001</c:v>
                </c:pt>
                <c:pt idx="356">
                  <c:v>105.13550000000001</c:v>
                </c:pt>
                <c:pt idx="357">
                  <c:v>104.9965</c:v>
                </c:pt>
                <c:pt idx="358">
                  <c:v>104.90649999999998</c:v>
                </c:pt>
                <c:pt idx="359">
                  <c:v>104.78949999999998</c:v>
                </c:pt>
                <c:pt idx="360">
                  <c:v>104.69249999999997</c:v>
                </c:pt>
                <c:pt idx="361">
                  <c:v>104.68499999999999</c:v>
                </c:pt>
                <c:pt idx="362">
                  <c:v>104.74749999999999</c:v>
                </c:pt>
                <c:pt idx="363">
                  <c:v>104.92449999999999</c:v>
                </c:pt>
                <c:pt idx="364">
                  <c:v>105.13899999999998</c:v>
                </c:pt>
                <c:pt idx="365">
                  <c:v>105.5155</c:v>
                </c:pt>
                <c:pt idx="366">
                  <c:v>105.92749999999998</c:v>
                </c:pt>
                <c:pt idx="367">
                  <c:v>106.47949999999999</c:v>
                </c:pt>
                <c:pt idx="368">
                  <c:v>106.91800000000001</c:v>
                </c:pt>
                <c:pt idx="369">
                  <c:v>107.18350000000001</c:v>
                </c:pt>
                <c:pt idx="370">
                  <c:v>107.426</c:v>
                </c:pt>
                <c:pt idx="371">
                  <c:v>107.82000000000001</c:v>
                </c:pt>
                <c:pt idx="372">
                  <c:v>108.15450000000001</c:v>
                </c:pt>
                <c:pt idx="373">
                  <c:v>108.4295</c:v>
                </c:pt>
                <c:pt idx="374">
                  <c:v>108.73899999999999</c:v>
                </c:pt>
                <c:pt idx="375">
                  <c:v>109.10150000000002</c:v>
                </c:pt>
                <c:pt idx="376">
                  <c:v>109.59649999999999</c:v>
                </c:pt>
                <c:pt idx="377">
                  <c:v>110.0605</c:v>
                </c:pt>
                <c:pt idx="378">
                  <c:v>110.5565</c:v>
                </c:pt>
                <c:pt idx="379">
                  <c:v>110.99799999999998</c:v>
                </c:pt>
                <c:pt idx="380">
                  <c:v>111.3835</c:v>
                </c:pt>
                <c:pt idx="381">
                  <c:v>111.68949999999998</c:v>
                </c:pt>
                <c:pt idx="382">
                  <c:v>111.899</c:v>
                </c:pt>
                <c:pt idx="383">
                  <c:v>111.9385</c:v>
                </c:pt>
                <c:pt idx="384">
                  <c:v>111.926</c:v>
                </c:pt>
                <c:pt idx="385">
                  <c:v>111.809</c:v>
                </c:pt>
                <c:pt idx="386">
                  <c:v>111.53800000000001</c:v>
                </c:pt>
                <c:pt idx="387">
                  <c:v>111.20550000000003</c:v>
                </c:pt>
                <c:pt idx="388">
                  <c:v>111.04550000000002</c:v>
                </c:pt>
                <c:pt idx="389">
                  <c:v>111.125</c:v>
                </c:pt>
                <c:pt idx="390">
                  <c:v>111.24600000000001</c:v>
                </c:pt>
                <c:pt idx="391">
                  <c:v>111.26650000000002</c:v>
                </c:pt>
                <c:pt idx="392">
                  <c:v>111.36950000000002</c:v>
                </c:pt>
                <c:pt idx="393">
                  <c:v>111.62350000000001</c:v>
                </c:pt>
                <c:pt idx="394">
                  <c:v>111.7565</c:v>
                </c:pt>
                <c:pt idx="395">
                  <c:v>111.78600000000002</c:v>
                </c:pt>
                <c:pt idx="396">
                  <c:v>111.65799999999999</c:v>
                </c:pt>
                <c:pt idx="397">
                  <c:v>111.471</c:v>
                </c:pt>
                <c:pt idx="398">
                  <c:v>111.12350000000001</c:v>
                </c:pt>
                <c:pt idx="399">
                  <c:v>110.75900000000001</c:v>
                </c:pt>
                <c:pt idx="400">
                  <c:v>110.30999999999999</c:v>
                </c:pt>
                <c:pt idx="401">
                  <c:v>109.8785</c:v>
                </c:pt>
                <c:pt idx="402">
                  <c:v>109.474</c:v>
                </c:pt>
                <c:pt idx="403">
                  <c:v>109.13500000000002</c:v>
                </c:pt>
                <c:pt idx="404">
                  <c:v>108.90350000000001</c:v>
                </c:pt>
                <c:pt idx="405">
                  <c:v>108.68950000000002</c:v>
                </c:pt>
                <c:pt idx="406">
                  <c:v>108.62549999999999</c:v>
                </c:pt>
                <c:pt idx="407">
                  <c:v>108.559</c:v>
                </c:pt>
                <c:pt idx="408">
                  <c:v>108.503</c:v>
                </c:pt>
                <c:pt idx="409">
                  <c:v>108.43300000000002</c:v>
                </c:pt>
                <c:pt idx="410">
                  <c:v>108.35500000000002</c:v>
                </c:pt>
                <c:pt idx="411">
                  <c:v>108.399</c:v>
                </c:pt>
                <c:pt idx="412">
                  <c:v>108.41399999999999</c:v>
                </c:pt>
                <c:pt idx="413">
                  <c:v>108.34449999999997</c:v>
                </c:pt>
                <c:pt idx="414">
                  <c:v>108.38700000000001</c:v>
                </c:pt>
                <c:pt idx="415">
                  <c:v>108.47250000000001</c:v>
                </c:pt>
                <c:pt idx="416">
                  <c:v>108.705</c:v>
                </c:pt>
                <c:pt idx="417">
                  <c:v>109.071</c:v>
                </c:pt>
                <c:pt idx="418">
                  <c:v>109.30449999999999</c:v>
                </c:pt>
                <c:pt idx="419">
                  <c:v>109.599</c:v>
                </c:pt>
                <c:pt idx="420">
                  <c:v>109.76299999999999</c:v>
                </c:pt>
                <c:pt idx="421">
                  <c:v>109.91549999999999</c:v>
                </c:pt>
                <c:pt idx="422">
                  <c:v>110.15650000000001</c:v>
                </c:pt>
                <c:pt idx="423">
                  <c:v>110.47499999999999</c:v>
                </c:pt>
                <c:pt idx="424">
                  <c:v>110.70200000000003</c:v>
                </c:pt>
                <c:pt idx="425">
                  <c:v>110.941</c:v>
                </c:pt>
                <c:pt idx="426">
                  <c:v>111.23400000000001</c:v>
                </c:pt>
                <c:pt idx="427">
                  <c:v>111.63200000000002</c:v>
                </c:pt>
                <c:pt idx="428">
                  <c:v>112.02550000000001</c:v>
                </c:pt>
                <c:pt idx="429">
                  <c:v>112.29549999999999</c:v>
                </c:pt>
                <c:pt idx="430">
                  <c:v>112.47499999999999</c:v>
                </c:pt>
                <c:pt idx="431">
                  <c:v>112.51200000000001</c:v>
                </c:pt>
                <c:pt idx="432">
                  <c:v>112.62250000000002</c:v>
                </c:pt>
                <c:pt idx="433">
                  <c:v>112.776</c:v>
                </c:pt>
                <c:pt idx="434">
                  <c:v>112.91800000000001</c:v>
                </c:pt>
                <c:pt idx="435">
                  <c:v>113.11149999999998</c:v>
                </c:pt>
                <c:pt idx="436">
                  <c:v>113.10799999999998</c:v>
                </c:pt>
                <c:pt idx="437">
                  <c:v>113.011</c:v>
                </c:pt>
                <c:pt idx="438">
                  <c:v>113.01499999999999</c:v>
                </c:pt>
                <c:pt idx="439">
                  <c:v>112.95949999999998</c:v>
                </c:pt>
                <c:pt idx="440">
                  <c:v>113.16100000000002</c:v>
                </c:pt>
                <c:pt idx="441">
                  <c:v>113.37849999999999</c:v>
                </c:pt>
                <c:pt idx="442">
                  <c:v>113.559</c:v>
                </c:pt>
                <c:pt idx="443">
                  <c:v>113.63499999999999</c:v>
                </c:pt>
                <c:pt idx="444">
                  <c:v>113.67349999999999</c:v>
                </c:pt>
                <c:pt idx="445">
                  <c:v>113.602</c:v>
                </c:pt>
                <c:pt idx="446">
                  <c:v>113.59649999999999</c:v>
                </c:pt>
                <c:pt idx="447">
                  <c:v>113.477</c:v>
                </c:pt>
                <c:pt idx="448">
                  <c:v>113.29300000000001</c:v>
                </c:pt>
                <c:pt idx="449">
                  <c:v>113.12849999999999</c:v>
                </c:pt>
                <c:pt idx="450">
                  <c:v>113.09949999999999</c:v>
                </c:pt>
                <c:pt idx="451">
                  <c:v>113.1335</c:v>
                </c:pt>
                <c:pt idx="452">
                  <c:v>113.07149999999999</c:v>
                </c:pt>
                <c:pt idx="453">
                  <c:v>113.07899999999999</c:v>
                </c:pt>
                <c:pt idx="454">
                  <c:v>113.09850000000002</c:v>
                </c:pt>
                <c:pt idx="455">
                  <c:v>113.00699999999999</c:v>
                </c:pt>
                <c:pt idx="456">
                  <c:v>113.093</c:v>
                </c:pt>
                <c:pt idx="457">
                  <c:v>113.20700000000002</c:v>
                </c:pt>
                <c:pt idx="458">
                  <c:v>113.43000000000002</c:v>
                </c:pt>
                <c:pt idx="459">
                  <c:v>113.60000000000002</c:v>
                </c:pt>
                <c:pt idx="460">
                  <c:v>113.65500000000002</c:v>
                </c:pt>
                <c:pt idx="461">
                  <c:v>113.63300000000001</c:v>
                </c:pt>
                <c:pt idx="462">
                  <c:v>113.62700000000002</c:v>
                </c:pt>
                <c:pt idx="463">
                  <c:v>113.60999999999999</c:v>
                </c:pt>
                <c:pt idx="464">
                  <c:v>113.68950000000002</c:v>
                </c:pt>
                <c:pt idx="465">
                  <c:v>114.01400000000001</c:v>
                </c:pt>
                <c:pt idx="466">
                  <c:v>114.31299999999999</c:v>
                </c:pt>
                <c:pt idx="467">
                  <c:v>114.6875</c:v>
                </c:pt>
                <c:pt idx="468">
                  <c:v>115.01300000000001</c:v>
                </c:pt>
                <c:pt idx="469">
                  <c:v>115.42049999999999</c:v>
                </c:pt>
                <c:pt idx="470">
                  <c:v>115.773</c:v>
                </c:pt>
                <c:pt idx="471">
                  <c:v>116.02200000000001</c:v>
                </c:pt>
                <c:pt idx="472">
                  <c:v>116.33800000000001</c:v>
                </c:pt>
                <c:pt idx="473">
                  <c:v>116.47</c:v>
                </c:pt>
                <c:pt idx="474">
                  <c:v>116.52200000000001</c:v>
                </c:pt>
                <c:pt idx="475">
                  <c:v>116.60649999999998</c:v>
                </c:pt>
                <c:pt idx="476">
                  <c:v>116.60799999999999</c:v>
                </c:pt>
                <c:pt idx="477">
                  <c:v>116.58199999999999</c:v>
                </c:pt>
                <c:pt idx="478">
                  <c:v>116.498</c:v>
                </c:pt>
                <c:pt idx="479">
                  <c:v>116.5595</c:v>
                </c:pt>
                <c:pt idx="480">
                  <c:v>116.673</c:v>
                </c:pt>
                <c:pt idx="481">
                  <c:v>116.75399999999999</c:v>
                </c:pt>
                <c:pt idx="482">
                  <c:v>116.93700000000001</c:v>
                </c:pt>
                <c:pt idx="483">
                  <c:v>117.10999999999999</c:v>
                </c:pt>
                <c:pt idx="484">
                  <c:v>117.21199999999999</c:v>
                </c:pt>
                <c:pt idx="485">
                  <c:v>117.15000000000002</c:v>
                </c:pt>
                <c:pt idx="486">
                  <c:v>117.15150000000001</c:v>
                </c:pt>
                <c:pt idx="487">
                  <c:v>117.13950000000003</c:v>
                </c:pt>
                <c:pt idx="488">
                  <c:v>117.2105</c:v>
                </c:pt>
                <c:pt idx="489">
                  <c:v>117.21200000000002</c:v>
                </c:pt>
                <c:pt idx="490">
                  <c:v>117.13550000000002</c:v>
                </c:pt>
                <c:pt idx="491">
                  <c:v>116.9855</c:v>
                </c:pt>
                <c:pt idx="492">
                  <c:v>116.90449999999998</c:v>
                </c:pt>
                <c:pt idx="493">
                  <c:v>116.86399999999999</c:v>
                </c:pt>
                <c:pt idx="494">
                  <c:v>116.8475</c:v>
                </c:pt>
                <c:pt idx="495">
                  <c:v>116.901</c:v>
                </c:pt>
                <c:pt idx="496">
                  <c:v>117.0735</c:v>
                </c:pt>
                <c:pt idx="497">
                  <c:v>117.309</c:v>
                </c:pt>
                <c:pt idx="498">
                  <c:v>117.526</c:v>
                </c:pt>
                <c:pt idx="499">
                  <c:v>117.75650000000003</c:v>
                </c:pt>
                <c:pt idx="500">
                  <c:v>117.97450000000001</c:v>
                </c:pt>
                <c:pt idx="501">
                  <c:v>118.22250000000001</c:v>
                </c:pt>
                <c:pt idx="502">
                  <c:v>118.465</c:v>
                </c:pt>
                <c:pt idx="503">
                  <c:v>118.87600000000002</c:v>
                </c:pt>
                <c:pt idx="504">
                  <c:v>119.10150000000003</c:v>
                </c:pt>
                <c:pt idx="505">
                  <c:v>119.227</c:v>
                </c:pt>
                <c:pt idx="506">
                  <c:v>119.45999999999997</c:v>
                </c:pt>
                <c:pt idx="507">
                  <c:v>119.71349999999998</c:v>
                </c:pt>
                <c:pt idx="508">
                  <c:v>119.93799999999999</c:v>
                </c:pt>
                <c:pt idx="509">
                  <c:v>120.324</c:v>
                </c:pt>
                <c:pt idx="510">
                  <c:v>120.94599999999998</c:v>
                </c:pt>
                <c:pt idx="511">
                  <c:v>121.66849999999999</c:v>
                </c:pt>
                <c:pt idx="512">
                  <c:v>122.29249999999999</c:v>
                </c:pt>
                <c:pt idx="513">
                  <c:v>122.9885</c:v>
                </c:pt>
                <c:pt idx="514">
                  <c:v>123.83450000000001</c:v>
                </c:pt>
                <c:pt idx="515">
                  <c:v>124.60899999999999</c:v>
                </c:pt>
                <c:pt idx="516">
                  <c:v>125.38649999999998</c:v>
                </c:pt>
                <c:pt idx="517">
                  <c:v>126.16749999999999</c:v>
                </c:pt>
                <c:pt idx="518">
                  <c:v>127.05349999999999</c:v>
                </c:pt>
                <c:pt idx="519">
                  <c:v>127.90599999999999</c:v>
                </c:pt>
                <c:pt idx="520">
                  <c:v>128.88199999999998</c:v>
                </c:pt>
                <c:pt idx="521">
                  <c:v>129.93499999999997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B-4536-BB01-2BC035A9E0F4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Data!$AB$2:$AB$523</c:f>
              <c:numCache>
                <c:formatCode>General</c:formatCode>
                <c:ptCount val="522"/>
                <c:pt idx="99">
                  <c:v>110.11239999999999</c:v>
                </c:pt>
                <c:pt idx="100">
                  <c:v>110.223</c:v>
                </c:pt>
                <c:pt idx="101">
                  <c:v>110.33940000000003</c:v>
                </c:pt>
                <c:pt idx="102">
                  <c:v>110.4525</c:v>
                </c:pt>
                <c:pt idx="103">
                  <c:v>110.56610000000001</c:v>
                </c:pt>
                <c:pt idx="104">
                  <c:v>110.7295</c:v>
                </c:pt>
                <c:pt idx="105">
                  <c:v>110.87730000000003</c:v>
                </c:pt>
                <c:pt idx="106">
                  <c:v>111.01710000000003</c:v>
                </c:pt>
                <c:pt idx="107">
                  <c:v>111.16160000000004</c:v>
                </c:pt>
                <c:pt idx="108">
                  <c:v>111.30180000000001</c:v>
                </c:pt>
                <c:pt idx="109">
                  <c:v>111.45240000000004</c:v>
                </c:pt>
                <c:pt idx="110">
                  <c:v>111.61340000000001</c:v>
                </c:pt>
                <c:pt idx="111">
                  <c:v>111.76710000000003</c:v>
                </c:pt>
                <c:pt idx="112">
                  <c:v>111.90690000000002</c:v>
                </c:pt>
                <c:pt idx="113">
                  <c:v>112.03910000000002</c:v>
                </c:pt>
                <c:pt idx="114">
                  <c:v>112.15110000000004</c:v>
                </c:pt>
                <c:pt idx="115">
                  <c:v>112.23870000000005</c:v>
                </c:pt>
                <c:pt idx="116">
                  <c:v>112.31120000000003</c:v>
                </c:pt>
                <c:pt idx="117">
                  <c:v>112.39860000000004</c:v>
                </c:pt>
                <c:pt idx="118">
                  <c:v>112.47490000000002</c:v>
                </c:pt>
                <c:pt idx="119">
                  <c:v>112.56690000000002</c:v>
                </c:pt>
                <c:pt idx="120">
                  <c:v>112.68250000000003</c:v>
                </c:pt>
                <c:pt idx="121">
                  <c:v>112.80270000000002</c:v>
                </c:pt>
                <c:pt idx="122">
                  <c:v>112.932</c:v>
                </c:pt>
                <c:pt idx="123">
                  <c:v>113.06770000000002</c:v>
                </c:pt>
                <c:pt idx="124">
                  <c:v>113.19480000000001</c:v>
                </c:pt>
                <c:pt idx="125">
                  <c:v>113.31440000000002</c:v>
                </c:pt>
                <c:pt idx="126">
                  <c:v>113.42230000000001</c:v>
                </c:pt>
                <c:pt idx="127">
                  <c:v>113.53830000000004</c:v>
                </c:pt>
                <c:pt idx="128">
                  <c:v>113.62840000000004</c:v>
                </c:pt>
                <c:pt idx="129">
                  <c:v>113.72440000000002</c:v>
                </c:pt>
                <c:pt idx="130">
                  <c:v>113.83520000000003</c:v>
                </c:pt>
                <c:pt idx="131">
                  <c:v>113.93040000000005</c:v>
                </c:pt>
                <c:pt idx="132">
                  <c:v>114.02580000000003</c:v>
                </c:pt>
                <c:pt idx="133">
                  <c:v>114.15040000000003</c:v>
                </c:pt>
                <c:pt idx="134">
                  <c:v>114.26230000000004</c:v>
                </c:pt>
                <c:pt idx="135">
                  <c:v>114.39110000000002</c:v>
                </c:pt>
                <c:pt idx="136">
                  <c:v>114.54070000000002</c:v>
                </c:pt>
                <c:pt idx="137">
                  <c:v>114.65890000000002</c:v>
                </c:pt>
                <c:pt idx="138">
                  <c:v>114.77130000000002</c:v>
                </c:pt>
                <c:pt idx="139">
                  <c:v>114.86220000000002</c:v>
                </c:pt>
                <c:pt idx="140">
                  <c:v>114.96710000000002</c:v>
                </c:pt>
                <c:pt idx="141">
                  <c:v>115.08300000000001</c:v>
                </c:pt>
                <c:pt idx="142">
                  <c:v>115.21270000000003</c:v>
                </c:pt>
                <c:pt idx="143">
                  <c:v>115.31730000000002</c:v>
                </c:pt>
                <c:pt idx="144">
                  <c:v>115.43130000000001</c:v>
                </c:pt>
                <c:pt idx="145">
                  <c:v>115.54350000000001</c:v>
                </c:pt>
                <c:pt idx="146">
                  <c:v>115.62920000000003</c:v>
                </c:pt>
                <c:pt idx="147">
                  <c:v>115.70780000000001</c:v>
                </c:pt>
                <c:pt idx="148">
                  <c:v>115.77230000000002</c:v>
                </c:pt>
                <c:pt idx="149">
                  <c:v>115.81860000000002</c:v>
                </c:pt>
                <c:pt idx="150">
                  <c:v>115.86070000000001</c:v>
                </c:pt>
                <c:pt idx="151">
                  <c:v>115.92690000000002</c:v>
                </c:pt>
                <c:pt idx="152">
                  <c:v>115.99240000000002</c:v>
                </c:pt>
                <c:pt idx="153">
                  <c:v>116.05150000000002</c:v>
                </c:pt>
                <c:pt idx="154">
                  <c:v>116.10020000000003</c:v>
                </c:pt>
                <c:pt idx="155">
                  <c:v>116.15480000000004</c:v>
                </c:pt>
                <c:pt idx="156">
                  <c:v>116.20720000000003</c:v>
                </c:pt>
                <c:pt idx="157">
                  <c:v>116.24240000000002</c:v>
                </c:pt>
                <c:pt idx="158">
                  <c:v>116.28980000000003</c:v>
                </c:pt>
                <c:pt idx="159">
                  <c:v>116.28590000000003</c:v>
                </c:pt>
                <c:pt idx="160">
                  <c:v>116.262</c:v>
                </c:pt>
                <c:pt idx="161">
                  <c:v>116.2394</c:v>
                </c:pt>
                <c:pt idx="162">
                  <c:v>116.20980000000002</c:v>
                </c:pt>
                <c:pt idx="163">
                  <c:v>116.20489999999999</c:v>
                </c:pt>
                <c:pt idx="164">
                  <c:v>116.18450000000001</c:v>
                </c:pt>
                <c:pt idx="165">
                  <c:v>116.13600000000002</c:v>
                </c:pt>
                <c:pt idx="166">
                  <c:v>116.11180000000002</c:v>
                </c:pt>
                <c:pt idx="167">
                  <c:v>116.07940000000002</c:v>
                </c:pt>
                <c:pt idx="168">
                  <c:v>116.01210000000003</c:v>
                </c:pt>
                <c:pt idx="169">
                  <c:v>115.93480000000001</c:v>
                </c:pt>
                <c:pt idx="170">
                  <c:v>115.86280000000002</c:v>
                </c:pt>
                <c:pt idx="171">
                  <c:v>115.79240000000001</c:v>
                </c:pt>
                <c:pt idx="172">
                  <c:v>115.75560000000002</c:v>
                </c:pt>
                <c:pt idx="173">
                  <c:v>115.67750000000002</c:v>
                </c:pt>
                <c:pt idx="174">
                  <c:v>115.5895</c:v>
                </c:pt>
                <c:pt idx="175">
                  <c:v>115.50299999999999</c:v>
                </c:pt>
                <c:pt idx="176">
                  <c:v>115.40889999999999</c:v>
                </c:pt>
                <c:pt idx="177">
                  <c:v>115.3257</c:v>
                </c:pt>
                <c:pt idx="178">
                  <c:v>115.25699999999999</c:v>
                </c:pt>
                <c:pt idx="179">
                  <c:v>115.18950000000001</c:v>
                </c:pt>
                <c:pt idx="180">
                  <c:v>115.1699</c:v>
                </c:pt>
                <c:pt idx="181">
                  <c:v>115.12620000000001</c:v>
                </c:pt>
                <c:pt idx="182">
                  <c:v>115.11710000000001</c:v>
                </c:pt>
                <c:pt idx="183">
                  <c:v>115.12729999999999</c:v>
                </c:pt>
                <c:pt idx="184">
                  <c:v>115.1126</c:v>
                </c:pt>
                <c:pt idx="185">
                  <c:v>115.08059999999998</c:v>
                </c:pt>
                <c:pt idx="186">
                  <c:v>115.07129999999998</c:v>
                </c:pt>
                <c:pt idx="187">
                  <c:v>115.08179999999997</c:v>
                </c:pt>
                <c:pt idx="188">
                  <c:v>115.11959999999995</c:v>
                </c:pt>
                <c:pt idx="189">
                  <c:v>115.15039999999998</c:v>
                </c:pt>
                <c:pt idx="190">
                  <c:v>115.19659999999998</c:v>
                </c:pt>
                <c:pt idx="191">
                  <c:v>115.26579999999998</c:v>
                </c:pt>
                <c:pt idx="192">
                  <c:v>115.34279999999998</c:v>
                </c:pt>
                <c:pt idx="193">
                  <c:v>115.37739999999999</c:v>
                </c:pt>
                <c:pt idx="194">
                  <c:v>115.4196</c:v>
                </c:pt>
                <c:pt idx="195">
                  <c:v>115.45460000000001</c:v>
                </c:pt>
                <c:pt idx="196">
                  <c:v>115.50399999999999</c:v>
                </c:pt>
                <c:pt idx="197">
                  <c:v>115.56630000000001</c:v>
                </c:pt>
                <c:pt idx="198">
                  <c:v>115.61499999999999</c:v>
                </c:pt>
                <c:pt idx="199">
                  <c:v>115.68650000000001</c:v>
                </c:pt>
                <c:pt idx="200">
                  <c:v>115.75580000000002</c:v>
                </c:pt>
                <c:pt idx="201">
                  <c:v>115.80730000000003</c:v>
                </c:pt>
                <c:pt idx="202">
                  <c:v>115.87180000000002</c:v>
                </c:pt>
                <c:pt idx="203">
                  <c:v>115.93890000000005</c:v>
                </c:pt>
                <c:pt idx="204">
                  <c:v>115.96900000000005</c:v>
                </c:pt>
                <c:pt idx="205">
                  <c:v>116.02040000000005</c:v>
                </c:pt>
                <c:pt idx="206">
                  <c:v>116.08860000000004</c:v>
                </c:pt>
                <c:pt idx="207">
                  <c:v>116.14640000000004</c:v>
                </c:pt>
                <c:pt idx="208">
                  <c:v>116.17950000000005</c:v>
                </c:pt>
                <c:pt idx="209">
                  <c:v>116.21890000000005</c:v>
                </c:pt>
                <c:pt idx="210">
                  <c:v>116.25590000000005</c:v>
                </c:pt>
                <c:pt idx="211">
                  <c:v>116.28370000000007</c:v>
                </c:pt>
                <c:pt idx="212">
                  <c:v>116.36050000000006</c:v>
                </c:pt>
                <c:pt idx="213">
                  <c:v>116.44970000000006</c:v>
                </c:pt>
                <c:pt idx="214">
                  <c:v>116.56860000000007</c:v>
                </c:pt>
                <c:pt idx="215">
                  <c:v>116.69650000000007</c:v>
                </c:pt>
                <c:pt idx="216">
                  <c:v>116.81380000000007</c:v>
                </c:pt>
                <c:pt idx="217">
                  <c:v>116.90110000000006</c:v>
                </c:pt>
                <c:pt idx="218">
                  <c:v>116.99700000000006</c:v>
                </c:pt>
                <c:pt idx="219">
                  <c:v>117.07120000000006</c:v>
                </c:pt>
                <c:pt idx="220">
                  <c:v>117.13310000000007</c:v>
                </c:pt>
                <c:pt idx="221">
                  <c:v>117.18210000000005</c:v>
                </c:pt>
                <c:pt idx="222">
                  <c:v>117.23620000000004</c:v>
                </c:pt>
                <c:pt idx="223">
                  <c:v>117.27130000000002</c:v>
                </c:pt>
                <c:pt idx="224">
                  <c:v>117.32490000000003</c:v>
                </c:pt>
                <c:pt idx="225">
                  <c:v>117.40240000000003</c:v>
                </c:pt>
                <c:pt idx="226">
                  <c:v>117.47270000000005</c:v>
                </c:pt>
                <c:pt idx="227">
                  <c:v>117.53870000000002</c:v>
                </c:pt>
                <c:pt idx="228">
                  <c:v>117.59660000000002</c:v>
                </c:pt>
                <c:pt idx="229">
                  <c:v>117.66380000000001</c:v>
                </c:pt>
                <c:pt idx="230">
                  <c:v>117.7242</c:v>
                </c:pt>
                <c:pt idx="231">
                  <c:v>117.7702</c:v>
                </c:pt>
                <c:pt idx="232">
                  <c:v>117.81420000000001</c:v>
                </c:pt>
                <c:pt idx="233">
                  <c:v>117.80490000000002</c:v>
                </c:pt>
                <c:pt idx="234">
                  <c:v>117.79230000000001</c:v>
                </c:pt>
                <c:pt idx="235">
                  <c:v>117.75160000000001</c:v>
                </c:pt>
                <c:pt idx="236">
                  <c:v>117.6926</c:v>
                </c:pt>
                <c:pt idx="237">
                  <c:v>117.65860000000001</c:v>
                </c:pt>
                <c:pt idx="238">
                  <c:v>117.6251</c:v>
                </c:pt>
                <c:pt idx="239">
                  <c:v>117.60919999999999</c:v>
                </c:pt>
                <c:pt idx="240">
                  <c:v>117.56749999999998</c:v>
                </c:pt>
                <c:pt idx="241">
                  <c:v>117.47789999999998</c:v>
                </c:pt>
                <c:pt idx="242">
                  <c:v>117.38469999999995</c:v>
                </c:pt>
                <c:pt idx="243">
                  <c:v>117.28789999999995</c:v>
                </c:pt>
                <c:pt idx="244">
                  <c:v>117.16129999999995</c:v>
                </c:pt>
                <c:pt idx="245">
                  <c:v>117.03409999999998</c:v>
                </c:pt>
                <c:pt idx="246">
                  <c:v>116.92759999999997</c:v>
                </c:pt>
                <c:pt idx="247">
                  <c:v>116.82279999999996</c:v>
                </c:pt>
                <c:pt idx="248">
                  <c:v>116.73999999999997</c:v>
                </c:pt>
                <c:pt idx="249">
                  <c:v>116.66319999999996</c:v>
                </c:pt>
                <c:pt idx="250">
                  <c:v>116.56399999999998</c:v>
                </c:pt>
                <c:pt idx="251">
                  <c:v>116.46079999999998</c:v>
                </c:pt>
                <c:pt idx="252">
                  <c:v>116.34539999999997</c:v>
                </c:pt>
                <c:pt idx="253">
                  <c:v>116.23399999999999</c:v>
                </c:pt>
                <c:pt idx="254">
                  <c:v>116.1328</c:v>
                </c:pt>
                <c:pt idx="255">
                  <c:v>116.03079999999999</c:v>
                </c:pt>
                <c:pt idx="256">
                  <c:v>115.91279999999999</c:v>
                </c:pt>
                <c:pt idx="257">
                  <c:v>115.79649999999999</c:v>
                </c:pt>
                <c:pt idx="258">
                  <c:v>115.70410000000001</c:v>
                </c:pt>
                <c:pt idx="259">
                  <c:v>115.65550000000002</c:v>
                </c:pt>
                <c:pt idx="260">
                  <c:v>115.63210000000002</c:v>
                </c:pt>
                <c:pt idx="261">
                  <c:v>115.59800000000003</c:v>
                </c:pt>
                <c:pt idx="262">
                  <c:v>115.55800000000001</c:v>
                </c:pt>
                <c:pt idx="263">
                  <c:v>115.48460000000001</c:v>
                </c:pt>
                <c:pt idx="264">
                  <c:v>115.40309999999999</c:v>
                </c:pt>
                <c:pt idx="265">
                  <c:v>115.33939999999998</c:v>
                </c:pt>
                <c:pt idx="266">
                  <c:v>115.24469999999999</c:v>
                </c:pt>
                <c:pt idx="267">
                  <c:v>115.16699999999997</c:v>
                </c:pt>
                <c:pt idx="268">
                  <c:v>115.09269999999998</c:v>
                </c:pt>
                <c:pt idx="269">
                  <c:v>115.03879999999999</c:v>
                </c:pt>
                <c:pt idx="270">
                  <c:v>115.00279999999997</c:v>
                </c:pt>
                <c:pt idx="271">
                  <c:v>114.9447</c:v>
                </c:pt>
                <c:pt idx="272">
                  <c:v>114.8655</c:v>
                </c:pt>
                <c:pt idx="273">
                  <c:v>114.85689999999998</c:v>
                </c:pt>
                <c:pt idx="274">
                  <c:v>114.85849999999999</c:v>
                </c:pt>
                <c:pt idx="275">
                  <c:v>114.83049999999999</c:v>
                </c:pt>
                <c:pt idx="276">
                  <c:v>114.80789999999999</c:v>
                </c:pt>
                <c:pt idx="277">
                  <c:v>114.79049999999999</c:v>
                </c:pt>
                <c:pt idx="278">
                  <c:v>114.76539999999999</c:v>
                </c:pt>
                <c:pt idx="279">
                  <c:v>114.6931</c:v>
                </c:pt>
                <c:pt idx="280">
                  <c:v>114.6144</c:v>
                </c:pt>
                <c:pt idx="281">
                  <c:v>114.5441</c:v>
                </c:pt>
                <c:pt idx="282">
                  <c:v>114.47189999999999</c:v>
                </c:pt>
                <c:pt idx="283">
                  <c:v>114.40439999999998</c:v>
                </c:pt>
                <c:pt idx="284">
                  <c:v>114.37669999999999</c:v>
                </c:pt>
                <c:pt idx="285">
                  <c:v>114.35559999999998</c:v>
                </c:pt>
                <c:pt idx="286">
                  <c:v>114.31009999999996</c:v>
                </c:pt>
                <c:pt idx="287">
                  <c:v>114.23519999999995</c:v>
                </c:pt>
                <c:pt idx="288">
                  <c:v>114.13049999999994</c:v>
                </c:pt>
                <c:pt idx="289">
                  <c:v>114.01679999999995</c:v>
                </c:pt>
                <c:pt idx="290">
                  <c:v>113.90429999999995</c:v>
                </c:pt>
                <c:pt idx="291">
                  <c:v>113.73359999999995</c:v>
                </c:pt>
                <c:pt idx="292">
                  <c:v>113.55529999999995</c:v>
                </c:pt>
                <c:pt idx="293">
                  <c:v>113.38929999999995</c:v>
                </c:pt>
                <c:pt idx="294">
                  <c:v>113.24459999999995</c:v>
                </c:pt>
                <c:pt idx="295">
                  <c:v>113.10339999999995</c:v>
                </c:pt>
                <c:pt idx="296">
                  <c:v>112.98529999999995</c:v>
                </c:pt>
                <c:pt idx="297">
                  <c:v>112.83609999999993</c:v>
                </c:pt>
                <c:pt idx="298">
                  <c:v>112.72389999999994</c:v>
                </c:pt>
                <c:pt idx="299">
                  <c:v>112.60399999999994</c:v>
                </c:pt>
                <c:pt idx="300">
                  <c:v>112.51949999999994</c:v>
                </c:pt>
                <c:pt idx="301">
                  <c:v>112.45699999999995</c:v>
                </c:pt>
                <c:pt idx="302">
                  <c:v>112.39259999999994</c:v>
                </c:pt>
                <c:pt idx="303">
                  <c:v>112.33969999999995</c:v>
                </c:pt>
                <c:pt idx="304">
                  <c:v>112.29599999999996</c:v>
                </c:pt>
                <c:pt idx="305">
                  <c:v>112.25509999999997</c:v>
                </c:pt>
                <c:pt idx="306">
                  <c:v>112.21819999999997</c:v>
                </c:pt>
                <c:pt idx="307">
                  <c:v>112.19509999999997</c:v>
                </c:pt>
                <c:pt idx="308">
                  <c:v>112.20499999999998</c:v>
                </c:pt>
                <c:pt idx="309">
                  <c:v>112.21699999999998</c:v>
                </c:pt>
                <c:pt idx="310">
                  <c:v>112.22649999999997</c:v>
                </c:pt>
                <c:pt idx="311">
                  <c:v>112.26629999999999</c:v>
                </c:pt>
                <c:pt idx="312">
                  <c:v>112.2706</c:v>
                </c:pt>
                <c:pt idx="313">
                  <c:v>112.26770000000002</c:v>
                </c:pt>
                <c:pt idx="314">
                  <c:v>112.182</c:v>
                </c:pt>
                <c:pt idx="315">
                  <c:v>112.01390000000004</c:v>
                </c:pt>
                <c:pt idx="316">
                  <c:v>111.83220000000003</c:v>
                </c:pt>
                <c:pt idx="317">
                  <c:v>111.63520000000003</c:v>
                </c:pt>
                <c:pt idx="318">
                  <c:v>111.48970000000001</c:v>
                </c:pt>
                <c:pt idx="319">
                  <c:v>111.2743</c:v>
                </c:pt>
                <c:pt idx="320">
                  <c:v>111.1001</c:v>
                </c:pt>
                <c:pt idx="321">
                  <c:v>110.94089999999998</c:v>
                </c:pt>
                <c:pt idx="322">
                  <c:v>110.7688</c:v>
                </c:pt>
                <c:pt idx="323">
                  <c:v>110.62439999999998</c:v>
                </c:pt>
                <c:pt idx="324">
                  <c:v>110.49040000000001</c:v>
                </c:pt>
                <c:pt idx="325">
                  <c:v>110.3246</c:v>
                </c:pt>
                <c:pt idx="326">
                  <c:v>110.18969999999999</c:v>
                </c:pt>
                <c:pt idx="327">
                  <c:v>110.06370000000003</c:v>
                </c:pt>
                <c:pt idx="328">
                  <c:v>109.97030000000002</c:v>
                </c:pt>
                <c:pt idx="329">
                  <c:v>109.87940000000002</c:v>
                </c:pt>
                <c:pt idx="330">
                  <c:v>109.7861</c:v>
                </c:pt>
                <c:pt idx="331">
                  <c:v>109.69120000000001</c:v>
                </c:pt>
                <c:pt idx="332">
                  <c:v>109.57080000000001</c:v>
                </c:pt>
                <c:pt idx="333">
                  <c:v>109.48580000000001</c:v>
                </c:pt>
                <c:pt idx="334">
                  <c:v>109.40010000000002</c:v>
                </c:pt>
                <c:pt idx="335">
                  <c:v>109.29710000000003</c:v>
                </c:pt>
                <c:pt idx="336">
                  <c:v>109.21520000000001</c:v>
                </c:pt>
                <c:pt idx="337">
                  <c:v>109.13460000000001</c:v>
                </c:pt>
                <c:pt idx="338">
                  <c:v>109.07610000000001</c:v>
                </c:pt>
                <c:pt idx="339">
                  <c:v>109.03099999999999</c:v>
                </c:pt>
                <c:pt idx="340">
                  <c:v>109.01419999999999</c:v>
                </c:pt>
                <c:pt idx="341">
                  <c:v>109.02409999999998</c:v>
                </c:pt>
                <c:pt idx="342">
                  <c:v>109.02879999999996</c:v>
                </c:pt>
                <c:pt idx="343">
                  <c:v>109.05039999999997</c:v>
                </c:pt>
                <c:pt idx="344">
                  <c:v>109.07719999999998</c:v>
                </c:pt>
                <c:pt idx="345">
                  <c:v>109.08319999999996</c:v>
                </c:pt>
                <c:pt idx="346">
                  <c:v>109.06969999999997</c:v>
                </c:pt>
                <c:pt idx="347">
                  <c:v>109.0423</c:v>
                </c:pt>
                <c:pt idx="348">
                  <c:v>109.00709999999998</c:v>
                </c:pt>
                <c:pt idx="349">
                  <c:v>108.97259999999999</c:v>
                </c:pt>
                <c:pt idx="350">
                  <c:v>108.95019999999998</c:v>
                </c:pt>
                <c:pt idx="351">
                  <c:v>108.8956</c:v>
                </c:pt>
                <c:pt idx="352">
                  <c:v>108.8494</c:v>
                </c:pt>
                <c:pt idx="353">
                  <c:v>108.79379999999999</c:v>
                </c:pt>
                <c:pt idx="354">
                  <c:v>108.74690000000001</c:v>
                </c:pt>
                <c:pt idx="355">
                  <c:v>108.6974</c:v>
                </c:pt>
                <c:pt idx="356">
                  <c:v>108.65109999999999</c:v>
                </c:pt>
                <c:pt idx="357">
                  <c:v>108.604</c:v>
                </c:pt>
                <c:pt idx="358">
                  <c:v>108.5538</c:v>
                </c:pt>
                <c:pt idx="359">
                  <c:v>108.5063</c:v>
                </c:pt>
                <c:pt idx="360">
                  <c:v>108.46339999999998</c:v>
                </c:pt>
                <c:pt idx="361">
                  <c:v>108.44329999999998</c:v>
                </c:pt>
                <c:pt idx="362">
                  <c:v>108.41739999999999</c:v>
                </c:pt>
                <c:pt idx="363">
                  <c:v>108.42389999999999</c:v>
                </c:pt>
                <c:pt idx="364">
                  <c:v>108.45339999999999</c:v>
                </c:pt>
                <c:pt idx="365">
                  <c:v>108.4919</c:v>
                </c:pt>
                <c:pt idx="366">
                  <c:v>108.5372</c:v>
                </c:pt>
                <c:pt idx="367">
                  <c:v>108.58250000000002</c:v>
                </c:pt>
                <c:pt idx="368">
                  <c:v>108.6195</c:v>
                </c:pt>
                <c:pt idx="369">
                  <c:v>108.61620000000001</c:v>
                </c:pt>
                <c:pt idx="370">
                  <c:v>108.60420000000002</c:v>
                </c:pt>
                <c:pt idx="371">
                  <c:v>108.63580000000002</c:v>
                </c:pt>
                <c:pt idx="372">
                  <c:v>108.65870000000001</c:v>
                </c:pt>
                <c:pt idx="373">
                  <c:v>108.63709999999999</c:v>
                </c:pt>
                <c:pt idx="374">
                  <c:v>108.63069999999998</c:v>
                </c:pt>
                <c:pt idx="375">
                  <c:v>108.65689999999996</c:v>
                </c:pt>
                <c:pt idx="376">
                  <c:v>108.68999999999997</c:v>
                </c:pt>
                <c:pt idx="377">
                  <c:v>108.69139999999997</c:v>
                </c:pt>
                <c:pt idx="378">
                  <c:v>108.71659999999999</c:v>
                </c:pt>
                <c:pt idx="379">
                  <c:v>108.78109999999998</c:v>
                </c:pt>
                <c:pt idx="380">
                  <c:v>108.84909999999999</c:v>
                </c:pt>
                <c:pt idx="381">
                  <c:v>108.92100000000001</c:v>
                </c:pt>
                <c:pt idx="382">
                  <c:v>108.9588</c:v>
                </c:pt>
                <c:pt idx="383">
                  <c:v>108.9849</c:v>
                </c:pt>
                <c:pt idx="384">
                  <c:v>108.98719999999999</c:v>
                </c:pt>
                <c:pt idx="385">
                  <c:v>108.99690000000001</c:v>
                </c:pt>
                <c:pt idx="386">
                  <c:v>108.96190000000003</c:v>
                </c:pt>
                <c:pt idx="387">
                  <c:v>108.9451</c:v>
                </c:pt>
                <c:pt idx="388">
                  <c:v>108.9359</c:v>
                </c:pt>
                <c:pt idx="389">
                  <c:v>108.9337</c:v>
                </c:pt>
                <c:pt idx="390">
                  <c:v>108.92829999999999</c:v>
                </c:pt>
                <c:pt idx="391">
                  <c:v>108.95469999999999</c:v>
                </c:pt>
                <c:pt idx="392">
                  <c:v>108.9937</c:v>
                </c:pt>
                <c:pt idx="393">
                  <c:v>109.0681</c:v>
                </c:pt>
                <c:pt idx="394">
                  <c:v>109.11089999999999</c:v>
                </c:pt>
                <c:pt idx="395">
                  <c:v>109.13709999999999</c:v>
                </c:pt>
                <c:pt idx="396">
                  <c:v>109.11549999999997</c:v>
                </c:pt>
                <c:pt idx="397">
                  <c:v>109.0976</c:v>
                </c:pt>
                <c:pt idx="398">
                  <c:v>109.07869999999998</c:v>
                </c:pt>
                <c:pt idx="399">
                  <c:v>109.05710000000001</c:v>
                </c:pt>
                <c:pt idx="400">
                  <c:v>108.99760000000002</c:v>
                </c:pt>
                <c:pt idx="401">
                  <c:v>108.92800000000001</c:v>
                </c:pt>
                <c:pt idx="402">
                  <c:v>108.84989999999999</c:v>
                </c:pt>
                <c:pt idx="403">
                  <c:v>108.75709999999999</c:v>
                </c:pt>
                <c:pt idx="404">
                  <c:v>108.6741</c:v>
                </c:pt>
                <c:pt idx="405">
                  <c:v>108.59289999999999</c:v>
                </c:pt>
                <c:pt idx="406">
                  <c:v>108.49979999999998</c:v>
                </c:pt>
                <c:pt idx="407">
                  <c:v>108.40109999999999</c:v>
                </c:pt>
                <c:pt idx="408">
                  <c:v>108.29259999999998</c:v>
                </c:pt>
                <c:pt idx="409">
                  <c:v>108.199</c:v>
                </c:pt>
                <c:pt idx="410">
                  <c:v>108.11399999999998</c:v>
                </c:pt>
                <c:pt idx="411">
                  <c:v>108.03749999999998</c:v>
                </c:pt>
                <c:pt idx="412">
                  <c:v>107.96449999999997</c:v>
                </c:pt>
                <c:pt idx="413">
                  <c:v>107.89269999999996</c:v>
                </c:pt>
                <c:pt idx="414">
                  <c:v>107.89589999999997</c:v>
                </c:pt>
                <c:pt idx="415">
                  <c:v>107.98599999999996</c:v>
                </c:pt>
                <c:pt idx="416">
                  <c:v>108.09949999999998</c:v>
                </c:pt>
                <c:pt idx="417">
                  <c:v>108.23869999999997</c:v>
                </c:pt>
                <c:pt idx="418">
                  <c:v>108.29979999999999</c:v>
                </c:pt>
                <c:pt idx="419">
                  <c:v>108.42449999999999</c:v>
                </c:pt>
                <c:pt idx="420">
                  <c:v>108.48539999999997</c:v>
                </c:pt>
                <c:pt idx="421">
                  <c:v>108.54999999999998</c:v>
                </c:pt>
                <c:pt idx="422">
                  <c:v>108.62549999999997</c:v>
                </c:pt>
                <c:pt idx="423">
                  <c:v>108.70859999999998</c:v>
                </c:pt>
                <c:pt idx="424">
                  <c:v>108.76079999999996</c:v>
                </c:pt>
                <c:pt idx="425">
                  <c:v>108.82889999999996</c:v>
                </c:pt>
                <c:pt idx="426">
                  <c:v>108.86939999999997</c:v>
                </c:pt>
                <c:pt idx="427">
                  <c:v>108.94249999999998</c:v>
                </c:pt>
                <c:pt idx="428">
                  <c:v>109.0091</c:v>
                </c:pt>
                <c:pt idx="429">
                  <c:v>109.06270000000002</c:v>
                </c:pt>
                <c:pt idx="430">
                  <c:v>109.10460000000003</c:v>
                </c:pt>
                <c:pt idx="431">
                  <c:v>109.14120000000003</c:v>
                </c:pt>
                <c:pt idx="432">
                  <c:v>109.22440000000002</c:v>
                </c:pt>
                <c:pt idx="433">
                  <c:v>109.31220000000003</c:v>
                </c:pt>
                <c:pt idx="434">
                  <c:v>109.40600000000002</c:v>
                </c:pt>
                <c:pt idx="435">
                  <c:v>109.5455</c:v>
                </c:pt>
                <c:pt idx="436">
                  <c:v>109.64059999999999</c:v>
                </c:pt>
                <c:pt idx="437">
                  <c:v>109.72199999999999</c:v>
                </c:pt>
                <c:pt idx="438">
                  <c:v>109.78119999999998</c:v>
                </c:pt>
                <c:pt idx="439">
                  <c:v>109.821</c:v>
                </c:pt>
                <c:pt idx="440">
                  <c:v>109.86200000000001</c:v>
                </c:pt>
                <c:pt idx="441">
                  <c:v>109.90940000000001</c:v>
                </c:pt>
                <c:pt idx="442">
                  <c:v>109.96720000000001</c:v>
                </c:pt>
                <c:pt idx="443">
                  <c:v>110.02159999999999</c:v>
                </c:pt>
                <c:pt idx="444">
                  <c:v>110.0688</c:v>
                </c:pt>
                <c:pt idx="445">
                  <c:v>110.11139999999999</c:v>
                </c:pt>
                <c:pt idx="446">
                  <c:v>110.18430000000001</c:v>
                </c:pt>
                <c:pt idx="447">
                  <c:v>110.27060000000002</c:v>
                </c:pt>
                <c:pt idx="448">
                  <c:v>110.35700000000001</c:v>
                </c:pt>
                <c:pt idx="449">
                  <c:v>110.43310000000001</c:v>
                </c:pt>
                <c:pt idx="450">
                  <c:v>110.52030000000002</c:v>
                </c:pt>
                <c:pt idx="451">
                  <c:v>110.62620000000001</c:v>
                </c:pt>
                <c:pt idx="452">
                  <c:v>110.72640000000001</c:v>
                </c:pt>
                <c:pt idx="453">
                  <c:v>110.8505</c:v>
                </c:pt>
                <c:pt idx="454">
                  <c:v>110.97979999999998</c:v>
                </c:pt>
                <c:pt idx="455">
                  <c:v>111.09569999999999</c:v>
                </c:pt>
                <c:pt idx="456">
                  <c:v>111.23209999999999</c:v>
                </c:pt>
                <c:pt idx="457">
                  <c:v>111.36409999999999</c:v>
                </c:pt>
                <c:pt idx="458">
                  <c:v>111.4859</c:v>
                </c:pt>
                <c:pt idx="459">
                  <c:v>111.5831</c:v>
                </c:pt>
                <c:pt idx="460">
                  <c:v>111.65450000000001</c:v>
                </c:pt>
                <c:pt idx="461">
                  <c:v>111.69900000000001</c:v>
                </c:pt>
                <c:pt idx="462">
                  <c:v>111.74310000000001</c:v>
                </c:pt>
                <c:pt idx="463">
                  <c:v>111.75870000000005</c:v>
                </c:pt>
                <c:pt idx="464">
                  <c:v>111.77890000000004</c:v>
                </c:pt>
                <c:pt idx="465">
                  <c:v>111.81110000000002</c:v>
                </c:pt>
                <c:pt idx="466">
                  <c:v>111.86140000000002</c:v>
                </c:pt>
                <c:pt idx="467">
                  <c:v>111.91220000000001</c:v>
                </c:pt>
                <c:pt idx="468">
                  <c:v>111.976</c:v>
                </c:pt>
                <c:pt idx="469">
                  <c:v>112.08050000000001</c:v>
                </c:pt>
                <c:pt idx="470">
                  <c:v>112.18970000000003</c:v>
                </c:pt>
                <c:pt idx="471">
                  <c:v>112.26660000000004</c:v>
                </c:pt>
                <c:pt idx="472">
                  <c:v>112.36310000000005</c:v>
                </c:pt>
                <c:pt idx="473">
                  <c:v>112.45860000000005</c:v>
                </c:pt>
                <c:pt idx="474">
                  <c:v>112.53640000000004</c:v>
                </c:pt>
                <c:pt idx="475">
                  <c:v>112.59670000000004</c:v>
                </c:pt>
                <c:pt idx="476">
                  <c:v>112.63440000000004</c:v>
                </c:pt>
                <c:pt idx="477">
                  <c:v>112.66840000000003</c:v>
                </c:pt>
                <c:pt idx="478">
                  <c:v>112.67420000000004</c:v>
                </c:pt>
                <c:pt idx="479">
                  <c:v>112.69540000000005</c:v>
                </c:pt>
                <c:pt idx="480">
                  <c:v>112.71240000000006</c:v>
                </c:pt>
                <c:pt idx="481">
                  <c:v>112.71190000000004</c:v>
                </c:pt>
                <c:pt idx="482">
                  <c:v>112.75070000000005</c:v>
                </c:pt>
                <c:pt idx="483">
                  <c:v>112.79300000000003</c:v>
                </c:pt>
                <c:pt idx="484">
                  <c:v>112.83610000000003</c:v>
                </c:pt>
                <c:pt idx="485">
                  <c:v>112.87930000000001</c:v>
                </c:pt>
                <c:pt idx="486">
                  <c:v>112.9841</c:v>
                </c:pt>
                <c:pt idx="487">
                  <c:v>113.09900000000002</c:v>
                </c:pt>
                <c:pt idx="488">
                  <c:v>113.20900000000002</c:v>
                </c:pt>
                <c:pt idx="489">
                  <c:v>113.29790000000001</c:v>
                </c:pt>
                <c:pt idx="490">
                  <c:v>113.36760000000002</c:v>
                </c:pt>
                <c:pt idx="491">
                  <c:v>113.41040000000002</c:v>
                </c:pt>
                <c:pt idx="492">
                  <c:v>113.47010000000002</c:v>
                </c:pt>
                <c:pt idx="493">
                  <c:v>113.50670000000004</c:v>
                </c:pt>
                <c:pt idx="494">
                  <c:v>113.55460000000005</c:v>
                </c:pt>
                <c:pt idx="495">
                  <c:v>113.61970000000002</c:v>
                </c:pt>
                <c:pt idx="496">
                  <c:v>113.71750000000002</c:v>
                </c:pt>
                <c:pt idx="497">
                  <c:v>113.836</c:v>
                </c:pt>
                <c:pt idx="498">
                  <c:v>113.95469999999999</c:v>
                </c:pt>
                <c:pt idx="499">
                  <c:v>114.0949</c:v>
                </c:pt>
                <c:pt idx="500">
                  <c:v>114.24529999999999</c:v>
                </c:pt>
                <c:pt idx="501">
                  <c:v>114.38069999999999</c:v>
                </c:pt>
                <c:pt idx="502">
                  <c:v>114.54889999999999</c:v>
                </c:pt>
                <c:pt idx="503">
                  <c:v>114.74119999999999</c:v>
                </c:pt>
                <c:pt idx="504">
                  <c:v>114.87569999999999</c:v>
                </c:pt>
                <c:pt idx="505">
                  <c:v>114.98679999999999</c:v>
                </c:pt>
                <c:pt idx="506">
                  <c:v>115.15099999999998</c:v>
                </c:pt>
                <c:pt idx="507">
                  <c:v>115.32989999999999</c:v>
                </c:pt>
                <c:pt idx="508">
                  <c:v>115.49600000000002</c:v>
                </c:pt>
                <c:pt idx="509">
                  <c:v>115.67610000000005</c:v>
                </c:pt>
                <c:pt idx="510">
                  <c:v>115.88580000000006</c:v>
                </c:pt>
                <c:pt idx="511">
                  <c:v>116.06430000000006</c:v>
                </c:pt>
                <c:pt idx="512">
                  <c:v>116.24580000000006</c:v>
                </c:pt>
                <c:pt idx="513">
                  <c:v>116.43550000000005</c:v>
                </c:pt>
                <c:pt idx="514">
                  <c:v>116.64410000000005</c:v>
                </c:pt>
                <c:pt idx="515">
                  <c:v>116.84700000000002</c:v>
                </c:pt>
                <c:pt idx="516">
                  <c:v>117.05380000000001</c:v>
                </c:pt>
                <c:pt idx="517">
                  <c:v>117.25530000000002</c:v>
                </c:pt>
                <c:pt idx="518">
                  <c:v>117.50450000000001</c:v>
                </c:pt>
                <c:pt idx="519">
                  <c:v>117.75630000000001</c:v>
                </c:pt>
                <c:pt idx="520">
                  <c:v>118.06910000000003</c:v>
                </c:pt>
                <c:pt idx="521">
                  <c:v>118.38460000000001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B-4536-BB01-2BC035A9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82000"/>
        <c:axId val="152481520"/>
      </c:lineChart>
      <c:dateAx>
        <c:axId val="152482000"/>
        <c:scaling>
          <c:orientation val="minMax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1520"/>
        <c:crosses val="autoZero"/>
        <c:auto val="1"/>
        <c:lblOffset val="100"/>
        <c:baseTimeUnit val="days"/>
      </c:dateAx>
      <c:valAx>
        <c:axId val="152481520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59.802500000000002</c:v>
                </c:pt>
                <c:pt idx="1">
                  <c:v>60.102000000000004</c:v>
                </c:pt>
                <c:pt idx="2">
                  <c:v>59.9925</c:v>
                </c:pt>
                <c:pt idx="3">
                  <c:v>59.372</c:v>
                </c:pt>
                <c:pt idx="4">
                  <c:v>60.128</c:v>
                </c:pt>
                <c:pt idx="5">
                  <c:v>59.872</c:v>
                </c:pt>
                <c:pt idx="6">
                  <c:v>59.426000000000002</c:v>
                </c:pt>
                <c:pt idx="7">
                  <c:v>61.072500000000005</c:v>
                </c:pt>
                <c:pt idx="8">
                  <c:v>60.2</c:v>
                </c:pt>
                <c:pt idx="9">
                  <c:v>59.567999999999998</c:v>
                </c:pt>
                <c:pt idx="10">
                  <c:v>60.448</c:v>
                </c:pt>
                <c:pt idx="11">
                  <c:v>60.414000000000001</c:v>
                </c:pt>
                <c:pt idx="12">
                  <c:v>60.787500000000001</c:v>
                </c:pt>
                <c:pt idx="13">
                  <c:v>59.893999999999998</c:v>
                </c:pt>
                <c:pt idx="14">
                  <c:v>59.048000000000002</c:v>
                </c:pt>
                <c:pt idx="15">
                  <c:v>58.758000000000003</c:v>
                </c:pt>
                <c:pt idx="16">
                  <c:v>61.244</c:v>
                </c:pt>
                <c:pt idx="17">
                  <c:v>61.980000000000004</c:v>
                </c:pt>
                <c:pt idx="18">
                  <c:v>62.792000000000002</c:v>
                </c:pt>
                <c:pt idx="19">
                  <c:v>63.231999999999999</c:v>
                </c:pt>
                <c:pt idx="20">
                  <c:v>62.514000000000003</c:v>
                </c:pt>
                <c:pt idx="21">
                  <c:v>62.105000000000004</c:v>
                </c:pt>
                <c:pt idx="22">
                  <c:v>63.77</c:v>
                </c:pt>
                <c:pt idx="23">
                  <c:v>63.112000000000002</c:v>
                </c:pt>
                <c:pt idx="24">
                  <c:v>62.55</c:v>
                </c:pt>
                <c:pt idx="25">
                  <c:v>63.884</c:v>
                </c:pt>
                <c:pt idx="26">
                  <c:v>63.379999999999995</c:v>
                </c:pt>
                <c:pt idx="27">
                  <c:v>63.055999999999997</c:v>
                </c:pt>
                <c:pt idx="28">
                  <c:v>64.673999999999992</c:v>
                </c:pt>
                <c:pt idx="29">
                  <c:v>65.731999999999999</c:v>
                </c:pt>
                <c:pt idx="30">
                  <c:v>67.707999999999998</c:v>
                </c:pt>
                <c:pt idx="31">
                  <c:v>68.403999999999996</c:v>
                </c:pt>
                <c:pt idx="32">
                  <c:v>68.608000000000004</c:v>
                </c:pt>
                <c:pt idx="33">
                  <c:v>69.41</c:v>
                </c:pt>
                <c:pt idx="34">
                  <c:v>71.721999999999994</c:v>
                </c:pt>
                <c:pt idx="35">
                  <c:v>71.97</c:v>
                </c:pt>
                <c:pt idx="36">
                  <c:v>71.423999999999992</c:v>
                </c:pt>
                <c:pt idx="37">
                  <c:v>71.581999999999994</c:v>
                </c:pt>
                <c:pt idx="38">
                  <c:v>71.540000000000006</c:v>
                </c:pt>
                <c:pt idx="39">
                  <c:v>71.054000000000002</c:v>
                </c:pt>
                <c:pt idx="40">
                  <c:v>69.316000000000003</c:v>
                </c:pt>
                <c:pt idx="41">
                  <c:v>70.317999999999998</c:v>
                </c:pt>
                <c:pt idx="42">
                  <c:v>68.225999999999999</c:v>
                </c:pt>
                <c:pt idx="43">
                  <c:v>65.694000000000003</c:v>
                </c:pt>
                <c:pt idx="44">
                  <c:v>64.352000000000004</c:v>
                </c:pt>
                <c:pt idx="45">
                  <c:v>62.77</c:v>
                </c:pt>
                <c:pt idx="46">
                  <c:v>63.024000000000001</c:v>
                </c:pt>
                <c:pt idx="47">
                  <c:v>64.36</c:v>
                </c:pt>
                <c:pt idx="48">
                  <c:v>62.966000000000001</c:v>
                </c:pt>
                <c:pt idx="49">
                  <c:v>63.021999999999998</c:v>
                </c:pt>
                <c:pt idx="50">
                  <c:v>62.76</c:v>
                </c:pt>
                <c:pt idx="51">
                  <c:v>62.56</c:v>
                </c:pt>
                <c:pt idx="52">
                  <c:v>61.97</c:v>
                </c:pt>
                <c:pt idx="53">
                  <c:v>61.107500000000002</c:v>
                </c:pt>
                <c:pt idx="54">
                  <c:v>62.084000000000003</c:v>
                </c:pt>
                <c:pt idx="55">
                  <c:v>61.912500000000001</c:v>
                </c:pt>
                <c:pt idx="56">
                  <c:v>63.317999999999998</c:v>
                </c:pt>
                <c:pt idx="57">
                  <c:v>63.268000000000001</c:v>
                </c:pt>
                <c:pt idx="58">
                  <c:v>67.846000000000004</c:v>
                </c:pt>
                <c:pt idx="59">
                  <c:v>70.127499999999998</c:v>
                </c:pt>
                <c:pt idx="60">
                  <c:v>70.992000000000004</c:v>
                </c:pt>
                <c:pt idx="61">
                  <c:v>70.896000000000001</c:v>
                </c:pt>
                <c:pt idx="62">
                  <c:v>70.242000000000004</c:v>
                </c:pt>
                <c:pt idx="63">
                  <c:v>69.432000000000002</c:v>
                </c:pt>
                <c:pt idx="64">
                  <c:v>69.778000000000006</c:v>
                </c:pt>
                <c:pt idx="65">
                  <c:v>71.585999999999999</c:v>
                </c:pt>
                <c:pt idx="66">
                  <c:v>69.786000000000001</c:v>
                </c:pt>
                <c:pt idx="67">
                  <c:v>72.247500000000002</c:v>
                </c:pt>
                <c:pt idx="68">
                  <c:v>72.88</c:v>
                </c:pt>
                <c:pt idx="69">
                  <c:v>71.926000000000002</c:v>
                </c:pt>
                <c:pt idx="70">
                  <c:v>71.501999999999995</c:v>
                </c:pt>
                <c:pt idx="71">
                  <c:v>70.251999999999995</c:v>
                </c:pt>
                <c:pt idx="72">
                  <c:v>71.676000000000002</c:v>
                </c:pt>
                <c:pt idx="73">
                  <c:v>71.63</c:v>
                </c:pt>
                <c:pt idx="74">
                  <c:v>71.358000000000004</c:v>
                </c:pt>
                <c:pt idx="75">
                  <c:v>71.89</c:v>
                </c:pt>
                <c:pt idx="76">
                  <c:v>69.547499999999999</c:v>
                </c:pt>
                <c:pt idx="77">
                  <c:v>69.875999999999991</c:v>
                </c:pt>
                <c:pt idx="78">
                  <c:v>71.17</c:v>
                </c:pt>
                <c:pt idx="79">
                  <c:v>70.073999999999998</c:v>
                </c:pt>
                <c:pt idx="80">
                  <c:v>69.707999999999998</c:v>
                </c:pt>
                <c:pt idx="81">
                  <c:v>69.432000000000002</c:v>
                </c:pt>
                <c:pt idx="82">
                  <c:v>68.593999999999994</c:v>
                </c:pt>
                <c:pt idx="83">
                  <c:v>69.658000000000001</c:v>
                </c:pt>
                <c:pt idx="84">
                  <c:v>70.277999999999992</c:v>
                </c:pt>
                <c:pt idx="85">
                  <c:v>70.149999999999991</c:v>
                </c:pt>
                <c:pt idx="86">
                  <c:v>68.768000000000001</c:v>
                </c:pt>
                <c:pt idx="87">
                  <c:v>68.564999999999998</c:v>
                </c:pt>
                <c:pt idx="88">
                  <c:v>67.548000000000002</c:v>
                </c:pt>
                <c:pt idx="89">
                  <c:v>66.475999999999999</c:v>
                </c:pt>
                <c:pt idx="90">
                  <c:v>66.203999999999994</c:v>
                </c:pt>
                <c:pt idx="91">
                  <c:v>66.378</c:v>
                </c:pt>
                <c:pt idx="92">
                  <c:v>66.484000000000009</c:v>
                </c:pt>
                <c:pt idx="93">
                  <c:v>67.483999999999995</c:v>
                </c:pt>
                <c:pt idx="94">
                  <c:v>70.024000000000001</c:v>
                </c:pt>
                <c:pt idx="95">
                  <c:v>69.290000000000006</c:v>
                </c:pt>
                <c:pt idx="96">
                  <c:v>68.95</c:v>
                </c:pt>
                <c:pt idx="97">
                  <c:v>71.173999999999992</c:v>
                </c:pt>
                <c:pt idx="98">
                  <c:v>71.433999999999997</c:v>
                </c:pt>
                <c:pt idx="99">
                  <c:v>72.8</c:v>
                </c:pt>
                <c:pt idx="100">
                  <c:v>70.775999999999996</c:v>
                </c:pt>
                <c:pt idx="101">
                  <c:v>70.036000000000001</c:v>
                </c:pt>
                <c:pt idx="102">
                  <c:v>70.486000000000004</c:v>
                </c:pt>
                <c:pt idx="103">
                  <c:v>70.015000000000001</c:v>
                </c:pt>
                <c:pt idx="104">
                  <c:v>69.814999999999998</c:v>
                </c:pt>
                <c:pt idx="105">
                  <c:v>68.64</c:v>
                </c:pt>
                <c:pt idx="106">
                  <c:v>70.819999999999993</c:v>
                </c:pt>
                <c:pt idx="107">
                  <c:v>72.127499999999998</c:v>
                </c:pt>
                <c:pt idx="108">
                  <c:v>73.481999999999999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9-4F6F-AA46-20CD0C9DBEAE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4">
                  <c:v>70.737918403452525</c:v>
                </c:pt>
                <c:pt idx="105">
                  <c:v>69.299355964734005</c:v>
                </c:pt>
                <c:pt idx="106">
                  <c:v>72.076313519028986</c:v>
                </c:pt>
                <c:pt idx="107">
                  <c:v>71.65889819274922</c:v>
                </c:pt>
                <c:pt idx="108">
                  <c:v>72.635076111396046</c:v>
                </c:pt>
                <c:pt idx="109">
                  <c:v>73.613568120931461</c:v>
                </c:pt>
                <c:pt idx="110">
                  <c:v>75.098180315539182</c:v>
                </c:pt>
                <c:pt idx="111">
                  <c:v>75.187586451774465</c:v>
                </c:pt>
                <c:pt idx="112">
                  <c:v>74.755804460548831</c:v>
                </c:pt>
                <c:pt idx="113">
                  <c:v>75.06750631438328</c:v>
                </c:pt>
                <c:pt idx="114">
                  <c:v>73.524886399141721</c:v>
                </c:pt>
                <c:pt idx="115">
                  <c:v>73.191957992407978</c:v>
                </c:pt>
                <c:pt idx="116">
                  <c:v>71.480367122011685</c:v>
                </c:pt>
                <c:pt idx="117">
                  <c:v>70.051402173618115</c:v>
                </c:pt>
                <c:pt idx="118">
                  <c:v>69.206166402454855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9-4F6F-AA46-20CD0C9DBEAE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Weekly!$D$2:$D$120</c:f>
              <c:numCache>
                <c:formatCode>General</c:formatCode>
                <c:ptCount val="119"/>
                <c:pt idx="104">
                  <c:v>70.695881840304907</c:v>
                </c:pt>
                <c:pt idx="105">
                  <c:v>72.508321074466096</c:v>
                </c:pt>
                <c:pt idx="106">
                  <c:v>74.087365609396599</c:v>
                </c:pt>
                <c:pt idx="107">
                  <c:v>74.643224090964793</c:v>
                </c:pt>
                <c:pt idx="108">
                  <c:v>75.022906835339697</c:v>
                </c:pt>
                <c:pt idx="109">
                  <c:v>75.576218632070706</c:v>
                </c:pt>
                <c:pt idx="110">
                  <c:v>78.070565904075707</c:v>
                </c:pt>
                <c:pt idx="111">
                  <c:v>78.473228837170396</c:v>
                </c:pt>
                <c:pt idx="112">
                  <c:v>78.071196843372903</c:v>
                </c:pt>
                <c:pt idx="113">
                  <c:v>78.277799844608495</c:v>
                </c:pt>
                <c:pt idx="114">
                  <c:v>77.712671926886003</c:v>
                </c:pt>
                <c:pt idx="115">
                  <c:v>73.553883080994893</c:v>
                </c:pt>
                <c:pt idx="116">
                  <c:v>71.735683967074195</c:v>
                </c:pt>
                <c:pt idx="117">
                  <c:v>70.701065994135107</c:v>
                </c:pt>
                <c:pt idx="118">
                  <c:v>70.592478216210296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09-4F6F-AA46-20CD0C9DB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097488"/>
        <c:axId val="1208090288"/>
      </c:lineChart>
      <c:dateAx>
        <c:axId val="1208097488"/>
        <c:scaling>
          <c:orientation val="minMax"/>
          <c:min val="45658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90288"/>
        <c:crosses val="autoZero"/>
        <c:auto val="1"/>
        <c:lblOffset val="100"/>
        <c:baseTimeUnit val="days"/>
      </c:dateAx>
      <c:valAx>
        <c:axId val="120809028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9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Dividends: 2000</a:t>
            </a:r>
            <a:r>
              <a:rPr lang="en-US" baseline="0"/>
              <a:t> - 2025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</c:formatCode>
                <c:ptCount val="105"/>
                <c:pt idx="0">
                  <c:v>36565</c:v>
                </c:pt>
                <c:pt idx="1">
                  <c:v>36657</c:v>
                </c:pt>
                <c:pt idx="2">
                  <c:v>36748</c:v>
                </c:pt>
                <c:pt idx="3">
                  <c:v>36839</c:v>
                </c:pt>
                <c:pt idx="4">
                  <c:v>36929</c:v>
                </c:pt>
                <c:pt idx="5">
                  <c:v>37021</c:v>
                </c:pt>
                <c:pt idx="6">
                  <c:v>37060</c:v>
                </c:pt>
                <c:pt idx="7">
                  <c:v>37112</c:v>
                </c:pt>
                <c:pt idx="8">
                  <c:v>37202</c:v>
                </c:pt>
                <c:pt idx="9">
                  <c:v>37294</c:v>
                </c:pt>
                <c:pt idx="10">
                  <c:v>37385</c:v>
                </c:pt>
                <c:pt idx="11">
                  <c:v>37477</c:v>
                </c:pt>
                <c:pt idx="12">
                  <c:v>37567</c:v>
                </c:pt>
                <c:pt idx="13">
                  <c:v>37658</c:v>
                </c:pt>
                <c:pt idx="14">
                  <c:v>37750</c:v>
                </c:pt>
                <c:pt idx="15">
                  <c:v>37844</c:v>
                </c:pt>
                <c:pt idx="16">
                  <c:v>37932</c:v>
                </c:pt>
                <c:pt idx="17">
                  <c:v>38026</c:v>
                </c:pt>
                <c:pt idx="18">
                  <c:v>38118</c:v>
                </c:pt>
                <c:pt idx="19">
                  <c:v>38210</c:v>
                </c:pt>
                <c:pt idx="20">
                  <c:v>38300</c:v>
                </c:pt>
                <c:pt idx="21">
                  <c:v>38391</c:v>
                </c:pt>
                <c:pt idx="22">
                  <c:v>38483</c:v>
                </c:pt>
                <c:pt idx="23">
                  <c:v>38574</c:v>
                </c:pt>
                <c:pt idx="24">
                  <c:v>38664</c:v>
                </c:pt>
                <c:pt idx="25">
                  <c:v>38756</c:v>
                </c:pt>
                <c:pt idx="26">
                  <c:v>38847</c:v>
                </c:pt>
                <c:pt idx="27">
                  <c:v>38939</c:v>
                </c:pt>
                <c:pt idx="28">
                  <c:v>39030</c:v>
                </c:pt>
                <c:pt idx="29">
                  <c:v>39120</c:v>
                </c:pt>
                <c:pt idx="30">
                  <c:v>39212</c:v>
                </c:pt>
                <c:pt idx="31">
                  <c:v>39303</c:v>
                </c:pt>
                <c:pt idx="32">
                  <c:v>39393</c:v>
                </c:pt>
                <c:pt idx="33">
                  <c:v>39485</c:v>
                </c:pt>
                <c:pt idx="34">
                  <c:v>39577</c:v>
                </c:pt>
                <c:pt idx="35">
                  <c:v>39671</c:v>
                </c:pt>
                <c:pt idx="36">
                  <c:v>39759</c:v>
                </c:pt>
                <c:pt idx="37">
                  <c:v>39850</c:v>
                </c:pt>
                <c:pt idx="38">
                  <c:v>39944</c:v>
                </c:pt>
                <c:pt idx="39">
                  <c:v>40036</c:v>
                </c:pt>
                <c:pt idx="40">
                  <c:v>40126</c:v>
                </c:pt>
                <c:pt idx="41">
                  <c:v>40217</c:v>
                </c:pt>
                <c:pt idx="42">
                  <c:v>40309</c:v>
                </c:pt>
                <c:pt idx="43">
                  <c:v>40401</c:v>
                </c:pt>
                <c:pt idx="44">
                  <c:v>40491</c:v>
                </c:pt>
                <c:pt idx="45">
                  <c:v>40582</c:v>
                </c:pt>
                <c:pt idx="46">
                  <c:v>40674</c:v>
                </c:pt>
                <c:pt idx="47">
                  <c:v>40765</c:v>
                </c:pt>
                <c:pt idx="48">
                  <c:v>40855</c:v>
                </c:pt>
                <c:pt idx="49">
                  <c:v>40947</c:v>
                </c:pt>
                <c:pt idx="50">
                  <c:v>41039</c:v>
                </c:pt>
                <c:pt idx="51">
                  <c:v>41130</c:v>
                </c:pt>
                <c:pt idx="52">
                  <c:v>41220</c:v>
                </c:pt>
                <c:pt idx="53">
                  <c:v>41312</c:v>
                </c:pt>
                <c:pt idx="54">
                  <c:v>41403</c:v>
                </c:pt>
                <c:pt idx="55">
                  <c:v>41495</c:v>
                </c:pt>
                <c:pt idx="56">
                  <c:v>41585</c:v>
                </c:pt>
                <c:pt idx="57">
                  <c:v>41676</c:v>
                </c:pt>
                <c:pt idx="58">
                  <c:v>41768</c:v>
                </c:pt>
                <c:pt idx="59">
                  <c:v>41862</c:v>
                </c:pt>
                <c:pt idx="60">
                  <c:v>41950</c:v>
                </c:pt>
                <c:pt idx="61">
                  <c:v>42041</c:v>
                </c:pt>
                <c:pt idx="62">
                  <c:v>42135</c:v>
                </c:pt>
                <c:pt idx="63">
                  <c:v>42227</c:v>
                </c:pt>
                <c:pt idx="64">
                  <c:v>42317</c:v>
                </c:pt>
                <c:pt idx="65">
                  <c:v>42409</c:v>
                </c:pt>
                <c:pt idx="66">
                  <c:v>42501</c:v>
                </c:pt>
                <c:pt idx="67">
                  <c:v>42592</c:v>
                </c:pt>
                <c:pt idx="68">
                  <c:v>42682</c:v>
                </c:pt>
                <c:pt idx="69">
                  <c:v>42774</c:v>
                </c:pt>
                <c:pt idx="70">
                  <c:v>42865</c:v>
                </c:pt>
                <c:pt idx="71">
                  <c:v>42957</c:v>
                </c:pt>
                <c:pt idx="72">
                  <c:v>43049</c:v>
                </c:pt>
                <c:pt idx="73">
                  <c:v>43140</c:v>
                </c:pt>
                <c:pt idx="74">
                  <c:v>43231</c:v>
                </c:pt>
                <c:pt idx="75">
                  <c:v>43322</c:v>
                </c:pt>
                <c:pt idx="76">
                  <c:v>43413</c:v>
                </c:pt>
                <c:pt idx="77">
                  <c:v>43504</c:v>
                </c:pt>
                <c:pt idx="78">
                  <c:v>43595</c:v>
                </c:pt>
                <c:pt idx="79">
                  <c:v>43689</c:v>
                </c:pt>
                <c:pt idx="80">
                  <c:v>43777</c:v>
                </c:pt>
                <c:pt idx="81">
                  <c:v>43871</c:v>
                </c:pt>
                <c:pt idx="82">
                  <c:v>43963</c:v>
                </c:pt>
                <c:pt idx="83">
                  <c:v>44055</c:v>
                </c:pt>
                <c:pt idx="84">
                  <c:v>44145</c:v>
                </c:pt>
                <c:pt idx="85">
                  <c:v>44236</c:v>
                </c:pt>
                <c:pt idx="86">
                  <c:v>44328</c:v>
                </c:pt>
                <c:pt idx="87">
                  <c:v>44420</c:v>
                </c:pt>
                <c:pt idx="88">
                  <c:v>44510</c:v>
                </c:pt>
                <c:pt idx="89">
                  <c:v>44601</c:v>
                </c:pt>
                <c:pt idx="90">
                  <c:v>44693</c:v>
                </c:pt>
                <c:pt idx="91">
                  <c:v>44784</c:v>
                </c:pt>
                <c:pt idx="92">
                  <c:v>44879</c:v>
                </c:pt>
                <c:pt idx="93">
                  <c:v>44970</c:v>
                </c:pt>
                <c:pt idx="94">
                  <c:v>45061</c:v>
                </c:pt>
                <c:pt idx="95">
                  <c:v>45153</c:v>
                </c:pt>
                <c:pt idx="96">
                  <c:v>45244</c:v>
                </c:pt>
                <c:pt idx="97">
                  <c:v>45335</c:v>
                </c:pt>
                <c:pt idx="98">
                  <c:v>45426</c:v>
                </c:pt>
                <c:pt idx="99">
                  <c:v>45519</c:v>
                </c:pt>
                <c:pt idx="100">
                  <c:v>45610</c:v>
                </c:pt>
                <c:pt idx="101">
                  <c:v>45700</c:v>
                </c:pt>
                <c:pt idx="102">
                  <c:v>45792</c:v>
                </c:pt>
                <c:pt idx="103">
                  <c:v>45884</c:v>
                </c:pt>
                <c:pt idx="104">
                  <c:v>45975</c:v>
                </c:pt>
              </c:numCache>
            </c:numRef>
          </c:cat>
          <c:val>
            <c:numRef>
              <c:f>Dividends!$B$2:$B$106</c:f>
              <c:numCache>
                <c:formatCode>General</c:formatCode>
                <c:ptCount val="105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0.01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0.23</c:v>
                </c:pt>
                <c:pt idx="12">
                  <c:v>0.23</c:v>
                </c:pt>
                <c:pt idx="13">
                  <c:v>0.23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0.27</c:v>
                </c:pt>
                <c:pt idx="19">
                  <c:v>0.27</c:v>
                </c:pt>
                <c:pt idx="20">
                  <c:v>0.27</c:v>
                </c:pt>
                <c:pt idx="21">
                  <c:v>0.27</c:v>
                </c:pt>
                <c:pt idx="22">
                  <c:v>0.28999999999999998</c:v>
                </c:pt>
                <c:pt idx="23">
                  <c:v>0.28999999999999998</c:v>
                </c:pt>
                <c:pt idx="24">
                  <c:v>0.28999999999999998</c:v>
                </c:pt>
                <c:pt idx="25">
                  <c:v>0.32</c:v>
                </c:pt>
                <c:pt idx="26">
                  <c:v>0.32</c:v>
                </c:pt>
                <c:pt idx="27">
                  <c:v>0.32</c:v>
                </c:pt>
                <c:pt idx="28">
                  <c:v>0.32</c:v>
                </c:pt>
                <c:pt idx="29">
                  <c:v>0.32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0.42</c:v>
                </c:pt>
                <c:pt idx="39">
                  <c:v>0.42</c:v>
                </c:pt>
                <c:pt idx="40">
                  <c:v>0.42</c:v>
                </c:pt>
                <c:pt idx="41">
                  <c:v>0.42</c:v>
                </c:pt>
                <c:pt idx="42">
                  <c:v>0.44</c:v>
                </c:pt>
                <c:pt idx="43">
                  <c:v>0.44</c:v>
                </c:pt>
                <c:pt idx="44">
                  <c:v>0.44</c:v>
                </c:pt>
                <c:pt idx="45">
                  <c:v>0.44</c:v>
                </c:pt>
                <c:pt idx="46">
                  <c:v>0.47</c:v>
                </c:pt>
                <c:pt idx="47">
                  <c:v>0.47</c:v>
                </c:pt>
                <c:pt idx="48">
                  <c:v>0.47</c:v>
                </c:pt>
                <c:pt idx="49">
                  <c:v>0.47</c:v>
                </c:pt>
                <c:pt idx="50">
                  <c:v>0.56999999999999995</c:v>
                </c:pt>
                <c:pt idx="51">
                  <c:v>0.56999999999999995</c:v>
                </c:pt>
                <c:pt idx="52">
                  <c:v>0.56999999999999995</c:v>
                </c:pt>
                <c:pt idx="53">
                  <c:v>0.56999999999999995</c:v>
                </c:pt>
                <c:pt idx="54">
                  <c:v>0.63</c:v>
                </c:pt>
                <c:pt idx="55">
                  <c:v>0.63</c:v>
                </c:pt>
                <c:pt idx="56">
                  <c:v>0.63</c:v>
                </c:pt>
                <c:pt idx="57">
                  <c:v>0.63</c:v>
                </c:pt>
                <c:pt idx="58">
                  <c:v>0.69</c:v>
                </c:pt>
                <c:pt idx="59">
                  <c:v>0.69</c:v>
                </c:pt>
                <c:pt idx="60">
                  <c:v>0.69</c:v>
                </c:pt>
                <c:pt idx="61">
                  <c:v>0.69</c:v>
                </c:pt>
                <c:pt idx="62">
                  <c:v>0.73</c:v>
                </c:pt>
                <c:pt idx="63">
                  <c:v>0.73</c:v>
                </c:pt>
                <c:pt idx="64">
                  <c:v>0.73</c:v>
                </c:pt>
                <c:pt idx="65">
                  <c:v>0.73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0.77</c:v>
                </c:pt>
                <c:pt idx="71">
                  <c:v>0.77</c:v>
                </c:pt>
                <c:pt idx="72">
                  <c:v>0.77</c:v>
                </c:pt>
                <c:pt idx="73">
                  <c:v>0.77</c:v>
                </c:pt>
                <c:pt idx="74">
                  <c:v>0.82</c:v>
                </c:pt>
                <c:pt idx="75">
                  <c:v>0.82</c:v>
                </c:pt>
                <c:pt idx="76">
                  <c:v>0.82</c:v>
                </c:pt>
                <c:pt idx="77">
                  <c:v>0.82</c:v>
                </c:pt>
                <c:pt idx="78">
                  <c:v>0.87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0.87</c:v>
                </c:pt>
                <c:pt idx="85">
                  <c:v>0.87</c:v>
                </c:pt>
                <c:pt idx="86">
                  <c:v>0.87</c:v>
                </c:pt>
                <c:pt idx="87">
                  <c:v>0.87</c:v>
                </c:pt>
                <c:pt idx="88">
                  <c:v>0.88</c:v>
                </c:pt>
                <c:pt idx="89">
                  <c:v>0.88</c:v>
                </c:pt>
                <c:pt idx="90">
                  <c:v>0.88</c:v>
                </c:pt>
                <c:pt idx="91">
                  <c:v>0.88</c:v>
                </c:pt>
                <c:pt idx="92">
                  <c:v>0.91</c:v>
                </c:pt>
                <c:pt idx="93">
                  <c:v>0.91</c:v>
                </c:pt>
                <c:pt idx="94">
                  <c:v>0.91</c:v>
                </c:pt>
                <c:pt idx="95">
                  <c:v>0.91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0.99</c:v>
                </c:pt>
                <c:pt idx="101">
                  <c:v>0.99</c:v>
                </c:pt>
                <c:pt idx="102">
                  <c:v>0.99</c:v>
                </c:pt>
                <c:pt idx="103">
                  <c:v>0.99</c:v>
                </c:pt>
                <c:pt idx="104">
                  <c:v>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2-4114-B164-537E9DD4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658880"/>
        <c:axId val="1587653120"/>
      </c:barChart>
      <c:dateAx>
        <c:axId val="158765888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3120"/>
        <c:crosses val="autoZero"/>
        <c:auto val="1"/>
        <c:lblOffset val="100"/>
        <c:baseTimeUnit val="months"/>
      </c:dateAx>
      <c:valAx>
        <c:axId val="1587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161925</xdr:rowOff>
    </xdr:from>
    <xdr:to>
      <xdr:col>6</xdr:col>
      <xdr:colOff>466725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33</xdr:row>
      <xdr:rowOff>0</xdr:rowOff>
    </xdr:from>
    <xdr:to>
      <xdr:col>6</xdr:col>
      <xdr:colOff>457200</xdr:colOff>
      <xdr:row>47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49</xdr:row>
      <xdr:rowOff>9524</xdr:rowOff>
    </xdr:from>
    <xdr:to>
      <xdr:col>6</xdr:col>
      <xdr:colOff>457200</xdr:colOff>
      <xdr:row>61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2</xdr:row>
      <xdr:rowOff>104776</xdr:rowOff>
    </xdr:from>
    <xdr:to>
      <xdr:col>6</xdr:col>
      <xdr:colOff>495300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AD0D2-B3AE-4D17-A5FF-3FF5910D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323850</xdr:colOff>
      <xdr:row>63</xdr:row>
      <xdr:rowOff>28575</xdr:rowOff>
    </xdr:from>
    <xdr:to>
      <xdr:col>6</xdr:col>
      <xdr:colOff>476250</xdr:colOff>
      <xdr:row>77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F6464-30E1-455D-A9C3-EC3A350B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323850</xdr:colOff>
      <xdr:row>78</xdr:row>
      <xdr:rowOff>161925</xdr:rowOff>
    </xdr:from>
    <xdr:to>
      <xdr:col>6</xdr:col>
      <xdr:colOff>533400</xdr:colOff>
      <xdr:row>93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0A3F92-2C02-4F17-9350-EA4E51109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999876-D8B1-4055-BF27-4F6F9962B72D}" autoFormatId="16" applyNumberFormats="0" applyBorderFormats="0" applyFontFormats="0" applyPatternFormats="0" applyAlignmentFormats="0" applyWidthHeightFormats="0">
  <queryTableRefresh nextId="9" unboundColumnsRight="2">
    <queryTableFields count="4">
      <queryTableField id="1" name="Week" tableColumnId="1"/>
      <queryTableField id="2" name="Average" tableColumnId="2"/>
      <queryTableField id="4" dataBound="0" tableColumnId="4"/>
      <queryTableField id="8" dataBound="0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</a>
  <a r="1" c="522">
    <v>102.36</v>
    <v>103.22</v>
    <v>102.32</v>
    <v>102.63</v>
    <v>100.92</v>
    <v>99.67</v>
    <v>98.69</v>
    <v>98.67</v>
    <v>99.95</v>
    <v>97.69</v>
    <v>96.98</v>
    <v>96.8</v>
    <v>96.95</v>
    <v>96.82</v>
    <v>97.91</v>
    <v>99.6</v>
    <v>102.13</v>
    <v>103</v>
    <v>103.13</v>
    <v>104.85</v>
    <v>102.81</v>
    <v>102.39</v>
    <v>101.97</v>
    <v>101.55</v>
    <v>102.25</v>
    <v>102.22</v>
    <v>103.97</v>
    <v>101.77</v>
    <v>103.17</v>
    <v>101.34</v>
    <v>100.84</v>
    <v>103.73</v>
    <v>103.73</v>
    <v>102.75</v>
    <v>104.85</v>
    <v>104.76</v>
    <v>103.84</v>
    <v>104.25</v>
    <v>104.03</v>
    <v>104.32</v>
    <v>104.52</v>
    <v>105.84</v>
    <v>104.36</v>
    <v>105.64</v>
    <v>106.77</v>
    <v>107.37</v>
    <v>108.38</v>
    <v>109.02</v>
    <v>108.32</v>
    <v>109.53</v>
    <v>111.47</v>
    <v>111.27</v>
    <v>112.3</v>
    <v>113.09</v>
    <v>112.99</v>
    <v>113.49</v>
    <v>113.49</v>
    <v>114.65</v>
    <v>113.79</v>
    <v>114.97</v>
    <v>116.24</v>
    <v>116.99</v>
    <v>119.28</v>
    <v>119.3</v>
    <v>119.72</v>
    <v>121.37</v>
    <v>120.55</v>
    <v>121.18</v>
    <v>122.2</v>
    <v>121.79</v>
    <v>120.37</v>
    <v>119.68</v>
    <v>118.69</v>
    <v>118.63</v>
    <v>118.52</v>
    <v>119.88</v>
    <v>120.56</v>
    <v>121.03</v>
    <v>121.05</v>
    <v>121.33</v>
    <v>117.96</v>
    <v>119.64</v>
    <v>118.27</v>
    <v>116.03</v>
    <v>116.24</v>
    <v>116</v>
    <v>116.75</v>
    <v>116.17</v>
    <v>116.15</v>
    <v>118.44</v>
    <v>117.96</v>
    <v>117.91</v>
    <v>117.67</v>
    <v>118.58</v>
    <v>117.87</v>
    <v>119.64</v>
    <v>118.67</v>
    <v>117.85</v>
    <v>115.48</v>
    <v>113.51</v>
    <v>113.42</v>
    <v>114.86</v>
    <v>113.63</v>
    <v>113.99</v>
    <v>117.26</v>
    <v>114.45</v>
    <v>112.67</v>
    <v>113.12</v>
    <v>113.97</v>
    <v>112.75</v>
    <v>113.08</v>
    <v>112.17</v>
    <v>110.93</v>
    <v>110.04</v>
    <v>109.11</v>
    <v>108.36</v>
    <v>109.38</v>
    <v>111.74</v>
    <v>110.76</v>
    <v>114.05</v>
    <v>114.37</v>
    <v>114.41</v>
    <v>114.9</v>
    <v>115.12</v>
    <v>114.96</v>
    <v>114.18</v>
    <v>114.76</v>
    <v>113.37</v>
    <v>112.18</v>
    <v>110.94</v>
    <v>111.92</v>
    <v>113.25</v>
    <v>113.27</v>
    <v>115.21</v>
    <v>116.04</v>
    <v>117.64</v>
    <v>118.8</v>
    <v>116.07</v>
    <v>115.27</v>
    <v>113.41</v>
    <v>115.01</v>
    <v>117.43</v>
    <v>117.33</v>
    <v>116.1</v>
    <v>118.17</v>
    <v>118.59</v>
    <v>116.95</v>
    <v>116.88</v>
    <v>114.77</v>
    <v>114.16</v>
    <v>115.68</v>
    <v>117.89</v>
    <v>118.85</v>
    <v>119</v>
    <v>117.86</v>
    <v>118.95</v>
    <v>118.73</v>
    <v>118.17</v>
    <v>118.53</v>
    <v>114.58</v>
    <v>113.85</v>
    <v>114.73</v>
    <v>116.32</v>
    <v>118.81</v>
    <v>117.68</v>
    <v>116.52</v>
    <v>118.13</v>
    <v>117.94</v>
    <v>115.47</v>
    <v>114.06</v>
    <v>113.17</v>
    <v>112.64</v>
    <v>115.01</v>
    <v>110.82</v>
    <v>109.72</v>
    <v>111.23</v>
    <v>111.15</v>
    <v>112.71</v>
    <v>114.18</v>
    <v>114.58</v>
    <v>116</v>
    <v>115.27</v>
    <v>117.36</v>
    <v>117.05</v>
    <v>114.77</v>
    <v>112.8</v>
    <v>115.82</v>
    <v>117.22</v>
    <v>119.93</v>
    <v>121.52</v>
    <v>122.58</v>
    <v>124.83</v>
    <v>125.37</v>
    <v>122.04</v>
    <v>122.09</v>
    <v>123.14</v>
    <v>123.61</v>
    <v>124.08</v>
    <v>120.35</v>
    <v>120.66</v>
    <v>120.35</v>
    <v>120.01</v>
    <v>120.08</v>
    <v>120.7</v>
    <v>120.27</v>
    <v>119.59</v>
    <v>119.49</v>
    <v>118.9</v>
    <v>117.28</v>
    <v>116.69</v>
    <v>116.78</v>
    <v>114.95</v>
    <v>118.61</v>
    <v>118.96</v>
    <v>121</v>
    <v>121.15</v>
    <v>121.11</v>
    <v>120.47</v>
    <v>120.35</v>
    <v>121.47</v>
    <v>120.56</v>
    <v>119.31</v>
    <v>120.31</v>
    <v>118.63</v>
    <v>120.32</v>
    <v>121.93</v>
    <v>121.79</v>
    <v>119.97</v>
    <v>117.97</v>
    <v>117.66</v>
    <v>117.96</v>
    <v>117.85</v>
    <v>117.67</v>
    <v>114.28</v>
    <v>114.78</v>
    <v>113.57</v>
    <v>112.9</v>
    <v>112.67</v>
    <v>111.92</v>
    <v>111.82</v>
    <v>110.84</v>
    <v>108.47</v>
    <v>108.01</v>
    <v>106.42</v>
    <v>105.51</v>
    <v>105.87</v>
    <v>106.3</v>
    <v>106.4</v>
    <v>106.49</v>
    <v>106.48</v>
    <v>105.76</v>
    <v>107.57</v>
    <v>107.31</v>
    <v>107.86</v>
    <v>107.74</v>
    <v>108.75</v>
    <v>106.93</v>
    <v>106.54</v>
    <v>109.29</v>
    <v>109.72</v>
    <v>111.51</v>
    <v>111.32</v>
    <v>112.32</v>
    <v>111.47</v>
    <v>109.53</v>
    <v>110.15</v>
    <v>108.66</v>
    <v>110.17</v>
    <v>108.04</v>
    <v>108.67</v>
    <v>109.57</v>
    <v>106.83</v>
    <v>107.09</v>
    <v>109.96</v>
    <v>109.88</v>
    <v>108.43</v>
    <v>108.89</v>
    <v>110.97</v>
    <v>111.67</v>
    <v>107.35</v>
    <v>108.13</v>
    <v>108.24</v>
    <v>110.14</v>
    <v>110.3</v>
    <v>112</v>
    <v>110.69</v>
    <v>111.27</v>
    <v>109.73</v>
    <v>109.46</v>
    <v>110.15</v>
    <v>111.33</v>
    <v>107.76</v>
    <v>107.54</v>
    <v>105.44</v>
    <v>107.62</v>
    <v>109.02</v>
    <v>111.8</v>
    <v>109.16</v>
    <v>109.13</v>
    <v>108.67</v>
    <v>111.9</v>
    <v>113.76</v>
    <v>113.64</v>
    <v>115.41</v>
    <v>115.9</v>
    <v>115.5</v>
    <v>115.8</v>
    <v>116.59</v>
    <v>118.27</v>
    <v>117.89</v>
    <v>117.73</v>
    <v>118.93</v>
    <v>119.04</v>
    <v>118.67</v>
    <v>112.43</v>
    <v>104.34</v>
    <v>102.94</v>
    <v>100.77</v>
    <v>105.8</v>
    <v>99.93</v>
    <v>103.14</v>
    <v>103.39</v>
    <v>103.1</v>
    <v>104.19</v>
    <v>106.92</v>
    <v>105.35</v>
    <v>108.3</v>
    <v>107.37</v>
    <v>108.63</v>
    <v>108.57</v>
    <v>108.63</v>
    <v>108.36</v>
    <v>105.63</v>
    <v>105.78</v>
    <v>106.21</v>
    <v>103.27</v>
    <v>104.71</v>
    <v>104.61</v>
    <v>106.07</v>
    <v>107.31</v>
    <v>109.16</v>
    <v>109.46</v>
    <v>108.48</v>
    <v>108.58</v>
    <v>108.19</v>
    <v>106.47</v>
    <v>104.95</v>
    <v>103.66</v>
    <v>102.97</v>
    <v>103.03</v>
    <v>103.52</v>
    <v>102.11</v>
    <v>102.69</v>
    <v>102.3</v>
    <v>103.05</v>
    <v>103.8</v>
    <v>102.3</v>
    <v>101.83</v>
    <v>104.27</v>
    <v>104.97</v>
    <v>107.22</v>
    <v>109.31</v>
    <v>109.73</v>
    <v>112.12</v>
    <v>112.48</v>
    <v>114</v>
    <v>113.19</v>
    <v>114.7</v>
    <v>111.74</v>
    <v>108.34</v>
    <v>108.37</v>
    <v>109.99</v>
    <v>109.38</v>
    <v>107.8</v>
    <v>109.24</v>
    <v>111.05</v>
    <v>112.2</v>
    <v>111.11</v>
    <v>114.19</v>
    <v>113.8</v>
    <v>114.93</v>
    <v>115.43</v>
    <v>113.92</v>
    <v>112.91</v>
    <v>112.23</v>
    <v>111.66</v>
    <v>107.77</v>
    <v>108.05</v>
    <v>108.54</v>
    <v>109.93</v>
    <v>110.79</v>
    <v>110.4</v>
    <v>111.44</v>
    <v>112.88</v>
    <v>111.9</v>
    <v>111.64</v>
    <v>109.64</v>
    <v>107.37</v>
    <v>107.24</v>
    <v>106.51</v>
    <v>105.95</v>
    <v>106.8</v>
    <v>105.83</v>
    <v>106.13</v>
    <v>107.6</v>
    <v>107.38</v>
    <v>106.49</v>
    <v>106.72</v>
    <v>107.42</v>
    <v>108.53</v>
    <v>109.23</v>
    <v>111.28</v>
    <v>111.74</v>
    <v>111.49</v>
    <v>112.75</v>
    <v>113.35</v>
    <v>114.29</v>
    <v>114.69</v>
    <v>111.91</v>
    <v>112.4</v>
    <v>109.23</v>
    <v>109.85</v>
    <v>110.65</v>
    <v>112.5</v>
    <v>112.14</v>
    <v>112.16</v>
    <v>112.35</v>
    <v>114.68</v>
    <v>115.29</v>
    <v>113.93</v>
    <v>112.82</v>
    <v>112.02</v>
    <v>113.95</v>
    <v>114.56</v>
    <v>115.59</v>
    <v>117.22</v>
    <v>114.22</v>
    <v>112.75</v>
    <v>111.99</v>
    <v>111.29</v>
    <v>113.26</v>
    <v>114.2</v>
    <v>114.26</v>
    <v>114.02</v>
    <v>112.91</v>
    <v>110.73</v>
    <v>112.24</v>
    <v>112.29</v>
    <v>111.61</v>
    <v>110.64</v>
    <v>112.24</v>
    <v>112.7</v>
    <v>112.71</v>
    <v>114.71</v>
    <v>115.98</v>
    <v>115.39</v>
    <v>115.94</v>
    <v>115.03</v>
    <v>116.45</v>
    <v>114.69</v>
    <v>114.36</v>
    <v>113.76</v>
    <v>114.14</v>
    <v>113.68</v>
    <v>114.5</v>
    <v>117.22</v>
    <v>118.22</v>
    <v>119.78</v>
    <v>118.12</v>
    <v>118.79</v>
    <v>119.29</v>
    <v>117.68</v>
    <v>119.03</v>
    <v>117.35</v>
    <v>117.02</v>
    <v>117.08</v>
    <v>115.97</v>
    <v>114.51</v>
    <v>114.77</v>
    <v>115.92</v>
    <v>116.63</v>
    <v>115.38</v>
    <v>117.8</v>
    <v>117.14</v>
    <v>116.54</v>
    <v>115.98</v>
    <v>118.25</v>
    <v>119.54</v>
    <v>119.54</v>
    <v>118.82</v>
    <v>117.76</v>
    <v>114.68</v>
    <v>117.41</v>
    <v>116.54</v>
    <v>116.69</v>
    <v>118.15</v>
    <v>119.42</v>
    <v>119.22</v>
    <v>119.11</v>
    <v>120.53</v>
    <v>120.99</v>
    <v>120.34</v>
    <v>122.65</v>
    <v>125.36</v>
    <v>121.05</v>
    <v>118.49</v>
    <v>122.91</v>
    <v>124.61</v>
    <v>124.03</v>
    <v>126.54</v>
    <v>130.19999999999999</v>
    <v>129.13</v>
    <v>129.88999999999999</v>
    <v>130.46</v>
    <v>133.61000000000001</v>
    <v>133.63999999999999</v>
    <v>134.97</v>
    <v>134.84</v>
    <v>136.83000000000001</v>
    <v>137.58000000000001</v>
    <v>140.51</v>
    <v>141.4</v>
  </a>
  <a r="1" c="522">
    <v>23483049</v>
    <v>23490779</v>
    <v>19395154</v>
    <v>15827392</v>
    <v>23370127</v>
    <v>19496647</v>
    <v>18206088</v>
    <v>15833360</v>
    <v>18041683</v>
    <v>20235699</v>
    <v>18384015</v>
    <v>20940275</v>
    <v>20088432</v>
    <v>19955946</v>
    <v>15863433</v>
    <v>17330646</v>
    <v>22089510</v>
    <v>20817240</v>
    <v>18317549</v>
    <v>19610934</v>
    <v>22415291</v>
    <v>19240687</v>
    <v>21973405</v>
    <v>17190890</v>
    <v>13353286</v>
    <v>13826832</v>
    <v>19636898</v>
    <v>20410510</v>
    <v>18173061</v>
    <v>18917431</v>
    <v>17651253</v>
    <v>23196310</v>
    <v>20151426</v>
    <v>17650010</v>
    <v>20999189</v>
    <v>20470668</v>
    <v>15975888</v>
    <v>13360800</v>
    <v>16359978</v>
    <v>14810486</v>
    <v>17566066</v>
    <v>18460120</v>
    <v>18137989</v>
    <v>19952712</v>
    <v>20472790</v>
    <v>15195406</v>
    <v>16281468</v>
    <v>17577285</v>
    <v>14957247</v>
    <v>17122239</v>
    <v>22121014</v>
    <v>38264401</v>
    <v>16770462</v>
    <v>14878756</v>
    <v>16119703</v>
    <v>14878022</v>
    <v>14701933</v>
    <v>14011734</v>
    <v>13152287</v>
    <v>12415674</v>
    <v>18482055</v>
    <v>13816996</v>
    <v>19919643</v>
    <v>16504307</v>
    <v>18467362</v>
    <v>21720591</v>
    <v>17513939</v>
    <v>14135720</v>
    <v>17409184</v>
    <v>17555869</v>
    <v>21556218</v>
    <v>15029528</v>
    <v>18082228</v>
    <v>14538577</v>
    <v>13821356</v>
    <v>21572367</v>
    <v>16340694</v>
    <v>13929816</v>
    <v>12101161</v>
    <v>16041029</v>
    <v>27289468</v>
    <v>17343755</v>
    <v>21083294</v>
    <v>27789759</v>
    <v>25513648</v>
    <v>28023313</v>
    <v>31401260</v>
    <v>30121973</v>
    <v>18957166</v>
    <v>17563975</v>
    <v>13648130</v>
    <v>15060619</v>
    <v>15079131</v>
    <v>18244303</v>
    <v>15745202</v>
    <v>15104469</v>
    <v>11551250</v>
    <v>14494980</v>
    <v>17879252</v>
    <v>15979835</v>
    <v>12212949</v>
    <v>13978305</v>
    <v>13902001</v>
    <v>14691976</v>
    <v>29037378</v>
    <v>19589338</v>
    <v>19412238</v>
    <v>14863516</v>
    <v>13154094</v>
    <v>13289196</v>
    <v>15245227</v>
    <v>12462403</v>
    <v>13606788</v>
    <v>14466868</v>
    <v>13313430</v>
    <v>21147943</v>
    <v>17762915</v>
    <v>17433192</v>
    <v>52220574</v>
    <v>16266688</v>
    <v>16213682</v>
    <v>15771751</v>
    <v>16812731</v>
    <v>24565910</v>
    <v>11972881</v>
    <v>13326703</v>
    <v>7732928</v>
    <v>12630986</v>
    <v>13350549</v>
    <v>11729085</v>
    <v>10004094</v>
    <v>13084875</v>
    <v>11684946</v>
    <v>13032503</v>
    <v>13614050</v>
    <v>13602766</v>
    <v>13033563</v>
    <v>16157707</v>
    <v>12065877</v>
    <v>11251733</v>
    <v>14925184</v>
    <v>17021698</v>
    <v>11252479</v>
    <v>8861806</v>
    <v>12483857</v>
    <v>15137710</v>
    <v>15051482</v>
    <v>20403773</v>
    <v>18025858</v>
    <v>13647778</v>
    <v>13660657</v>
    <v>13850993</v>
    <v>12151867</v>
    <v>13228911</v>
    <v>11585067</v>
    <v>12194520</v>
    <v>11579432</v>
    <v>10056024</v>
    <v>12417467</v>
    <v>15631967</v>
    <v>11752358</v>
    <v>10609501</v>
    <v>10381431</v>
    <v>13671016</v>
    <v>9991631</v>
    <v>10742867</v>
    <v>10753895</v>
    <v>13284689</v>
    <v>15725139</v>
    <v>12620584</v>
    <v>17200770</v>
    <v>13467747</v>
    <v>21645325</v>
    <v>20913405</v>
    <v>19571945</v>
    <v>15923318</v>
    <v>10035392</v>
    <v>11729034</v>
    <v>12202556</v>
    <v>12569929</v>
    <v>12660642</v>
    <v>36206195</v>
    <v>16066285</v>
    <v>11984863</v>
    <v>13816041</v>
    <v>16887908</v>
    <v>15963973</v>
    <v>13250657</v>
    <v>23235878</v>
    <v>17129676</v>
    <v>16524334</v>
    <v>19759207</v>
    <v>15714440</v>
    <v>14818475</v>
    <v>11144864</v>
    <v>10243320</v>
    <v>8294839</v>
    <v>9808122</v>
    <v>15771317</v>
    <v>8426770</v>
    <v>11204857</v>
    <v>12898640</v>
    <v>10177777</v>
    <v>9201408</v>
    <v>8320330</v>
    <v>9905556</v>
    <v>10714583</v>
    <v>11844545</v>
    <v>14731024</v>
    <v>12303738</v>
    <v>20511977</v>
    <v>20939321</v>
    <v>14825392</v>
    <v>10436744</v>
    <v>20807681</v>
    <v>12184431</v>
    <v>12835969</v>
    <v>11969663</v>
    <v>11972802</v>
    <v>15127877</v>
    <v>13041845</v>
    <v>19051713</v>
    <v>14243701</v>
    <v>11584382</v>
    <v>11360932</v>
    <v>14675422</v>
    <v>13323431</v>
    <v>26580295</v>
    <v>14827327</v>
    <v>11079122</v>
    <v>9426499</v>
    <v>12687317</v>
    <v>11756566</v>
    <v>19520583</v>
    <v>15751204</v>
    <v>16171066</v>
    <v>17412565</v>
    <v>20990943</v>
    <v>32392238</v>
    <v>14543256</v>
    <v>13106079</v>
    <v>20256088</v>
    <v>17553995</v>
    <v>17114542</v>
    <v>20565557</v>
    <v>40141153</v>
    <v>12285078</v>
    <v>7806997</v>
    <v>9653408</v>
    <v>11943906</v>
    <v>11080770</v>
    <v>12387756</v>
    <v>12685447</v>
    <v>14237885</v>
    <v>15623677</v>
    <v>12625890</v>
    <v>17858110</v>
    <v>19304499</v>
    <v>17073395</v>
    <v>11191175</v>
    <v>14521095</v>
    <v>10366585</v>
    <v>19298504</v>
    <v>20416286</v>
    <v>15718012</v>
    <v>13726784</v>
    <v>14235885</v>
    <v>15926670</v>
    <v>15862029</v>
    <v>12345523</v>
    <v>14346335</v>
    <v>20381446</v>
    <v>14623197</v>
    <v>14835692</v>
    <v>13364387</v>
    <v>13411401</v>
    <v>10051626</v>
    <v>12142197</v>
    <v>12713127</v>
    <v>18244122</v>
    <v>15459952</v>
    <v>15733529</v>
    <v>20060298</v>
    <v>10964698</v>
    <v>16325803</v>
    <v>14709985</v>
    <v>13153471</v>
    <v>14496964</v>
    <v>10446405</v>
    <v>15293173</v>
    <v>18821665</v>
    <v>18706879</v>
    <v>19394905</v>
    <v>24822245</v>
    <v>17150233</v>
    <v>19624965</v>
    <v>22749073</v>
    <v>19904735</v>
    <v>14051500</v>
    <v>17767836</v>
    <v>15890063</v>
    <v>19908789</v>
    <v>15998713</v>
    <v>17315001</v>
    <v>16230772</v>
    <v>41102795</v>
    <v>14207469</v>
    <v>12081795</v>
    <v>14112756</v>
    <v>12740786</v>
    <v>10233433</v>
    <v>21652345</v>
    <v>12425434</v>
    <v>12614605</v>
    <v>21204636</v>
    <v>30841318</v>
    <v>35068450</v>
    <v>27147750</v>
    <v>30063287</v>
    <v>33999317</v>
    <v>22884628</v>
    <v>18019969</v>
    <v>13164863</v>
    <v>13607024</v>
    <v>17916471</v>
    <v>16926493</v>
    <v>13147049</v>
    <v>14235710</v>
    <v>9849553</v>
    <v>11245793</v>
    <v>13890869</v>
    <v>9483135</v>
    <v>20379282</v>
    <v>18610256</v>
    <v>16581870</v>
    <v>19623970</v>
    <v>16303449</v>
    <v>12335924</v>
    <v>19196548</v>
    <v>10992080</v>
    <v>14244559</v>
    <v>13350836</v>
    <v>15494932</v>
    <v>15004291</v>
    <v>14042535</v>
    <v>16802719</v>
    <v>12429321</v>
    <v>16716079</v>
    <v>13417378</v>
    <v>12061606</v>
    <v>13043604</v>
    <v>14292377</v>
    <v>13832487</v>
    <v>28645787</v>
    <v>17290462</v>
    <v>19194335</v>
    <v>15648515</v>
    <v>13942218</v>
    <v>15487844</v>
    <v>17087328</v>
    <v>17634793</v>
    <v>22648191</v>
    <v>17469408</v>
    <v>28540165</v>
    <v>22986113</v>
    <v>19451701</v>
    <v>17968893</v>
    <v>36273288</v>
    <v>26631056</v>
    <v>24828277</v>
    <v>17483231</v>
    <v>18304841</v>
    <v>22002079</v>
    <v>19199048</v>
    <v>15536896</v>
    <v>11892160</v>
    <v>11223580</v>
    <v>15415889</v>
    <v>17913404</v>
    <v>10652062</v>
    <v>14903884</v>
    <v>11683884</v>
    <v>13220303</v>
    <v>10959347</v>
    <v>11158852</v>
    <v>13151446</v>
    <v>32366594</v>
    <v>17010405</v>
    <v>13970885</v>
    <v>12002687</v>
    <v>15647208</v>
    <v>10548938</v>
    <v>12352966</v>
    <v>15927998</v>
    <v>12996905</v>
    <v>17233744</v>
    <v>19652030</v>
    <v>19129474</v>
    <v>21314254</v>
    <v>15321811</v>
    <v>13468287</v>
    <v>14417734</v>
    <v>13570661</v>
    <v>14113216</v>
    <v>17958695</v>
    <v>13683472</v>
    <v>19271861</v>
    <v>13040018</v>
    <v>16113611</v>
    <v>18959716</v>
    <v>12194897</v>
    <v>13586668</v>
    <v>9744897</v>
    <v>18143880</v>
    <v>15262630</v>
    <v>14189829</v>
    <v>14597872</v>
    <v>15206667</v>
    <v>14920087</v>
    <v>12864438</v>
    <v>16826692</v>
    <v>15440513</v>
    <v>14899502</v>
    <v>15837583</v>
    <v>11534502</v>
    <v>11105690</v>
    <v>12880487</v>
    <v>17208044</v>
    <v>13302030</v>
    <v>14628726</v>
    <v>38746517</v>
    <v>15611495</v>
    <v>25369106</v>
    <v>14756050</v>
    <v>15012553</v>
    <v>18568916</v>
    <v>19189260</v>
    <v>18076211</v>
    <v>16613992</v>
    <v>13062563</v>
    <v>12950118</v>
    <v>12036830</v>
    <v>11945032</v>
    <v>12300968</v>
    <v>10976215</v>
    <v>13811577</v>
    <v>10296499</v>
    <v>11167154</v>
    <v>12182935</v>
    <v>11782202</v>
    <v>13460069</v>
    <v>9523617</v>
    <v>9202349</v>
    <v>12938790</v>
    <v>15001088</v>
    <v>9919409</v>
    <v>10975412</v>
    <v>9535211</v>
    <v>12570572</v>
    <v>16172943</v>
    <v>20213352</v>
    <v>12290304</v>
    <v>16860741</v>
    <v>12400921</v>
    <v>14219654</v>
    <v>17181149</v>
    <v>13047958</v>
    <v>16077101</v>
    <v>13790889</v>
    <v>17291874</v>
    <v>17064267</v>
    <v>16034860</v>
    <v>15808518</v>
    <v>15919239</v>
    <v>14401011</v>
    <v>15667596</v>
    <v>18034923</v>
    <v>14434558</v>
    <v>11650597</v>
    <v>7240825</v>
    <v>12658100</v>
    <v>14607704</v>
    <v>16819130</v>
    <v>13686897</v>
    <v>12516864</v>
    <v>14904164</v>
    <v>23790815</v>
    <v>19845192</v>
    <v>14781787</v>
    <v>14459538</v>
    <v>16358669</v>
    <v>17638716</v>
    <v>18502152</v>
    <v>13705560</v>
    <v>45412814</v>
    <v>11768611</v>
    <v>12567630</v>
    <v>6137406</v>
    <v>8066129</v>
    <v>14782512</v>
    <v>11150486</v>
    <v>10559866</v>
    <v>14175055</v>
    <v>30112238</v>
    <v>23328636</v>
    <v>20352950</v>
    <v>20232721</v>
    <v>16137674</v>
    <v>15314895</v>
    <v>21619727</v>
    <v>27593938</v>
    <v>17400039</v>
    <v>16592354</v>
    <v>16477282</v>
    <v>18879887</v>
    <v>16600126</v>
    <v>17758214</v>
    <v>16056066</v>
    <v>14517025</v>
    <v>15637279</v>
    <v>35760620</v>
    <v>29657667</v>
  </a>
</arrayData>
</file>

<file path=xl/richData/rdrichvalue.xml><?xml version="1.0" encoding="utf-8"?>
<rvData xmlns="http://schemas.microsoft.com/office/spreadsheetml/2017/richdata" count="1911">
  <rv s="0">
    <fb>45293</fb>
    <v>0</v>
  </rv>
  <rv s="0">
    <fb>102.36</fb>
    <v>1</v>
  </rv>
  <rv s="0">
    <fb>23483049</fb>
    <v>2</v>
  </rv>
  <rv s="0">
    <fb>45294</fb>
    <v>0</v>
  </rv>
  <rv s="0">
    <fb>103.22</fb>
    <v>1</v>
  </rv>
  <rv s="0">
    <fb>23490779</fb>
    <v>2</v>
  </rv>
  <rv s="0">
    <fb>45295</fb>
    <v>0</v>
  </rv>
  <rv s="0">
    <fb>102.32</fb>
    <v>1</v>
  </rv>
  <rv s="0">
    <fb>19395154</fb>
    <v>2</v>
  </rv>
  <rv s="0">
    <fb>45296</fb>
    <v>0</v>
  </rv>
  <rv s="0">
    <fb>102.63</fb>
    <v>1</v>
  </rv>
  <rv s="0">
    <fb>15827392</fb>
    <v>2</v>
  </rv>
  <rv s="0">
    <fb>45299</fb>
    <v>0</v>
  </rv>
  <rv s="0">
    <fb>100.92</fb>
    <v>1</v>
  </rv>
  <rv s="0">
    <fb>23370127</fb>
    <v>2</v>
  </rv>
  <rv s="0">
    <fb>45300</fb>
    <v>0</v>
  </rv>
  <rv s="0">
    <fb>99.67</fb>
    <v>1</v>
  </rv>
  <rv s="0">
    <fb>19496647</fb>
    <v>2</v>
  </rv>
  <rv s="0">
    <fb>45301</fb>
    <v>0</v>
  </rv>
  <rv s="0">
    <fb>98.69</fb>
    <v>1</v>
  </rv>
  <rv s="0">
    <fb>18206088</fb>
    <v>2</v>
  </rv>
  <rv s="0">
    <fb>45302</fb>
    <v>0</v>
  </rv>
  <rv s="0">
    <fb>98.67</fb>
    <v>1</v>
  </rv>
  <rv s="0">
    <fb>15833360</fb>
    <v>2</v>
  </rv>
  <rv s="0">
    <fb>45303</fb>
    <v>0</v>
  </rv>
  <rv s="0">
    <fb>99.95</fb>
    <v>1</v>
  </rv>
  <rv s="0">
    <fb>18041683</fb>
    <v>2</v>
  </rv>
  <rv s="0">
    <fb>45307</fb>
    <v>0</v>
  </rv>
  <rv s="0">
    <fb>97.69</fb>
    <v>1</v>
  </rv>
  <rv s="0">
    <fb>20235699</fb>
    <v>2</v>
  </rv>
  <rv s="0">
    <fb>45308</fb>
    <v>0</v>
  </rv>
  <rv s="0">
    <fb>96.98</fb>
    <v>1</v>
  </rv>
  <rv s="0">
    <fb>18384015</fb>
    <v>2</v>
  </rv>
  <rv s="0">
    <fb>45309</fb>
    <v>0</v>
  </rv>
  <rv s="0">
    <fb>96.8</fb>
    <v>1</v>
  </rv>
  <rv s="0">
    <fb>20940275</fb>
    <v>2</v>
  </rv>
  <rv s="0">
    <fb>45310</fb>
    <v>0</v>
  </rv>
  <rv s="0">
    <fb>96.95</fb>
    <v>1</v>
  </rv>
  <rv s="0">
    <fb>20088432</fb>
    <v>2</v>
  </rv>
  <rv s="0">
    <fb>45313</fb>
    <v>0</v>
  </rv>
  <rv s="0">
    <fb>96.82</fb>
    <v>1</v>
  </rv>
  <rv s="0">
    <fb>19955946</fb>
    <v>2</v>
  </rv>
  <rv s="0">
    <fb>45314</fb>
    <v>0</v>
  </rv>
  <rv s="0">
    <fb>97.91</fb>
    <v>1</v>
  </rv>
  <rv s="0">
    <fb>15863433</fb>
    <v>2</v>
  </rv>
  <rv s="0">
    <fb>45315</fb>
    <v>0</v>
  </rv>
  <rv s="0">
    <fb>99.6</fb>
    <v>1</v>
  </rv>
  <rv s="0">
    <fb>17330646</fb>
    <v>2</v>
  </rv>
  <rv s="0">
    <fb>45316</fb>
    <v>0</v>
  </rv>
  <rv s="0">
    <fb>102.13</fb>
    <v>1</v>
  </rv>
  <rv s="0">
    <fb>22089510</fb>
    <v>2</v>
  </rv>
  <rv s="0">
    <fb>45317</fb>
    <v>0</v>
  </rv>
  <rv s="0">
    <fb>103</fb>
    <v>1</v>
  </rv>
  <rv s="0">
    <fb>20817240</fb>
    <v>2</v>
  </rv>
  <rv s="0">
    <fb>45320</fb>
    <v>0</v>
  </rv>
  <rv s="0">
    <fb>103.13</fb>
    <v>1</v>
  </rv>
  <rv s="0">
    <fb>18317549</fb>
    <v>2</v>
  </rv>
  <rv s="0">
    <fb>45321</fb>
    <v>0</v>
  </rv>
  <rv s="0">
    <fb>104.85</fb>
    <v>1</v>
  </rv>
  <rv s="0">
    <fb>19610934</fb>
    <v>2</v>
  </rv>
  <rv s="0">
    <fb>45322</fb>
    <v>0</v>
  </rv>
  <rv s="0">
    <fb>102.81</fb>
    <v>1</v>
  </rv>
  <rv s="0">
    <fb>22415291</fb>
    <v>2</v>
  </rv>
  <rv s="0">
    <fb>45323</fb>
    <v>0</v>
  </rv>
  <rv s="0">
    <fb>102.39</fb>
    <v>1</v>
  </rv>
  <rv s="0">
    <fb>19240687</fb>
    <v>2</v>
  </rv>
  <rv s="0">
    <fb>45324</fb>
    <v>0</v>
  </rv>
  <rv s="0">
    <fb>101.97</fb>
    <v>1</v>
  </rv>
  <rv s="0">
    <fb>21973405</fb>
    <v>2</v>
  </rv>
  <rv s="0">
    <fb>45327</fb>
    <v>0</v>
  </rv>
  <rv s="0">
    <fb>101.55</fb>
    <v>1</v>
  </rv>
  <rv s="0">
    <fb>17190890</fb>
    <v>2</v>
  </rv>
  <rv s="0">
    <fb>45328</fb>
    <v>0</v>
  </rv>
  <rv s="0">
    <fb>102.25</fb>
    <v>1</v>
  </rv>
  <rv s="0">
    <fb>13353286</fb>
    <v>2</v>
  </rv>
  <rv s="0">
    <fb>45329</fb>
    <v>0</v>
  </rv>
  <rv s="0">
    <fb>102.22</fb>
    <v>1</v>
  </rv>
  <rv s="0">
    <fb>13826832</fb>
    <v>2</v>
  </rv>
  <rv s="0">
    <fb>45330</fb>
    <v>0</v>
  </rv>
  <rv s="0">
    <fb>103.97</fb>
    <v>1</v>
  </rv>
  <rv s="0">
    <fb>19636898</fb>
    <v>2</v>
  </rv>
  <rv s="0">
    <fb>45331</fb>
    <v>0</v>
  </rv>
  <rv s="0">
    <fb>101.77</fb>
    <v>1</v>
  </rv>
  <rv s="0">
    <fb>20410510</fb>
    <v>2</v>
  </rv>
  <rv s="0">
    <fb>45334</fb>
    <v>0</v>
  </rv>
  <rv s="0">
    <fb>103.17</fb>
    <v>1</v>
  </rv>
  <rv s="0">
    <fb>18173061</fb>
    <v>2</v>
  </rv>
  <rv s="0">
    <fb>45335</fb>
    <v>0</v>
  </rv>
  <rv s="0">
    <fb>101.34</fb>
    <v>1</v>
  </rv>
  <rv s="0">
    <fb>18917431</fb>
    <v>2</v>
  </rv>
  <rv s="0">
    <fb>45336</fb>
    <v>0</v>
  </rv>
  <rv s="0">
    <fb>100.84</fb>
    <v>1</v>
  </rv>
  <rv s="0">
    <fb>17651253</fb>
    <v>2</v>
  </rv>
  <rv s="0">
    <fb>45337</fb>
    <v>0</v>
  </rv>
  <rv s="0">
    <fb>103.73</fb>
    <v>1</v>
  </rv>
  <rv s="0">
    <fb>23196310</fb>
    <v>2</v>
  </rv>
  <rv s="0">
    <fb>45338</fb>
    <v>0</v>
  </rv>
  <rv s="0">
    <fb>20151426</fb>
    <v>2</v>
  </rv>
  <rv s="0">
    <fb>45342</fb>
    <v>0</v>
  </rv>
  <rv s="0">
    <fb>102.75</fb>
    <v>1</v>
  </rv>
  <rv s="0">
    <fb>17650010</fb>
    <v>2</v>
  </rv>
  <rv s="0">
    <fb>45343</fb>
    <v>0</v>
  </rv>
  <rv s="0">
    <fb>20999189</fb>
    <v>2</v>
  </rv>
  <rv s="0">
    <fb>45344</fb>
    <v>0</v>
  </rv>
  <rv s="0">
    <fb>104.76</fb>
    <v>1</v>
  </rv>
  <rv s="0">
    <fb>20470668</fb>
    <v>2</v>
  </rv>
  <rv s="0">
    <fb>45345</fb>
    <v>0</v>
  </rv>
  <rv s="0">
    <fb>103.84</fb>
    <v>1</v>
  </rv>
  <rv s="0">
    <fb>15975888</fb>
    <v>2</v>
  </rv>
  <rv s="0">
    <fb>45348</fb>
    <v>0</v>
  </rv>
  <rv s="0">
    <fb>104.25</fb>
    <v>1</v>
  </rv>
  <rv s="0">
    <fb>13360800</fb>
    <v>2</v>
  </rv>
  <rv s="0">
    <fb>45349</fb>
    <v>0</v>
  </rv>
  <rv s="0">
    <fb>104.03</fb>
    <v>1</v>
  </rv>
  <rv s="0">
    <fb>16359978</fb>
    <v>2</v>
  </rv>
  <rv s="0">
    <fb>45350</fb>
    <v>0</v>
  </rv>
  <rv s="0">
    <fb>104.32</fb>
    <v>1</v>
  </rv>
  <rv s="0">
    <fb>14810486</fb>
    <v>2</v>
  </rv>
  <rv s="0">
    <fb>45351</fb>
    <v>0</v>
  </rv>
  <rv s="0">
    <fb>104.52</fb>
    <v>1</v>
  </rv>
  <rv s="0">
    <fb>17566066</fb>
    <v>2</v>
  </rv>
  <rv s="0">
    <fb>45352</fb>
    <v>0</v>
  </rv>
  <rv s="0">
    <fb>105.84</fb>
    <v>1</v>
  </rv>
  <rv s="0">
    <fb>18460120</fb>
    <v>2</v>
  </rv>
  <rv s="0">
    <fb>45355</fb>
    <v>0</v>
  </rv>
  <rv s="0">
    <fb>104.36</fb>
    <v>1</v>
  </rv>
  <rv s="0">
    <fb>18137989</fb>
    <v>2</v>
  </rv>
  <rv s="0">
    <fb>45356</fb>
    <v>0</v>
  </rv>
  <rv s="0">
    <fb>105.64</fb>
    <v>1</v>
  </rv>
  <rv s="0">
    <fb>19952712</fb>
    <v>2</v>
  </rv>
  <rv s="0">
    <fb>45357</fb>
    <v>0</v>
  </rv>
  <rv s="0">
    <fb>106.77</fb>
    <v>1</v>
  </rv>
  <rv s="0">
    <fb>20472790</fb>
    <v>2</v>
  </rv>
  <rv s="0">
    <fb>45358</fb>
    <v>0</v>
  </rv>
  <rv s="0">
    <fb>107.37</fb>
    <v>1</v>
  </rv>
  <rv s="0">
    <fb>15195406</fb>
    <v>2</v>
  </rv>
  <rv s="0">
    <fb>45359</fb>
    <v>0</v>
  </rv>
  <rv s="0">
    <fb>108.38</fb>
    <v>1</v>
  </rv>
  <rv s="0">
    <fb>16281468</fb>
    <v>2</v>
  </rv>
  <rv s="0">
    <fb>45362</fb>
    <v>0</v>
  </rv>
  <rv s="0">
    <fb>109.02</fb>
    <v>1</v>
  </rv>
  <rv s="0">
    <fb>17577285</fb>
    <v>2</v>
  </rv>
  <rv s="0">
    <fb>45363</fb>
    <v>0</v>
  </rv>
  <rv s="0">
    <fb>108.32</fb>
    <v>1</v>
  </rv>
  <rv s="0">
    <fb>14957247</fb>
    <v>2</v>
  </rv>
  <rv s="0">
    <fb>45364</fb>
    <v>0</v>
  </rv>
  <rv s="0">
    <fb>109.53</fb>
    <v>1</v>
  </rv>
  <rv s="0">
    <fb>17122239</fb>
    <v>2</v>
  </rv>
  <rv s="0">
    <fb>45365</fb>
    <v>0</v>
  </rv>
  <rv s="0">
    <fb>111.47</fb>
    <v>1</v>
  </rv>
  <rv s="0">
    <fb>22121014</fb>
    <v>2</v>
  </rv>
  <rv s="0">
    <fb>45366</fb>
    <v>0</v>
  </rv>
  <rv s="0">
    <fb>111.27</fb>
    <v>1</v>
  </rv>
  <rv s="0">
    <fb>38264401</fb>
    <v>2</v>
  </rv>
  <rv s="0">
    <fb>45369</fb>
    <v>0</v>
  </rv>
  <rv s="0">
    <fb>112.3</fb>
    <v>1</v>
  </rv>
  <rv s="0">
    <fb>16770462</fb>
    <v>2</v>
  </rv>
  <rv s="0">
    <fb>45370</fb>
    <v>0</v>
  </rv>
  <rv s="0">
    <fb>113.09</fb>
    <v>1</v>
  </rv>
  <rv s="0">
    <fb>14878756</fb>
    <v>2</v>
  </rv>
  <rv s="0">
    <fb>45371</fb>
    <v>0</v>
  </rv>
  <rv s="0">
    <fb>112.99</fb>
    <v>1</v>
  </rv>
  <rv s="0">
    <fb>16119703</fb>
    <v>2</v>
  </rv>
  <rv s="0">
    <fb>45372</fb>
    <v>0</v>
  </rv>
  <rv s="0">
    <fb>113.49</fb>
    <v>1</v>
  </rv>
  <rv s="0">
    <fb>14878022</fb>
    <v>2</v>
  </rv>
  <rv s="0">
    <fb>45373</fb>
    <v>0</v>
  </rv>
  <rv s="0">
    <fb>14701933</fb>
    <v>2</v>
  </rv>
  <rv s="0">
    <fb>45376</fb>
    <v>0</v>
  </rv>
  <rv s="0">
    <fb>114.65</fb>
    <v>1</v>
  </rv>
  <rv s="0">
    <fb>14011734</fb>
    <v>2</v>
  </rv>
  <rv s="0">
    <fb>45377</fb>
    <v>0</v>
  </rv>
  <rv s="0">
    <fb>113.79</fb>
    <v>1</v>
  </rv>
  <rv s="0">
    <fb>13152287</fb>
    <v>2</v>
  </rv>
  <rv s="0">
    <fb>45378</fb>
    <v>0</v>
  </rv>
  <rv s="0">
    <fb>114.97</fb>
    <v>1</v>
  </rv>
  <rv s="0">
    <fb>12415674</fb>
    <v>2</v>
  </rv>
  <rv s="0">
    <fb>45379</fb>
    <v>0</v>
  </rv>
  <rv s="0">
    <fb>116.24</fb>
    <v>1</v>
  </rv>
  <rv s="0">
    <fb>18482055</fb>
    <v>2</v>
  </rv>
  <rv s="0">
    <fb>45383</fb>
    <v>0</v>
  </rv>
  <rv s="0">
    <fb>116.99</fb>
    <v>1</v>
  </rv>
  <rv s="0">
    <fb>13816996</fb>
    <v>2</v>
  </rv>
  <rv s="0">
    <fb>45384</fb>
    <v>0</v>
  </rv>
  <rv s="0">
    <fb>119.28</fb>
    <v>1</v>
  </rv>
  <rv s="0">
    <fb>19919643</fb>
    <v>2</v>
  </rv>
  <rv s="0">
    <fb>45385</fb>
    <v>0</v>
  </rv>
  <rv s="0">
    <fb>119.3</fb>
    <v>1</v>
  </rv>
  <rv s="0">
    <fb>16504307</fb>
    <v>2</v>
  </rv>
  <rv s="0">
    <fb>45386</fb>
    <v>0</v>
  </rv>
  <rv s="0">
    <fb>119.72</fb>
    <v>1</v>
  </rv>
  <rv s="0">
    <fb>18467362</fb>
    <v>2</v>
  </rv>
  <rv s="0">
    <fb>45387</fb>
    <v>0</v>
  </rv>
  <rv s="0">
    <fb>121.37</fb>
    <v>1</v>
  </rv>
  <rv s="0">
    <fb>21720591</fb>
    <v>2</v>
  </rv>
  <rv s="0">
    <fb>45390</fb>
    <v>0</v>
  </rv>
  <rv s="0">
    <fb>120.55</fb>
    <v>1</v>
  </rv>
  <rv s="0">
    <fb>17513939</fb>
    <v>2</v>
  </rv>
  <rv s="0">
    <fb>45391</fb>
    <v>0</v>
  </rv>
  <rv s="0">
    <fb>121.18</fb>
    <v>1</v>
  </rv>
  <rv s="0">
    <fb>14135720</fb>
    <v>2</v>
  </rv>
  <rv s="0">
    <fb>45392</fb>
    <v>0</v>
  </rv>
  <rv s="0">
    <fb>122.2</fb>
    <v>1</v>
  </rv>
  <rv s="0">
    <fb>17409184</fb>
    <v>2</v>
  </rv>
  <rv s="0">
    <fb>45393</fb>
    <v>0</v>
  </rv>
  <rv s="0">
    <fb>121.79</fb>
    <v>1</v>
  </rv>
  <rv s="0">
    <fb>17555869</fb>
    <v>2</v>
  </rv>
  <rv s="0">
    <fb>45394</fb>
    <v>0</v>
  </rv>
  <rv s="0">
    <fb>120.37</fb>
    <v>1</v>
  </rv>
  <rv s="0">
    <fb>21556218</fb>
    <v>2</v>
  </rv>
  <rv s="0">
    <fb>45397</fb>
    <v>0</v>
  </rv>
  <rv s="0">
    <fb>119.68</fb>
    <v>1</v>
  </rv>
  <rv s="0">
    <fb>15029528</fb>
    <v>2</v>
  </rv>
  <rv s="0">
    <fb>45398</fb>
    <v>0</v>
  </rv>
  <rv s="0">
    <fb>118.69</fb>
    <v>1</v>
  </rv>
  <rv s="0">
    <fb>18082228</fb>
    <v>2</v>
  </rv>
  <rv s="0">
    <fb>45399</fb>
    <v>0</v>
  </rv>
  <rv s="0">
    <fb>118.63</fb>
    <v>1</v>
  </rv>
  <rv s="0">
    <fb>14538577</fb>
    <v>2</v>
  </rv>
  <rv s="0">
    <fb>45400</fb>
    <v>0</v>
  </rv>
  <rv s="0">
    <fb>118.52</fb>
    <v>1</v>
  </rv>
  <rv s="0">
    <fb>13821356</fb>
    <v>2</v>
  </rv>
  <rv s="0">
    <fb>45401</fb>
    <v>0</v>
  </rv>
  <rv s="0">
    <fb>119.88</fb>
    <v>1</v>
  </rv>
  <rv s="0">
    <fb>21572367</fb>
    <v>2</v>
  </rv>
  <rv s="0">
    <fb>45404</fb>
    <v>0</v>
  </rv>
  <rv s="0">
    <fb>120.56</fb>
    <v>1</v>
  </rv>
  <rv s="0">
    <fb>16340694</fb>
    <v>2</v>
  </rv>
  <rv s="0">
    <fb>45405</fb>
    <v>0</v>
  </rv>
  <rv s="0">
    <fb>121.03</fb>
    <v>1</v>
  </rv>
  <rv s="0">
    <fb>13929816</fb>
    <v>2</v>
  </rv>
  <rv s="0">
    <fb>45406</fb>
    <v>0</v>
  </rv>
  <rv s="0">
    <fb>121.05</fb>
    <v>1</v>
  </rv>
  <rv s="0">
    <fb>12101161</fb>
    <v>2</v>
  </rv>
  <rv s="0">
    <fb>45407</fb>
    <v>0</v>
  </rv>
  <rv s="0">
    <fb>121.33</fb>
    <v>1</v>
  </rv>
  <rv s="0">
    <fb>16041029</fb>
    <v>2</v>
  </rv>
  <rv s="0">
    <fb>45408</fb>
    <v>0</v>
  </rv>
  <rv s="0">
    <fb>117.96</fb>
    <v>1</v>
  </rv>
  <rv s="0">
    <fb>27289468</fb>
    <v>2</v>
  </rv>
  <rv s="0">
    <fb>45411</fb>
    <v>0</v>
  </rv>
  <rv s="0">
    <fb>119.64</fb>
    <v>1</v>
  </rv>
  <rv s="0">
    <fb>17343755</fb>
    <v>2</v>
  </rv>
  <rv s="0">
    <fb>45412</fb>
    <v>0</v>
  </rv>
  <rv s="0">
    <fb>118.27</fb>
    <v>1</v>
  </rv>
  <rv s="0">
    <fb>21083294</fb>
    <v>2</v>
  </rv>
  <rv s="0">
    <fb>45413</fb>
    <v>0</v>
  </rv>
  <rv s="0">
    <fb>116.03</fb>
    <v>1</v>
  </rv>
  <rv s="0">
    <fb>27789759</fb>
    <v>2</v>
  </rv>
  <rv s="0">
    <fb>45414</fb>
    <v>0</v>
  </rv>
  <rv s="0">
    <fb>25513648</fb>
    <v>2</v>
  </rv>
  <rv s="0">
    <fb>45415</fb>
    <v>0</v>
  </rv>
  <rv s="0">
    <fb>116</fb>
    <v>1</v>
  </rv>
  <rv s="0">
    <fb>28023313</fb>
    <v>2</v>
  </rv>
  <rv s="0">
    <fb>45418</fb>
    <v>0</v>
  </rv>
  <rv s="0">
    <fb>116.75</fb>
    <v>1</v>
  </rv>
  <rv s="0">
    <fb>31401260</fb>
    <v>2</v>
  </rv>
  <rv s="0">
    <fb>45419</fb>
    <v>0</v>
  </rv>
  <rv s="0">
    <fb>116.17</fb>
    <v>1</v>
  </rv>
  <rv s="0">
    <fb>30121973</fb>
    <v>2</v>
  </rv>
  <rv s="0">
    <fb>45420</fb>
    <v>0</v>
  </rv>
  <rv s="0">
    <fb>116.15</fb>
    <v>1</v>
  </rv>
  <rv s="0">
    <fb>18957166</fb>
    <v>2</v>
  </rv>
  <rv s="0">
    <fb>45421</fb>
    <v>0</v>
  </rv>
  <rv s="0">
    <fb>118.44</fb>
    <v>1</v>
  </rv>
  <rv s="0">
    <fb>17563975</fb>
    <v>2</v>
  </rv>
  <rv s="0">
    <fb>45422</fb>
    <v>0</v>
  </rv>
  <rv s="0">
    <fb>13648130</fb>
    <v>2</v>
  </rv>
  <rv s="0">
    <fb>45425</fb>
    <v>0</v>
  </rv>
  <rv s="0">
    <fb>117.91</fb>
    <v>1</v>
  </rv>
  <rv s="0">
    <fb>15060619</fb>
    <v>2</v>
  </rv>
  <rv s="0">
    <fb>45426</fb>
    <v>0</v>
  </rv>
  <rv s="0">
    <fb>117.67</fb>
    <v>1</v>
  </rv>
  <rv s="0">
    <fb>15079131</fb>
    <v>2</v>
  </rv>
  <rv s="0">
    <fb>45427</fb>
    <v>0</v>
  </rv>
  <rv s="0">
    <fb>118.58</fb>
    <v>1</v>
  </rv>
  <rv s="0">
    <fb>18244303</fb>
    <v>2</v>
  </rv>
  <rv s="0">
    <fb>45428</fb>
    <v>0</v>
  </rv>
  <rv s="0">
    <fb>117.87</fb>
    <v>1</v>
  </rv>
  <rv s="0">
    <fb>15745202</fb>
    <v>2</v>
  </rv>
  <rv s="0">
    <fb>45429</fb>
    <v>0</v>
  </rv>
  <rv s="0">
    <fb>15104469</fb>
    <v>2</v>
  </rv>
  <rv s="0">
    <fb>45432</fb>
    <v>0</v>
  </rv>
  <rv s="0">
    <fb>118.67</fb>
    <v>1</v>
  </rv>
  <rv s="0">
    <fb>11551250</fb>
    <v>2</v>
  </rv>
  <rv s="0">
    <fb>45433</fb>
    <v>0</v>
  </rv>
  <rv s="0">
    <fb>117.85</fb>
    <v>1</v>
  </rv>
  <rv s="0">
    <fb>14494980</fb>
    <v>2</v>
  </rv>
  <rv s="0">
    <fb>45434</fb>
    <v>0</v>
  </rv>
  <rv s="0">
    <fb>115.48</fb>
    <v>1</v>
  </rv>
  <rv s="0">
    <fb>17879252</fb>
    <v>2</v>
  </rv>
  <rv s="0">
    <fb>45435</fb>
    <v>0</v>
  </rv>
  <rv s="0">
    <fb>113.51</fb>
    <v>1</v>
  </rv>
  <rv s="0">
    <fb>15979835</fb>
    <v>2</v>
  </rv>
  <rv s="0">
    <fb>45436</fb>
    <v>0</v>
  </rv>
  <rv s="0">
    <fb>113.42</fb>
    <v>1</v>
  </rv>
  <rv s="0">
    <fb>12212949</fb>
    <v>2</v>
  </rv>
  <rv s="0">
    <fb>45440</fb>
    <v>0</v>
  </rv>
  <rv s="0">
    <fb>114.86</fb>
    <v>1</v>
  </rv>
  <rv s="0">
    <fb>13978305</fb>
    <v>2</v>
  </rv>
  <rv s="0">
    <fb>45441</fb>
    <v>0</v>
  </rv>
  <rv s="0">
    <fb>113.63</fb>
    <v>1</v>
  </rv>
  <rv s="0">
    <fb>13902001</fb>
    <v>2</v>
  </rv>
  <rv s="0">
    <fb>45442</fb>
    <v>0</v>
  </rv>
  <rv s="0">
    <fb>113.99</fb>
    <v>1</v>
  </rv>
  <rv s="0">
    <fb>14691976</fb>
    <v>2</v>
  </rv>
  <rv s="0">
    <fb>45443</fb>
    <v>0</v>
  </rv>
  <rv s="0">
    <fb>117.26</fb>
    <v>1</v>
  </rv>
  <rv s="0">
    <fb>29037378</fb>
    <v>2</v>
  </rv>
  <rv s="0">
    <fb>45446</fb>
    <v>0</v>
  </rv>
  <rv s="0">
    <fb>114.45</fb>
    <v>1</v>
  </rv>
  <rv s="0">
    <fb>19589338</fb>
    <v>2</v>
  </rv>
  <rv s="0">
    <fb>45447</fb>
    <v>0</v>
  </rv>
  <rv s="0">
    <fb>112.67</fb>
    <v>1</v>
  </rv>
  <rv s="0">
    <fb>19412238</fb>
    <v>2</v>
  </rv>
  <rv s="0">
    <fb>45448</fb>
    <v>0</v>
  </rv>
  <rv s="0">
    <fb>113.12</fb>
    <v>1</v>
  </rv>
  <rv s="0">
    <fb>14863516</fb>
    <v>2</v>
  </rv>
  <rv s="0">
    <fb>45449</fb>
    <v>0</v>
  </rv>
  <rv s="0">
    <fb>113.97</fb>
    <v>1</v>
  </rv>
  <rv s="0">
    <fb>13154094</fb>
    <v>2</v>
  </rv>
  <rv s="0">
    <fb>45450</fb>
    <v>0</v>
  </rv>
  <rv s="0">
    <fb>112.75</fb>
    <v>1</v>
  </rv>
  <rv s="0">
    <fb>13289196</fb>
    <v>2</v>
  </rv>
  <rv s="0">
    <fb>45453</fb>
    <v>0</v>
  </rv>
  <rv s="0">
    <fb>113.08</fb>
    <v>1</v>
  </rv>
  <rv s="0">
    <fb>15245227</fb>
    <v>2</v>
  </rv>
  <rv s="0">
    <fb>45454</fb>
    <v>0</v>
  </rv>
  <rv s="0">
    <fb>112.17</fb>
    <v>1</v>
  </rv>
  <rv s="0">
    <fb>12462403</fb>
    <v>2</v>
  </rv>
  <rv s="0">
    <fb>45455</fb>
    <v>0</v>
  </rv>
  <rv s="0">
    <fb>110.93</fb>
    <v>1</v>
  </rv>
  <rv s="0">
    <fb>13606788</fb>
    <v>2</v>
  </rv>
  <rv s="0">
    <fb>45456</fb>
    <v>0</v>
  </rv>
  <rv s="0">
    <fb>110.04</fb>
    <v>1</v>
  </rv>
  <rv s="0">
    <fb>14466868</fb>
    <v>2</v>
  </rv>
  <rv s="0">
    <fb>45457</fb>
    <v>0</v>
  </rv>
  <rv s="0">
    <fb>109.11</fb>
    <v>1</v>
  </rv>
  <rv s="0">
    <fb>13313430</fb>
    <v>2</v>
  </rv>
  <rv s="0">
    <fb>45460</fb>
    <v>0</v>
  </rv>
  <rv s="0">
    <fb>108.36</fb>
    <v>1</v>
  </rv>
  <rv s="0">
    <fb>21147943</fb>
    <v>2</v>
  </rv>
  <rv s="0">
    <fb>45461</fb>
    <v>0</v>
  </rv>
  <rv s="0">
    <fb>109.38</fb>
    <v>1</v>
  </rv>
  <rv s="0">
    <fb>17762915</fb>
    <v>2</v>
  </rv>
  <rv s="0">
    <fb>45463</fb>
    <v>0</v>
  </rv>
  <rv s="0">
    <fb>111.74</fb>
    <v>1</v>
  </rv>
  <rv s="0">
    <fb>17433192</fb>
    <v>2</v>
  </rv>
  <rv s="0">
    <fb>45464</fb>
    <v>0</v>
  </rv>
  <rv s="0">
    <fb>110.76</fb>
    <v>1</v>
  </rv>
  <rv s="0">
    <fb>52220574</fb>
    <v>2</v>
  </rv>
  <rv s="0">
    <fb>45467</fb>
    <v>0</v>
  </rv>
  <rv s="0">
    <fb>114.05</fb>
    <v>1</v>
  </rv>
  <rv s="0">
    <fb>16266688</fb>
    <v>2</v>
  </rv>
  <rv s="0">
    <fb>45468</fb>
    <v>0</v>
  </rv>
  <rv s="0">
    <fb>114.37</fb>
    <v>1</v>
  </rv>
  <rv s="0">
    <fb>16213682</fb>
    <v>2</v>
  </rv>
  <rv s="0">
    <fb>45469</fb>
    <v>0</v>
  </rv>
  <rv s="0">
    <fb>114.41</fb>
    <v>1</v>
  </rv>
  <rv s="0">
    <fb>15771751</fb>
    <v>2</v>
  </rv>
  <rv s="0">
    <fb>45470</fb>
    <v>0</v>
  </rv>
  <rv s="0">
    <fb>114.9</fb>
    <v>1</v>
  </rv>
  <rv s="0">
    <fb>16812731</fb>
    <v>2</v>
  </rv>
  <rv s="0">
    <fb>45471</fb>
    <v>0</v>
  </rv>
  <rv s="0">
    <fb>115.12</fb>
    <v>1</v>
  </rv>
  <rv s="0">
    <fb>24565910</fb>
    <v>2</v>
  </rv>
  <rv s="0">
    <fb>45474</fb>
    <v>0</v>
  </rv>
  <rv s="0">
    <fb>114.96</fb>
    <v>1</v>
  </rv>
  <rv s="0">
    <fb>11972881</fb>
    <v>2</v>
  </rv>
  <rv s="0">
    <fb>45475</fb>
    <v>0</v>
  </rv>
  <rv s="0">
    <fb>114.18</fb>
    <v>1</v>
  </rv>
  <rv s="0">
    <fb>13326703</fb>
    <v>2</v>
  </rv>
  <rv s="0">
    <fb>45476</fb>
    <v>0</v>
  </rv>
  <rv s="0">
    <fb>114.76</fb>
    <v>1</v>
  </rv>
  <rv s="0">
    <fb>7732928</fb>
    <v>2</v>
  </rv>
  <rv s="0">
    <fb>45478</fb>
    <v>0</v>
  </rv>
  <rv s="0">
    <fb>113.37</fb>
    <v>1</v>
  </rv>
  <rv s="0">
    <fb>12630986</fb>
    <v>2</v>
  </rv>
  <rv s="0">
    <fb>45481</fb>
    <v>0</v>
  </rv>
  <rv s="0">
    <fb>112.18</fb>
    <v>1</v>
  </rv>
  <rv s="0">
    <fb>13350549</fb>
    <v>2</v>
  </rv>
  <rv s="0">
    <fb>45482</fb>
    <v>0</v>
  </rv>
  <rv s="0">
    <fb>110.94</fb>
    <v>1</v>
  </rv>
  <rv s="0">
    <fb>11729085</fb>
    <v>2</v>
  </rv>
  <rv s="0">
    <fb>45483</fb>
    <v>0</v>
  </rv>
  <rv s="0">
    <fb>111.92</fb>
    <v>1</v>
  </rv>
  <rv s="0">
    <fb>10004094</fb>
    <v>2</v>
  </rv>
  <rv s="0">
    <fb>45484</fb>
    <v>0</v>
  </rv>
  <rv s="0">
    <fb>113.25</fb>
    <v>1</v>
  </rv>
  <rv s="0">
    <fb>13084875</fb>
    <v>2</v>
  </rv>
  <rv s="0">
    <fb>45485</fb>
    <v>0</v>
  </rv>
  <rv s="0">
    <fb>113.27</fb>
    <v>1</v>
  </rv>
  <rv s="0">
    <fb>11684946</fb>
    <v>2</v>
  </rv>
  <rv s="0">
    <fb>45488</fb>
    <v>0</v>
  </rv>
  <rv s="0">
    <fb>115.21</fb>
    <v>1</v>
  </rv>
  <rv s="0">
    <fb>13032503</fb>
    <v>2</v>
  </rv>
  <rv s="0">
    <fb>45489</fb>
    <v>0</v>
  </rv>
  <rv s="0">
    <fb>116.04</fb>
    <v>1</v>
  </rv>
  <rv s="0">
    <fb>13614050</fb>
    <v>2</v>
  </rv>
  <rv s="0">
    <fb>45490</fb>
    <v>0</v>
  </rv>
  <rv s="0">
    <fb>117.64</fb>
    <v>1</v>
  </rv>
  <rv s="0">
    <fb>13602766</fb>
    <v>2</v>
  </rv>
  <rv s="0">
    <fb>45491</fb>
    <v>0</v>
  </rv>
  <rv s="0">
    <fb>118.8</fb>
    <v>1</v>
  </rv>
  <rv s="0">
    <fb>13033563</fb>
    <v>2</v>
  </rv>
  <rv s="0">
    <fb>45492</fb>
    <v>0</v>
  </rv>
  <rv s="0">
    <fb>116.07</fb>
    <v>1</v>
  </rv>
  <rv s="0">
    <fb>16157707</fb>
    <v>2</v>
  </rv>
  <rv s="0">
    <fb>45495</fb>
    <v>0</v>
  </rv>
  <rv s="0">
    <fb>115.27</fb>
    <v>1</v>
  </rv>
  <rv s="0">
    <fb>12065877</fb>
    <v>2</v>
  </rv>
  <rv s="0">
    <fb>45496</fb>
    <v>0</v>
  </rv>
  <rv s="0">
    <fb>113.41</fb>
    <v>1</v>
  </rv>
  <rv s="0">
    <fb>11251733</fb>
    <v>2</v>
  </rv>
  <rv s="0">
    <fb>45497</fb>
    <v>0</v>
  </rv>
  <rv s="0">
    <fb>115.01</fb>
    <v>1</v>
  </rv>
  <rv s="0">
    <fb>14925184</fb>
    <v>2</v>
  </rv>
  <rv s="0">
    <fb>45498</fb>
    <v>0</v>
  </rv>
  <rv s="0">
    <fb>117.43</fb>
    <v>1</v>
  </rv>
  <rv s="0">
    <fb>17021698</fb>
    <v>2</v>
  </rv>
  <rv s="0">
    <fb>45499</fb>
    <v>0</v>
  </rv>
  <rv s="0">
    <fb>117.33</fb>
    <v>1</v>
  </rv>
  <rv s="0">
    <fb>11252479</fb>
    <v>2</v>
  </rv>
  <rv s="0">
    <fb>45502</fb>
    <v>0</v>
  </rv>
  <rv s="0">
    <fb>116.1</fb>
    <v>1</v>
  </rv>
  <rv s="0">
    <fb>8861806</fb>
    <v>2</v>
  </rv>
  <rv s="0">
    <fb>45503</fb>
    <v>0</v>
  </rv>
  <rv s="0">
    <fb>118.17</fb>
    <v>1</v>
  </rv>
  <rv s="0">
    <fb>12483857</fb>
    <v>2</v>
  </rv>
  <rv s="0">
    <fb>45504</fb>
    <v>0</v>
  </rv>
  <rv s="0">
    <fb>118.59</fb>
    <v>1</v>
  </rv>
  <rv s="0">
    <fb>15137710</fb>
    <v>2</v>
  </rv>
  <rv s="0">
    <fb>45505</fb>
    <v>0</v>
  </rv>
  <rv s="0">
    <fb>116.95</fb>
    <v>1</v>
  </rv>
  <rv s="0">
    <fb>15051482</fb>
    <v>2</v>
  </rv>
  <rv s="0">
    <fb>45506</fb>
    <v>0</v>
  </rv>
  <rv s="0">
    <fb>116.88</fb>
    <v>1</v>
  </rv>
  <rv s="0">
    <fb>20403773</fb>
    <v>2</v>
  </rv>
  <rv s="0">
    <fb>45509</fb>
    <v>0</v>
  </rv>
  <rv s="0">
    <fb>114.77</fb>
    <v>1</v>
  </rv>
  <rv s="0">
    <fb>18025858</fb>
    <v>2</v>
  </rv>
  <rv s="0">
    <fb>45510</fb>
    <v>0</v>
  </rv>
  <rv s="0">
    <fb>114.16</fb>
    <v>1</v>
  </rv>
  <rv s="0">
    <fb>13647778</fb>
    <v>2</v>
  </rv>
  <rv s="0">
    <fb>45511</fb>
    <v>0</v>
  </rv>
  <rv s="0">
    <fb>115.68</fb>
    <v>1</v>
  </rv>
  <rv s="0">
    <fb>13660657</fb>
    <v>2</v>
  </rv>
  <rv s="0">
    <fb>45512</fb>
    <v>0</v>
  </rv>
  <rv s="0">
    <fb>117.89</fb>
    <v>1</v>
  </rv>
  <rv s="0">
    <fb>13850993</fb>
    <v>2</v>
  </rv>
  <rv s="0">
    <fb>45513</fb>
    <v>0</v>
  </rv>
  <rv s="0">
    <fb>118.85</fb>
    <v>1</v>
  </rv>
  <rv s="0">
    <fb>12151867</fb>
    <v>2</v>
  </rv>
  <rv s="0">
    <fb>45516</fb>
    <v>0</v>
  </rv>
  <rv s="0">
    <fb>119</fb>
    <v>1</v>
  </rv>
  <rv s="0">
    <fb>13228911</fb>
    <v>2</v>
  </rv>
  <rv s="0">
    <fb>45517</fb>
    <v>0</v>
  </rv>
  <rv s="0">
    <fb>117.86</fb>
    <v>1</v>
  </rv>
  <rv s="0">
    <fb>11585067</fb>
    <v>2</v>
  </rv>
  <rv s="0">
    <fb>45518</fb>
    <v>0</v>
  </rv>
  <rv s="0">
    <fb>118.95</fb>
    <v>1</v>
  </rv>
  <rv s="0">
    <fb>12194520</fb>
    <v>2</v>
  </rv>
  <rv s="0">
    <fb>45519</fb>
    <v>0</v>
  </rv>
  <rv s="0">
    <fb>118.73</fb>
    <v>1</v>
  </rv>
  <rv s="0">
    <fb>11579432</fb>
    <v>2</v>
  </rv>
  <rv s="0">
    <fb>45520</fb>
    <v>0</v>
  </rv>
  <rv s="0">
    <fb>10056024</fb>
    <v>2</v>
  </rv>
  <rv s="0">
    <fb>45523</fb>
    <v>0</v>
  </rv>
  <rv s="0">
    <fb>118.53</fb>
    <v>1</v>
  </rv>
  <rv s="0">
    <fb>12417467</fb>
    <v>2</v>
  </rv>
  <rv s="0">
    <fb>45524</fb>
    <v>0</v>
  </rv>
  <rv s="0">
    <fb>114.58</fb>
    <v>1</v>
  </rv>
  <rv s="0">
    <fb>15631967</fb>
    <v>2</v>
  </rv>
  <rv s="0">
    <fb>45525</fb>
    <v>0</v>
  </rv>
  <rv s="0">
    <fb>113.85</fb>
    <v>1</v>
  </rv>
  <rv s="0">
    <fb>11752358</fb>
    <v>2</v>
  </rv>
  <rv s="0">
    <fb>45526</fb>
    <v>0</v>
  </rv>
  <rv s="0">
    <fb>114.73</fb>
    <v>1</v>
  </rv>
  <rv s="0">
    <fb>10609501</fb>
    <v>2</v>
  </rv>
  <rv s="0">
    <fb>45527</fb>
    <v>0</v>
  </rv>
  <rv s="0">
    <fb>116.32</fb>
    <v>1</v>
  </rv>
  <rv s="0">
    <fb>10381431</fb>
    <v>2</v>
  </rv>
  <rv s="0">
    <fb>45530</fb>
    <v>0</v>
  </rv>
  <rv s="0">
    <fb>118.81</fb>
    <v>1</v>
  </rv>
  <rv s="0">
    <fb>13671016</fb>
    <v>2</v>
  </rv>
  <rv s="0">
    <fb>45531</fb>
    <v>0</v>
  </rv>
  <rv s="0">
    <fb>117.68</fb>
    <v>1</v>
  </rv>
  <rv s="0">
    <fb>9991631</fb>
    <v>2</v>
  </rv>
  <rv s="0">
    <fb>45532</fb>
    <v>0</v>
  </rv>
  <rv s="0">
    <fb>116.52</fb>
    <v>1</v>
  </rv>
  <rv s="0">
    <fb>10742867</fb>
    <v>2</v>
  </rv>
  <rv s="0">
    <fb>45533</fb>
    <v>0</v>
  </rv>
  <rv s="0">
    <fb>118.13</fb>
    <v>1</v>
  </rv>
  <rv s="0">
    <fb>10753895</fb>
    <v>2</v>
  </rv>
  <rv s="0">
    <fb>45534</fb>
    <v>0</v>
  </rv>
  <rv s="0">
    <fb>117.94</fb>
    <v>1</v>
  </rv>
  <rv s="0">
    <fb>13284689</fb>
    <v>2</v>
  </rv>
  <rv s="0">
    <fb>45538</fb>
    <v>0</v>
  </rv>
  <rv s="0">
    <fb>115.47</fb>
    <v>1</v>
  </rv>
  <rv s="0">
    <fb>15725139</fb>
    <v>2</v>
  </rv>
  <rv s="0">
    <fb>45539</fb>
    <v>0</v>
  </rv>
  <rv s="0">
    <fb>114.06</fb>
    <v>1</v>
  </rv>
  <rv s="0">
    <fb>12620584</fb>
    <v>2</v>
  </rv>
  <rv s="0">
    <fb>45540</fb>
    <v>0</v>
  </rv>
  <rv s="0">
    <fb>113.17</fb>
    <v>1</v>
  </rv>
  <rv s="0">
    <fb>17200770</fb>
    <v>2</v>
  </rv>
  <rv s="0">
    <fb>45541</fb>
    <v>0</v>
  </rv>
  <rv s="0">
    <fb>112.64</fb>
    <v>1</v>
  </rv>
  <rv s="0">
    <fb>13467747</fb>
    <v>2</v>
  </rv>
  <rv s="0">
    <fb>45544</fb>
    <v>0</v>
  </rv>
  <rv s="0">
    <fb>21645325</fb>
    <v>2</v>
  </rv>
  <rv s="0">
    <fb>45545</fb>
    <v>0</v>
  </rv>
  <rv s="0">
    <fb>110.82</fb>
    <v>1</v>
  </rv>
  <rv s="0">
    <fb>20913405</fb>
    <v>2</v>
  </rv>
  <rv s="0">
    <fb>45546</fb>
    <v>0</v>
  </rv>
  <rv s="0">
    <fb>109.72</fb>
    <v>1</v>
  </rv>
  <rv s="0">
    <fb>19571945</fb>
    <v>2</v>
  </rv>
  <rv s="0">
    <fb>45547</fb>
    <v>0</v>
  </rv>
  <rv s="0">
    <fb>111.23</fb>
    <v>1</v>
  </rv>
  <rv s="0">
    <fb>15923318</fb>
    <v>2</v>
  </rv>
  <rv s="0">
    <fb>45548</fb>
    <v>0</v>
  </rv>
  <rv s="0">
    <fb>111.15</fb>
    <v>1</v>
  </rv>
  <rv s="0">
    <fb>10035392</fb>
    <v>2</v>
  </rv>
  <rv s="0">
    <fb>45551</fb>
    <v>0</v>
  </rv>
  <rv s="0">
    <fb>112.71</fb>
    <v>1</v>
  </rv>
  <rv s="0">
    <fb>11729034</fb>
    <v>2</v>
  </rv>
  <rv s="0">
    <fb>45552</fb>
    <v>0</v>
  </rv>
  <rv s="0">
    <fb>12202556</fb>
    <v>2</v>
  </rv>
  <rv s="0">
    <fb>45553</fb>
    <v>0</v>
  </rv>
  <rv s="0">
    <fb>12569929</fb>
    <v>2</v>
  </rv>
  <rv s="0">
    <fb>45554</fb>
    <v>0</v>
  </rv>
  <rv s="0">
    <fb>12660642</fb>
    <v>2</v>
  </rv>
  <rv s="0">
    <fb>45555</fb>
    <v>0</v>
  </rv>
  <rv s="0">
    <fb>36206195</fb>
    <v>2</v>
  </rv>
  <rv s="0">
    <fb>45558</fb>
    <v>0</v>
  </rv>
  <rv s="0">
    <fb>117.36</fb>
    <v>1</v>
  </rv>
  <rv s="0">
    <fb>16066285</fb>
    <v>2</v>
  </rv>
  <rv s="0">
    <fb>45559</fb>
    <v>0</v>
  </rv>
  <rv s="0">
    <fb>117.05</fb>
    <v>1</v>
  </rv>
  <rv s="0">
    <fb>11984863</fb>
    <v>2</v>
  </rv>
  <rv s="0">
    <fb>45560</fb>
    <v>0</v>
  </rv>
  <rv s="0">
    <fb>13816041</fb>
    <v>2</v>
  </rv>
  <rv s="0">
    <fb>45561</fb>
    <v>0</v>
  </rv>
  <rv s="0">
    <fb>112.8</fb>
    <v>1</v>
  </rv>
  <rv s="0">
    <fb>16887908</fb>
    <v>2</v>
  </rv>
  <rv s="0">
    <fb>45562</fb>
    <v>0</v>
  </rv>
  <rv s="0">
    <fb>115.82</fb>
    <v>1</v>
  </rv>
  <rv s="0">
    <fb>15963973</fb>
    <v>2</v>
  </rv>
  <rv s="0">
    <fb>45565</fb>
    <v>0</v>
  </rv>
  <rv s="0">
    <fb>117.22</fb>
    <v>1</v>
  </rv>
  <rv s="0">
    <fb>13250657</fb>
    <v>2</v>
  </rv>
  <rv s="0">
    <fb>45566</fb>
    <v>0</v>
  </rv>
  <rv s="0">
    <fb>119.93</fb>
    <v>1</v>
  </rv>
  <rv s="0">
    <fb>23235878</fb>
    <v>2</v>
  </rv>
  <rv s="0">
    <fb>45567</fb>
    <v>0</v>
  </rv>
  <rv s="0">
    <fb>121.52</fb>
    <v>1</v>
  </rv>
  <rv s="0">
    <fb>17129676</fb>
    <v>2</v>
  </rv>
  <rv s="0">
    <fb>45568</fb>
    <v>0</v>
  </rv>
  <rv s="0">
    <fb>122.58</fb>
    <v>1</v>
  </rv>
  <rv s="0">
    <fb>16524334</fb>
    <v>2</v>
  </rv>
  <rv s="0">
    <fb>45569</fb>
    <v>0</v>
  </rv>
  <rv s="0">
    <fb>124.83</fb>
    <v>1</v>
  </rv>
  <rv s="0">
    <fb>19759207</fb>
    <v>2</v>
  </rv>
  <rv s="0">
    <fb>45572</fb>
    <v>0</v>
  </rv>
  <rv s="0">
    <fb>125.37</fb>
    <v>1</v>
  </rv>
  <rv s="0">
    <fb>15714440</fb>
    <v>2</v>
  </rv>
  <rv s="0">
    <fb>45573</fb>
    <v>0</v>
  </rv>
  <rv s="0">
    <fb>122.04</fb>
    <v>1</v>
  </rv>
  <rv s="0">
    <fb>14818475</fb>
    <v>2</v>
  </rv>
  <rv s="0">
    <fb>45574</fb>
    <v>0</v>
  </rv>
  <rv s="0">
    <fb>122.09</fb>
    <v>1</v>
  </rv>
  <rv s="0">
    <fb>11144864</fb>
    <v>2</v>
  </rv>
  <rv s="0">
    <fb>45575</fb>
    <v>0</v>
  </rv>
  <rv s="0">
    <fb>123.14</fb>
    <v>1</v>
  </rv>
  <rv s="0">
    <fb>10243320</fb>
    <v>2</v>
  </rv>
  <rv s="0">
    <fb>45576</fb>
    <v>0</v>
  </rv>
  <rv s="0">
    <fb>123.61</fb>
    <v>1</v>
  </rv>
  <rv s="0">
    <fb>8294839</fb>
    <v>2</v>
  </rv>
  <rv s="0">
    <fb>45579</fb>
    <v>0</v>
  </rv>
  <rv s="0">
    <fb>124.08</fb>
    <v>1</v>
  </rv>
  <rv s="0">
    <fb>9808122</fb>
    <v>2</v>
  </rv>
  <rv s="0">
    <fb>45580</fb>
    <v>0</v>
  </rv>
  <rv s="0">
    <fb>120.35</fb>
    <v>1</v>
  </rv>
  <rv s="0">
    <fb>15771317</fb>
    <v>2</v>
  </rv>
  <rv s="0">
    <fb>45581</fb>
    <v>0</v>
  </rv>
  <rv s="0">
    <fb>120.66</fb>
    <v>1</v>
  </rv>
  <rv s="0">
    <fb>8426770</fb>
    <v>2</v>
  </rv>
  <rv s="0">
    <fb>45582</fb>
    <v>0</v>
  </rv>
  <rv s="0">
    <fb>11204857</fb>
    <v>2</v>
  </rv>
  <rv s="0">
    <fb>45583</fb>
    <v>0</v>
  </rv>
  <rv s="0">
    <fb>120.01</fb>
    <v>1</v>
  </rv>
  <rv s="0">
    <fb>12898640</fb>
    <v>2</v>
  </rv>
  <rv s="0">
    <fb>45586</fb>
    <v>0</v>
  </rv>
  <rv s="0">
    <fb>120.08</fb>
    <v>1</v>
  </rv>
  <rv s="0">
    <fb>10177777</fb>
    <v>2</v>
  </rv>
  <rv s="0">
    <fb>45587</fb>
    <v>0</v>
  </rv>
  <rv s="0">
    <fb>120.7</fb>
    <v>1</v>
  </rv>
  <rv s="0">
    <fb>9201408</fb>
    <v>2</v>
  </rv>
  <rv s="0">
    <fb>45588</fb>
    <v>0</v>
  </rv>
  <rv s="0">
    <fb>120.27</fb>
    <v>1</v>
  </rv>
  <rv s="0">
    <fb>8320330</fb>
    <v>2</v>
  </rv>
  <rv s="0">
    <fb>45589</fb>
    <v>0</v>
  </rv>
  <rv s="0">
    <fb>119.59</fb>
    <v>1</v>
  </rv>
  <rv s="0">
    <fb>9905556</fb>
    <v>2</v>
  </rv>
  <rv s="0">
    <fb>45590</fb>
    <v>0</v>
  </rv>
  <rv s="0">
    <fb>119.49</fb>
    <v>1</v>
  </rv>
  <rv s="0">
    <fb>10714583</fb>
    <v>2</v>
  </rv>
  <rv s="0">
    <fb>45593</fb>
    <v>0</v>
  </rv>
  <rv s="0">
    <fb>118.9</fb>
    <v>1</v>
  </rv>
  <rv s="0">
    <fb>11844545</fb>
    <v>2</v>
  </rv>
  <rv s="0">
    <fb>45594</fb>
    <v>0</v>
  </rv>
  <rv s="0">
    <fb>117.28</fb>
    <v>1</v>
  </rv>
  <rv s="0">
    <fb>14731024</fb>
    <v>2</v>
  </rv>
  <rv s="0">
    <fb>45595</fb>
    <v>0</v>
  </rv>
  <rv s="0">
    <fb>116.69</fb>
    <v>1</v>
  </rv>
  <rv s="0">
    <fb>12303738</fb>
    <v>2</v>
  </rv>
  <rv s="0">
    <fb>45596</fb>
    <v>0</v>
  </rv>
  <rv s="0">
    <fb>116.78</fb>
    <v>1</v>
  </rv>
  <rv s="0">
    <fb>20511977</fb>
    <v>2</v>
  </rv>
  <rv s="0">
    <fb>45597</fb>
    <v>0</v>
  </rv>
  <rv s="0">
    <fb>114.95</fb>
    <v>1</v>
  </rv>
  <rv s="0">
    <fb>20939321</fb>
    <v>2</v>
  </rv>
  <rv s="0">
    <fb>45600</fb>
    <v>0</v>
  </rv>
  <rv s="0">
    <fb>118.61</fb>
    <v>1</v>
  </rv>
  <rv s="0">
    <fb>14825392</fb>
    <v>2</v>
  </rv>
  <rv s="0">
    <fb>45601</fb>
    <v>0</v>
  </rv>
  <rv s="0">
    <fb>118.96</fb>
    <v>1</v>
  </rv>
  <rv s="0">
    <fb>10436744</fb>
    <v>2</v>
  </rv>
  <rv s="0">
    <fb>45602</fb>
    <v>0</v>
  </rv>
  <rv s="0">
    <fb>121</fb>
    <v>1</v>
  </rv>
  <rv s="0">
    <fb>20807681</fb>
    <v>2</v>
  </rv>
  <rv s="0">
    <fb>45603</fb>
    <v>0</v>
  </rv>
  <rv s="0">
    <fb>121.15</fb>
    <v>1</v>
  </rv>
  <rv s="0">
    <fb>12184431</fb>
    <v>2</v>
  </rv>
  <rv s="0">
    <fb>45604</fb>
    <v>0</v>
  </rv>
  <rv s="0">
    <fb>121.11</fb>
    <v>1</v>
  </rv>
  <rv s="0">
    <fb>12835969</fb>
    <v>2</v>
  </rv>
  <rv s="0">
    <fb>45607</fb>
    <v>0</v>
  </rv>
  <rv s="0">
    <fb>120.47</fb>
    <v>1</v>
  </rv>
  <rv s="0">
    <fb>11969663</fb>
    <v>2</v>
  </rv>
  <rv s="0">
    <fb>45608</fb>
    <v>0</v>
  </rv>
  <rv s="0">
    <fb>11972802</fb>
    <v>2</v>
  </rv>
  <rv s="0">
    <fb>45609</fb>
    <v>0</v>
  </rv>
  <rv s="0">
    <fb>121.47</fb>
    <v>1</v>
  </rv>
  <rv s="0">
    <fb>15127877</fb>
    <v>2</v>
  </rv>
  <rv s="0">
    <fb>45610</fb>
    <v>0</v>
  </rv>
  <rv s="0">
    <fb>13041845</fb>
    <v>2</v>
  </rv>
  <rv s="0">
    <fb>45611</fb>
    <v>0</v>
  </rv>
  <rv s="0">
    <fb>119.31</fb>
    <v>1</v>
  </rv>
  <rv s="0">
    <fb>19051713</fb>
    <v>2</v>
  </rv>
  <rv s="0">
    <fb>45614</fb>
    <v>0</v>
  </rv>
  <rv s="0">
    <fb>120.31</fb>
    <v>1</v>
  </rv>
  <rv s="0">
    <fb>14243701</fb>
    <v>2</v>
  </rv>
  <rv s="0">
    <fb>45615</fb>
    <v>0</v>
  </rv>
  <rv s="0">
    <fb>11584382</fb>
    <v>2</v>
  </rv>
  <rv s="0">
    <fb>45616</fb>
    <v>0</v>
  </rv>
  <rv s="0">
    <fb>120.32</fb>
    <v>1</v>
  </rv>
  <rv s="0">
    <fb>11360932</fb>
    <v>2</v>
  </rv>
  <rv s="0">
    <fb>45617</fb>
    <v>0</v>
  </rv>
  <rv s="0">
    <fb>121.93</fb>
    <v>1</v>
  </rv>
  <rv s="0">
    <fb>14675422</fb>
    <v>2</v>
  </rv>
  <rv s="0">
    <fb>45618</fb>
    <v>0</v>
  </rv>
  <rv s="0">
    <fb>13323431</fb>
    <v>2</v>
  </rv>
  <rv s="0">
    <fb>45621</fb>
    <v>0</v>
  </rv>
  <rv s="0">
    <fb>119.97</fb>
    <v>1</v>
  </rv>
  <rv s="0">
    <fb>26580295</fb>
    <v>2</v>
  </rv>
  <rv s="0">
    <fb>45622</fb>
    <v>0</v>
  </rv>
  <rv s="0">
    <fb>117.97</fb>
    <v>1</v>
  </rv>
  <rv s="0">
    <fb>14827327</fb>
    <v>2</v>
  </rv>
  <rv s="0">
    <fb>45623</fb>
    <v>0</v>
  </rv>
  <rv s="0">
    <fb>117.66</fb>
    <v>1</v>
  </rv>
  <rv s="0">
    <fb>11079122</fb>
    <v>2</v>
  </rv>
  <rv s="0">
    <fb>45625</fb>
    <v>0</v>
  </rv>
  <rv s="0">
    <fb>9426499</fb>
    <v>2</v>
  </rv>
  <rv s="0">
    <fb>45628</fb>
    <v>0</v>
  </rv>
  <rv s="0">
    <fb>12687317</fb>
    <v>2</v>
  </rv>
  <rv s="0">
    <fb>45629</fb>
    <v>0</v>
  </rv>
  <rv s="0">
    <fb>11756566</fb>
    <v>2</v>
  </rv>
  <rv s="0">
    <fb>45630</fb>
    <v>0</v>
  </rv>
  <rv s="0">
    <fb>114.28</fb>
    <v>1</v>
  </rv>
  <rv s="0">
    <fb>19520583</fb>
    <v>2</v>
  </rv>
  <rv s="0">
    <fb>45631</fb>
    <v>0</v>
  </rv>
  <rv s="0">
    <fb>114.78</fb>
    <v>1</v>
  </rv>
  <rv s="0">
    <fb>15751204</fb>
    <v>2</v>
  </rv>
  <rv s="0">
    <fb>45632</fb>
    <v>0</v>
  </rv>
  <rv s="0">
    <fb>113.57</fb>
    <v>1</v>
  </rv>
  <rv s="0">
    <fb>16171066</fb>
    <v>2</v>
  </rv>
  <rv s="0">
    <fb>45635</fb>
    <v>0</v>
  </rv>
  <rv s="0">
    <fb>112.9</fb>
    <v>1</v>
  </rv>
  <rv s="0">
    <fb>17412565</fb>
    <v>2</v>
  </rv>
  <rv s="0">
    <fb>45636</fb>
    <v>0</v>
  </rv>
  <rv s="0">
    <fb>20990943</fb>
    <v>2</v>
  </rv>
  <rv s="0">
    <fb>45637</fb>
    <v>0</v>
  </rv>
  <rv s="0">
    <fb>32392238</fb>
    <v>2</v>
  </rv>
  <rv s="0">
    <fb>45638</fb>
    <v>0</v>
  </rv>
  <rv s="0">
    <fb>111.82</fb>
    <v>1</v>
  </rv>
  <rv s="0">
    <fb>14543256</fb>
    <v>2</v>
  </rv>
  <rv s="0">
    <fb>45639</fb>
    <v>0</v>
  </rv>
  <rv s="0">
    <fb>110.84</fb>
    <v>1</v>
  </rv>
  <rv s="0">
    <fb>13106079</fb>
    <v>2</v>
  </rv>
  <rv s="0">
    <fb>45642</fb>
    <v>0</v>
  </rv>
  <rv s="0">
    <fb>108.47</fb>
    <v>1</v>
  </rv>
  <rv s="0">
    <fb>20256088</fb>
    <v>2</v>
  </rv>
  <rv s="0">
    <fb>45643</fb>
    <v>0</v>
  </rv>
  <rv s="0">
    <fb>108.01</fb>
    <v>1</v>
  </rv>
  <rv s="0">
    <fb>17553995</fb>
    <v>2</v>
  </rv>
  <rv s="0">
    <fb>45644</fb>
    <v>0</v>
  </rv>
  <rv s="0">
    <fb>106.42</fb>
    <v>1</v>
  </rv>
  <rv s="0">
    <fb>17114542</fb>
    <v>2</v>
  </rv>
  <rv s="0">
    <fb>45645</fb>
    <v>0</v>
  </rv>
  <rv s="0">
    <fb>105.51</fb>
    <v>1</v>
  </rv>
  <rv s="0">
    <fb>20565557</fb>
    <v>2</v>
  </rv>
  <rv s="0">
    <fb>45646</fb>
    <v>0</v>
  </rv>
  <rv s="0">
    <fb>105.87</fb>
    <v>1</v>
  </rv>
  <rv s="0">
    <fb>40141153</fb>
    <v>2</v>
  </rv>
  <rv s="0">
    <fb>45649</fb>
    <v>0</v>
  </rv>
  <rv s="0">
    <fb>106.3</fb>
    <v>1</v>
  </rv>
  <rv s="0">
    <fb>12285078</fb>
    <v>2</v>
  </rv>
  <rv s="0">
    <fb>45650</fb>
    <v>0</v>
  </rv>
  <rv s="0">
    <fb>106.4</fb>
    <v>1</v>
  </rv>
  <rv s="0">
    <fb>7806997</fb>
    <v>2</v>
  </rv>
  <rv s="0">
    <fb>45652</fb>
    <v>0</v>
  </rv>
  <rv s="0">
    <fb>106.49</fb>
    <v>1</v>
  </rv>
  <rv s="0">
    <fb>9653408</fb>
    <v>2</v>
  </rv>
  <rv s="0">
    <fb>45653</fb>
    <v>0</v>
  </rv>
  <rv s="0">
    <fb>106.48</fb>
    <v>1</v>
  </rv>
  <rv s="0">
    <fb>11943906</fb>
    <v>2</v>
  </rv>
  <rv s="0">
    <fb>45656</fb>
    <v>0</v>
  </rv>
  <rv s="0">
    <fb>105.76</fb>
    <v>1</v>
  </rv>
  <rv s="0">
    <fb>11080770</fb>
    <v>2</v>
  </rv>
  <rv s="0">
    <fb>45657</fb>
    <v>0</v>
  </rv>
  <rv s="0">
    <fb>107.57</fb>
    <v>1</v>
  </rv>
  <rv s="0">
    <fb>12387756</fb>
    <v>2</v>
  </rv>
  <rv s="0">
    <fb>45659</fb>
    <v>0</v>
  </rv>
  <rv s="0">
    <fb>107.31</fb>
    <v>1</v>
  </rv>
  <rv s="0">
    <fb>12685447</fb>
    <v>2</v>
  </rv>
  <rv s="0">
    <fb>45660</fb>
    <v>0</v>
  </rv>
  <rv s="0">
    <fb>107.86</fb>
    <v>1</v>
  </rv>
  <rv s="0">
    <fb>14237885</fb>
    <v>2</v>
  </rv>
  <rv s="0">
    <fb>45663</fb>
    <v>0</v>
  </rv>
  <rv s="0">
    <fb>107.74</fb>
    <v>1</v>
  </rv>
  <rv s="0">
    <fb>15623677</fb>
    <v>2</v>
  </rv>
  <rv s="0">
    <fb>45664</fb>
    <v>0</v>
  </rv>
  <rv s="0">
    <fb>108.75</fb>
    <v>1</v>
  </rv>
  <rv s="0">
    <fb>12625890</fb>
    <v>2</v>
  </rv>
  <rv s="0">
    <fb>45665</fb>
    <v>0</v>
  </rv>
  <rv s="0">
    <fb>106.93</fb>
    <v>1</v>
  </rv>
  <rv s="0">
    <fb>17858110</fb>
    <v>2</v>
  </rv>
  <rv s="0">
    <fb>45667</fb>
    <v>0</v>
  </rv>
  <rv s="0">
    <fb>106.54</fb>
    <v>1</v>
  </rv>
  <rv s="0">
    <fb>19304499</fb>
    <v>2</v>
  </rv>
  <rv s="0">
    <fb>45670</fb>
    <v>0</v>
  </rv>
  <rv s="0">
    <fb>109.29</fb>
    <v>1</v>
  </rv>
  <rv s="0">
    <fb>17073395</fb>
    <v>2</v>
  </rv>
  <rv s="0">
    <fb>45671</fb>
    <v>0</v>
  </rv>
  <rv s="0">
    <fb>11191175</fb>
    <v>2</v>
  </rv>
  <rv s="0">
    <fb>45672</fb>
    <v>0</v>
  </rv>
  <rv s="0">
    <fb>111.51</fb>
    <v>1</v>
  </rv>
  <rv s="0">
    <fb>14521095</fb>
    <v>2</v>
  </rv>
  <rv s="0">
    <fb>45673</fb>
    <v>0</v>
  </rv>
  <rv s="0">
    <fb>111.32</fb>
    <v>1</v>
  </rv>
  <rv s="0">
    <fb>10366585</fb>
    <v>2</v>
  </rv>
  <rv s="0">
    <fb>45674</fb>
    <v>0</v>
  </rv>
  <rv s="0">
    <fb>112.32</fb>
    <v>1</v>
  </rv>
  <rv s="0">
    <fb>19298504</fb>
    <v>2</v>
  </rv>
  <rv s="0">
    <fb>45678</fb>
    <v>0</v>
  </rv>
  <rv s="0">
    <fb>20416286</fb>
    <v>2</v>
  </rv>
  <rv s="0">
    <fb>45679</fb>
    <v>0</v>
  </rv>
  <rv s="0">
    <fb>15718012</fb>
    <v>2</v>
  </rv>
  <rv s="0">
    <fb>45680</fb>
    <v>0</v>
  </rv>
  <rv s="0">
    <fb>110.15</fb>
    <v>1</v>
  </rv>
  <rv s="0">
    <fb>13726784</fb>
    <v>2</v>
  </rv>
  <rv s="0">
    <fb>45681</fb>
    <v>0</v>
  </rv>
  <rv s="0">
    <fb>108.66</fb>
    <v>1</v>
  </rv>
  <rv s="0">
    <fb>14235885</fb>
    <v>2</v>
  </rv>
  <rv s="0">
    <fb>45684</fb>
    <v>0</v>
  </rv>
  <rv s="0">
    <fb>110.17</fb>
    <v>1</v>
  </rv>
  <rv s="0">
    <fb>15926670</fb>
    <v>2</v>
  </rv>
  <rv s="0">
    <fb>45685</fb>
    <v>0</v>
  </rv>
  <rv s="0">
    <fb>108.04</fb>
    <v>1</v>
  </rv>
  <rv s="0">
    <fb>15862029</fb>
    <v>2</v>
  </rv>
  <rv s="0">
    <fb>45686</fb>
    <v>0</v>
  </rv>
  <rv s="0">
    <fb>108.67</fb>
    <v>1</v>
  </rv>
  <rv s="0">
    <fb>12345523</fb>
    <v>2</v>
  </rv>
  <rv s="0">
    <fb>45687</fb>
    <v>0</v>
  </rv>
  <rv s="0">
    <fb>109.57</fb>
    <v>1</v>
  </rv>
  <rv s="0">
    <fb>14346335</fb>
    <v>2</v>
  </rv>
  <rv s="0">
    <fb>45688</fb>
    <v>0</v>
  </rv>
  <rv s="0">
    <fb>106.83</fb>
    <v>1</v>
  </rv>
  <rv s="0">
    <fb>20381446</fb>
    <v>2</v>
  </rv>
  <rv s="0">
    <fb>45691</fb>
    <v>0</v>
  </rv>
  <rv s="0">
    <fb>107.09</fb>
    <v>1</v>
  </rv>
  <rv s="0">
    <fb>14623197</fb>
    <v>2</v>
  </rv>
  <rv s="0">
    <fb>45692</fb>
    <v>0</v>
  </rv>
  <rv s="0">
    <fb>109.96</fb>
    <v>1</v>
  </rv>
  <rv s="0">
    <fb>14835692</fb>
    <v>2</v>
  </rv>
  <rv s="0">
    <fb>45693</fb>
    <v>0</v>
  </rv>
  <rv s="0">
    <fb>109.88</fb>
    <v>1</v>
  </rv>
  <rv s="0">
    <fb>13364387</fb>
    <v>2</v>
  </rv>
  <rv s="0">
    <fb>45694</fb>
    <v>0</v>
  </rv>
  <rv s="0">
    <fb>108.43</fb>
    <v>1</v>
  </rv>
  <rv s="0">
    <fb>13411401</fb>
    <v>2</v>
  </rv>
  <rv s="0">
    <fb>45695</fb>
    <v>0</v>
  </rv>
  <rv s="0">
    <fb>108.89</fb>
    <v>1</v>
  </rv>
  <rv s="0">
    <fb>10051626</fb>
    <v>2</v>
  </rv>
  <rv s="0">
    <fb>45698</fb>
    <v>0</v>
  </rv>
  <rv s="0">
    <fb>110.97</fb>
    <v>1</v>
  </rv>
  <rv s="0">
    <fb>12142197</fb>
    <v>2</v>
  </rv>
  <rv s="0">
    <fb>45699</fb>
    <v>0</v>
  </rv>
  <rv s="0">
    <fb>111.67</fb>
    <v>1</v>
  </rv>
  <rv s="0">
    <fb>12713127</fb>
    <v>2</v>
  </rv>
  <rv s="0">
    <fb>45700</fb>
    <v>0</v>
  </rv>
  <rv s="0">
    <fb>107.35</fb>
    <v>1</v>
  </rv>
  <rv s="0">
    <fb>18244122</fb>
    <v>2</v>
  </rv>
  <rv s="0">
    <fb>45701</fb>
    <v>0</v>
  </rv>
  <rv s="0">
    <fb>108.13</fb>
    <v>1</v>
  </rv>
  <rv s="0">
    <fb>15459952</fb>
    <v>2</v>
  </rv>
  <rv s="0">
    <fb>45702</fb>
    <v>0</v>
  </rv>
  <rv s="0">
    <fb>108.24</fb>
    <v>1</v>
  </rv>
  <rv s="0">
    <fb>15733529</fb>
    <v>2</v>
  </rv>
  <rv s="0">
    <fb>45706</fb>
    <v>0</v>
  </rv>
  <rv s="0">
    <fb>110.14</fb>
    <v>1</v>
  </rv>
  <rv s="0">
    <fb>20060298</fb>
    <v>2</v>
  </rv>
  <rv s="0">
    <fb>45707</fb>
    <v>0</v>
  </rv>
  <rv s="0">
    <fb>110.3</fb>
    <v>1</v>
  </rv>
  <rv s="0">
    <fb>10964698</fb>
    <v>2</v>
  </rv>
  <rv s="0">
    <fb>45708</fb>
    <v>0</v>
  </rv>
  <rv s="0">
    <fb>112</fb>
    <v>1</v>
  </rv>
  <rv s="0">
    <fb>16325803</fb>
    <v>2</v>
  </rv>
  <rv s="0">
    <fb>45709</fb>
    <v>0</v>
  </rv>
  <rv s="0">
    <fb>110.69</fb>
    <v>1</v>
  </rv>
  <rv s="0">
    <fb>14709985</fb>
    <v>2</v>
  </rv>
  <rv s="0">
    <fb>45712</fb>
    <v>0</v>
  </rv>
  <rv s="0">
    <fb>13153471</fb>
    <v>2</v>
  </rv>
  <rv s="0">
    <fb>45713</fb>
    <v>0</v>
  </rv>
  <rv s="0">
    <fb>109.73</fb>
    <v>1</v>
  </rv>
  <rv s="0">
    <fb>14496964</fb>
    <v>2</v>
  </rv>
  <rv s="0">
    <fb>45714</fb>
    <v>0</v>
  </rv>
  <rv s="0">
    <fb>109.46</fb>
    <v>1</v>
  </rv>
  <rv s="0">
    <fb>10446405</fb>
    <v>2</v>
  </rv>
  <rv s="0">
    <fb>45715</fb>
    <v>0</v>
  </rv>
  <rv s="0">
    <fb>15293173</fb>
    <v>2</v>
  </rv>
  <rv s="0">
    <fb>45716</fb>
    <v>0</v>
  </rv>
  <rv s="0">
    <fb>111.33</fb>
    <v>1</v>
  </rv>
  <rv s="0">
    <fb>18821665</fb>
    <v>2</v>
  </rv>
  <rv s="0">
    <fb>45719</fb>
    <v>0</v>
  </rv>
  <rv s="0">
    <fb>107.76</fb>
    <v>1</v>
  </rv>
  <rv s="0">
    <fb>18706879</fb>
    <v>2</v>
  </rv>
  <rv s="0">
    <fb>45720</fb>
    <v>0</v>
  </rv>
  <rv s="0">
    <fb>107.54</fb>
    <v>1</v>
  </rv>
  <rv s="0">
    <fb>19394905</fb>
    <v>2</v>
  </rv>
  <rv s="0">
    <fb>45721</fb>
    <v>0</v>
  </rv>
  <rv s="0">
    <fb>105.44</fb>
    <v>1</v>
  </rv>
  <rv s="0">
    <fb>24822245</fb>
    <v>2</v>
  </rv>
  <rv s="0">
    <fb>45722</fb>
    <v>0</v>
  </rv>
  <rv s="0">
    <fb>107.62</fb>
    <v>1</v>
  </rv>
  <rv s="0">
    <fb>17150233</fb>
    <v>2</v>
  </rv>
  <rv s="0">
    <fb>45723</fb>
    <v>0</v>
  </rv>
  <rv s="0">
    <fb>19624965</fb>
    <v>2</v>
  </rv>
  <rv s="0">
    <fb>45726</fb>
    <v>0</v>
  </rv>
  <rv s="0">
    <fb>111.8</fb>
    <v>1</v>
  </rv>
  <rv s="0">
    <fb>22749073</fb>
    <v>2</v>
  </rv>
  <rv s="0">
    <fb>45727</fb>
    <v>0</v>
  </rv>
  <rv s="0">
    <fb>109.16</fb>
    <v>1</v>
  </rv>
  <rv s="0">
    <fb>19904735</fb>
    <v>2</v>
  </rv>
  <rv s="0">
    <fb>45728</fb>
    <v>0</v>
  </rv>
  <rv s="0">
    <fb>109.13</fb>
    <v>1</v>
  </rv>
  <rv s="0">
    <fb>14051500</fb>
    <v>2</v>
  </rv>
  <rv s="0">
    <fb>45729</fb>
    <v>0</v>
  </rv>
  <rv s="0">
    <fb>17767836</fb>
    <v>2</v>
  </rv>
  <rv s="0">
    <fb>45730</fb>
    <v>0</v>
  </rv>
  <rv s="0">
    <fb>111.9</fb>
    <v>1</v>
  </rv>
  <rv s="0">
    <fb>15890063</fb>
    <v>2</v>
  </rv>
  <rv s="0">
    <fb>45733</fb>
    <v>0</v>
  </rv>
  <rv s="0">
    <fb>113.76</fb>
    <v>1</v>
  </rv>
  <rv s="0">
    <fb>19908789</fb>
    <v>2</v>
  </rv>
  <rv s="0">
    <fb>45734</fb>
    <v>0</v>
  </rv>
  <rv s="0">
    <fb>113.64</fb>
    <v>1</v>
  </rv>
  <rv s="0">
    <fb>15998713</fb>
    <v>2</v>
  </rv>
  <rv s="0">
    <fb>45735</fb>
    <v>0</v>
  </rv>
  <rv s="0">
    <fb>115.41</fb>
    <v>1</v>
  </rv>
  <rv s="0">
    <fb>17315001</fb>
    <v>2</v>
  </rv>
  <rv s="0">
    <fb>45736</fb>
    <v>0</v>
  </rv>
  <rv s="0">
    <fb>115.9</fb>
    <v>1</v>
  </rv>
  <rv s="0">
    <fb>16230772</fb>
    <v>2</v>
  </rv>
  <rv s="0">
    <fb>45737</fb>
    <v>0</v>
  </rv>
  <rv s="0">
    <fb>115.5</fb>
    <v>1</v>
  </rv>
  <rv s="0">
    <fb>41102795</fb>
    <v>2</v>
  </rv>
  <rv s="0">
    <fb>45740</fb>
    <v>0</v>
  </rv>
  <rv s="0">
    <fb>115.8</fb>
    <v>1</v>
  </rv>
  <rv s="0">
    <fb>14207469</fb>
    <v>2</v>
  </rv>
  <rv s="0">
    <fb>45741</fb>
    <v>0</v>
  </rv>
  <rv s="0">
    <fb>116.59</fb>
    <v>1</v>
  </rv>
  <rv s="0">
    <fb>12081795</fb>
    <v>2</v>
  </rv>
  <rv s="0">
    <fb>45742</fb>
    <v>0</v>
  </rv>
  <rv s="0">
    <fb>14112756</fb>
    <v>2</v>
  </rv>
  <rv s="0">
    <fb>45743</fb>
    <v>0</v>
  </rv>
  <rv s="0">
    <fb>12740786</fb>
    <v>2</v>
  </rv>
  <rv s="0">
    <fb>45744</fb>
    <v>0</v>
  </rv>
  <rv s="0">
    <fb>117.73</fb>
    <v>1</v>
  </rv>
  <rv s="0">
    <fb>10233433</fb>
    <v>2</v>
  </rv>
  <rv s="0">
    <fb>45747</fb>
    <v>0</v>
  </rv>
  <rv s="0">
    <fb>118.93</fb>
    <v>1</v>
  </rv>
  <rv s="0">
    <fb>21652345</fb>
    <v>2</v>
  </rv>
  <rv s="0">
    <fb>45748</fb>
    <v>0</v>
  </rv>
  <rv s="0">
    <fb>119.04</fb>
    <v>1</v>
  </rv>
  <rv s="0">
    <fb>12425434</fb>
    <v>2</v>
  </rv>
  <rv s="0">
    <fb>45749</fb>
    <v>0</v>
  </rv>
  <rv s="0">
    <fb>12614605</fb>
    <v>2</v>
  </rv>
  <rv s="0">
    <fb>45750</fb>
    <v>0</v>
  </rv>
  <rv s="0">
    <fb>112.43</fb>
    <v>1</v>
  </rv>
  <rv s="0">
    <fb>21204636</fb>
    <v>2</v>
  </rv>
  <rv s="0">
    <fb>45751</fb>
    <v>0</v>
  </rv>
  <rv s="0">
    <fb>104.34</fb>
    <v>1</v>
  </rv>
  <rv s="0">
    <fb>30841318</fb>
    <v>2</v>
  </rv>
  <rv s="0">
    <fb>45754</fb>
    <v>0</v>
  </rv>
  <rv s="0">
    <fb>102.94</fb>
    <v>1</v>
  </rv>
  <rv s="0">
    <fb>35068450</fb>
    <v>2</v>
  </rv>
  <rv s="0">
    <fb>45755</fb>
    <v>0</v>
  </rv>
  <rv s="0">
    <fb>100.77</fb>
    <v>1</v>
  </rv>
  <rv s="0">
    <fb>27147750</fb>
    <v>2</v>
  </rv>
  <rv s="0">
    <fb>45756</fb>
    <v>0</v>
  </rv>
  <rv s="0">
    <fb>105.8</fb>
    <v>1</v>
  </rv>
  <rv s="0">
    <fb>30063287</fb>
    <v>2</v>
  </rv>
  <rv s="0">
    <fb>45757</fb>
    <v>0</v>
  </rv>
  <rv s="0">
    <fb>99.93</fb>
    <v>1</v>
  </rv>
  <rv s="0">
    <fb>33999317</fb>
    <v>2</v>
  </rv>
  <rv s="0">
    <fb>45758</fb>
    <v>0</v>
  </rv>
  <rv s="0">
    <fb>103.14</fb>
    <v>1</v>
  </rv>
  <rv s="0">
    <fb>22884628</fb>
    <v>2</v>
  </rv>
  <rv s="0">
    <fb>45761</fb>
    <v>0</v>
  </rv>
  <rv s="0">
    <fb>103.39</fb>
    <v>1</v>
  </rv>
  <rv s="0">
    <fb>18019969</fb>
    <v>2</v>
  </rv>
  <rv s="0">
    <fb>45762</fb>
    <v>0</v>
  </rv>
  <rv s="0">
    <fb>103.1</fb>
    <v>1</v>
  </rv>
  <rv s="0">
    <fb>13164863</fb>
    <v>2</v>
  </rv>
  <rv s="0">
    <fb>45763</fb>
    <v>0</v>
  </rv>
  <rv s="0">
    <fb>104.19</fb>
    <v>1</v>
  </rv>
  <rv s="0">
    <fb>13607024</fb>
    <v>2</v>
  </rv>
  <rv s="0">
    <fb>45764</fb>
    <v>0</v>
  </rv>
  <rv s="0">
    <fb>106.92</fb>
    <v>1</v>
  </rv>
  <rv s="0">
    <fb>17916471</fb>
    <v>2</v>
  </rv>
  <rv s="0">
    <fb>45768</fb>
    <v>0</v>
  </rv>
  <rv s="0">
    <fb>105.35</fb>
    <v>1</v>
  </rv>
  <rv s="0">
    <fb>16926493</fb>
    <v>2</v>
  </rv>
  <rv s="0">
    <fb>45769</fb>
    <v>0</v>
  </rv>
  <rv s="0">
    <fb>108.3</fb>
    <v>1</v>
  </rv>
  <rv s="0">
    <fb>13147049</fb>
    <v>2</v>
  </rv>
  <rv s="0">
    <fb>45770</fb>
    <v>0</v>
  </rv>
  <rv s="0">
    <fb>14235710</fb>
    <v>2</v>
  </rv>
  <rv s="0">
    <fb>45771</fb>
    <v>0</v>
  </rv>
  <rv s="0">
    <fb>108.63</fb>
    <v>1</v>
  </rv>
  <rv s="0">
    <fb>9849553</fb>
    <v>2</v>
  </rv>
  <rv s="0">
    <fb>45772</fb>
    <v>0</v>
  </rv>
  <rv s="0">
    <fb>108.57</fb>
    <v>1</v>
  </rv>
  <rv s="0">
    <fb>11245793</fb>
    <v>2</v>
  </rv>
  <rv s="0">
    <fb>45775</fb>
    <v>0</v>
  </rv>
  <rv s="0">
    <fb>13890869</fb>
    <v>2</v>
  </rv>
  <rv s="0">
    <fb>45776</fb>
    <v>0</v>
  </rv>
  <rv s="0">
    <fb>9483135</fb>
    <v>2</v>
  </rv>
  <rv s="0">
    <fb>45777</fb>
    <v>0</v>
  </rv>
  <rv s="0">
    <fb>105.63</fb>
    <v>1</v>
  </rv>
  <rv s="0">
    <fb>20379282</fb>
    <v>2</v>
  </rv>
  <rv s="0">
    <fb>45778</fb>
    <v>0</v>
  </rv>
  <rv s="0">
    <fb>105.78</fb>
    <v>1</v>
  </rv>
  <rv s="0">
    <fb>18610256</fb>
    <v>2</v>
  </rv>
  <rv s="0">
    <fb>45779</fb>
    <v>0</v>
  </rv>
  <rv s="0">
    <fb>106.21</fb>
    <v>1</v>
  </rv>
  <rv s="0">
    <fb>16581870</fb>
    <v>2</v>
  </rv>
  <rv s="0">
    <fb>45782</fb>
    <v>0</v>
  </rv>
  <rv s="0">
    <fb>103.27</fb>
    <v>1</v>
  </rv>
  <rv s="0">
    <fb>19623970</fb>
    <v>2</v>
  </rv>
  <rv s="0">
    <fb>45783</fb>
    <v>0</v>
  </rv>
  <rv s="0">
    <fb>104.71</fb>
    <v>1</v>
  </rv>
  <rv s="0">
    <fb>16303449</fb>
    <v>2</v>
  </rv>
  <rv s="0">
    <fb>45784</fb>
    <v>0</v>
  </rv>
  <rv s="0">
    <fb>104.61</fb>
    <v>1</v>
  </rv>
  <rv s="0">
    <fb>12335924</fb>
    <v>2</v>
  </rv>
  <rv s="0">
    <fb>45785</fb>
    <v>0</v>
  </rv>
  <rv s="0">
    <fb>106.07</fb>
    <v>1</v>
  </rv>
  <rv s="0">
    <fb>19196548</fb>
    <v>2</v>
  </rv>
  <rv s="0">
    <fb>45786</fb>
    <v>0</v>
  </rv>
  <rv s="0">
    <fb>10992080</fb>
    <v>2</v>
  </rv>
  <rv s="0">
    <fb>45789</fb>
    <v>0</v>
  </rv>
  <rv s="0">
    <fb>14244559</fb>
    <v>2</v>
  </rv>
  <rv s="0">
    <fb>45790</fb>
    <v>0</v>
  </rv>
  <rv s="0">
    <fb>13350836</fb>
    <v>2</v>
  </rv>
  <rv s="0">
    <fb>45791</fb>
    <v>0</v>
  </rv>
  <rv s="0">
    <fb>108.48</fb>
    <v>1</v>
  </rv>
  <rv s="0">
    <fb>15494932</fb>
    <v>2</v>
  </rv>
  <rv s="0">
    <fb>45792</fb>
    <v>0</v>
  </rv>
  <rv s="0">
    <fb>108.58</fb>
    <v>1</v>
  </rv>
  <rv s="0">
    <fb>15004291</fb>
    <v>2</v>
  </rv>
  <rv s="0">
    <fb>45793</fb>
    <v>0</v>
  </rv>
  <rv s="0">
    <fb>108.19</fb>
    <v>1</v>
  </rv>
  <rv s="0">
    <fb>14042535</fb>
    <v>2</v>
  </rv>
  <rv s="0">
    <fb>45796</fb>
    <v>0</v>
  </rv>
  <rv s="0">
    <fb>106.47</fb>
    <v>1</v>
  </rv>
  <rv s="0">
    <fb>16802719</fb>
    <v>2</v>
  </rv>
  <rv s="0">
    <fb>45797</fb>
    <v>0</v>
  </rv>
  <rv s="0">
    <fb>104.95</fb>
    <v>1</v>
  </rv>
  <rv s="0">
    <fb>12429321</fb>
    <v>2</v>
  </rv>
  <rv s="0">
    <fb>45798</fb>
    <v>0</v>
  </rv>
  <rv s="0">
    <fb>103.66</fb>
    <v>1</v>
  </rv>
  <rv s="0">
    <fb>16716079</fb>
    <v>2</v>
  </rv>
  <rv s="0">
    <fb>45799</fb>
    <v>0</v>
  </rv>
  <rv s="0">
    <fb>102.97</fb>
    <v>1</v>
  </rv>
  <rv s="0">
    <fb>13417378</fb>
    <v>2</v>
  </rv>
  <rv s="0">
    <fb>45800</fb>
    <v>0</v>
  </rv>
  <rv s="0">
    <fb>103.03</fb>
    <v>1</v>
  </rv>
  <rv s="0">
    <fb>12061606</fb>
    <v>2</v>
  </rv>
  <rv s="0">
    <fb>45804</fb>
    <v>0</v>
  </rv>
  <rv s="0">
    <fb>103.52</fb>
    <v>1</v>
  </rv>
  <rv s="0">
    <fb>13043604</fb>
    <v>2</v>
  </rv>
  <rv s="0">
    <fb>45805</fb>
    <v>0</v>
  </rv>
  <rv s="0">
    <fb>102.11</fb>
    <v>1</v>
  </rv>
  <rv s="0">
    <fb>14292377</fb>
    <v>2</v>
  </rv>
  <rv s="0">
    <fb>45806</fb>
    <v>0</v>
  </rv>
  <rv s="0">
    <fb>102.69</fb>
    <v>1</v>
  </rv>
  <rv s="0">
    <fb>13832487</fb>
    <v>2</v>
  </rv>
  <rv s="0">
    <fb>45807</fb>
    <v>0</v>
  </rv>
  <rv s="0">
    <fb>102.3</fb>
    <v>1</v>
  </rv>
  <rv s="0">
    <fb>28645787</fb>
    <v>2</v>
  </rv>
  <rv s="0">
    <fb>45810</fb>
    <v>0</v>
  </rv>
  <rv s="0">
    <fb>103.05</fb>
    <v>1</v>
  </rv>
  <rv s="0">
    <fb>17290462</fb>
    <v>2</v>
  </rv>
  <rv s="0">
    <fb>45811</fb>
    <v>0</v>
  </rv>
  <rv s="0">
    <fb>103.8</fb>
    <v>1</v>
  </rv>
  <rv s="0">
    <fb>19194335</fb>
    <v>2</v>
  </rv>
  <rv s="0">
    <fb>45812</fb>
    <v>0</v>
  </rv>
  <rv s="0">
    <fb>15648515</fb>
    <v>2</v>
  </rv>
  <rv s="0">
    <fb>45813</fb>
    <v>0</v>
  </rv>
  <rv s="0">
    <fb>101.83</fb>
    <v>1</v>
  </rv>
  <rv s="0">
    <fb>13942218</fb>
    <v>2</v>
  </rv>
  <rv s="0">
    <fb>45814</fb>
    <v>0</v>
  </rv>
  <rv s="0">
    <fb>104.27</fb>
    <v>1</v>
  </rv>
  <rv s="0">
    <fb>15487844</fb>
    <v>2</v>
  </rv>
  <rv s="0">
    <fb>45817</fb>
    <v>0</v>
  </rv>
  <rv s="0">
    <fb>104.97</fb>
    <v>1</v>
  </rv>
  <rv s="0">
    <fb>17087328</fb>
    <v>2</v>
  </rv>
  <rv s="0">
    <fb>45818</fb>
    <v>0</v>
  </rv>
  <rv s="0">
    <fb>107.22</fb>
    <v>1</v>
  </rv>
  <rv s="0">
    <fb>17634793</fb>
    <v>2</v>
  </rv>
  <rv s="0">
    <fb>45819</fb>
    <v>0</v>
  </rv>
  <rv s="0">
    <fb>109.31</fb>
    <v>1</v>
  </rv>
  <rv s="0">
    <fb>22648191</fb>
    <v>2</v>
  </rv>
  <rv s="0">
    <fb>45820</fb>
    <v>0</v>
  </rv>
  <rv s="0">
    <fb>17469408</fb>
    <v>2</v>
  </rv>
  <rv s="0">
    <fb>45821</fb>
    <v>0</v>
  </rv>
  <rv s="0">
    <fb>112.12</fb>
    <v>1</v>
  </rv>
  <rv s="0">
    <fb>28540165</fb>
    <v>2</v>
  </rv>
  <rv s="0">
    <fb>45824</fb>
    <v>0</v>
  </rv>
  <rv s="0">
    <fb>112.48</fb>
    <v>1</v>
  </rv>
  <rv s="0">
    <fb>22986113</fb>
    <v>2</v>
  </rv>
  <rv s="0">
    <fb>45825</fb>
    <v>0</v>
  </rv>
  <rv s="0">
    <fb>114</fb>
    <v>1</v>
  </rv>
  <rv s="0">
    <fb>19451701</fb>
    <v>2</v>
  </rv>
  <rv s="0">
    <fb>45826</fb>
    <v>0</v>
  </rv>
  <rv s="0">
    <fb>113.19</fb>
    <v>1</v>
  </rv>
  <rv s="0">
    <fb>17968893</fb>
    <v>2</v>
  </rv>
  <rv s="0">
    <fb>45828</fb>
    <v>0</v>
  </rv>
  <rv s="0">
    <fb>114.7</fb>
    <v>1</v>
  </rv>
  <rv s="0">
    <fb>36273288</fb>
    <v>2</v>
  </rv>
  <rv s="0">
    <fb>45831</fb>
    <v>0</v>
  </rv>
  <rv s="0">
    <fb>26631056</fb>
    <v>2</v>
  </rv>
  <rv s="0">
    <fb>45832</fb>
    <v>0</v>
  </rv>
  <rv s="0">
    <fb>108.34</fb>
    <v>1</v>
  </rv>
  <rv s="0">
    <fb>24828277</fb>
    <v>2</v>
  </rv>
  <rv s="0">
    <fb>45833</fb>
    <v>0</v>
  </rv>
  <rv s="0">
    <fb>108.37</fb>
    <v>1</v>
  </rv>
  <rv s="0">
    <fb>17483231</fb>
    <v>2</v>
  </rv>
  <rv s="0">
    <fb>45834</fb>
    <v>0</v>
  </rv>
  <rv s="0">
    <fb>109.99</fb>
    <v>1</v>
  </rv>
  <rv s="0">
    <fb>18304841</fb>
    <v>2</v>
  </rv>
  <rv s="0">
    <fb>45835</fb>
    <v>0</v>
  </rv>
  <rv s="0">
    <fb>22002079</fb>
    <v>2</v>
  </rv>
  <rv s="0">
    <fb>45838</fb>
    <v>0</v>
  </rv>
  <rv s="0">
    <fb>107.8</fb>
    <v>1</v>
  </rv>
  <rv s="0">
    <fb>19199048</fb>
    <v>2</v>
  </rv>
  <rv s="0">
    <fb>45839</fb>
    <v>0</v>
  </rv>
  <rv s="0">
    <fb>109.24</fb>
    <v>1</v>
  </rv>
  <rv s="0">
    <fb>15536896</fb>
    <v>2</v>
  </rv>
  <rv s="0">
    <fb>45840</fb>
    <v>0</v>
  </rv>
  <rv s="0">
    <fb>111.05</fb>
    <v>1</v>
  </rv>
  <rv s="0">
    <fb>11892160</fb>
    <v>2</v>
  </rv>
  <rv s="0">
    <fb>45841</fb>
    <v>0</v>
  </rv>
  <rv s="0">
    <fb>112.2</fb>
    <v>1</v>
  </rv>
  <rv s="0">
    <fb>11223580</fb>
    <v>2</v>
  </rv>
  <rv s="0">
    <fb>45845</fb>
    <v>0</v>
  </rv>
  <rv s="0">
    <fb>111.11</fb>
    <v>1</v>
  </rv>
  <rv s="0">
    <fb>15415889</fb>
    <v>2</v>
  </rv>
  <rv s="0">
    <fb>45846</fb>
    <v>0</v>
  </rv>
  <rv s="0">
    <fb>114.19</fb>
    <v>1</v>
  </rv>
  <rv s="0">
    <fb>17913404</fb>
    <v>2</v>
  </rv>
  <rv s="0">
    <fb>45847</fb>
    <v>0</v>
  </rv>
  <rv s="0">
    <fb>113.8</fb>
    <v>1</v>
  </rv>
  <rv s="0">
    <fb>10652062</fb>
    <v>2</v>
  </rv>
  <rv s="0">
    <fb>45848</fb>
    <v>0</v>
  </rv>
  <rv s="0">
    <fb>114.93</fb>
    <v>1</v>
  </rv>
  <rv s="0">
    <fb>14903884</fb>
    <v>2</v>
  </rv>
  <rv s="0">
    <fb>45849</fb>
    <v>0</v>
  </rv>
  <rv s="0">
    <fb>115.43</fb>
    <v>1</v>
  </rv>
  <rv s="0">
    <fb>11683884</fb>
    <v>2</v>
  </rv>
  <rv s="0">
    <fb>45852</fb>
    <v>0</v>
  </rv>
  <rv s="0">
    <fb>113.92</fb>
    <v>1</v>
  </rv>
  <rv s="0">
    <fb>13220303</fb>
    <v>2</v>
  </rv>
  <rv s="0">
    <fb>45853</fb>
    <v>0</v>
  </rv>
  <rv s="0">
    <fb>112.91</fb>
    <v>1</v>
  </rv>
  <rv s="0">
    <fb>10959347</fb>
    <v>2</v>
  </rv>
  <rv s="0">
    <fb>45854</fb>
    <v>0</v>
  </rv>
  <rv s="0">
    <fb>112.23</fb>
    <v>1</v>
  </rv>
  <rv s="0">
    <fb>11158852</fb>
    <v>2</v>
  </rv>
  <rv s="0">
    <fb>45855</fb>
    <v>0</v>
  </rv>
  <rv s="0">
    <fb>111.66</fb>
    <v>1</v>
  </rv>
  <rv s="0">
    <fb>13151446</fb>
    <v>2</v>
  </rv>
  <rv s="0">
    <fb>45856</fb>
    <v>0</v>
  </rv>
  <rv s="0">
    <fb>107.77</fb>
    <v>1</v>
  </rv>
  <rv s="0">
    <fb>32366594</fb>
    <v>2</v>
  </rv>
  <rv s="0">
    <fb>45859</fb>
    <v>0</v>
  </rv>
  <rv s="0">
    <fb>108.05</fb>
    <v>1</v>
  </rv>
  <rv s="0">
    <fb>17010405</fb>
    <v>2</v>
  </rv>
  <rv s="0">
    <fb>45860</fb>
    <v>0</v>
  </rv>
  <rv s="0">
    <fb>108.54</fb>
    <v>1</v>
  </rv>
  <rv s="0">
    <fb>13970885</fb>
    <v>2</v>
  </rv>
  <rv s="0">
    <fb>45861</fb>
    <v>0</v>
  </rv>
  <rv s="0">
    <fb>109.93</fb>
    <v>1</v>
  </rv>
  <rv s="0">
    <fb>12002687</fb>
    <v>2</v>
  </rv>
  <rv s="0">
    <fb>45862</fb>
    <v>0</v>
  </rv>
  <rv s="0">
    <fb>110.79</fb>
    <v>1</v>
  </rv>
  <rv s="0">
    <fb>15647208</fb>
    <v>2</v>
  </rv>
  <rv s="0">
    <fb>45863</fb>
    <v>0</v>
  </rv>
  <rv s="0">
    <fb>110.4</fb>
    <v>1</v>
  </rv>
  <rv s="0">
    <fb>10548938</fb>
    <v>2</v>
  </rv>
  <rv s="0">
    <fb>45866</fb>
    <v>0</v>
  </rv>
  <rv s="0">
    <fb>111.44</fb>
    <v>1</v>
  </rv>
  <rv s="0">
    <fb>12352966</fb>
    <v>2</v>
  </rv>
  <rv s="0">
    <fb>45867</fb>
    <v>0</v>
  </rv>
  <rv s="0">
    <fb>112.88</fb>
    <v>1</v>
  </rv>
  <rv s="0">
    <fb>15927998</fb>
    <v>2</v>
  </rv>
  <rv s="0">
    <fb>45868</fb>
    <v>0</v>
  </rv>
  <rv s="0">
    <fb>12996905</fb>
    <v>2</v>
  </rv>
  <rv s="0">
    <fb>45869</fb>
    <v>0</v>
  </rv>
  <rv s="0">
    <fb>111.64</fb>
    <v>1</v>
  </rv>
  <rv s="0">
    <fb>17233744</fb>
    <v>2</v>
  </rv>
  <rv s="0">
    <fb>45870</fb>
    <v>0</v>
  </rv>
  <rv s="0">
    <fb>109.64</fb>
    <v>1</v>
  </rv>
  <rv s="0">
    <fb>19652030</fb>
    <v>2</v>
  </rv>
  <rv s="0">
    <fb>45873</fb>
    <v>0</v>
  </rv>
  <rv s="0">
    <fb>19129474</fb>
    <v>2</v>
  </rv>
  <rv s="0">
    <fb>45874</fb>
    <v>0</v>
  </rv>
  <rv s="0">
    <fb>107.24</fb>
    <v>1</v>
  </rv>
  <rv s="0">
    <fb>21314254</fb>
    <v>2</v>
  </rv>
  <rv s="0">
    <fb>45875</fb>
    <v>0</v>
  </rv>
  <rv s="0">
    <fb>106.51</fb>
    <v>1</v>
  </rv>
  <rv s="0">
    <fb>15321811</fb>
    <v>2</v>
  </rv>
  <rv s="0">
    <fb>45876</fb>
    <v>0</v>
  </rv>
  <rv s="0">
    <fb>105.95</fb>
    <v>1</v>
  </rv>
  <rv s="0">
    <fb>13468287</fb>
    <v>2</v>
  </rv>
  <rv s="0">
    <fb>45877</fb>
    <v>0</v>
  </rv>
  <rv s="0">
    <fb>106.8</fb>
    <v>1</v>
  </rv>
  <rv s="0">
    <fb>14417734</fb>
    <v>2</v>
  </rv>
  <rv s="0">
    <fb>45880</fb>
    <v>0</v>
  </rv>
  <rv s="0">
    <fb>105.83</fb>
    <v>1</v>
  </rv>
  <rv s="0">
    <fb>13570661</fb>
    <v>2</v>
  </rv>
  <rv s="0">
    <fb>45881</fb>
    <v>0</v>
  </rv>
  <rv s="0">
    <fb>106.13</fb>
    <v>1</v>
  </rv>
  <rv s="0">
    <fb>14113216</fb>
    <v>2</v>
  </rv>
  <rv s="0">
    <fb>45882</fb>
    <v>0</v>
  </rv>
  <rv s="0">
    <fb>107.6</fb>
    <v>1</v>
  </rv>
  <rv s="0">
    <fb>17958695</fb>
    <v>2</v>
  </rv>
  <rv s="0">
    <fb>45883</fb>
    <v>0</v>
  </rv>
  <rv s="0">
    <fb>107.38</fb>
    <v>1</v>
  </rv>
  <rv s="0">
    <fb>13683472</fb>
    <v>2</v>
  </rv>
  <rv s="0">
    <fb>45884</fb>
    <v>0</v>
  </rv>
  <rv s="0">
    <fb>19271861</fb>
    <v>2</v>
  </rv>
  <rv s="0">
    <fb>45887</fb>
    <v>0</v>
  </rv>
  <rv s="0">
    <fb>106.72</fb>
    <v>1</v>
  </rv>
  <rv s="0">
    <fb>13040018</fb>
    <v>2</v>
  </rv>
  <rv s="0">
    <fb>45888</fb>
    <v>0</v>
  </rv>
  <rv s="0">
    <fb>107.42</fb>
    <v>1</v>
  </rv>
  <rv s="0">
    <fb>16113611</fb>
    <v>2</v>
  </rv>
  <rv s="0">
    <fb>45889</fb>
    <v>0</v>
  </rv>
  <rv s="0">
    <fb>108.53</fb>
    <v>1</v>
  </rv>
  <rv s="0">
    <fb>18959716</fb>
    <v>2</v>
  </rv>
  <rv s="0">
    <fb>45890</fb>
    <v>0</v>
  </rv>
  <rv s="0">
    <fb>109.23</fb>
    <v>1</v>
  </rv>
  <rv s="0">
    <fb>12194897</fb>
    <v>2</v>
  </rv>
  <rv s="0">
    <fb>45891</fb>
    <v>0</v>
  </rv>
  <rv s="0">
    <fb>111.28</fb>
    <v>1</v>
  </rv>
  <rv s="0">
    <fb>13586668</fb>
    <v>2</v>
  </rv>
  <rv s="0">
    <fb>45894</fb>
    <v>0</v>
  </rv>
  <rv s="0">
    <fb>9744897</fb>
    <v>2</v>
  </rv>
  <rv s="0">
    <fb>45895</fb>
    <v>0</v>
  </rv>
  <rv s="0">
    <fb>111.49</fb>
    <v>1</v>
  </rv>
  <rv s="0">
    <fb>18143880</fb>
    <v>2</v>
  </rv>
  <rv s="0">
    <fb>45896</fb>
    <v>0</v>
  </rv>
  <rv s="0">
    <fb>15262630</fb>
    <v>2</v>
  </rv>
  <rv s="0">
    <fb>45897</fb>
    <v>0</v>
  </rv>
  <rv s="0">
    <fb>113.35</fb>
    <v>1</v>
  </rv>
  <rv s="0">
    <fb>14189829</fb>
    <v>2</v>
  </rv>
  <rv s="0">
    <fb>45898</fb>
    <v>0</v>
  </rv>
  <rv s="0">
    <fb>114.29</fb>
    <v>1</v>
  </rv>
  <rv s="0">
    <fb>14597872</fb>
    <v>2</v>
  </rv>
  <rv s="0">
    <fb>45902</fb>
    <v>0</v>
  </rv>
  <rv s="0">
    <fb>114.69</fb>
    <v>1</v>
  </rv>
  <rv s="0">
    <fb>15206667</fb>
    <v>2</v>
  </rv>
  <rv s="0">
    <fb>45903</fb>
    <v>0</v>
  </rv>
  <rv s="0">
    <fb>111.91</fb>
    <v>1</v>
  </rv>
  <rv s="0">
    <fb>14920087</fb>
    <v>2</v>
  </rv>
  <rv s="0">
    <fb>45904</fb>
    <v>0</v>
  </rv>
  <rv s="0">
    <fb>112.4</fb>
    <v>1</v>
  </rv>
  <rv s="0">
    <fb>12864438</fb>
    <v>2</v>
  </rv>
  <rv s="0">
    <fb>45905</fb>
    <v>0</v>
  </rv>
  <rv s="0">
    <fb>16826692</fb>
    <v>2</v>
  </rv>
  <rv s="0">
    <fb>45908</fb>
    <v>0</v>
  </rv>
  <rv s="0">
    <fb>109.85</fb>
    <v>1</v>
  </rv>
  <rv s="0">
    <fb>15440513</fb>
    <v>2</v>
  </rv>
  <rv s="0">
    <fb>45909</fb>
    <v>0</v>
  </rv>
  <rv s="0">
    <fb>110.65</fb>
    <v>1</v>
  </rv>
  <rv s="0">
    <fb>14899502</fb>
    <v>2</v>
  </rv>
  <rv s="0">
    <fb>45910</fb>
    <v>0</v>
  </rv>
  <rv s="0">
    <fb>112.5</fb>
    <v>1</v>
  </rv>
  <rv s="0">
    <fb>15837583</fb>
    <v>2</v>
  </rv>
  <rv s="0">
    <fb>45911</fb>
    <v>0</v>
  </rv>
  <rv s="0">
    <fb>112.14</fb>
    <v>1</v>
  </rv>
  <rv s="0">
    <fb>11534502</fb>
    <v>2</v>
  </rv>
  <rv s="0">
    <fb>45912</fb>
    <v>0</v>
  </rv>
  <rv s="0">
    <fb>112.16</fb>
    <v>1</v>
  </rv>
  <rv s="0">
    <fb>11105690</fb>
    <v>2</v>
  </rv>
  <rv s="0">
    <fb>45915</fb>
    <v>0</v>
  </rv>
  <rv s="0">
    <fb>112.35</fb>
    <v>1</v>
  </rv>
  <rv s="0">
    <fb>12880487</fb>
    <v>2</v>
  </rv>
  <rv s="0">
    <fb>45916</fb>
    <v>0</v>
  </rv>
  <rv s="0">
    <fb>114.68</fb>
    <v>1</v>
  </rv>
  <rv s="0">
    <fb>17208044</fb>
    <v>2</v>
  </rv>
  <rv s="0">
    <fb>45917</fb>
    <v>0</v>
  </rv>
  <rv s="0">
    <fb>115.29</fb>
    <v>1</v>
  </rv>
  <rv s="0">
    <fb>13302030</fb>
    <v>2</v>
  </rv>
  <rv s="0">
    <fb>45918</fb>
    <v>0</v>
  </rv>
  <rv s="0">
    <fb>113.93</fb>
    <v>1</v>
  </rv>
  <rv s="0">
    <fb>14628726</fb>
    <v>2</v>
  </rv>
  <rv s="0">
    <fb>45919</fb>
    <v>0</v>
  </rv>
  <rv s="0">
    <fb>112.82</fb>
    <v>1</v>
  </rv>
  <rv s="0">
    <fb>38746517</fb>
    <v>2</v>
  </rv>
  <rv s="0">
    <fb>45922</fb>
    <v>0</v>
  </rv>
  <rv s="0">
    <fb>112.02</fb>
    <v>1</v>
  </rv>
  <rv s="0">
    <fb>15611495</fb>
    <v>2</v>
  </rv>
  <rv s="0">
    <fb>45923</fb>
    <v>0</v>
  </rv>
  <rv s="0">
    <fb>113.95</fb>
    <v>1</v>
  </rv>
  <rv s="0">
    <fb>25369106</fb>
    <v>2</v>
  </rv>
  <rv s="0">
    <fb>45924</fb>
    <v>0</v>
  </rv>
  <rv s="0">
    <fb>114.56</fb>
    <v>1</v>
  </rv>
  <rv s="0">
    <fb>14756050</fb>
    <v>2</v>
  </rv>
  <rv s="0">
    <fb>45925</fb>
    <v>0</v>
  </rv>
  <rv s="0">
    <fb>115.59</fb>
    <v>1</v>
  </rv>
  <rv s="0">
    <fb>15012553</fb>
    <v>2</v>
  </rv>
  <rv s="0">
    <fb>45926</fb>
    <v>0</v>
  </rv>
  <rv s="0">
    <fb>18568916</fb>
    <v>2</v>
  </rv>
  <rv s="0">
    <fb>45929</fb>
    <v>0</v>
  </rv>
  <rv s="0">
    <fb>114.22</fb>
    <v>1</v>
  </rv>
  <rv s="0">
    <fb>19189260</fb>
    <v>2</v>
  </rv>
  <rv s="0">
    <fb>45930</fb>
    <v>0</v>
  </rv>
  <rv s="0">
    <fb>18076211</fb>
    <v>2</v>
  </rv>
  <rv s="0">
    <fb>45931</fb>
    <v>0</v>
  </rv>
  <rv s="0">
    <fb>111.99</fb>
    <v>1</v>
  </rv>
  <rv s="0">
    <fb>16613992</fb>
    <v>2</v>
  </rv>
  <rv s="0">
    <fb>45932</fb>
    <v>0</v>
  </rv>
  <rv s="0">
    <fb>111.29</fb>
    <v>1</v>
  </rv>
  <rv s="0">
    <fb>13062563</fb>
    <v>2</v>
  </rv>
  <rv s="0">
    <fb>45933</fb>
    <v>0</v>
  </rv>
  <rv s="0">
    <fb>113.26</fb>
    <v>1</v>
  </rv>
  <rv s="0">
    <fb>12950118</fb>
    <v>2</v>
  </rv>
  <rv s="0">
    <fb>45936</fb>
    <v>0</v>
  </rv>
  <rv s="0">
    <fb>114.2</fb>
    <v>1</v>
  </rv>
  <rv s="0">
    <fb>12036830</fb>
    <v>2</v>
  </rv>
  <rv s="0">
    <fb>45937</fb>
    <v>0</v>
  </rv>
  <rv s="0">
    <fb>114.26</fb>
    <v>1</v>
  </rv>
  <rv s="0">
    <fb>11945032</fb>
    <v>2</v>
  </rv>
  <rv s="0">
    <fb>45938</fb>
    <v>0</v>
  </rv>
  <rv s="0">
    <fb>114.02</fb>
    <v>1</v>
  </rv>
  <rv s="0">
    <fb>12300968</fb>
    <v>2</v>
  </rv>
  <rv s="0">
    <fb>45939</fb>
    <v>0</v>
  </rv>
  <rv s="0">
    <fb>10976215</fb>
    <v>2</v>
  </rv>
  <rv s="0">
    <fb>45940</fb>
    <v>0</v>
  </rv>
  <rv s="0">
    <fb>110.73</fb>
    <v>1</v>
  </rv>
  <rv s="0">
    <fb>13811577</fb>
    <v>2</v>
  </rv>
  <rv s="0">
    <fb>45943</fb>
    <v>0</v>
  </rv>
  <rv s="0">
    <fb>112.24</fb>
    <v>1</v>
  </rv>
  <rv s="0">
    <fb>10296499</fb>
    <v>2</v>
  </rv>
  <rv s="0">
    <fb>45944</fb>
    <v>0</v>
  </rv>
  <rv s="0">
    <fb>112.29</fb>
    <v>1</v>
  </rv>
  <rv s="0">
    <fb>11167154</fb>
    <v>2</v>
  </rv>
  <rv s="0">
    <fb>45945</fb>
    <v>0</v>
  </rv>
  <rv s="0">
    <fb>111.61</fb>
    <v>1</v>
  </rv>
  <rv s="0">
    <fb>12182935</fb>
    <v>2</v>
  </rv>
  <rv s="0">
    <fb>45946</fb>
    <v>0</v>
  </rv>
  <rv s="0">
    <fb>110.64</fb>
    <v>1</v>
  </rv>
  <rv s="0">
    <fb>11782202</fb>
    <v>2</v>
  </rv>
  <rv s="0">
    <fb>45947</fb>
    <v>0</v>
  </rv>
  <rv s="0">
    <fb>13460069</fb>
    <v>2</v>
  </rv>
  <rv s="0">
    <fb>45950</fb>
    <v>0</v>
  </rv>
  <rv s="0">
    <fb>112.7</fb>
    <v>1</v>
  </rv>
  <rv s="0">
    <fb>9523617</fb>
    <v>2</v>
  </rv>
  <rv s="0">
    <fb>45951</fb>
    <v>0</v>
  </rv>
  <rv s="0">
    <fb>9202349</fb>
    <v>2</v>
  </rv>
  <rv s="0">
    <fb>45952</fb>
    <v>0</v>
  </rv>
  <rv s="0">
    <fb>114.71</fb>
    <v>1</v>
  </rv>
  <rv s="0">
    <fb>12938790</fb>
    <v>2</v>
  </rv>
  <rv s="0">
    <fb>45953</fb>
    <v>0</v>
  </rv>
  <rv s="0">
    <fb>115.98</fb>
    <v>1</v>
  </rv>
  <rv s="0">
    <fb>15001088</fb>
    <v>2</v>
  </rv>
  <rv s="0">
    <fb>45954</fb>
    <v>0</v>
  </rv>
  <rv s="0">
    <fb>115.39</fb>
    <v>1</v>
  </rv>
  <rv s="0">
    <fb>9919409</fb>
    <v>2</v>
  </rv>
  <rv s="0">
    <fb>45957</fb>
    <v>0</v>
  </rv>
  <rv s="0">
    <fb>115.94</fb>
    <v>1</v>
  </rv>
  <rv s="0">
    <fb>10975412</fb>
    <v>2</v>
  </rv>
  <rv s="0">
    <fb>45958</fb>
    <v>0</v>
  </rv>
  <rv s="0">
    <fb>115.03</fb>
    <v>1</v>
  </rv>
  <rv s="0">
    <fb>9535211</fb>
    <v>2</v>
  </rv>
  <rv s="0">
    <fb>45959</fb>
    <v>0</v>
  </rv>
  <rv s="0">
    <fb>116.45</fb>
    <v>1</v>
  </rv>
  <rv s="0">
    <fb>12570572</fb>
    <v>2</v>
  </rv>
  <rv s="0">
    <fb>45960</fb>
    <v>0</v>
  </rv>
  <rv s="0">
    <fb>16172943</fb>
    <v>2</v>
  </rv>
  <rv s="0">
    <fb>45961</fb>
    <v>0</v>
  </rv>
  <rv s="0">
    <fb>114.36</fb>
    <v>1</v>
  </rv>
  <rv s="0">
    <fb>20213352</fb>
    <v>2</v>
  </rv>
  <rv s="0">
    <fb>45964</fb>
    <v>0</v>
  </rv>
  <rv s="0">
    <fb>12290304</fb>
    <v>2</v>
  </rv>
  <rv s="0">
    <fb>45965</fb>
    <v>0</v>
  </rv>
  <rv s="0">
    <fb>114.14</fb>
    <v>1</v>
  </rv>
  <rv s="0">
    <fb>16860741</fb>
    <v>2</v>
  </rv>
  <rv s="0">
    <fb>45966</fb>
    <v>0</v>
  </rv>
  <rv s="0">
    <fb>113.68</fb>
    <v>1</v>
  </rv>
  <rv s="0">
    <fb>12400921</fb>
    <v>2</v>
  </rv>
  <rv s="0">
    <fb>45967</fb>
    <v>0</v>
  </rv>
  <rv s="0">
    <fb>114.5</fb>
    <v>1</v>
  </rv>
  <rv s="0">
    <fb>14219654</fb>
    <v>2</v>
  </rv>
  <rv s="0">
    <fb>45968</fb>
    <v>0</v>
  </rv>
  <rv s="0">
    <fb>17181149</fb>
    <v>2</v>
  </rv>
  <rv s="0">
    <fb>45971</fb>
    <v>0</v>
  </rv>
  <rv s="0">
    <fb>118.22</fb>
    <v>1</v>
  </rv>
  <rv s="0">
    <fb>13047958</fb>
    <v>2</v>
  </rv>
  <rv s="0">
    <fb>45972</fb>
    <v>0</v>
  </rv>
  <rv s="0">
    <fb>119.78</fb>
    <v>1</v>
  </rv>
  <rv s="0">
    <fb>16077101</fb>
    <v>2</v>
  </rv>
  <rv s="0">
    <fb>45973</fb>
    <v>0</v>
  </rv>
  <rv s="0">
    <fb>118.12</fb>
    <v>1</v>
  </rv>
  <rv s="0">
    <fb>13790889</fb>
    <v>2</v>
  </rv>
  <rv s="0">
    <fb>45974</fb>
    <v>0</v>
  </rv>
  <rv s="0">
    <fb>118.79</fb>
    <v>1</v>
  </rv>
  <rv s="0">
    <fb>17291874</fb>
    <v>2</v>
  </rv>
  <rv s="0">
    <fb>45975</fb>
    <v>0</v>
  </rv>
  <rv s="0">
    <fb>119.29</fb>
    <v>1</v>
  </rv>
  <rv s="0">
    <fb>17064267</fb>
    <v>2</v>
  </rv>
  <rv s="0">
    <fb>45978</fb>
    <v>0</v>
  </rv>
  <rv s="0">
    <fb>16034860</fb>
    <v>2</v>
  </rv>
  <rv s="0">
    <fb>45979</fb>
    <v>0</v>
  </rv>
  <rv s="0">
    <fb>119.03</fb>
    <v>1</v>
  </rv>
  <rv s="0">
    <fb>15808518</fb>
    <v>2</v>
  </rv>
  <rv s="0">
    <fb>45980</fb>
    <v>0</v>
  </rv>
  <rv s="0">
    <fb>117.35</fb>
    <v>1</v>
  </rv>
  <rv s="0">
    <fb>15919239</fb>
    <v>2</v>
  </rv>
  <rv s="0">
    <fb>45981</fb>
    <v>0</v>
  </rv>
  <rv s="0">
    <fb>117.02</fb>
    <v>1</v>
  </rv>
  <rv s="0">
    <fb>14401011</fb>
    <v>2</v>
  </rv>
  <rv s="0">
    <fb>45982</fb>
    <v>0</v>
  </rv>
  <rv s="0">
    <fb>117.08</fb>
    <v>1</v>
  </rv>
  <rv s="0">
    <fb>15667596</fb>
    <v>2</v>
  </rv>
  <rv s="0">
    <fb>45985</fb>
    <v>0</v>
  </rv>
  <rv s="0">
    <fb>115.97</fb>
    <v>1</v>
  </rv>
  <rv s="0">
    <fb>18034923</fb>
    <v>2</v>
  </rv>
  <rv s="0">
    <fb>45986</fb>
    <v>0</v>
  </rv>
  <rv s="0">
    <fb>114.51</fb>
    <v>1</v>
  </rv>
  <rv s="0">
    <fb>14434558</fb>
    <v>2</v>
  </rv>
  <rv s="0">
    <fb>45987</fb>
    <v>0</v>
  </rv>
  <rv s="0">
    <fb>11650597</fb>
    <v>2</v>
  </rv>
  <rv s="0">
    <fb>45989</fb>
    <v>0</v>
  </rv>
  <rv s="0">
    <fb>115.92</fb>
    <v>1</v>
  </rv>
  <rv s="0">
    <fb>7240825</fb>
    <v>2</v>
  </rv>
  <rv s="0">
    <fb>45992</fb>
    <v>0</v>
  </rv>
  <rv s="0">
    <fb>116.63</fb>
    <v>1</v>
  </rv>
  <rv s="0">
    <fb>12658100</fb>
    <v>2</v>
  </rv>
  <rv s="0">
    <fb>45993</fb>
    <v>0</v>
  </rv>
  <rv s="0">
    <fb>115.38</fb>
    <v>1</v>
  </rv>
  <rv s="0">
    <fb>14607704</fb>
    <v>2</v>
  </rv>
  <rv s="0">
    <fb>45994</fb>
    <v>0</v>
  </rv>
  <rv s="0">
    <fb>117.8</fb>
    <v>1</v>
  </rv>
  <rv s="0">
    <fb>16819130</fb>
    <v>2</v>
  </rv>
  <rv s="0">
    <fb>45995</fb>
    <v>0</v>
  </rv>
  <rv s="0">
    <fb>117.14</fb>
    <v>1</v>
  </rv>
  <rv s="0">
    <fb>13686897</fb>
    <v>2</v>
  </rv>
  <rv s="0">
    <fb>45996</fb>
    <v>0</v>
  </rv>
  <rv s="0">
    <fb>116.54</fb>
    <v>1</v>
  </rv>
  <rv s="0">
    <fb>12516864</fb>
    <v>2</v>
  </rv>
  <rv s="0">
    <fb>45999</fb>
    <v>0</v>
  </rv>
  <rv s="0">
    <fb>14904164</fb>
    <v>2</v>
  </rv>
  <rv s="0">
    <fb>46000</fb>
    <v>0</v>
  </rv>
  <rv s="0">
    <fb>118.25</fb>
    <v>1</v>
  </rv>
  <rv s="0">
    <fb>23790815</fb>
    <v>2</v>
  </rv>
  <rv s="0">
    <fb>46001</fb>
    <v>0</v>
  </rv>
  <rv s="0">
    <fb>119.54</fb>
    <v>1</v>
  </rv>
  <rv s="0">
    <fb>19845192</fb>
    <v>2</v>
  </rv>
  <rv s="0">
    <fb>46002</fb>
    <v>0</v>
  </rv>
  <rv s="0">
    <fb>14781787</fb>
    <v>2</v>
  </rv>
  <rv s="0">
    <fb>46003</fb>
    <v>0</v>
  </rv>
  <rv s="0">
    <fb>118.82</fb>
    <v>1</v>
  </rv>
  <rv s="0">
    <fb>14459538</fb>
    <v>2</v>
  </rv>
  <rv s="0">
    <fb>46006</fb>
    <v>0</v>
  </rv>
  <rv s="0">
    <fb>117.76</fb>
    <v>1</v>
  </rv>
  <rv s="0">
    <fb>16358669</fb>
    <v>2</v>
  </rv>
  <rv s="0">
    <fb>46007</fb>
    <v>0</v>
  </rv>
  <rv s="0">
    <fb>17638716</fb>
    <v>2</v>
  </rv>
  <rv s="0">
    <fb>46008</fb>
    <v>0</v>
  </rv>
  <rv s="0">
    <fb>117.41</fb>
    <v>1</v>
  </rv>
  <rv s="0">
    <fb>18502152</fb>
    <v>2</v>
  </rv>
  <rv s="0">
    <fb>46009</fb>
    <v>0</v>
  </rv>
  <rv s="0">
    <fb>13705560</fb>
    <v>2</v>
  </rv>
  <rv s="0">
    <fb>46010</fb>
    <v>0</v>
  </rv>
  <rv s="0">
    <fb>45412814</fb>
    <v>2</v>
  </rv>
  <rv s="0">
    <fb>46013</fb>
    <v>0</v>
  </rv>
  <rv s="0">
    <fb>118.15</fb>
    <v>1</v>
  </rv>
  <rv s="0">
    <fb>11768611</fb>
    <v>2</v>
  </rv>
  <rv s="0">
    <fb>46014</fb>
    <v>0</v>
  </rv>
  <rv s="0">
    <fb>119.42</fb>
    <v>1</v>
  </rv>
  <rv s="0">
    <fb>12567630</fb>
    <v>2</v>
  </rv>
  <rv s="0">
    <fb>46015</fb>
    <v>0</v>
  </rv>
  <rv s="0">
    <fb>119.22</fb>
    <v>1</v>
  </rv>
  <rv s="0">
    <fb>6137406</fb>
    <v>2</v>
  </rv>
  <rv s="0">
    <fb>46017</fb>
    <v>0</v>
  </rv>
  <rv s="0">
    <fb>119.11</fb>
    <v>1</v>
  </rv>
  <rv s="0">
    <fb>8066129</fb>
    <v>2</v>
  </rv>
  <rv s="0">
    <fb>46020</fb>
    <v>0</v>
  </rv>
  <rv s="0">
    <fb>120.53</fb>
    <v>1</v>
  </rv>
  <rv s="0">
    <fb>14782512</fb>
    <v>2</v>
  </rv>
  <rv s="0">
    <fb>46021</fb>
    <v>0</v>
  </rv>
  <rv s="0">
    <fb>120.99</fb>
    <v>1</v>
  </rv>
  <rv s="0">
    <fb>11150486</fb>
    <v>2</v>
  </rv>
  <rv s="0">
    <fb>46022</fb>
    <v>0</v>
  </rv>
  <rv s="0">
    <fb>120.34</fb>
    <v>1</v>
  </rv>
  <rv s="0">
    <fb>10559866</fb>
    <v>2</v>
  </rv>
  <rv s="0">
    <fb>46024</fb>
    <v>0</v>
  </rv>
  <rv s="0">
    <fb>122.65</fb>
    <v>1</v>
  </rv>
  <rv s="0">
    <fb>14175055</fb>
    <v>2</v>
  </rv>
  <rv s="0">
    <fb>46027</fb>
    <v>0</v>
  </rv>
  <rv s="0">
    <fb>125.36</fb>
    <v>1</v>
  </rv>
  <rv s="0">
    <fb>30112238</fb>
    <v>2</v>
  </rv>
  <rv s="0">
    <fb>46028</fb>
    <v>0</v>
  </rv>
  <rv s="0">
    <fb>23328636</fb>
    <v>2</v>
  </rv>
  <rv s="0">
    <fb>46029</fb>
    <v>0</v>
  </rv>
  <rv s="0">
    <fb>118.49</fb>
    <v>1</v>
  </rv>
  <rv s="0">
    <fb>20352950</fb>
    <v>2</v>
  </rv>
  <rv s="0">
    <fb>46030</fb>
    <v>0</v>
  </rv>
  <rv s="0">
    <fb>122.91</fb>
    <v>1</v>
  </rv>
  <rv s="0">
    <fb>20232721</fb>
    <v>2</v>
  </rv>
  <rv s="0">
    <fb>46031</fb>
    <v>0</v>
  </rv>
  <rv s="0">
    <fb>124.61</fb>
    <v>1</v>
  </rv>
  <rv s="0">
    <fb>16137674</fb>
    <v>2</v>
  </rv>
  <rv s="0">
    <fb>46034</fb>
    <v>0</v>
  </rv>
  <rv s="0">
    <fb>124.03</fb>
    <v>1</v>
  </rv>
  <rv s="0">
    <fb>15314895</fb>
    <v>2</v>
  </rv>
  <rv s="0">
    <fb>46035</fb>
    <v>0</v>
  </rv>
  <rv s="0">
    <fb>126.54</fb>
    <v>1</v>
  </rv>
  <rv s="0">
    <fb>21619727</fb>
    <v>2</v>
  </rv>
  <rv s="0">
    <fb>46036</fb>
    <v>0</v>
  </rv>
  <rv s="0">
    <fb>130.19999999999999</fb>
    <v>1</v>
  </rv>
  <rv s="0">
    <fb>27593938</fb>
    <v>2</v>
  </rv>
  <rv s="0">
    <fb>46037</fb>
    <v>0</v>
  </rv>
  <rv s="0">
    <fb>129.13</fb>
    <v>1</v>
  </rv>
  <rv s="0">
    <fb>17400039</fb>
    <v>2</v>
  </rv>
  <rv s="0">
    <fb>46038</fb>
    <v>0</v>
  </rv>
  <rv s="0">
    <fb>129.88999999999999</fb>
    <v>1</v>
  </rv>
  <rv s="0">
    <fb>16592354</fb>
    <v>2</v>
  </rv>
  <rv s="0">
    <fb>46042</fb>
    <v>0</v>
  </rv>
  <rv s="0">
    <fb>130.46</fb>
    <v>1</v>
  </rv>
  <rv s="0">
    <fb>16477282</fb>
    <v>2</v>
  </rv>
  <rv s="0">
    <fb>46043</fb>
    <v>0</v>
  </rv>
  <rv s="0">
    <fb>133.61000000000001</fb>
    <v>1</v>
  </rv>
  <rv s="0">
    <fb>18879887</fb>
    <v>2</v>
  </rv>
  <rv s="0">
    <fb>46044</fb>
    <v>0</v>
  </rv>
  <rv s="0">
    <fb>133.63999999999999</fb>
    <v>1</v>
  </rv>
  <rv s="0">
    <fb>16600126</fb>
    <v>2</v>
  </rv>
  <rv s="0">
    <fb>46045</fb>
    <v>0</v>
  </rv>
  <rv s="0">
    <fb>134.97</fb>
    <v>1</v>
  </rv>
  <rv s="0">
    <fb>17758214</fb>
    <v>2</v>
  </rv>
  <rv s="0">
    <fb>46048</fb>
    <v>0</v>
  </rv>
  <rv s="0">
    <fb>134.84</fb>
    <v>1</v>
  </rv>
  <rv s="0">
    <fb>16056066</fb>
    <v>2</v>
  </rv>
  <rv s="0">
    <fb>46049</fb>
    <v>0</v>
  </rv>
  <rv s="0">
    <fb>136.83000000000001</fb>
    <v>1</v>
  </rv>
  <rv s="0">
    <fb>14517025</fb>
    <v>2</v>
  </rv>
  <rv s="0">
    <fb>46050</fb>
    <v>0</v>
  </rv>
  <rv s="0">
    <fb>137.58000000000001</fb>
    <v>1</v>
  </rv>
  <rv s="0">
    <fb>15637279</fb>
    <v>2</v>
  </rv>
  <rv s="0">
    <fb>46051</fb>
    <v>0</v>
  </rv>
  <rv s="0">
    <fb>140.51</fb>
    <v>1</v>
  </rv>
  <rv s="0">
    <fb>35760620</fb>
    <v>2</v>
  </rv>
  <rv s="0">
    <fb>46052</fb>
    <v>0</v>
  </rv>
  <rv s="0">
    <fb>141.4</fb>
    <v>1</v>
  </rv>
  <rv s="0">
    <fb>29657667</fb>
    <v>2</v>
  </rv>
  <rv s="0">
    <fb>59.82</fb>
    <v>1</v>
  </rv>
  <rv s="0">
    <fb>59.96</fb>
    <v>1</v>
  </rv>
  <rv s="0">
    <fb>59.76</fb>
    <v>1</v>
  </rv>
  <rv s="0">
    <fb>59.67</fb>
    <v>1</v>
  </rv>
  <rv s="0">
    <fb>60.11</fb>
    <v>1</v>
  </rv>
  <rv s="0">
    <fb>60</fb>
    <v>1</v>
  </rv>
  <rv s="0">
    <fb>60.2</fb>
    <v>1</v>
  </rv>
  <rv s="0">
    <fb>59.81</fb>
    <v>1</v>
  </rv>
  <rv s="0">
    <fb>60.39</fb>
    <v>1</v>
  </rv>
  <rv s="0">
    <fb>59.99</fb>
    <v>1</v>
  </rv>
  <rv s="0">
    <fb>60.16</fb>
    <v>1</v>
  </rv>
  <rv s="0">
    <fb>59.83</fb>
    <v>1</v>
  </rv>
  <rv s="0">
    <fb>59.57</fb>
    <v>1</v>
  </rv>
  <rv s="0">
    <fb>59.85</fb>
    <v>1</v>
  </rv>
  <rv s="0">
    <fb>58.91</fb>
    <v>1</v>
  </rv>
  <rv s="0">
    <fb>59.16</fb>
    <v>1</v>
  </rv>
  <rv s="0">
    <fb>59.37</fb>
    <v>1</v>
  </rv>
  <rv s="0">
    <fb>59.73</fb>
    <v>1</v>
  </rv>
  <rv s="0">
    <fb>59.9</fb>
    <v>1</v>
  </rv>
  <rv s="0">
    <fb>59.49</fb>
    <v>1</v>
  </rv>
  <rv s="0">
    <fb>60.98</fb>
    <v>1</v>
  </rv>
  <rv s="0">
    <fb>60.54</fb>
    <v>1</v>
  </rv>
  <rv s="0">
    <fb>60.04</fb>
    <v>1</v>
  </rv>
  <rv s="0">
    <fb>59.94</fb>
    <v>1</v>
  </rv>
  <rv s="0">
    <fb>59.56</fb>
    <v>1</v>
  </rv>
  <rv s="0">
    <fb>59.7</fb>
    <v>1</v>
  </rv>
  <rv s="0">
    <fb>59.35</fb>
    <v>1</v>
  </rv>
  <rv s="0">
    <fb>59.29</fb>
    <v>1</v>
  </rv>
  <rv s="0">
    <fb>59.4</fb>
    <v>1</v>
  </rv>
  <rv s="0">
    <fb>59.39</fb>
    <v>1</v>
  </rv>
  <rv s="0">
    <fb>60.7</fb>
    <v>1</v>
  </rv>
  <rv s="0">
    <fb>61.24</fb>
    <v>1</v>
  </rv>
  <rv s="0">
    <fb>61.15</fb>
    <v>1</v>
  </rv>
  <rv s="0">
    <fb>61.2</fb>
    <v>1</v>
  </rv>
  <rv s="0">
    <fb>60.71</fb>
    <v>1</v>
  </rv>
  <rv s="0">
    <fb>60.34</fb>
    <v>1</v>
  </rv>
  <rv s="0">
    <fb>60.4</fb>
    <v>1</v>
  </rv>
  <rv s="0">
    <fb>60.02</fb>
    <v>1</v>
  </rv>
  <rv s="0">
    <fb>59.53</fb>
    <v>1</v>
  </rv>
  <rv s="0">
    <fb>59.52</fb>
    <v>1</v>
  </rv>
  <rv s="0">
    <fb>59.55</fb>
    <v>1</v>
  </rv>
  <rv s="0">
    <fb>59.44</fb>
    <v>1</v>
  </rv>
  <rv s="0">
    <fb>60.24</fb>
    <v>1</v>
  </rv>
  <rv s="0">
    <fb>60.5</fb>
    <v>1</v>
  </rv>
  <rv s="0">
    <fb>61.12</fb>
    <v>1</v>
  </rv>
  <rv s="0">
    <fb>59.88</fb>
    <v>1</v>
  </rv>
  <rv s="0">
    <fb>60.13</fb>
    <v>1</v>
  </rv>
  <rv s="0">
    <fb>60.23</fb>
    <v>1</v>
  </rv>
  <rv s="0">
    <fb>60.75</fb>
    <v>1</v>
  </rv>
  <rv s="0">
    <fb>60.47</fb>
    <v>1</v>
  </rv>
  <rv s="0">
    <fb>60.49</fb>
    <v>1</v>
  </rv>
  <rv s="0">
    <fb>61.03</fb>
    <v>1</v>
  </rv>
  <rv s="0">
    <fb>61.18</fb>
    <v>1</v>
  </rv>
  <rv s="0">
    <fb>60.68</fb>
    <v>1</v>
  </rv>
  <rv s="0">
    <fb>60.15</fb>
    <v>1</v>
  </rv>
  <rv s="0">
    <fb>59.3</fb>
    <v>1</v>
  </rv>
  <rv s="0">
    <fb>59.51</fb>
    <v>1</v>
  </rv>
  <rv s="0">
    <fb>59.27</fb>
    <v>1</v>
  </rv>
  <rv s="0">
    <fb>59.72</fb>
    <v>1</v>
  </rv>
  <rv s="0">
    <fb>58.92</fb>
    <v>1</v>
  </rv>
  <rv s="0">
    <fb>59.05</fb>
    <v>1</v>
  </rv>
  <rv s="0">
    <fb>58.28</fb>
    <v>1</v>
  </rv>
  <rv s="0">
    <fb>58.14</fb>
    <v>1</v>
  </rv>
  <rv s="0">
    <fb>58.06</fb>
    <v>1</v>
  </rv>
  <rv s="0">
    <fb>58.51</fb>
    <v>1</v>
  </rv>
  <rv s="0">
    <fb>60.17</fb>
    <v>1</v>
  </rv>
  <rv s="0">
    <fb>60.55</fb>
    <v>1</v>
  </rv>
  <rv s="0">
    <fb>60.64</fb>
    <v>1</v>
  </rv>
  <rv s="0">
    <fb>61.55</fb>
    <v>1</v>
  </rv>
  <rv s="0">
    <fb>61.74</fb>
    <v>1</v>
  </rv>
  <rv s="0">
    <fb>62.04</fb>
    <v>1</v>
  </rv>
  <rv s="0">
    <fb>61.77</fb>
    <v>1</v>
  </rv>
  <rv s="0">
    <fb>61.93</fb>
    <v>1</v>
  </rv>
  <rv s="0">
    <fb>61.99</fb>
    <v>1</v>
  </rv>
  <rv s="0">
    <fb>62.17</fb>
    <v>1</v>
  </rv>
  <rv s="0">
    <fb>62.35</fb>
    <v>1</v>
  </rv>
  <rv s="0">
    <fb>62.62</fb>
    <v>1</v>
  </rv>
  <rv s="0">
    <fb>62.85</fb>
    <v>1</v>
  </rv>
  <rv s="0">
    <fb>62.88</fb>
    <v>1</v>
  </rv>
  <rv s="0">
    <fb>63.26</fb>
    <v>1</v>
  </rv>
  <rv s="0">
    <fb>63.58</fb>
    <v>1</v>
  </rv>
  <rv s="0">
    <fb>63.1</fb>
    <v>1</v>
  </rv>
  <rv s="0">
    <fb>63.13</fb>
    <v>1</v>
  </rv>
  <rv s="0">
    <fb>63.32</fb>
    <v>1</v>
  </rv>
  <rv s="0">
    <fb>63.03</fb>
    <v>1</v>
  </rv>
  <rv s="0">
    <fb>62.57</fb>
    <v>1</v>
  </rv>
  <rv s="0">
    <fb>62.91</fb>
    <v>1</v>
  </rv>
  <rv s="0">
    <fb>63</fb>
    <v>1</v>
  </rv>
  <rv s="0">
    <fb>62.09</fb>
    <v>1</v>
  </rv>
  <rv s="0">
    <fb>62</fb>
    <v>1</v>
  </rv>
  <rv s="0">
    <fb>61.82</fb>
    <v>1</v>
  </rv>
  <rv s="0">
    <fb>61.7</fb>
    <v>1</v>
  </rv>
  <rv s="0">
    <fb>61.97</fb>
    <v>1</v>
  </rv>
  <rv s="0">
    <fb>62.93</fb>
    <v>1</v>
  </rv>
  <rv s="0">
    <fb>63.94</fb>
    <v>1</v>
  </rv>
  <rv s="0">
    <fb>63.92</fb>
    <v>1</v>
  </rv>
  <rv s="0">
    <fb>64.150000000000006</fb>
    <v>1</v>
  </rv>
  <rv s="0">
    <fb>63.91</fb>
    <v>1</v>
  </rv>
  <rv s="0">
    <fb>63.59</fb>
    <v>1</v>
  </rv>
  <rv s="0">
    <fb>63.55</fb>
    <v>1</v>
  </rv>
  <rv s="0">
    <fb>62.99</fb>
    <v>1</v>
  </rv>
  <rv s="0">
    <fb>62.55</fb>
    <v>1</v>
  </rv>
  <rv s="0">
    <fb>62.63</fb>
    <v>1</v>
  </rv>
  <rv s="0">
    <fb>62.18</fb>
    <v>1</v>
  </rv>
  <rv s="0">
    <fb>62.77</fb>
    <v>1</v>
  </rv>
  <rv s="0">
    <fb>63.97</fb>
    <v>1</v>
  </rv>
  <rv s="0">
    <fb>63.84</fb>
    <v>1</v>
  </rv>
  <rv s="0">
    <fb>64.05</fb>
    <v>1</v>
  </rv>
  <rv s="0">
    <fb>63.65</fb>
    <v>1</v>
  </rv>
  <rv s="0">
    <fb>63.28</fb>
    <v>1</v>
  </rv>
  <rv s="0">
    <fb>63.15</fb>
    <v>1</v>
  </rv>
  <rv s="0">
    <fb>63.33</fb>
    <v>1</v>
  </rv>
  <rv s="0">
    <fb>63.76</fb>
    <v>1</v>
  </rv>
  <rv s="0">
    <fb>62.96</fb>
    <v>1</v>
  </rv>
  <rv s="0">
    <fb>62.69</fb>
    <v>1</v>
  </rv>
  <rv s="0">
    <fb>62.83</fb>
    <v>1</v>
  </rv>
  <rv s="0">
    <fb>63.7</fb>
    <v>1</v>
  </rv>
  <rv s="0">
    <fb>63.41</fb>
    <v>1</v>
  </rv>
  <rv s="0">
    <fb>64.27</fb>
    <v>1</v>
  </rv>
  <rv s="0">
    <fb>65.209999999999994</fb>
    <v>1</v>
  </rv>
  <rv s="0">
    <fb>65.19</fb>
    <v>1</v>
  </rv>
  <rv s="0">
    <fb>65.290000000000006</fb>
    <v>1</v>
  </rv>
  <rv s="0">
    <fb>64.77</fb>
    <v>1</v>
  </rv>
  <rv s="0">
    <fb>64.959999999999994</fb>
    <v>1</v>
  </rv>
  <rv s="0">
    <fb>65.81</fb>
    <v>1</v>
  </rv>
  <rv s="0">
    <fb>66.069999999999993</fb>
    <v>1</v>
  </rv>
  <rv s="0">
    <fb>67.05</fb>
    <v>1</v>
  </rv>
  <rv s="0">
    <fb>66.83</fb>
    <v>1</v>
  </rv>
  <rv s="0">
    <fb>67.680000000000007</fb>
    <v>1</v>
  </rv>
  <rv s="0">
    <fb>66.739999999999995</fb>
    <v>1</v>
  </rv>
  <rv s="0">
    <fb>67.959999999999994</fb>
    <v>1</v>
  </rv>
  <rv s="0">
    <fb>69.33</fb>
    <v>1</v>
  </rv>
  <rv s="0">
    <fb>68.099999999999994</fb>
    <v>1</v>
  </rv>
  <rv s="0">
    <fb>68.05</fb>
    <v>1</v>
  </rv>
  <rv s="0">
    <fb>68.459999999999994</fb>
    <v>1</v>
  </rv>
  <rv s="0">
    <fb>68.73</fb>
    <v>1</v>
  </rv>
  <rv s="0">
    <fb>68.680000000000007</fb>
    <v>1</v>
  </rv>
  <rv s="0">
    <fb>68.17</fb>
    <v>1</v>
  </rv>
  <rv s="0">
    <fb>68.58</fb>
    <v>1</v>
  </rv>
  <rv s="0">
    <fb>68.650000000000006</fb>
    <v>1</v>
  </rv>
  <rv s="0">
    <fb>69.180000000000007</fb>
    <v>1</v>
  </rv>
  <rv s="0">
    <fb>68.98</fb>
    <v>1</v>
  </rv>
  <rv s="0">
    <fb>69.38</fb>
    <v>1</v>
  </rv>
  <rv s="0">
    <fb>69.569999999999993</fb>
    <v>1</v>
  </rv>
  <rv s="0">
    <fb>69.790000000000006</fb>
    <v>1</v>
  </rv>
  <rv s="0">
    <fb>70.84</fb>
    <v>1</v>
  </rv>
  <rv s="0">
    <fb>71.5</fb>
    <v>1</v>
  </rv>
  <rv s="0">
    <fb>71.75</fb>
    <v>1</v>
  </rv>
  <rv s="0">
    <fb>72.05</fb>
    <v>1</v>
  </rv>
  <rv s="0">
    <fb>72.47</fb>
    <v>1</v>
  </rv>
  <rv s="0">
    <fb>73.010000000000005</fb>
    <v>1</v>
  </rv>
  <rv s="0">
    <fb>72.56</fb>
    <v>1</v>
  </rv>
  <rv s="0">
    <fb>71.17</fb>
    <v>1</v>
  </rv>
  <rv s="0">
    <fb>71.14</fb>
    <v>1</v>
  </rv>
  <rv s="0">
    <fb>71.849999999999994</fb>
    <v>1</v>
  </rv>
  <rv s="0">
    <fb>71.55</fb>
    <v>1</v>
  </rv>
  <rv s="0">
    <fb>71.08</fb>
    <v>1</v>
  </rv>
  <rv s="0">
    <fb>71.23</fb>
    <v>1</v>
  </rv>
  <rv s="0">
    <fb>71.41</fb>
    <v>1</v>
  </rv>
  <rv s="0">
    <fb>72.099999999999994</fb>
    <v>1</v>
  </rv>
  <rv s="0">
    <fb>71.8</fb>
    <v>1</v>
  </rv>
  <rv s="0">
    <fb>70.62</fb>
    <v>1</v>
  </rv>
  <rv s="0">
    <fb>71.64</fb>
    <v>1</v>
  </rv>
  <rv s="0">
    <fb>71.73</fb>
    <v>1</v>
  </rv>
  <rv s="0">
    <fb>71.33</fb>
    <v>1</v>
  </rv>
  <rv s="0">
    <fb>71.45</fb>
    <v>1</v>
  </rv>
  <rv s="0">
    <fb>71.400000000000006</fb>
    <v>1</v>
  </rv>
  <rv s="0">
    <fb>71.790000000000006</fb>
    <v>1</v>
  </rv>
  <rv s="0">
    <fb>71.86</fb>
    <v>1</v>
  </rv>
  <rv s="0">
    <fb>71.709999999999994</fb>
    <v>1</v>
  </rv>
  <rv s="0">
    <fb>71.010000000000005</fb>
    <v>1</v>
  </rv>
  <rv s="0">
    <fb>70.52</fb>
    <v>1</v>
  </rv>
  <rv s="0">
    <fb>70.17</fb>
    <v>1</v>
  </rv>
  <rv s="0">
    <fb>69.010000000000005</fb>
    <v>1</v>
  </rv>
  <rv s="0">
    <fb>69.25</fb>
    <v>1</v>
  </rv>
  <rv s="0">
    <fb>70.34</fb>
    <v>1</v>
  </rv>
  <rv s="0">
    <fb>70.569999999999993</fb>
    <v>1</v>
  </rv>
  <rv s="0">
    <fb>69.900000000000006</fb>
    <v>1</v>
  </rv>
  <rv s="0">
    <fb>70.44</fb>
    <v>1</v>
  </rv>
  <rv s="0">
    <fb>69.45</fb>
    <v>1</v>
  </rv>
  <rv s="0">
    <fb>68.010000000000005</fb>
    <v>1</v>
  </rv>
  <rv s="0">
    <fb>67.3</fb>
    <v>1</v>
  </rv>
  <rv s="0">
    <fb>66.92</fb>
    <v>1</v>
  </rv>
  <rv s="0">
    <fb>66.67</fb>
    <v>1</v>
  </rv>
  <rv s="0">
    <fb>65.56</fb>
    <v>1</v>
  </rv>
  <rv s="0">
    <fb>65.92</fb>
    <v>1</v>
  </rv>
  <rv s="0">
    <fb>65.31</fb>
    <v>1</v>
  </rv>
  <rv s="0">
    <fb>65.010000000000005</fb>
    <v>1</v>
  </rv>
  <rv s="0">
    <fb>65.11</fb>
    <v>1</v>
  </rv>
  <rv s="0">
    <fb>65.37</fb>
    <v>1</v>
  </rv>
  <rv s="0">
    <fb>63.66</fb>
    <v>1</v>
  </rv>
  <rv s="0">
    <fb>63.36</fb>
    <v>1</v>
  </rv>
  <rv s="0">
    <fb>63.2</fb>
    <v>1</v>
  </rv>
  <rv s="0">
    <fb>61.86</fb>
    <v>1</v>
  </rv>
  <rv s="0">
    <fb>62.59</fb>
    <v>1</v>
  </rv>
  <rv s="0">
    <fb>64.38</fb>
    <v>1</v>
  </rv>
  <rv s="0">
    <fb>64.55</fb>
    <v>1</v>
  </rv>
  <rv s="0">
    <fb>64.430000000000007</fb>
    <v>1</v>
  </rv>
  <rv s="0">
    <fb>64.08</fb>
    <v>1</v>
  </rv>
  <rv s="0">
    <fb>63.52</fb>
    <v>1</v>
  </rv>
  <rv s="0">
    <fb>62.21</fb>
    <v>1</v>
  </rv>
  <rv s="0">
    <fb>62.92</fb>
    <v>1</v>
  </rv>
  <rv s="0">
    <fb>62.53</fb>
    <v>1</v>
  </rv>
  <rv s="0">
    <fb>62.6</fb>
    <v>1</v>
  </rv>
  <rv s="0">
    <fb>62.64</fb>
    <v>1</v>
  </rv>
  <rv s="0">
    <fb>63.12</fb>
    <v>1</v>
  </rv>
  <rv s="0">
    <fb>63.4</fb>
    <v>1</v>
  </rv>
  <rv s="0">
    <fb>62.45</fb>
    <v>1</v>
  </rv>
  <rv s="0">
    <fb>62.38</fb>
    <v>1</v>
  </rv>
  <rv s="0">
    <fb>62.84</fb>
    <v>1</v>
  </rv>
  <rv s="0">
    <fb>62.03</fb>
    <v>1</v>
  </rv>
  <rv s="0">
    <fb>62.26</fb>
    <v>1</v>
  </rv>
  <rv s="0">
    <fb>61.84</fb>
    <v>1</v>
  </rv>
  <rv s="0">
    <fb>61.75</fb>
    <v>1</v>
  </rv>
  <rv s="0">
    <fb>60.81</fb>
    <v>1</v>
  </rv>
  <rv s="0">
    <fb>60.84</fb>
    <v>1</v>
  </rv>
  <rv s="0">
    <fb>61.71</fb>
    <v>1</v>
  </rv>
  <rv s="0">
    <fb>61.07</fb>
    <v>1</v>
  </rv>
  <rv s="0">
    <fb>61.65</fb>
    <v>1</v>
  </rv>
  <rv s="0">
    <fb>62.25</fb>
    <v>1</v>
  </rv>
  <rv s="0">
    <fb>62.71</fb>
    <v>1</v>
  </rv>
  <rv s="0">
    <fb>62.42</fb>
    <v>1</v>
  </rv>
  <rv s="0">
    <fb>61.78</fb>
    <v>1</v>
  </rv>
  <rv s="0">
    <fb>61.53</fb>
    <v>1</v>
  </rv>
  <rv s="0">
    <fb>61.92</fb>
    <v>1</v>
  </rv>
  <rv s="0">
    <fb>63.87</fb>
    <v>1</v>
  </rv>
  <rv s="0">
    <fb>62.36</fb>
    <v>1</v>
  </rv>
  <rv s="0">
    <fb>63.48</fb>
    <v>1</v>
  </rv>
  <rv s="0">
    <fb>63.35</fb>
    <v>1</v>
  </rv>
  <rv s="0">
    <fb>62.67</fb>
    <v>1</v>
  </rv>
  <rv s="0">
    <fb>67.599999999999994</fb>
    <v>1</v>
  </rv>
  <rv s="0">
    <fb>68.709999999999994</fb>
    <v>1</v>
  </rv>
  <rv s="0">
    <fb>69.5</fb>
    <v>1</v>
  </rv>
  <rv s="0">
    <fb>68.87</fb>
    <v>1</v>
  </rv>
  <rv s="0">
    <fb>69.05</fb>
    <v>1</v>
  </rv>
  <rv s="0">
    <fb>70.069999999999993</fb>
    <v>1</v>
  </rv>
  <rv s="0">
    <fb>70.040000000000006</fb>
    <v>1</v>
  </rv>
  <rv s="0">
    <fb>71.349999999999994</fb>
    <v>1</v>
  </rv>
  <rv s="0">
    <fb>70.59</fb>
    <v>1</v>
  </rv>
  <rv s="0">
    <fb>71.489999999999995</fb>
    <v>1</v>
  </rv>
  <rv s="0">
    <fb>70.8</fb>
    <v>1</v>
  </rv>
  <rv s="0">
    <fb>70.87</fb>
    <v>1</v>
  </rv>
  <rv s="0">
    <fb>71.209999999999994</fb>
    <v>1</v>
  </rv>
  <rv s="0">
    <fb>72.319999999999993</fb>
    <v>1</v>
  </rv>
  <rv s="0">
    <fb>70.19</fb>
    <v>1</v>
  </rv>
  <rv s="0">
    <fb>70.08</fb>
    <v>1</v>
  </rv>
  <rv s="0">
    <fb>70.459999999999994</fb>
    <v>1</v>
  </rv>
  <rv s="0">
    <fb>71.430000000000007</fb>
    <v>1</v>
  </rv>
  <rv s="0">
    <fb>71.040000000000006</fb>
    <v>1</v>
  </rv>
  <rv s="0">
    <fb>69.94</fb>
    <v>1</v>
  </rv>
  <rv s="0">
    <fb>69.62</fb>
    <v>1</v>
  </rv>
  <rv s="0">
    <fb>69.16</fb>
    <v>1</v>
  </rv>
  <rv s="0">
    <fb>70.12</fb>
    <v>1</v>
  </rv>
  <rv s="0">
    <fb>69.28</fb>
    <v>1</v>
  </rv>
  <rv s="0">
    <fb>69.709999999999994</fb>
    <v>1</v>
  </rv>
  <rv s="0">
    <fb>68.67</fb>
    <v>1</v>
  </rv>
  <rv s="0">
    <fb>68.95</fb>
    <v>1</v>
  </rv>
  <rv s="0">
    <fb>68.81</fb>
    <v>1</v>
  </rv>
  <rv s="0">
    <fb>70.02</fb>
    <v>1</v>
  </rv>
  <rv s="0">
    <fb>70.739999999999995</fb>
    <v>1</v>
  </rv>
  <rv s="0">
    <fb>70.37</fb>
    <v>1</v>
  </rv>
  <rv s="0">
    <fb>71.62</fb>
    <v>1</v>
  </rv>
  <rv s="0">
    <fb>71.87</fb>
    <v>1</v>
  </rv>
  <rv s="0">
    <fb>73.180000000000007</fb>
    <v>1</v>
  </rv>
  <rv s="0">
    <fb>69.930000000000007</fb>
    <v>1</v>
  </rv>
  <rv s="0">
    <fb>68.37</fb>
    <v>1</v>
  </rv>
  <rv s="0">
    <fb>68.42</fb>
    <v>1</v>
  </rv>
  <rv s="0">
    <fb>69.95</fb>
    <v>1</v>
  </rv>
  <rv s="0">
    <fb>70.760000000000005</fb>
    <v>1</v>
  </rv>
  <rv s="0">
    <fb>72.45</fb>
    <v>1</v>
  </rv>
  <rv s="0">
    <fb>71.680000000000007</fb>
    <v>1</v>
  </rv>
  <rv s="0">
    <fb>73</fb>
    <v>1</v>
  </rv>
  <rv s="0">
    <fb>72.77</fb>
    <v>1</v>
  </rv>
  <rv s="0">
    <fb>73.900000000000006</fb>
    <v>1</v>
  </rv>
  <rv s="0">
    <fb>73.3</fb>
    <v>1</v>
  </rv>
  <rv s="0">
    <fb>72.52</fb>
    <v>1</v>
  </rv>
  <rv s="0">
    <fb>71.91</fb>
    <v>1</v>
  </rv>
  <rv s="0">
    <fb>72.349999999999994</fb>
    <v>1</v>
  </rv>
  <rv s="0">
    <fb>72.55</fb>
    <v>1</v>
  </rv>
  <rv s="0">
    <fb>71.290000000000006</fb>
    <v>1</v>
  </rv>
  <rv s="0">
    <fb>71.650000000000006</fb>
    <v>1</v>
  </rv>
  <rv s="0">
    <fb>71.7</fb>
    <v>1</v>
  </rv>
  <rv s="0">
    <fb>71.72</fb>
    <v>1</v>
  </rv>
  <rv s="0">
    <fb>72.400000000000006</fb>
    <v>1</v>
  </rv>
  <rv s="0">
    <fb>69.53</fb>
    <v>1</v>
  </rv>
  <rv s="0">
    <fb>68.959999999999994</fb>
    <v>1</v>
  </rv>
  <rv s="0">
    <fb>71.61</fb>
    <v>1</v>
  </rv>
  <rv s="0">
    <fb>72</fb>
    <v>1</v>
  </rv>
  <rv s="0">
    <fb>71.930000000000007</fb>
    <v>1</v>
  </rv>
  <rv s="0">
    <fb>71.69</fb>
    <v>1</v>
  </rv>
  <rv s="0">
    <fb>71.77</fb>
    <v>1</v>
  </rv>
  <rv s="0">
    <fb>71.78</fb>
    <v>1</v>
  </rv>
  <rv s="0">
    <fb>71.150000000000006</fb>
    <v>1</v>
  </rv>
  <rv s="0">
    <fb>71.16</fb>
    <v>1</v>
  </rv>
  <rv s="0">
    <fb>71.37</fb>
    <v>1</v>
  </rv>
  <rv s="0">
    <fb>70.91</fb>
    <v>1</v>
  </rv>
  <rv s="0">
    <fb>72.069999999999993</fb>
    <v>1</v>
  </rv>
  <rv s="0">
    <fb>72.239999999999995</fb>
    <v>1</v>
  </rv>
  <rv s="0">
    <fb>71.02</fb>
    <v>1</v>
  </rv>
  <rv s="0">
    <fb>69.209999999999994</fb>
    <v>1</v>
  </rv>
  <rv s="0">
    <fb>68.84</fb>
    <v>1</v>
  </rv>
  <rv s="0">
    <fb>69.739999999999995</fb>
    <v>1</v>
  </rv>
  <rv s="0">
    <fb>70.209999999999994</fb>
    <v>1</v>
  </rv>
  <rv s="0">
    <fb>69.63</fb>
    <v>1</v>
  </rv>
  <rv s="0">
    <fb>69.47</fb>
    <v>1</v>
  </rv>
  <rv s="0">
    <fb>70.33</fb>
    <v>1</v>
  </rv>
  <rv s="0">
    <fb>70.75</fb>
    <v>1</v>
  </rv>
  <rv s="0">
    <fb>71.67</fb>
    <v>1</v>
  </rv>
  <rv s="0">
    <fb>70.239999999999995</fb>
    <v>1</v>
  </rv>
  <rv s="0">
    <fb>69.48</fb>
    <v>1</v>
  </rv>
  <rv s="0">
    <fb>69.77</fb>
    <v>1</v>
  </rv>
  <rv s="0">
    <fb>69.87</fb>
    <v>1</v>
  </rv>
  <rv s="0">
    <fb>69.36</fb>
    <v>1</v>
  </rv>
  <rv s="0">
    <fb>69.27</fb>
    <v>1</v>
  </rv>
  <rv s="0">
    <fb>69.849999999999994</fb>
    <v>1</v>
  </rv>
  <rv s="0">
    <fb>69.66</fb>
    <v>1</v>
  </rv>
  <rv s="0">
    <fb>69.099999999999994</fb>
    <v>1</v>
  </rv>
  <rv s="0">
    <fb>69.17</fb>
    <v>1</v>
  </rv>
  <rv s="0">
    <fb>68.09</fb>
    <v>1</v>
  </rv>
  <rv s="0">
    <fb>68.75</fb>
    <v>1</v>
  </rv>
  <rv s="0">
    <fb>67.89</fb>
    <v>1</v>
  </rv>
  <rv s="0">
    <fb>68.86</fb>
    <v>1</v>
  </rv>
  <rv s="0">
    <fb>69.510000000000005</fb>
    <v>1</v>
  </rv>
  <rv s="0">
    <fb>70.430000000000007</fb>
    <v>1</v>
  </rv>
  <rv s="0">
    <fb>70.709999999999994</fb>
    <v>1</v>
  </rv>
  <rv s="0">
    <fb>69.55</fb>
    <v>1</v>
  </rv>
  <rv s="0">
    <fb>69.92</fb>
    <v>1</v>
  </rv>
  <rv s="0">
    <fb>69.13</fb>
    <v>1</v>
  </rv>
  <rv s="0">
    <fb>70.13</fb>
    <v>1</v>
  </rv>
  <rv s="0">
    <fb>70.7</fb>
    <v>1</v>
  </rv>
  <rv s="0">
    <fb>70.66</fb>
    <v>1</v>
  </rv>
  <rv s="0">
    <fb>68.930000000000007</fb>
    <v>1</v>
  </rv>
  <rv s="0">
    <fb>68.83</fb>
    <v>1</v>
  </rv>
  <rv s="0">
    <fb>68.36</fb>
    <v>1</v>
  </rv>
  <rv s="0">
    <fb>68.989999999999995</fb>
    <v>1</v>
  </rv>
  <rv s="0">
    <fb>69.06</fb>
    <v>1</v>
  </rv>
  <rv s="0">
    <fb>68.25</fb>
    <v>1</v>
  </rv>
  <rv s="0">
    <fb>67.430000000000007</fb>
    <v>1</v>
  </rv>
  <rv s="0">
    <fb>67.86</fb>
    <v>1</v>
  </rv>
  <rv s="0">
    <fb>67.819999999999993</fb>
    <v>1</v>
  </rv>
  <rv s="0">
    <fb>67.62</fb>
    <v>1</v>
  </rv>
  <rv s="0">
    <fb>67.010000000000005</fb>
    <v>1</v>
  </rv>
  <rv s="0">
    <fb>66.209999999999994</fb>
    <v>1</v>
  </rv>
  <rv s="0">
    <fb>66.239999999999995</fb>
    <v>1</v>
  </rv>
  <rv s="0">
    <fb>67.040000000000006</fb>
    <v>1</v>
  </rv>
  <rv s="0">
    <fb>66.459999999999994</fb>
    <v>1</v>
  </rv>
  <rv s="0">
    <fb>66.430000000000007</fb>
    <v>1</v>
  </rv>
  <rv s="0">
    <fb>66.709999999999994</fb>
    <v>1</v>
  </rv>
  <rv s="0">
    <fb>66.45</fb>
    <v>1</v>
  </rv>
  <rv s="0">
    <fb>65.98</fb>
    <v>1</v>
  </rv>
  <rv s="0">
    <fb>65.67</fb>
    <v>1</v>
  </rv>
  <rv s="0">
    <fb>66.040000000000006</fb>
    <v>1</v>
  </rv>
  <rv s="0">
    <fb>66.319999999999993</fb>
    <v>1</v>
  </rv>
  <rv s="0">
    <fb>66.78</fb>
    <v>1</v>
  </rv>
  <rv s="0">
    <fb>66.099999999999994</fb>
    <v>1</v>
  </rv>
  <rv s="0">
    <fb>66.650000000000006</fb>
    <v>1</v>
  </rv>
  <rv s="0">
    <fb>66.790000000000006</fb>
    <v>1</v>
  </rv>
  <rv s="0">
    <fb>66.12</fb>
    <v>1</v>
  </rv>
  <rv s="0">
    <fb>66.37</fb>
    <v>1</v>
  </rv>
  <rv s="0">
    <fb>66.8</fb>
    <v>1</v>
  </rv>
  <rv s="0">
    <fb>67.510000000000005</fb>
    <v>1</v>
  </rv>
  <rv s="0">
    <fb>67.08</fb>
    <v>1</v>
  </rv>
  <rv s="0">
    <fb>67.59</fb>
    <v>1</v>
  </rv>
  <rv s="0">
    <fb>68.44</fb>
    <v>1</v>
  </rv>
  <rv s="0">
    <fb>71.22</fb>
    <v>1</v>
  </rv>
  <rv s="0">
    <fb>70.81</fb>
    <v>1</v>
  </rv>
  <rv s="0">
    <fb>70.06</fb>
    <v>1</v>
  </rv>
  <rv s="0">
    <fb>70.16</fb>
    <v>1</v>
  </rv>
  <rv s="0">
    <fb>68.349999999999994</fb>
    <v>1</v>
  </rv>
  <rv s="0">
    <fb>68.900000000000006</fb>
    <v>1</v>
  </rv>
  <rv s="0">
    <fb>67.97</fb>
    <v>1</v>
  </rv>
  <rv s="0">
    <fb>68.66</fb>
    <v>1</v>
  </rv>
  <rv s="0">
    <fb>68.510000000000005</fb>
    <v>1</v>
  </rv>
  <rv s="0">
    <fb>70.55</fb>
    <v>1</v>
  </rv>
  <rv s="0">
    <fb>71.510000000000005</fb>
    <v>1</v>
  </rv>
  <rv s="0">
    <fb>71.069999999999993</fb>
    <v>1</v>
  </rv>
  <rv s="0">
    <fb>70.680000000000007</fb>
    <v>1</v>
  </rv>
  <rv s="0">
    <fb>71.11</fb>
    <v>1</v>
  </rv>
  <rv s="0">
    <fb>72.95</fb>
    <v>1</v>
  </rv>
  <rv s="0">
    <fb>72.59</fb>
    <v>1</v>
  </rv>
  <rv s="0">
    <fb>72.61</fb>
    <v>1</v>
  </rv>
  <rv s="0">
    <fb>72.88</fb>
    <v>1</v>
  </rv>
  <rv s="0">
    <fb>73.12</fb>
    <v>1</v>
  </rv>
  <rv s="0">
    <fb>71.95</fb>
    <v>1</v>
  </rv>
  <rv s="0">
    <fb>70.67</fb>
    <v>1</v>
  </rv>
  <rv s="0">
    <fb>70.45</fb>
    <v>1</v>
  </rv>
  <rv s="0">
    <fb>70</fb>
    <v>1</v>
  </rv>
  <rv s="0">
    <fb>70.25</fb>
    <v>1</v>
  </rv>
  <rv s="0">
    <fb>70.09</fb>
    <v>1</v>
  </rv>
  <rv s="0">
    <fb>69.11</fb>
    <v>1</v>
  </rv>
  <rv s="0">
    <fb>70.97</fb>
    <v>1</v>
  </rv>
  <rv s="0">
    <fb>70.36</fb>
    <v>1</v>
  </rv>
  <rv s="0">
    <fb>70.11</fb>
    <v>1</v>
  </rv>
  <rv s="0">
    <fb>69.91</fb>
    <v>1</v>
  </rv>
  <rv s="0">
    <fb>69.12</fb>
    <v>1</v>
  </rv>
  <rv s="0">
    <fb>67.94</fb>
    <v>1</v>
  </rv>
  <rv s="0">
    <fb>67.84</fb>
    <v>1</v>
  </rv>
  <rv s="0">
    <fb>67.540000000000006</fb>
    <v>1</v>
  </rv>
  <rv s="0">
    <fb>69.37</fb>
    <v>1</v>
  </rv>
  <rv s="0">
    <fb>70.510000000000005</fb>
    <v>1</v>
  </rv>
  <rv s="0">
    <fb>70.5</fb>
    <v>1</v>
  </rv>
  <rv s="0">
    <fb>71.239999999999995</fb>
    <v>1</v>
  </rv>
  <rv s="0">
    <fb>71.44</fb>
    <v>1</v>
  </rv>
  <rv s="0">
    <fb>70.48</fb>
    <v>1</v>
  </rv>
  <rv s="0">
    <fb>72.010000000000005</fb>
    <v>1</v>
  </rv>
  <rv s="0">
    <fb>73.55</fb>
    <v>1</v>
  </rv>
  <rv s="0">
    <fb>73.06</fb>
    <v>1</v>
  </rv>
  <rv s="0">
    <fb>73.430000000000007</fb>
    <v>1</v>
  </rv>
  <rv s="0">
    <fb>74.81</fb>
    <v>1</v>
  </rv>
  <rv s="1">
    <v>3</v>
    <v>XOM</v>
    <v>Daily</v>
    <v>45292</v>
    <v>46053</v>
    <v>0</v>
    <v>1</v>
    <v>639053280000000000,639056560257047144,0</v>
    <v>0</v>
    <v>a269ec</v>
    <v>XNYS:XOM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65423-DC5E-45D6-AE8E-44CE50110C42}" name="Weekly" displayName="Weekly" ref="A1:D121" tableType="queryTable" totalsRowShown="0">
  <autoFilter ref="A1:D121" xr:uid="{1A965423-DC5E-45D6-AE8E-44CE50110C42}"/>
  <tableColumns count="4">
    <tableColumn id="1" xr3:uid="{D76052C5-E006-4DA8-811D-E07700CDE2D1}" uniqueName="1" name="Week" queryTableFieldId="1" dataDxfId="1"/>
    <tableColumn id="2" xr3:uid="{01237D70-E22D-4116-A201-6F5B5339B034}" uniqueName="2" name="Average" queryTableFieldId="2"/>
    <tableColumn id="4" xr3:uid="{344056E1-720A-4A1A-9B85-5914DBF6C8A8}" uniqueName="4" name="XL Forecast" queryTableFieldId="4"/>
    <tableColumn id="8" xr3:uid="{5FB06651-9573-40BD-91DE-08D567DCF885}" uniqueName="8" name="Calc Forecas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CEF2A-BDCF-47F0-B5B7-0DE037954043}" name="Table1" displayName="Table1" ref="A1:B523" totalsRowShown="0">
  <autoFilter ref="A1:B523" xr:uid="{7FFCEF2A-BDCF-47F0-B5B7-0DE037954043}"/>
  <tableColumns count="2">
    <tableColumn id="1" xr3:uid="{94D6F9DE-B59C-4669-9FF7-199F346F17A9}" name="Week" dataDxfId="0"/>
    <tableColumn id="2" xr3:uid="{1F434434-C2AF-469C-B4DF-4A8F6A9167B7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3"/>
  <sheetViews>
    <sheetView zoomScale="70" zoomScaleNormal="70" workbookViewId="0">
      <selection activeCell="B1" sqref="B1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3" ca="1">_xlfn.STOCKHISTORY("XOM","2024-01-01","2026-01-31",0,1,0,1,5)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102.36</v>
      </c>
      <c r="D2" vm="3">
        <f ca="1"/>
        <v>23483049</v>
      </c>
      <c r="E2">
        <f ca="1">C2*D2</f>
        <v>2403724895.6399999</v>
      </c>
      <c r="F2">
        <f ca="1">SUM($E$2:E2)/SUM($D$2:D2)</f>
        <v>102.36</v>
      </c>
      <c r="G2">
        <f ca="1">_xlfn.STDEV.P($C$2:C2)</f>
        <v>0</v>
      </c>
      <c r="H2">
        <f ca="1">F2 + G2</f>
        <v>102.36</v>
      </c>
      <c r="I2">
        <f ca="1">F2 - G2</f>
        <v>102.36</v>
      </c>
      <c r="AC2" t="s">
        <v>39</v>
      </c>
      <c r="AD2">
        <f ca="1">MIN(C:C)</f>
        <v>96.8</v>
      </c>
      <c r="AE2" s="18">
        <f ca="1">MIN(D:D)</f>
        <v>6137406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103.22</v>
      </c>
      <c r="D3" vm="6">
        <f ca="1"/>
        <v>23490779</v>
      </c>
      <c r="E3">
        <f t="shared" ref="E3:E66" ca="1" si="1">C3*D3</f>
        <v>2424718208.3800001</v>
      </c>
      <c r="F3">
        <f ca="1">SUM($E$2:E3)/SUM($D$2:D3)</f>
        <v>102.79007076067977</v>
      </c>
      <c r="G3">
        <f ca="1">_xlfn.STDEV.P($C$2:C3)</f>
        <v>0.42999999999999972</v>
      </c>
      <c r="H3">
        <f t="shared" ref="H3:H66" ca="1" si="2">F3 + G3</f>
        <v>103.22007076067976</v>
      </c>
      <c r="I3">
        <f t="shared" ref="I3:I66" ca="1" si="3">F3 - G3</f>
        <v>102.36007076067978</v>
      </c>
      <c r="N3">
        <f ca="1">C3-C2</f>
        <v>0.85999999999999943</v>
      </c>
      <c r="O3">
        <f ca="1">MAX(N3,0)</f>
        <v>0.85999999999999943</v>
      </c>
      <c r="P3">
        <f ca="1">MAX(-N3,0)</f>
        <v>0</v>
      </c>
      <c r="AC3" t="s">
        <v>40</v>
      </c>
      <c r="AD3">
        <f ca="1">MAX(C:C)</f>
        <v>141.4</v>
      </c>
      <c r="AE3" s="18">
        <f ca="1">MAX(D:D)</f>
        <v>52220574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102.32</v>
      </c>
      <c r="D4" vm="9">
        <f ca="1"/>
        <v>19395154</v>
      </c>
      <c r="E4">
        <f t="shared" ca="1" si="1"/>
        <v>1984512157.28</v>
      </c>
      <c r="F4">
        <f ca="1">SUM($E$2:E4)/SUM($D$2:D4)</f>
        <v>102.65270094545069</v>
      </c>
      <c r="G4">
        <f ca="1">_xlfn.STDEV.P($C$2:C4)</f>
        <v>0.41515726605174169</v>
      </c>
      <c r="H4">
        <f t="shared" ca="1" si="2"/>
        <v>103.06785821150243</v>
      </c>
      <c r="I4">
        <f t="shared" ca="1" si="3"/>
        <v>102.23754367939895</v>
      </c>
      <c r="N4">
        <f t="shared" ref="N4:N67" ca="1" si="4">C4-C3</f>
        <v>-0.90000000000000568</v>
      </c>
      <c r="O4">
        <f t="shared" ref="O4:O67" ca="1" si="5">MAX(N4,0)</f>
        <v>0</v>
      </c>
      <c r="P4">
        <f t="shared" ref="P4:P67" ca="1" si="6">MAX(-N4,0)</f>
        <v>0.90000000000000568</v>
      </c>
      <c r="AC4" t="s">
        <v>41</v>
      </c>
      <c r="AD4">
        <f ca="1">MEDIAN(C:C)</f>
        <v>113.255</v>
      </c>
      <c r="AE4" s="18">
        <f ca="1">MEDIAN(D:D)</f>
        <v>15253928.5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102.63</v>
      </c>
      <c r="D5" vm="12">
        <f ca="1"/>
        <v>15827392</v>
      </c>
      <c r="E5">
        <f t="shared" ca="1" si="1"/>
        <v>1624365240.96</v>
      </c>
      <c r="F5">
        <f ca="1">SUM($E$2:E5)/SUM($D$2:D5)</f>
        <v>102.6483297457866</v>
      </c>
      <c r="G5">
        <f ca="1">_xlfn.STDEV.P($C$2:C5)</f>
        <v>0.35953963620163054</v>
      </c>
      <c r="H5">
        <f t="shared" ca="1" si="2"/>
        <v>103.00786938198823</v>
      </c>
      <c r="I5">
        <f t="shared" ca="1" si="3"/>
        <v>102.28879010958497</v>
      </c>
      <c r="N5">
        <f t="shared" ca="1" si="4"/>
        <v>0.31000000000000227</v>
      </c>
      <c r="O5">
        <f t="shared" ca="1" si="5"/>
        <v>0.31000000000000227</v>
      </c>
      <c r="P5">
        <f t="shared" ca="1" si="6"/>
        <v>0</v>
      </c>
      <c r="AC5" t="s">
        <v>42</v>
      </c>
      <c r="AD5">
        <f ca="1">AVERAGE(C:C)</f>
        <v>113.01823754789282</v>
      </c>
      <c r="AE5" s="18">
        <f ca="1">AVERAGE(D:D)</f>
        <v>16334317.860153256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100.92</v>
      </c>
      <c r="D6" vm="15">
        <f ca="1"/>
        <v>23370127</v>
      </c>
      <c r="E6">
        <f t="shared" ca="1" si="1"/>
        <v>2358513216.8400002</v>
      </c>
      <c r="F6">
        <f ca="1">SUM($E$2:E6)/SUM($D$2:D6)</f>
        <v>102.26571513533446</v>
      </c>
      <c r="G6">
        <f ca="1">_xlfn.STDEV.P($C$2:C6)</f>
        <v>0.75672980646991694</v>
      </c>
      <c r="H6">
        <f t="shared" ca="1" si="2"/>
        <v>103.02244494180438</v>
      </c>
      <c r="I6">
        <f t="shared" ca="1" si="3"/>
        <v>101.50898532886454</v>
      </c>
      <c r="N6">
        <f t="shared" ca="1" si="4"/>
        <v>-1.7099999999999937</v>
      </c>
      <c r="O6">
        <f t="shared" ca="1" si="5"/>
        <v>0</v>
      </c>
      <c r="P6">
        <f t="shared" ca="1" si="6"/>
        <v>1.7099999999999937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99.67</v>
      </c>
      <c r="D7" vm="18">
        <f ca="1"/>
        <v>19496647</v>
      </c>
      <c r="E7">
        <f t="shared" ca="1" si="1"/>
        <v>1943230806.49</v>
      </c>
      <c r="F7">
        <f ca="1">SUM($E$2:E7)/SUM($D$2:D7)</f>
        <v>101.86105762818316</v>
      </c>
      <c r="G7">
        <f ca="1">_xlfn.STDEV.P($C$2:C7)</f>
        <v>1.1960722757797224</v>
      </c>
      <c r="H7">
        <f t="shared" ca="1" si="2"/>
        <v>103.05712990396289</v>
      </c>
      <c r="I7">
        <f t="shared" ca="1" si="3"/>
        <v>100.66498535240343</v>
      </c>
      <c r="N7">
        <f t="shared" ca="1" si="4"/>
        <v>-1.25</v>
      </c>
      <c r="O7">
        <f t="shared" ca="1" si="5"/>
        <v>0</v>
      </c>
      <c r="P7">
        <f t="shared" ca="1" si="6"/>
        <v>1.25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98.69</v>
      </c>
      <c r="D8" vm="21">
        <f ca="1"/>
        <v>18206088</v>
      </c>
      <c r="E8">
        <f t="shared" ca="1" si="1"/>
        <v>1796758824.72</v>
      </c>
      <c r="F8">
        <f ca="1">SUM($E$2:E8)/SUM($D$2:D8)</f>
        <v>101.45809216369381</v>
      </c>
      <c r="G8">
        <f ca="1">_xlfn.STDEV.P($C$2:C8)</f>
        <v>1.5657351406327449</v>
      </c>
      <c r="H8">
        <f t="shared" ca="1" si="2"/>
        <v>103.02382730432655</v>
      </c>
      <c r="I8">
        <f t="shared" ca="1" si="3"/>
        <v>99.892357023061066</v>
      </c>
      <c r="N8">
        <f t="shared" ca="1" si="4"/>
        <v>-0.98000000000000398</v>
      </c>
      <c r="O8">
        <f t="shared" ca="1" si="5"/>
        <v>0</v>
      </c>
      <c r="P8">
        <f t="shared" ca="1" si="6"/>
        <v>0.98000000000000398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98.67</v>
      </c>
      <c r="D9" vm="24">
        <f ca="1"/>
        <v>15833360</v>
      </c>
      <c r="E9">
        <f t="shared" ca="1" si="1"/>
        <v>1562277631.2</v>
      </c>
      <c r="F9">
        <f ca="1">SUM($E$2:E9)/SUM($D$2:D9)</f>
        <v>101.18063052541267</v>
      </c>
      <c r="G9">
        <f ca="1">_xlfn.STDEV.P($C$2:C9)</f>
        <v>1.7207847047204932</v>
      </c>
      <c r="H9">
        <f t="shared" ca="1" si="2"/>
        <v>102.90141523013315</v>
      </c>
      <c r="I9">
        <f t="shared" ca="1" si="3"/>
        <v>99.45984582069218</v>
      </c>
      <c r="N9">
        <f t="shared" ca="1" si="4"/>
        <v>-1.9999999999996021E-2</v>
      </c>
      <c r="O9">
        <f t="shared" ca="1" si="5"/>
        <v>0</v>
      </c>
      <c r="P9">
        <f t="shared" ca="1" si="6"/>
        <v>1.9999999999996021E-2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99.95</v>
      </c>
      <c r="D10" vm="27">
        <f ca="1"/>
        <v>18041683</v>
      </c>
      <c r="E10">
        <f t="shared" ca="1" si="1"/>
        <v>1803266215.8500001</v>
      </c>
      <c r="F10">
        <f ca="1">SUM($E$2:E10)/SUM($D$2:D10)</f>
        <v>101.05529401466022</v>
      </c>
      <c r="G10">
        <f ca="1">_xlfn.STDEV.P($C$2:C10)</f>
        <v>1.6594510471170194</v>
      </c>
      <c r="H10">
        <f t="shared" ca="1" si="2"/>
        <v>102.71474506177724</v>
      </c>
      <c r="I10">
        <f t="shared" ca="1" si="3"/>
        <v>99.395842967543203</v>
      </c>
      <c r="N10">
        <f t="shared" ca="1" si="4"/>
        <v>1.2800000000000011</v>
      </c>
      <c r="O10">
        <f t="shared" ca="1" si="5"/>
        <v>1.2800000000000011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97.69</v>
      </c>
      <c r="D11" vm="30">
        <f ca="1"/>
        <v>20235699</v>
      </c>
      <c r="E11">
        <f t="shared" ca="1" si="1"/>
        <v>1976825435.3099999</v>
      </c>
      <c r="F11">
        <f ca="1">SUM($E$2:E11)/SUM($D$2:D11)</f>
        <v>100.71027889500526</v>
      </c>
      <c r="G11">
        <f ca="1">_xlfn.STDEV.P($C$2:C11)</f>
        <v>1.8512363436363271</v>
      </c>
      <c r="H11">
        <f t="shared" ca="1" si="2"/>
        <v>102.56151523864159</v>
      </c>
      <c r="I11">
        <f t="shared" ca="1" si="3"/>
        <v>98.85904255136893</v>
      </c>
      <c r="N11">
        <f t="shared" ca="1" si="4"/>
        <v>-2.2600000000000051</v>
      </c>
      <c r="O11">
        <f t="shared" ca="1" si="5"/>
        <v>0</v>
      </c>
      <c r="P11">
        <f t="shared" ca="1" si="6"/>
        <v>2.2600000000000051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96.98</v>
      </c>
      <c r="D12" vm="33">
        <f ca="1"/>
        <v>18384015</v>
      </c>
      <c r="E12">
        <f t="shared" ca="1" si="1"/>
        <v>1782881774.7</v>
      </c>
      <c r="F12">
        <f ca="1">SUM($E$2:E12)/SUM($D$2:D12)</f>
        <v>100.39244317920091</v>
      </c>
      <c r="G12">
        <f ca="1">_xlfn.STDEV.P($C$2:C12)</f>
        <v>2.0507861826485332</v>
      </c>
      <c r="H12">
        <f t="shared" ca="1" si="2"/>
        <v>102.44322936184945</v>
      </c>
      <c r="I12">
        <f t="shared" ca="1" si="3"/>
        <v>98.341656996552373</v>
      </c>
      <c r="N12">
        <f t="shared" ca="1" si="4"/>
        <v>-0.70999999999999375</v>
      </c>
      <c r="O12">
        <f t="shared" ca="1" si="5"/>
        <v>0</v>
      </c>
      <c r="P12">
        <f t="shared" ca="1" si="6"/>
        <v>0.70999999999999375</v>
      </c>
    </row>
    <row r="13" spans="1:31" x14ac:dyDescent="0.25">
      <c r="A13" s="20">
        <f t="shared" ca="1" si="0"/>
        <v>45306</v>
      </c>
      <c r="B13" vm="34">
        <f ca="1"/>
        <v>45309</v>
      </c>
      <c r="C13" vm="35">
        <f ca="1"/>
        <v>96.8</v>
      </c>
      <c r="D13" vm="36">
        <f ca="1"/>
        <v>20940275</v>
      </c>
      <c r="E13">
        <f t="shared" ca="1" si="1"/>
        <v>2027018620</v>
      </c>
      <c r="F13">
        <f ca="1">SUM($E$2:E13)/SUM($D$2:D13)</f>
        <v>100.07463417334749</v>
      </c>
      <c r="G13">
        <f ca="1">_xlfn.STDEV.P($C$2:C13)</f>
        <v>2.1866215696569182</v>
      </c>
      <c r="H13">
        <f t="shared" ca="1" si="2"/>
        <v>102.26125574300441</v>
      </c>
      <c r="I13">
        <f t="shared" ca="1" si="3"/>
        <v>97.888012603690569</v>
      </c>
      <c r="N13">
        <f t="shared" ca="1" si="4"/>
        <v>-0.18000000000000682</v>
      </c>
      <c r="O13">
        <f t="shared" ca="1" si="5"/>
        <v>0</v>
      </c>
      <c r="P13">
        <f t="shared" ca="1" si="6"/>
        <v>0.18000000000000682</v>
      </c>
      <c r="W13" s="9">
        <f ca="1">AVERAGE(C2:C13)</f>
        <v>99.99166666666666</v>
      </c>
    </row>
    <row r="14" spans="1:31" x14ac:dyDescent="0.25">
      <c r="A14" s="20">
        <f t="shared" ca="1" si="0"/>
        <v>45306</v>
      </c>
      <c r="B14" vm="37">
        <f ca="1"/>
        <v>45310</v>
      </c>
      <c r="C14" vm="38">
        <f ca="1"/>
        <v>96.95</v>
      </c>
      <c r="D14" vm="39">
        <f ca="1"/>
        <v>20088432</v>
      </c>
      <c r="E14">
        <f t="shared" ca="1" si="1"/>
        <v>1947573482.4000001</v>
      </c>
      <c r="F14">
        <f ca="1">SUM($E$2:E14)/SUM($D$2:D14)</f>
        <v>99.830199650418422</v>
      </c>
      <c r="G14">
        <f ca="1">_xlfn.STDEV.P($C$2:C14)</f>
        <v>2.2517656451571626</v>
      </c>
      <c r="H14">
        <f t="shared" ca="1" si="2"/>
        <v>102.08196529557559</v>
      </c>
      <c r="I14">
        <f t="shared" ca="1" si="3"/>
        <v>97.578434005261258</v>
      </c>
      <c r="N14">
        <f t="shared" ca="1" si="4"/>
        <v>0.15000000000000568</v>
      </c>
      <c r="O14">
        <f t="shared" ca="1" si="5"/>
        <v>0.15000000000000568</v>
      </c>
      <c r="P14">
        <f t="shared" ca="1" si="6"/>
        <v>0</v>
      </c>
      <c r="W14">
        <f ca="1">C14*(2/(12+1)) + W13*(1-(2/(12+1)))</f>
        <v>99.523717948717945</v>
      </c>
    </row>
    <row r="15" spans="1:31" x14ac:dyDescent="0.25">
      <c r="A15" s="20">
        <f t="shared" ca="1" si="0"/>
        <v>45313</v>
      </c>
      <c r="B15" vm="40">
        <f ca="1"/>
        <v>45313</v>
      </c>
      <c r="C15" vm="41">
        <f ca="1"/>
        <v>96.82</v>
      </c>
      <c r="D15" vm="42">
        <f ca="1"/>
        <v>19955946</v>
      </c>
      <c r="E15">
        <f t="shared" ca="1" si="1"/>
        <v>1932134691.7199998</v>
      </c>
      <c r="F15">
        <f ca="1">SUM($E$2:E15)/SUM($D$2:D15)</f>
        <v>99.613138492066938</v>
      </c>
      <c r="G15">
        <f ca="1">_xlfn.STDEV.P($C$2:C15)</f>
        <v>2.2979717099198225</v>
      </c>
      <c r="H15">
        <f t="shared" ca="1" si="2"/>
        <v>101.91111020198676</v>
      </c>
      <c r="I15">
        <f t="shared" ca="1" si="3"/>
        <v>97.315166782147116</v>
      </c>
      <c r="N15">
        <f t="shared" ca="1" si="4"/>
        <v>-0.13000000000000966</v>
      </c>
      <c r="O15">
        <f t="shared" ca="1" si="5"/>
        <v>0</v>
      </c>
      <c r="P15">
        <f t="shared" ca="1" si="6"/>
        <v>0.13000000000000966</v>
      </c>
      <c r="Q15" s="2">
        <f ca="1">AVERAGE(O3:O16)</f>
        <v>0.2635714285714294</v>
      </c>
      <c r="R15" s="2">
        <f ca="1">AVERAGE(P3:P16)</f>
        <v>0.58142857142857252</v>
      </c>
      <c r="S15">
        <f ca="1">IF(R15=0,NA(),Q15/R15)</f>
        <v>0.45331695331695387</v>
      </c>
      <c r="T15">
        <f ca="1">100-(100/(1+S15))</f>
        <v>31.191885038038905</v>
      </c>
      <c r="U15">
        <f>70</f>
        <v>70</v>
      </c>
      <c r="V15">
        <f>30</f>
        <v>30</v>
      </c>
      <c r="W15">
        <f t="shared" ref="W15:W78" ca="1" si="7">C15*(2/(12+1)) + W14*(1-(2/(12+1)))</f>
        <v>99.107761341222869</v>
      </c>
    </row>
    <row r="16" spans="1:31" x14ac:dyDescent="0.25">
      <c r="A16" s="20">
        <f t="shared" ca="1" si="0"/>
        <v>45313</v>
      </c>
      <c r="B16" vm="43">
        <f ca="1"/>
        <v>45314</v>
      </c>
      <c r="C16" vm="44">
        <f ca="1"/>
        <v>97.91</v>
      </c>
      <c r="D16" vm="45">
        <f ca="1"/>
        <v>15863433</v>
      </c>
      <c r="E16">
        <f t="shared" ca="1" si="1"/>
        <v>1553188725.03</v>
      </c>
      <c r="F16">
        <f ca="1">SUM($E$2:E16)/SUM($D$2:D16)</f>
        <v>99.520805928589169</v>
      </c>
      <c r="G16">
        <f ca="1">_xlfn.STDEV.P($C$2:C16)</f>
        <v>2.2573313644409598</v>
      </c>
      <c r="H16">
        <f t="shared" ca="1" si="2"/>
        <v>101.77813729303013</v>
      </c>
      <c r="I16">
        <f t="shared" ca="1" si="3"/>
        <v>97.263474564148211</v>
      </c>
      <c r="N16">
        <f t="shared" ca="1" si="4"/>
        <v>1.0900000000000034</v>
      </c>
      <c r="O16">
        <f t="shared" ca="1" si="5"/>
        <v>1.0900000000000034</v>
      </c>
      <c r="P16">
        <f t="shared" ca="1" si="6"/>
        <v>0</v>
      </c>
      <c r="Q16">
        <f ca="1">(Q15*13+O16)/14</f>
        <v>0.32260204081632754</v>
      </c>
      <c r="R16">
        <f ca="1">(R15*13+P16)/14</f>
        <v>0.53989795918367445</v>
      </c>
      <c r="S16">
        <f t="shared" ref="S16:S79" ca="1" si="8">IF(R16=0,NA(),Q16/R16)</f>
        <v>0.5975240975240983</v>
      </c>
      <c r="T16">
        <f t="shared" ref="T16:T79" ca="1" si="9">100-(100/(1+S16))</f>
        <v>37.403135167110349</v>
      </c>
      <c r="U16">
        <f>70</f>
        <v>70</v>
      </c>
      <c r="V16">
        <f>30</f>
        <v>30</v>
      </c>
      <c r="W16">
        <f t="shared" ca="1" si="7"/>
        <v>98.92349036565011</v>
      </c>
    </row>
    <row r="17" spans="1:25" x14ac:dyDescent="0.25">
      <c r="A17" s="20">
        <f t="shared" ca="1" si="0"/>
        <v>45313</v>
      </c>
      <c r="B17" vm="46">
        <f ca="1"/>
        <v>45315</v>
      </c>
      <c r="C17" vm="47">
        <f ca="1"/>
        <v>99.6</v>
      </c>
      <c r="D17" vm="48">
        <f ca="1"/>
        <v>17330646</v>
      </c>
      <c r="E17">
        <f t="shared" ca="1" si="1"/>
        <v>1726132341.5999999</v>
      </c>
      <c r="F17">
        <f ca="1">SUM($E$2:E17)/SUM($D$2:D17)</f>
        <v>99.525234115819316</v>
      </c>
      <c r="G17">
        <f ca="1">_xlfn.STDEV.P($C$2:C17)</f>
        <v>2.1860005575250887</v>
      </c>
      <c r="H17">
        <f t="shared" ca="1" si="2"/>
        <v>101.71123467334441</v>
      </c>
      <c r="I17">
        <f t="shared" ca="1" si="3"/>
        <v>97.339233558294225</v>
      </c>
      <c r="N17">
        <f t="shared" ca="1" si="4"/>
        <v>1.6899999999999977</v>
      </c>
      <c r="O17">
        <f t="shared" ca="1" si="5"/>
        <v>1.6899999999999977</v>
      </c>
      <c r="P17">
        <f t="shared" ca="1" si="6"/>
        <v>0</v>
      </c>
      <c r="Q17">
        <f t="shared" ref="Q17:Q80" ca="1" si="10">(Q16*13+O17)/14</f>
        <v>0.42027332361516112</v>
      </c>
      <c r="R17">
        <f t="shared" ref="R17:R80" ca="1" si="11">(R16*13+P17)/14</f>
        <v>0.50133381924198339</v>
      </c>
      <c r="S17">
        <f t="shared" ca="1" si="8"/>
        <v>0.83831033831033841</v>
      </c>
      <c r="T17">
        <f t="shared" ca="1" si="9"/>
        <v>45.60222073716136</v>
      </c>
      <c r="U17">
        <f>70</f>
        <v>70</v>
      </c>
      <c r="V17">
        <f>30</f>
        <v>30</v>
      </c>
      <c r="W17">
        <f t="shared" ca="1" si="7"/>
        <v>99.027568770934707</v>
      </c>
    </row>
    <row r="18" spans="1:25" x14ac:dyDescent="0.25">
      <c r="A18" s="20">
        <f t="shared" ca="1" si="0"/>
        <v>45313</v>
      </c>
      <c r="B18" vm="49">
        <f ca="1"/>
        <v>45316</v>
      </c>
      <c r="C18" vm="50">
        <f ca="1"/>
        <v>102.13</v>
      </c>
      <c r="D18" vm="51">
        <f ca="1"/>
        <v>22089510</v>
      </c>
      <c r="E18">
        <f t="shared" ca="1" si="1"/>
        <v>2256001656.2999997</v>
      </c>
      <c r="F18">
        <f ca="1">SUM($E$2:E18)/SUM($D$2:D18)</f>
        <v>99.698524525547953</v>
      </c>
      <c r="G18">
        <f ca="1">_xlfn.STDEV.P($C$2:C18)</f>
        <v>2.2125815137565663</v>
      </c>
      <c r="H18">
        <f t="shared" ca="1" si="2"/>
        <v>101.91110603930451</v>
      </c>
      <c r="I18">
        <f t="shared" ca="1" si="3"/>
        <v>97.485943011791392</v>
      </c>
      <c r="N18">
        <f t="shared" ca="1" si="4"/>
        <v>2.5300000000000011</v>
      </c>
      <c r="O18">
        <f t="shared" ca="1" si="5"/>
        <v>2.5300000000000011</v>
      </c>
      <c r="P18">
        <f t="shared" ca="1" si="6"/>
        <v>0</v>
      </c>
      <c r="Q18">
        <f t="shared" ca="1" si="10"/>
        <v>0.57096808621407824</v>
      </c>
      <c r="R18">
        <f t="shared" ca="1" si="11"/>
        <v>0.46552426072469888</v>
      </c>
      <c r="S18">
        <f t="shared" ca="1" si="8"/>
        <v>1.2265055430735898</v>
      </c>
      <c r="T18">
        <f t="shared" ca="1" si="9"/>
        <v>55.086570383312619</v>
      </c>
      <c r="U18">
        <f>70</f>
        <v>70</v>
      </c>
      <c r="V18">
        <f>30</f>
        <v>30</v>
      </c>
      <c r="W18">
        <f t="shared" ca="1" si="7"/>
        <v>99.504865883098589</v>
      </c>
    </row>
    <row r="19" spans="1:25" x14ac:dyDescent="0.25">
      <c r="A19" s="20">
        <f t="shared" ca="1" si="0"/>
        <v>45313</v>
      </c>
      <c r="B19" vm="52">
        <f ca="1"/>
        <v>45317</v>
      </c>
      <c r="C19" vm="53">
        <f ca="1"/>
        <v>103</v>
      </c>
      <c r="D19" vm="54">
        <f ca="1"/>
        <v>20817240</v>
      </c>
      <c r="E19">
        <f t="shared" ca="1" si="1"/>
        <v>2144175720</v>
      </c>
      <c r="F19">
        <f ca="1">SUM($E$2:E19)/SUM($D$2:D19)</f>
        <v>99.893303353845141</v>
      </c>
      <c r="G19">
        <f ca="1">_xlfn.STDEV.P($C$2:C19)</f>
        <v>2.2864340260666944</v>
      </c>
      <c r="H19">
        <f t="shared" ca="1" si="2"/>
        <v>102.17973737991184</v>
      </c>
      <c r="I19">
        <f t="shared" ca="1" si="3"/>
        <v>97.60686932777844</v>
      </c>
      <c r="N19">
        <f t="shared" ca="1" si="4"/>
        <v>0.87000000000000455</v>
      </c>
      <c r="O19">
        <f t="shared" ca="1" si="5"/>
        <v>0.87000000000000455</v>
      </c>
      <c r="P19">
        <f t="shared" ca="1" si="6"/>
        <v>0</v>
      </c>
      <c r="Q19">
        <f t="shared" ca="1" si="10"/>
        <v>0.59232750862735872</v>
      </c>
      <c r="R19">
        <f t="shared" ca="1" si="11"/>
        <v>0.43227252781579178</v>
      </c>
      <c r="S19">
        <f t="shared" ca="1" si="8"/>
        <v>1.3702640591580055</v>
      </c>
      <c r="T19">
        <f t="shared" ca="1" si="9"/>
        <v>57.810607803957822</v>
      </c>
      <c r="U19">
        <f>70</f>
        <v>70</v>
      </c>
      <c r="V19">
        <f>30</f>
        <v>30</v>
      </c>
      <c r="W19">
        <f t="shared" ca="1" si="7"/>
        <v>100.04257882416033</v>
      </c>
    </row>
    <row r="20" spans="1:25" x14ac:dyDescent="0.25">
      <c r="A20" s="20">
        <f t="shared" ca="1" si="0"/>
        <v>45320</v>
      </c>
      <c r="B20" vm="55">
        <f ca="1"/>
        <v>45320</v>
      </c>
      <c r="C20" vm="56">
        <f ca="1"/>
        <v>103.13</v>
      </c>
      <c r="D20" vm="57">
        <f ca="1"/>
        <v>18317549</v>
      </c>
      <c r="E20">
        <f t="shared" ca="1" si="1"/>
        <v>1889088828.3699999</v>
      </c>
      <c r="F20">
        <f ca="1">SUM($E$2:E20)/SUM($D$2:D20)</f>
        <v>100.05303831298872</v>
      </c>
      <c r="G20">
        <f ca="1">_xlfn.STDEV.P($C$2:C20)</f>
        <v>2.3467434853749101</v>
      </c>
      <c r="H20">
        <f t="shared" ca="1" si="2"/>
        <v>102.39978179836363</v>
      </c>
      <c r="I20">
        <f t="shared" ca="1" si="3"/>
        <v>97.706294827613803</v>
      </c>
      <c r="N20">
        <f t="shared" ca="1" si="4"/>
        <v>0.12999999999999545</v>
      </c>
      <c r="O20">
        <f t="shared" ca="1" si="5"/>
        <v>0.12999999999999545</v>
      </c>
      <c r="P20">
        <f t="shared" ca="1" si="6"/>
        <v>0</v>
      </c>
      <c r="Q20">
        <f t="shared" ca="1" si="10"/>
        <v>0.5593041151539756</v>
      </c>
      <c r="R20">
        <f t="shared" ca="1" si="11"/>
        <v>0.40139591868609237</v>
      </c>
      <c r="S20">
        <f t="shared" ca="1" si="8"/>
        <v>1.3933976134704393</v>
      </c>
      <c r="T20">
        <f t="shared" ca="1" si="9"/>
        <v>58.218392365237015</v>
      </c>
      <c r="U20">
        <f>70</f>
        <v>70</v>
      </c>
      <c r="V20">
        <f>30</f>
        <v>30</v>
      </c>
      <c r="W20">
        <f t="shared" ca="1" si="7"/>
        <v>100.51756669736643</v>
      </c>
    </row>
    <row r="21" spans="1:25" x14ac:dyDescent="0.25">
      <c r="A21" s="20">
        <f t="shared" ca="1" si="0"/>
        <v>45320</v>
      </c>
      <c r="B21" vm="58">
        <f ca="1"/>
        <v>45321</v>
      </c>
      <c r="C21" vm="59">
        <f ca="1"/>
        <v>104.85</v>
      </c>
      <c r="D21" vm="60">
        <f ca="1"/>
        <v>19610934</v>
      </c>
      <c r="E21">
        <f t="shared" ca="1" si="1"/>
        <v>2056206429.8999999</v>
      </c>
      <c r="F21">
        <f ca="1">SUM($E$2:E21)/SUM($D$2:D21)</f>
        <v>100.29377067037646</v>
      </c>
      <c r="G21">
        <f ca="1">_xlfn.STDEV.P($C$2:C21)</f>
        <v>2.5224560947616101</v>
      </c>
      <c r="H21">
        <f t="shared" ca="1" si="2"/>
        <v>102.81622676513807</v>
      </c>
      <c r="I21">
        <f t="shared" ca="1" si="3"/>
        <v>97.771314575614852</v>
      </c>
      <c r="J21">
        <f ca="1">AVERAGE(C2:C21)</f>
        <v>100.2145</v>
      </c>
      <c r="K21">
        <f ca="1">_xlfn.STDEV.S(C2:C21)</f>
        <v>2.5879853473106702</v>
      </c>
      <c r="L21">
        <f ca="1">J21 + 2*K21</f>
        <v>105.39047069462134</v>
      </c>
      <c r="M21">
        <f ca="1">J21-2*K21</f>
        <v>95.03852930537866</v>
      </c>
      <c r="N21">
        <f t="shared" ca="1" si="4"/>
        <v>1.7199999999999989</v>
      </c>
      <c r="O21">
        <f t="shared" ca="1" si="5"/>
        <v>1.7199999999999989</v>
      </c>
      <c r="P21">
        <f t="shared" ca="1" si="6"/>
        <v>0</v>
      </c>
      <c r="Q21">
        <f t="shared" ca="1" si="10"/>
        <v>0.64221096407154865</v>
      </c>
      <c r="R21">
        <f t="shared" ca="1" si="11"/>
        <v>0.37272478163708572</v>
      </c>
      <c r="S21">
        <f t="shared" ca="1" si="8"/>
        <v>1.7230165411884417</v>
      </c>
      <c r="T21">
        <f t="shared" ca="1" si="9"/>
        <v>63.276021835564876</v>
      </c>
      <c r="U21">
        <f>70</f>
        <v>70</v>
      </c>
      <c r="V21">
        <f>30</f>
        <v>30</v>
      </c>
      <c r="W21">
        <f t="shared" ca="1" si="7"/>
        <v>101.1840948977716</v>
      </c>
    </row>
    <row r="22" spans="1:25" x14ac:dyDescent="0.25">
      <c r="A22" s="20">
        <f t="shared" ca="1" si="0"/>
        <v>45320</v>
      </c>
      <c r="B22" vm="61">
        <f ca="1"/>
        <v>45322</v>
      </c>
      <c r="C22" vm="62">
        <f ca="1"/>
        <v>102.81</v>
      </c>
      <c r="D22" vm="63">
        <f ca="1"/>
        <v>22415291</v>
      </c>
      <c r="E22">
        <f t="shared" ca="1" si="1"/>
        <v>2304516067.71</v>
      </c>
      <c r="F22">
        <f ca="1">SUM($E$2:E22)/SUM($D$2:D22)</f>
        <v>100.43027341523675</v>
      </c>
      <c r="G22">
        <f ca="1">_xlfn.STDEV.P($C$2:C22)</f>
        <v>2.5229567292358324</v>
      </c>
      <c r="H22">
        <f t="shared" ca="1" si="2"/>
        <v>102.95323014447258</v>
      </c>
      <c r="I22">
        <f t="shared" ca="1" si="3"/>
        <v>97.907316686000925</v>
      </c>
      <c r="J22">
        <f t="shared" ref="J22:J85" ca="1" si="12">AVERAGE(C3:C22)</f>
        <v>100.23699999999999</v>
      </c>
      <c r="K22">
        <f t="shared" ref="K22:K85" ca="1" si="13">_xlfn.STDEV.S(C3:C22)</f>
        <v>2.6094869429186942</v>
      </c>
      <c r="L22">
        <f t="shared" ref="L22:L85" ca="1" si="14">J22 + 2*K22</f>
        <v>105.45597388583738</v>
      </c>
      <c r="M22">
        <f t="shared" ref="M22:M85" ca="1" si="15">J22-2*K22</f>
        <v>95.018026114162609</v>
      </c>
      <c r="N22">
        <f t="shared" ca="1" si="4"/>
        <v>-2.039999999999992</v>
      </c>
      <c r="O22">
        <f t="shared" ca="1" si="5"/>
        <v>0</v>
      </c>
      <c r="P22">
        <f t="shared" ca="1" si="6"/>
        <v>2.039999999999992</v>
      </c>
      <c r="Q22">
        <f t="shared" ca="1" si="10"/>
        <v>0.59633875235215228</v>
      </c>
      <c r="R22">
        <f t="shared" ca="1" si="11"/>
        <v>0.49181586866300758</v>
      </c>
      <c r="S22">
        <f t="shared" ca="1" si="8"/>
        <v>1.2125244229579013</v>
      </c>
      <c r="T22">
        <f t="shared" ca="1" si="9"/>
        <v>54.802758802404078</v>
      </c>
      <c r="U22">
        <f>70</f>
        <v>70</v>
      </c>
      <c r="V22">
        <f>30</f>
        <v>30</v>
      </c>
      <c r="W22">
        <f t="shared" ca="1" si="7"/>
        <v>101.43423414426827</v>
      </c>
    </row>
    <row r="23" spans="1:25" x14ac:dyDescent="0.25">
      <c r="A23" s="20">
        <f t="shared" ca="1" si="0"/>
        <v>45320</v>
      </c>
      <c r="B23" vm="64">
        <f ca="1"/>
        <v>45323</v>
      </c>
      <c r="C23" vm="65">
        <f ca="1"/>
        <v>102.39</v>
      </c>
      <c r="D23" vm="66">
        <f ca="1"/>
        <v>19240687</v>
      </c>
      <c r="E23">
        <f t="shared" ca="1" si="1"/>
        <v>1970053941.9300001</v>
      </c>
      <c r="F23">
        <f ca="1">SUM($E$2:E23)/SUM($D$2:D23)</f>
        <v>100.51746936052216</v>
      </c>
      <c r="G23">
        <f ca="1">_xlfn.STDEV.P($C$2:C23)</f>
        <v>2.5017308471146444</v>
      </c>
      <c r="H23">
        <f t="shared" ca="1" si="2"/>
        <v>103.0192002076368</v>
      </c>
      <c r="I23">
        <f t="shared" ca="1" si="3"/>
        <v>98.015738513407513</v>
      </c>
      <c r="J23">
        <f t="shared" ca="1" si="12"/>
        <v>100.19550000000001</v>
      </c>
      <c r="K23">
        <f t="shared" ca="1" si="13"/>
        <v>2.5657839163232654</v>
      </c>
      <c r="L23">
        <f t="shared" ca="1" si="14"/>
        <v>105.32706783264653</v>
      </c>
      <c r="M23">
        <f t="shared" ca="1" si="15"/>
        <v>95.063932167353485</v>
      </c>
      <c r="N23">
        <f t="shared" ca="1" si="4"/>
        <v>-0.42000000000000171</v>
      </c>
      <c r="O23">
        <f t="shared" ca="1" si="5"/>
        <v>0</v>
      </c>
      <c r="P23">
        <f t="shared" ca="1" si="6"/>
        <v>0.42000000000000171</v>
      </c>
      <c r="Q23">
        <f t="shared" ca="1" si="10"/>
        <v>0.55374312718414143</v>
      </c>
      <c r="R23">
        <f t="shared" ca="1" si="11"/>
        <v>0.48668616375850721</v>
      </c>
      <c r="S23">
        <f t="shared" ca="1" si="8"/>
        <v>1.1377827610873026</v>
      </c>
      <c r="T23">
        <f t="shared" ca="1" si="9"/>
        <v>53.222562263932389</v>
      </c>
      <c r="U23">
        <f>70</f>
        <v>70</v>
      </c>
      <c r="V23">
        <f>30</f>
        <v>30</v>
      </c>
      <c r="W23">
        <f t="shared" ca="1" si="7"/>
        <v>101.58127504515008</v>
      </c>
    </row>
    <row r="24" spans="1:25" x14ac:dyDescent="0.25">
      <c r="A24" s="20">
        <f t="shared" ca="1" si="0"/>
        <v>45320</v>
      </c>
      <c r="B24" vm="67">
        <f ca="1"/>
        <v>45324</v>
      </c>
      <c r="C24" vm="68">
        <f ca="1"/>
        <v>101.97</v>
      </c>
      <c r="D24" vm="69">
        <f ca="1"/>
        <v>21973405</v>
      </c>
      <c r="E24">
        <f t="shared" ca="1" si="1"/>
        <v>2240628107.8499999</v>
      </c>
      <c r="F24">
        <f ca="1">SUM($E$2:E24)/SUM($D$2:D24)</f>
        <v>100.58770819941485</v>
      </c>
      <c r="G24">
        <f ca="1">_xlfn.STDEV.P($C$2:C24)</f>
        <v>2.4667786636472528</v>
      </c>
      <c r="H24">
        <f t="shared" ca="1" si="2"/>
        <v>103.0544868630621</v>
      </c>
      <c r="I24">
        <f t="shared" ca="1" si="3"/>
        <v>98.120929535767601</v>
      </c>
      <c r="J24">
        <f t="shared" ca="1" si="12"/>
        <v>100.178</v>
      </c>
      <c r="K24">
        <f t="shared" ca="1" si="13"/>
        <v>2.5516859235869092</v>
      </c>
      <c r="L24">
        <f t="shared" ca="1" si="14"/>
        <v>105.28137184717382</v>
      </c>
      <c r="M24">
        <f t="shared" ca="1" si="15"/>
        <v>95.074628152826179</v>
      </c>
      <c r="N24">
        <f t="shared" ca="1" si="4"/>
        <v>-0.42000000000000171</v>
      </c>
      <c r="O24">
        <f t="shared" ca="1" si="5"/>
        <v>0</v>
      </c>
      <c r="P24">
        <f t="shared" ca="1" si="6"/>
        <v>0.42000000000000171</v>
      </c>
      <c r="Q24">
        <f t="shared" ca="1" si="10"/>
        <v>0.51419004667098844</v>
      </c>
      <c r="R24">
        <f t="shared" ca="1" si="11"/>
        <v>0.4819228663471854</v>
      </c>
      <c r="S24">
        <f t="shared" ca="1" si="8"/>
        <v>1.066955072226345</v>
      </c>
      <c r="T24">
        <f t="shared" ca="1" si="9"/>
        <v>51.619654755103767</v>
      </c>
      <c r="U24">
        <f>70</f>
        <v>70</v>
      </c>
      <c r="V24">
        <f>30</f>
        <v>30</v>
      </c>
      <c r="W24">
        <f t="shared" ca="1" si="7"/>
        <v>101.64107888435777</v>
      </c>
    </row>
    <row r="25" spans="1:25" x14ac:dyDescent="0.25">
      <c r="A25" s="20">
        <f t="shared" ca="1" si="0"/>
        <v>45327</v>
      </c>
      <c r="B25" vm="70">
        <f ca="1"/>
        <v>45327</v>
      </c>
      <c r="C25" vm="71">
        <f ca="1"/>
        <v>101.55</v>
      </c>
      <c r="D25" vm="72">
        <f ca="1"/>
        <v>17190890</v>
      </c>
      <c r="E25">
        <f t="shared" ca="1" si="1"/>
        <v>1745734879.5</v>
      </c>
      <c r="F25">
        <f ca="1">SUM($E$2:E25)/SUM($D$2:D25)</f>
        <v>100.62278605044216</v>
      </c>
      <c r="G25">
        <f ca="1">_xlfn.STDEV.P($C$2:C25)</f>
        <v>2.4239688171238676</v>
      </c>
      <c r="H25">
        <f t="shared" ca="1" si="2"/>
        <v>103.04675486756602</v>
      </c>
      <c r="I25">
        <f t="shared" ca="1" si="3"/>
        <v>98.198817233318294</v>
      </c>
      <c r="J25">
        <f t="shared" ca="1" si="12"/>
        <v>100.124</v>
      </c>
      <c r="K25">
        <f t="shared" ca="1" si="13"/>
        <v>2.5081202858756697</v>
      </c>
      <c r="L25">
        <f t="shared" ca="1" si="14"/>
        <v>105.14024057175133</v>
      </c>
      <c r="M25">
        <f t="shared" ca="1" si="15"/>
        <v>95.107759428248656</v>
      </c>
      <c r="N25">
        <f t="shared" ca="1" si="4"/>
        <v>-0.42000000000000171</v>
      </c>
      <c r="O25">
        <f t="shared" ca="1" si="5"/>
        <v>0</v>
      </c>
      <c r="P25">
        <f t="shared" ca="1" si="6"/>
        <v>0.42000000000000171</v>
      </c>
      <c r="Q25">
        <f t="shared" ca="1" si="10"/>
        <v>0.47746218619448927</v>
      </c>
      <c r="R25">
        <f t="shared" ca="1" si="11"/>
        <v>0.4774998044652437</v>
      </c>
      <c r="S25">
        <f t="shared" ca="1" si="8"/>
        <v>0.99992121824888169</v>
      </c>
      <c r="T25">
        <f t="shared" ca="1" si="9"/>
        <v>49.998030378636933</v>
      </c>
      <c r="U25">
        <f>70</f>
        <v>70</v>
      </c>
      <c r="V25">
        <f>30</f>
        <v>30</v>
      </c>
      <c r="W25">
        <f t="shared" ca="1" si="7"/>
        <v>101.62706674830272</v>
      </c>
    </row>
    <row r="26" spans="1:25" x14ac:dyDescent="0.25">
      <c r="A26" s="20">
        <f t="shared" ca="1" si="0"/>
        <v>45327</v>
      </c>
      <c r="B26" vm="73">
        <f ca="1"/>
        <v>45328</v>
      </c>
      <c r="C26" vm="74">
        <f ca="1"/>
        <v>102.25</v>
      </c>
      <c r="D26" vm="75">
        <f ca="1"/>
        <v>13353286</v>
      </c>
      <c r="E26">
        <f t="shared" ca="1" si="1"/>
        <v>1365373493.5</v>
      </c>
      <c r="F26">
        <f ca="1">SUM($E$2:E26)/SUM($D$2:D26)</f>
        <v>100.66759187636482</v>
      </c>
      <c r="G26">
        <f ca="1">_xlfn.STDEV.P($C$2:C26)</f>
        <v>2.3984603061130692</v>
      </c>
      <c r="H26">
        <f t="shared" ca="1" si="2"/>
        <v>103.06605218247789</v>
      </c>
      <c r="I26">
        <f t="shared" ca="1" si="3"/>
        <v>98.269131570251758</v>
      </c>
      <c r="J26">
        <f t="shared" ca="1" si="12"/>
        <v>100.19050000000001</v>
      </c>
      <c r="K26">
        <f t="shared" ca="1" si="13"/>
        <v>2.5476562500504363</v>
      </c>
      <c r="L26">
        <f t="shared" ca="1" si="14"/>
        <v>105.28581250010089</v>
      </c>
      <c r="M26">
        <f t="shared" ca="1" si="15"/>
        <v>95.09518749989914</v>
      </c>
      <c r="N26">
        <f t="shared" ca="1" si="4"/>
        <v>0.70000000000000284</v>
      </c>
      <c r="O26">
        <f t="shared" ca="1" si="5"/>
        <v>0.70000000000000284</v>
      </c>
      <c r="P26">
        <f t="shared" ca="1" si="6"/>
        <v>0</v>
      </c>
      <c r="Q26">
        <f t="shared" ca="1" si="10"/>
        <v>0.49335774432345453</v>
      </c>
      <c r="R26">
        <f t="shared" ca="1" si="11"/>
        <v>0.44339267557486917</v>
      </c>
      <c r="S26">
        <f t="shared" ca="1" si="8"/>
        <v>1.1126880787640536</v>
      </c>
      <c r="T26">
        <f t="shared" ca="1" si="9"/>
        <v>52.666936020909844</v>
      </c>
      <c r="U26">
        <f>70</f>
        <v>70</v>
      </c>
      <c r="V26">
        <f>30</f>
        <v>30</v>
      </c>
      <c r="W26">
        <f t="shared" ca="1" si="7"/>
        <v>101.72290263317922</v>
      </c>
    </row>
    <row r="27" spans="1:25" x14ac:dyDescent="0.25">
      <c r="A27" s="20">
        <f t="shared" ca="1" si="0"/>
        <v>45327</v>
      </c>
      <c r="B27" vm="76">
        <f ca="1"/>
        <v>45329</v>
      </c>
      <c r="C27" vm="77">
        <f ca="1"/>
        <v>102.22</v>
      </c>
      <c r="D27" vm="78">
        <f ca="1"/>
        <v>13826832</v>
      </c>
      <c r="E27">
        <f t="shared" ca="1" si="1"/>
        <v>1413378767.04</v>
      </c>
      <c r="F27">
        <f ca="1">SUM($E$2:E27)/SUM($D$2:D27)</f>
        <v>100.71062679631268</v>
      </c>
      <c r="G27">
        <f ca="1">_xlfn.STDEV.P($C$2:C27)</f>
        <v>2.3721660139275951</v>
      </c>
      <c r="H27">
        <f t="shared" ca="1" si="2"/>
        <v>103.08279281024028</v>
      </c>
      <c r="I27">
        <f t="shared" ca="1" si="3"/>
        <v>98.338460782385084</v>
      </c>
      <c r="J27">
        <f t="shared" ca="1" si="12"/>
        <v>100.31800000000001</v>
      </c>
      <c r="K27">
        <f t="shared" ca="1" si="13"/>
        <v>2.5837887317902588</v>
      </c>
      <c r="L27">
        <f t="shared" ca="1" si="14"/>
        <v>105.48557746358053</v>
      </c>
      <c r="M27">
        <f t="shared" ca="1" si="15"/>
        <v>95.150422536419498</v>
      </c>
      <c r="N27">
        <f t="shared" ca="1" si="4"/>
        <v>-3.0000000000001137E-2</v>
      </c>
      <c r="O27">
        <f t="shared" ca="1" si="5"/>
        <v>0</v>
      </c>
      <c r="P27">
        <f t="shared" ca="1" si="6"/>
        <v>3.0000000000001137E-2</v>
      </c>
      <c r="Q27">
        <f t="shared" ca="1" si="10"/>
        <v>0.45811790544320774</v>
      </c>
      <c r="R27">
        <f t="shared" ca="1" si="11"/>
        <v>0.41386462731952145</v>
      </c>
      <c r="S27">
        <f t="shared" ca="1" si="8"/>
        <v>1.1069269398795971</v>
      </c>
      <c r="T27">
        <f t="shared" ca="1" si="9"/>
        <v>52.537509437458411</v>
      </c>
      <c r="U27">
        <f>70</f>
        <v>70</v>
      </c>
      <c r="V27">
        <f>30</f>
        <v>30</v>
      </c>
      <c r="W27">
        <f t="shared" ca="1" si="7"/>
        <v>101.79937915115164</v>
      </c>
      <c r="X27" s="9">
        <f ca="1">AVERAGE(C2:C27)</f>
        <v>100.67230769230767</v>
      </c>
      <c r="Y27">
        <f ca="1">W28-X28</f>
        <v>1.2167396236240506</v>
      </c>
    </row>
    <row r="28" spans="1:25" x14ac:dyDescent="0.25">
      <c r="A28" s="20">
        <f t="shared" ca="1" si="0"/>
        <v>45327</v>
      </c>
      <c r="B28" vm="79">
        <f ca="1"/>
        <v>45330</v>
      </c>
      <c r="C28" vm="80">
        <f ca="1"/>
        <v>103.97</v>
      </c>
      <c r="D28" vm="81">
        <f ca="1"/>
        <v>19636898</v>
      </c>
      <c r="E28">
        <f t="shared" ca="1" si="1"/>
        <v>2041648285.0599999</v>
      </c>
      <c r="F28">
        <f ca="1">SUM($E$2:E28)/SUM($D$2:D28)</f>
        <v>100.83408763106846</v>
      </c>
      <c r="G28">
        <f ca="1">_xlfn.STDEV.P($C$2:C28)</f>
        <v>2.4096908259241903</v>
      </c>
      <c r="H28">
        <f t="shared" ca="1" si="2"/>
        <v>103.24377845699264</v>
      </c>
      <c r="I28">
        <f t="shared" ca="1" si="3"/>
        <v>98.424396805144269</v>
      </c>
      <c r="J28">
        <f t="shared" ca="1" si="12"/>
        <v>100.58200000000001</v>
      </c>
      <c r="K28">
        <f t="shared" ca="1" si="13"/>
        <v>2.676762773831185</v>
      </c>
      <c r="L28">
        <f t="shared" ca="1" si="14"/>
        <v>105.93552554766238</v>
      </c>
      <c r="M28">
        <f t="shared" ca="1" si="15"/>
        <v>95.228474452337636</v>
      </c>
      <c r="N28">
        <f t="shared" ca="1" si="4"/>
        <v>1.75</v>
      </c>
      <c r="O28">
        <f t="shared" ca="1" si="5"/>
        <v>1.75</v>
      </c>
      <c r="P28">
        <f t="shared" ca="1" si="6"/>
        <v>0</v>
      </c>
      <c r="Q28">
        <f t="shared" ca="1" si="10"/>
        <v>0.55039519791155</v>
      </c>
      <c r="R28">
        <f t="shared" ca="1" si="11"/>
        <v>0.38430286822526988</v>
      </c>
      <c r="S28">
        <f t="shared" ca="1" si="8"/>
        <v>1.4321912309770233</v>
      </c>
      <c r="T28">
        <f t="shared" ca="1" si="9"/>
        <v>58.88481188223448</v>
      </c>
      <c r="U28">
        <f>70</f>
        <v>70</v>
      </c>
      <c r="V28">
        <f>30</f>
        <v>30</v>
      </c>
      <c r="W28">
        <f t="shared" ca="1" si="7"/>
        <v>102.13332082020523</v>
      </c>
      <c r="X28">
        <f ca="1">C28*(2/(26+1)) + X27*(1-(2/(26+1)))</f>
        <v>100.91658119658118</v>
      </c>
      <c r="Y28">
        <f t="shared" ref="Y28:Y91" ca="1" si="16">W29-X29</f>
        <v>1.0976279051625966</v>
      </c>
    </row>
    <row r="29" spans="1:25" x14ac:dyDescent="0.25">
      <c r="A29" s="20">
        <f t="shared" ca="1" si="0"/>
        <v>45327</v>
      </c>
      <c r="B29" vm="82">
        <f ca="1"/>
        <v>45331</v>
      </c>
      <c r="C29" vm="83">
        <f ca="1"/>
        <v>101.77</v>
      </c>
      <c r="D29" vm="84">
        <f ca="1"/>
        <v>20410510</v>
      </c>
      <c r="E29">
        <f t="shared" ca="1" si="1"/>
        <v>2077177602.6999998</v>
      </c>
      <c r="F29">
        <f ca="1">SUM($E$2:E29)/SUM($D$2:D29)</f>
        <v>100.86953962740871</v>
      </c>
      <c r="G29">
        <f ca="1">_xlfn.STDEV.P($C$2:C29)</f>
        <v>2.3731849132870071</v>
      </c>
      <c r="H29">
        <f t="shared" ca="1" si="2"/>
        <v>103.24272454069572</v>
      </c>
      <c r="I29">
        <f t="shared" ca="1" si="3"/>
        <v>98.496354714121708</v>
      </c>
      <c r="J29">
        <f t="shared" ca="1" si="12"/>
        <v>100.73699999999999</v>
      </c>
      <c r="K29">
        <f t="shared" ca="1" si="13"/>
        <v>2.6498383267465084</v>
      </c>
      <c r="L29">
        <f t="shared" ca="1" si="14"/>
        <v>106.03667665349302</v>
      </c>
      <c r="M29">
        <f t="shared" ca="1" si="15"/>
        <v>95.437323346506972</v>
      </c>
      <c r="N29">
        <f t="shared" ca="1" si="4"/>
        <v>-2.2000000000000028</v>
      </c>
      <c r="O29">
        <f t="shared" ca="1" si="5"/>
        <v>0</v>
      </c>
      <c r="P29">
        <f t="shared" ca="1" si="6"/>
        <v>2.2000000000000028</v>
      </c>
      <c r="Q29">
        <f t="shared" ca="1" si="10"/>
        <v>0.51108125520358216</v>
      </c>
      <c r="R29">
        <f t="shared" ca="1" si="11"/>
        <v>0.51399552049489361</v>
      </c>
      <c r="S29">
        <f t="shared" ca="1" si="8"/>
        <v>0.99433017375617305</v>
      </c>
      <c r="T29">
        <f t="shared" ca="1" si="9"/>
        <v>49.857851364873348</v>
      </c>
      <c r="U29">
        <f>70</f>
        <v>70</v>
      </c>
      <c r="V29">
        <f>30</f>
        <v>30</v>
      </c>
      <c r="W29">
        <f t="shared" ca="1" si="7"/>
        <v>102.07742530940442</v>
      </c>
      <c r="X29">
        <f t="shared" ref="X29:X92" ca="1" si="17">C29*(2/(26+1)) + X28*(1-(2/(26+1)))</f>
        <v>100.97979740424182</v>
      </c>
      <c r="Y29">
        <f t="shared" ca="1" si="16"/>
        <v>1.1034790897849831</v>
      </c>
    </row>
    <row r="30" spans="1:25" x14ac:dyDescent="0.25">
      <c r="A30" s="20">
        <f t="shared" ca="1" si="0"/>
        <v>45334</v>
      </c>
      <c r="B30" vm="85">
        <f ca="1"/>
        <v>45334</v>
      </c>
      <c r="C30" vm="86">
        <f ca="1"/>
        <v>103.17</v>
      </c>
      <c r="D30" vm="87">
        <f ca="1"/>
        <v>18173061</v>
      </c>
      <c r="E30">
        <f t="shared" ca="1" si="1"/>
        <v>1874914703.3700001</v>
      </c>
      <c r="F30">
        <f ca="1">SUM($E$2:E30)/SUM($D$2:D30)</f>
        <v>100.94459617210534</v>
      </c>
      <c r="G30">
        <f ca="1">_xlfn.STDEV.P($C$2:C30)</f>
        <v>2.370699009385933</v>
      </c>
      <c r="H30">
        <f t="shared" ca="1" si="2"/>
        <v>103.31529518149127</v>
      </c>
      <c r="I30">
        <f t="shared" ca="1" si="3"/>
        <v>98.573897162719405</v>
      </c>
      <c r="J30">
        <f t="shared" ca="1" si="12"/>
        <v>100.898</v>
      </c>
      <c r="K30">
        <f t="shared" ca="1" si="13"/>
        <v>2.6969077809497612</v>
      </c>
      <c r="L30">
        <f t="shared" ca="1" si="14"/>
        <v>106.29181556189951</v>
      </c>
      <c r="M30">
        <f t="shared" ca="1" si="15"/>
        <v>95.504184438100481</v>
      </c>
      <c r="N30">
        <f t="shared" ca="1" si="4"/>
        <v>1.4000000000000057</v>
      </c>
      <c r="O30">
        <f t="shared" ca="1" si="5"/>
        <v>1.4000000000000057</v>
      </c>
      <c r="P30">
        <f t="shared" ca="1" si="6"/>
        <v>0</v>
      </c>
      <c r="Q30">
        <f t="shared" ca="1" si="10"/>
        <v>0.57457545126046949</v>
      </c>
      <c r="R30">
        <f t="shared" ca="1" si="11"/>
        <v>0.47728155474525835</v>
      </c>
      <c r="S30">
        <f t="shared" ca="1" si="8"/>
        <v>1.2038501080711996</v>
      </c>
      <c r="T30">
        <f t="shared" ca="1" si="9"/>
        <v>54.624863263718247</v>
      </c>
      <c r="U30">
        <f>70</f>
        <v>70</v>
      </c>
      <c r="V30">
        <f>30</f>
        <v>30</v>
      </c>
      <c r="W30">
        <f t="shared" ca="1" si="7"/>
        <v>102.24551372334221</v>
      </c>
      <c r="X30">
        <f t="shared" ca="1" si="17"/>
        <v>101.14203463355723</v>
      </c>
      <c r="Y30">
        <f t="shared" ca="1" si="16"/>
        <v>0.94950518497589087</v>
      </c>
    </row>
    <row r="31" spans="1:25" x14ac:dyDescent="0.25">
      <c r="A31" s="20">
        <f t="shared" ca="1" si="0"/>
        <v>45334</v>
      </c>
      <c r="B31" vm="88">
        <f ca="1"/>
        <v>45335</v>
      </c>
      <c r="C31" vm="89">
        <f ca="1"/>
        <v>101.34</v>
      </c>
      <c r="D31" vm="90">
        <f ca="1"/>
        <v>18917431</v>
      </c>
      <c r="E31">
        <f t="shared" ca="1" si="1"/>
        <v>1917092457.54</v>
      </c>
      <c r="F31">
        <f ca="1">SUM($E$2:E31)/SUM($D$2:D31)</f>
        <v>100.95758421445407</v>
      </c>
      <c r="G31">
        <f ca="1">_xlfn.STDEV.P($C$2:C31)</f>
        <v>2.3321301898097841</v>
      </c>
      <c r="H31">
        <f t="shared" ca="1" si="2"/>
        <v>103.28971440426386</v>
      </c>
      <c r="I31">
        <f t="shared" ca="1" si="3"/>
        <v>98.625454024644284</v>
      </c>
      <c r="J31">
        <f t="shared" ca="1" si="12"/>
        <v>101.0805</v>
      </c>
      <c r="K31">
        <f t="shared" ca="1" si="13"/>
        <v>2.5897662463099471</v>
      </c>
      <c r="L31">
        <f t="shared" ca="1" si="14"/>
        <v>106.2600324926199</v>
      </c>
      <c r="M31">
        <f t="shared" ca="1" si="15"/>
        <v>95.900967507380102</v>
      </c>
      <c r="N31">
        <f t="shared" ca="1" si="4"/>
        <v>-1.8299999999999983</v>
      </c>
      <c r="O31">
        <f t="shared" ca="1" si="5"/>
        <v>0</v>
      </c>
      <c r="P31">
        <f t="shared" ca="1" si="6"/>
        <v>1.8299999999999983</v>
      </c>
      <c r="Q31">
        <f t="shared" ca="1" si="10"/>
        <v>0.53353434759900742</v>
      </c>
      <c r="R31">
        <f t="shared" ca="1" si="11"/>
        <v>0.57390430083488275</v>
      </c>
      <c r="S31">
        <f t="shared" ca="1" si="8"/>
        <v>0.92965734325888927</v>
      </c>
      <c r="T31">
        <f t="shared" ca="1" si="9"/>
        <v>48.177327778249143</v>
      </c>
      <c r="U31">
        <f>70</f>
        <v>70</v>
      </c>
      <c r="V31">
        <f>30</f>
        <v>30</v>
      </c>
      <c r="W31">
        <f t="shared" ca="1" si="7"/>
        <v>102.1062039197511</v>
      </c>
      <c r="X31">
        <f t="shared" ca="1" si="17"/>
        <v>101.1566987347752</v>
      </c>
      <c r="Y31">
        <f t="shared" ca="1" si="16"/>
        <v>0.77816374747615669</v>
      </c>
    </row>
    <row r="32" spans="1:25" x14ac:dyDescent="0.25">
      <c r="A32" s="20">
        <f t="shared" ca="1" si="0"/>
        <v>45334</v>
      </c>
      <c r="B32" vm="91">
        <f ca="1"/>
        <v>45336</v>
      </c>
      <c r="C32" vm="92">
        <f ca="1"/>
        <v>100.84</v>
      </c>
      <c r="D32" vm="93">
        <f ca="1"/>
        <v>17651253</v>
      </c>
      <c r="E32">
        <f t="shared" ca="1" si="1"/>
        <v>1779952352.52</v>
      </c>
      <c r="F32">
        <f ca="1">SUM($E$2:E32)/SUM($D$2:D32)</f>
        <v>100.95408754606986</v>
      </c>
      <c r="G32">
        <f ca="1">_xlfn.STDEV.P($C$2:C32)</f>
        <v>2.2942552333954773</v>
      </c>
      <c r="H32">
        <f t="shared" ca="1" si="2"/>
        <v>103.24834277946533</v>
      </c>
      <c r="I32">
        <f t="shared" ca="1" si="3"/>
        <v>98.659832312674382</v>
      </c>
      <c r="J32">
        <f t="shared" ca="1" si="12"/>
        <v>101.2735</v>
      </c>
      <c r="K32">
        <f t="shared" ca="1" si="13"/>
        <v>2.4053630320160568</v>
      </c>
      <c r="L32">
        <f t="shared" ca="1" si="14"/>
        <v>106.08422606403211</v>
      </c>
      <c r="M32">
        <f t="shared" ca="1" si="15"/>
        <v>96.462773935967888</v>
      </c>
      <c r="N32">
        <f t="shared" ca="1" si="4"/>
        <v>-0.5</v>
      </c>
      <c r="O32">
        <f t="shared" ca="1" si="5"/>
        <v>0</v>
      </c>
      <c r="P32">
        <f t="shared" ca="1" si="6"/>
        <v>0.5</v>
      </c>
      <c r="Q32">
        <f t="shared" ca="1" si="10"/>
        <v>0.49542475134193548</v>
      </c>
      <c r="R32">
        <f t="shared" ca="1" si="11"/>
        <v>0.56862542220381973</v>
      </c>
      <c r="S32">
        <f t="shared" ca="1" si="8"/>
        <v>0.87126732642698135</v>
      </c>
      <c r="T32">
        <f t="shared" ca="1" si="9"/>
        <v>46.560281052445291</v>
      </c>
      <c r="U32">
        <f>70</f>
        <v>70</v>
      </c>
      <c r="V32">
        <f>30</f>
        <v>30</v>
      </c>
      <c r="W32">
        <f t="shared" ca="1" si="7"/>
        <v>101.91140331671247</v>
      </c>
      <c r="X32">
        <f t="shared" ca="1" si="17"/>
        <v>101.13323956923631</v>
      </c>
      <c r="Y32">
        <f t="shared" ca="1" si="16"/>
        <v>0.86559522809629641</v>
      </c>
    </row>
    <row r="33" spans="1:27" x14ac:dyDescent="0.25">
      <c r="A33" s="20">
        <f t="shared" ca="1" si="0"/>
        <v>45334</v>
      </c>
      <c r="B33" vm="94">
        <f ca="1"/>
        <v>45337</v>
      </c>
      <c r="C33" vm="95">
        <f ca="1"/>
        <v>103.73</v>
      </c>
      <c r="D33" vm="96">
        <f ca="1"/>
        <v>23196310</v>
      </c>
      <c r="E33">
        <f t="shared" ca="1" si="1"/>
        <v>2406153236.3000002</v>
      </c>
      <c r="F33">
        <f ca="1">SUM($E$2:E33)/SUM($D$2:D33)</f>
        <v>101.05848881696386</v>
      </c>
      <c r="G33">
        <f ca="1">_xlfn.STDEV.P($C$2:C33)</f>
        <v>2.3103867878290418</v>
      </c>
      <c r="H33">
        <f t="shared" ca="1" si="2"/>
        <v>103.3688756047929</v>
      </c>
      <c r="I33">
        <f t="shared" ca="1" si="3"/>
        <v>98.748102029134813</v>
      </c>
      <c r="J33">
        <f t="shared" ca="1" si="12"/>
        <v>101.61999999999999</v>
      </c>
      <c r="K33">
        <f t="shared" ca="1" si="13"/>
        <v>2.218944746827574</v>
      </c>
      <c r="L33">
        <f t="shared" ca="1" si="14"/>
        <v>106.05788949365514</v>
      </c>
      <c r="M33">
        <f t="shared" ca="1" si="15"/>
        <v>97.182110506344841</v>
      </c>
      <c r="N33">
        <f t="shared" ca="1" si="4"/>
        <v>2.8900000000000006</v>
      </c>
      <c r="O33">
        <f t="shared" ca="1" si="5"/>
        <v>2.8900000000000006</v>
      </c>
      <c r="P33">
        <f t="shared" ca="1" si="6"/>
        <v>0</v>
      </c>
      <c r="Q33">
        <f t="shared" ca="1" si="10"/>
        <v>0.66646584053179736</v>
      </c>
      <c r="R33">
        <f t="shared" ca="1" si="11"/>
        <v>0.52800932061783257</v>
      </c>
      <c r="S33">
        <f t="shared" ca="1" si="8"/>
        <v>1.2622236284616235</v>
      </c>
      <c r="T33">
        <f t="shared" ca="1" si="9"/>
        <v>55.795705277818691</v>
      </c>
      <c r="U33">
        <f>70</f>
        <v>70</v>
      </c>
      <c r="V33">
        <f>30</f>
        <v>30</v>
      </c>
      <c r="W33">
        <f t="shared" ca="1" si="7"/>
        <v>102.19118742183362</v>
      </c>
      <c r="X33">
        <f t="shared" ca="1" si="17"/>
        <v>101.32559219373732</v>
      </c>
      <c r="Y33">
        <f t="shared" ca="1" si="16"/>
        <v>0.92423134279189867</v>
      </c>
    </row>
    <row r="34" spans="1:27" x14ac:dyDescent="0.25">
      <c r="A34" s="20">
        <f t="shared" ca="1" si="0"/>
        <v>45334</v>
      </c>
      <c r="B34" vm="97">
        <f ca="1"/>
        <v>45338</v>
      </c>
      <c r="C34" vm="95">
        <f ca="1"/>
        <v>103.73</v>
      </c>
      <c r="D34" vm="98">
        <f ca="1"/>
        <v>20151426</v>
      </c>
      <c r="E34">
        <f t="shared" ca="1" si="1"/>
        <v>2090307418.98</v>
      </c>
      <c r="F34">
        <f ca="1">SUM($E$2:E34)/SUM($D$2:D34)</f>
        <v>101.14301303102125</v>
      </c>
      <c r="G34">
        <f ca="1">_xlfn.STDEV.P($C$2:C34)</f>
        <v>2.3224196558441452</v>
      </c>
      <c r="H34">
        <f t="shared" ca="1" si="2"/>
        <v>103.4654326868654</v>
      </c>
      <c r="I34">
        <f t="shared" ca="1" si="3"/>
        <v>98.820593375177111</v>
      </c>
      <c r="J34">
        <f t="shared" ca="1" si="12"/>
        <v>101.959</v>
      </c>
      <c r="K34">
        <f t="shared" ca="1" si="13"/>
        <v>1.9721132133616963</v>
      </c>
      <c r="L34">
        <f t="shared" ca="1" si="14"/>
        <v>105.90322642672339</v>
      </c>
      <c r="M34">
        <f t="shared" ca="1" si="15"/>
        <v>98.014773573276614</v>
      </c>
      <c r="N34">
        <f t="shared" ca="1" si="4"/>
        <v>0</v>
      </c>
      <c r="O34">
        <f t="shared" ca="1" si="5"/>
        <v>0</v>
      </c>
      <c r="P34">
        <f t="shared" ca="1" si="6"/>
        <v>0</v>
      </c>
      <c r="Q34">
        <f t="shared" ca="1" si="10"/>
        <v>0.61886113763666895</v>
      </c>
      <c r="R34">
        <f t="shared" ca="1" si="11"/>
        <v>0.49029436914513019</v>
      </c>
      <c r="S34">
        <f t="shared" ca="1" si="8"/>
        <v>1.2622236284616235</v>
      </c>
      <c r="T34">
        <f t="shared" ca="1" si="9"/>
        <v>55.795705277818691</v>
      </c>
      <c r="U34">
        <f>70</f>
        <v>70</v>
      </c>
      <c r="V34">
        <f>30</f>
        <v>30</v>
      </c>
      <c r="W34">
        <f t="shared" ca="1" si="7"/>
        <v>102.4279278184746</v>
      </c>
      <c r="X34">
        <f t="shared" ca="1" si="17"/>
        <v>101.5036964756827</v>
      </c>
      <c r="Y34">
        <f t="shared" ca="1" si="16"/>
        <v>0.88146212960135983</v>
      </c>
    </row>
    <row r="35" spans="1:27" x14ac:dyDescent="0.25">
      <c r="A35" s="20">
        <f t="shared" ca="1" si="0"/>
        <v>45341</v>
      </c>
      <c r="B35" vm="99">
        <f ca="1"/>
        <v>45342</v>
      </c>
      <c r="C35" vm="100">
        <f ca="1"/>
        <v>102.75</v>
      </c>
      <c r="D35" vm="101">
        <f ca="1"/>
        <v>17650010</v>
      </c>
      <c r="E35">
        <f t="shared" ca="1" si="1"/>
        <v>1813538527.5</v>
      </c>
      <c r="F35">
        <f ca="1">SUM($E$2:E35)/SUM($D$2:D35)</f>
        <v>101.18634459522973</v>
      </c>
      <c r="G35">
        <f ca="1">_xlfn.STDEV.P($C$2:C35)</f>
        <v>2.3051004076337662</v>
      </c>
      <c r="H35">
        <f t="shared" ca="1" si="2"/>
        <v>103.49144500286349</v>
      </c>
      <c r="I35">
        <f t="shared" ca="1" si="3"/>
        <v>98.881244187595968</v>
      </c>
      <c r="J35">
        <f t="shared" ca="1" si="12"/>
        <v>102.25550000000001</v>
      </c>
      <c r="K35">
        <f t="shared" ca="1" si="13"/>
        <v>1.5619403418757549</v>
      </c>
      <c r="L35">
        <f t="shared" ca="1" si="14"/>
        <v>105.37938068375152</v>
      </c>
      <c r="M35">
        <f t="shared" ca="1" si="15"/>
        <v>99.131619316248504</v>
      </c>
      <c r="N35">
        <f t="shared" ca="1" si="4"/>
        <v>-0.98000000000000398</v>
      </c>
      <c r="O35">
        <f t="shared" ca="1" si="5"/>
        <v>0</v>
      </c>
      <c r="P35">
        <f t="shared" ca="1" si="6"/>
        <v>0.98000000000000398</v>
      </c>
      <c r="Q35">
        <f t="shared" ca="1" si="10"/>
        <v>0.57465677066262111</v>
      </c>
      <c r="R35">
        <f t="shared" ca="1" si="11"/>
        <v>0.52527334277762117</v>
      </c>
      <c r="S35">
        <f t="shared" ca="1" si="8"/>
        <v>1.0940147231227511</v>
      </c>
      <c r="T35">
        <f t="shared" ca="1" si="9"/>
        <v>52.244843889696945</v>
      </c>
      <c r="U35">
        <f>70</f>
        <v>70</v>
      </c>
      <c r="V35">
        <f>30</f>
        <v>30</v>
      </c>
      <c r="W35">
        <f t="shared" ca="1" si="7"/>
        <v>102.47747738486312</v>
      </c>
      <c r="X35">
        <f t="shared" ca="1" si="17"/>
        <v>101.59601525526176</v>
      </c>
      <c r="Y35">
        <f t="shared" ca="1" si="16"/>
        <v>1.0054297018355385</v>
      </c>
    </row>
    <row r="36" spans="1:27" x14ac:dyDescent="0.25">
      <c r="A36" s="20">
        <f t="shared" ca="1" si="0"/>
        <v>45341</v>
      </c>
      <c r="B36" vm="102">
        <f ca="1"/>
        <v>45343</v>
      </c>
      <c r="C36" vm="59">
        <f ca="1"/>
        <v>104.85</v>
      </c>
      <c r="D36" vm="103">
        <f ca="1"/>
        <v>20999189</v>
      </c>
      <c r="E36">
        <f t="shared" ca="1" si="1"/>
        <v>2201764966.6500001</v>
      </c>
      <c r="F36">
        <f ca="1">SUM($E$2:E36)/SUM($D$2:D36)</f>
        <v>101.30022535635635</v>
      </c>
      <c r="G36">
        <f ca="1">_xlfn.STDEV.P($C$2:C36)</f>
        <v>2.3544801584057851</v>
      </c>
      <c r="H36">
        <f t="shared" ca="1" si="2"/>
        <v>103.65470551476213</v>
      </c>
      <c r="I36">
        <f t="shared" ca="1" si="3"/>
        <v>98.945745197950572</v>
      </c>
      <c r="J36">
        <f t="shared" ca="1" si="12"/>
        <v>102.60249999999999</v>
      </c>
      <c r="K36">
        <f t="shared" ca="1" si="13"/>
        <v>1.2935747084400613</v>
      </c>
      <c r="L36">
        <f t="shared" ca="1" si="14"/>
        <v>105.18964941688012</v>
      </c>
      <c r="M36">
        <f t="shared" ca="1" si="15"/>
        <v>100.01535058311987</v>
      </c>
      <c r="N36">
        <f t="shared" ca="1" si="4"/>
        <v>2.0999999999999943</v>
      </c>
      <c r="O36">
        <f t="shared" ca="1" si="5"/>
        <v>2.0999999999999943</v>
      </c>
      <c r="P36">
        <f t="shared" ca="1" si="6"/>
        <v>0</v>
      </c>
      <c r="Q36">
        <f t="shared" ca="1" si="10"/>
        <v>0.6836098584724335</v>
      </c>
      <c r="R36">
        <f t="shared" ca="1" si="11"/>
        <v>0.48775381829350539</v>
      </c>
      <c r="S36">
        <f t="shared" ca="1" si="8"/>
        <v>1.4015469132854064</v>
      </c>
      <c r="T36">
        <f t="shared" ca="1" si="9"/>
        <v>58.360172167864818</v>
      </c>
      <c r="U36">
        <f>70</f>
        <v>70</v>
      </c>
      <c r="V36">
        <f>30</f>
        <v>30</v>
      </c>
      <c r="W36">
        <f t="shared" ca="1" si="7"/>
        <v>102.84248086411495</v>
      </c>
      <c r="X36">
        <f t="shared" ca="1" si="17"/>
        <v>101.83705116227941</v>
      </c>
      <c r="Y36">
        <f t="shared" ca="1" si="16"/>
        <v>1.0839179170978213</v>
      </c>
      <c r="Z36" s="9">
        <f ca="1">AVERAGE(Y28:Y36)</f>
        <v>0.96549024964694907</v>
      </c>
    </row>
    <row r="37" spans="1:27" x14ac:dyDescent="0.25">
      <c r="A37" s="20">
        <f t="shared" ca="1" si="0"/>
        <v>45341</v>
      </c>
      <c r="B37" vm="104">
        <f ca="1"/>
        <v>45344</v>
      </c>
      <c r="C37" vm="105">
        <f ca="1"/>
        <v>104.76</v>
      </c>
      <c r="D37" vm="106">
        <f ca="1"/>
        <v>20470668</v>
      </c>
      <c r="E37">
        <f t="shared" ca="1" si="1"/>
        <v>2144507179.6800001</v>
      </c>
      <c r="F37">
        <f ca="1">SUM($E$2:E37)/SUM($D$2:D37)</f>
        <v>101.4019786983589</v>
      </c>
      <c r="G37">
        <f ca="1">_xlfn.STDEV.P($C$2:C37)</f>
        <v>2.3922703941839196</v>
      </c>
      <c r="H37">
        <f t="shared" ca="1" si="2"/>
        <v>103.79424909254283</v>
      </c>
      <c r="I37">
        <f t="shared" ca="1" si="3"/>
        <v>99.009708304174978</v>
      </c>
      <c r="J37">
        <f t="shared" ca="1" si="12"/>
        <v>102.8605</v>
      </c>
      <c r="K37">
        <f t="shared" ca="1" si="13"/>
        <v>1.1720852986742987</v>
      </c>
      <c r="L37">
        <f t="shared" ca="1" si="14"/>
        <v>105.2046705973486</v>
      </c>
      <c r="M37">
        <f t="shared" ca="1" si="15"/>
        <v>100.51632940265141</v>
      </c>
      <c r="N37">
        <f t="shared" ca="1" si="4"/>
        <v>-8.99999999999892E-2</v>
      </c>
      <c r="O37">
        <f t="shared" ca="1" si="5"/>
        <v>0</v>
      </c>
      <c r="P37">
        <f t="shared" ca="1" si="6"/>
        <v>8.99999999999892E-2</v>
      </c>
      <c r="Q37">
        <f t="shared" ca="1" si="10"/>
        <v>0.63478058286725969</v>
      </c>
      <c r="R37">
        <f t="shared" ca="1" si="11"/>
        <v>0.45934283127253994</v>
      </c>
      <c r="S37">
        <f t="shared" ca="1" si="8"/>
        <v>1.3819320552117815</v>
      </c>
      <c r="T37">
        <f t="shared" ca="1" si="9"/>
        <v>58.017274346178262</v>
      </c>
      <c r="U37">
        <f>70</f>
        <v>70</v>
      </c>
      <c r="V37">
        <f>30</f>
        <v>30</v>
      </c>
      <c r="W37">
        <f t="shared" ca="1" si="7"/>
        <v>103.13748380809727</v>
      </c>
      <c r="X37">
        <f t="shared" ca="1" si="17"/>
        <v>102.05356589099945</v>
      </c>
      <c r="Y37">
        <f t="shared" ca="1" si="16"/>
        <v>1.0596688787181279</v>
      </c>
      <c r="Z37">
        <f ca="1">Y37*(2/(9+1)) + Z36*(1-(2/(9+1)))</f>
        <v>0.98432597546118494</v>
      </c>
      <c r="AA37">
        <f ca="1">Y37-Z37</f>
        <v>7.5342903256942928E-2</v>
      </c>
    </row>
    <row r="38" spans="1:27" x14ac:dyDescent="0.25">
      <c r="A38" s="20">
        <f t="shared" ca="1" si="0"/>
        <v>45341</v>
      </c>
      <c r="B38" vm="107">
        <f ca="1"/>
        <v>45345</v>
      </c>
      <c r="C38" vm="108">
        <f ca="1"/>
        <v>103.84</v>
      </c>
      <c r="D38" vm="109">
        <f ca="1"/>
        <v>15975888</v>
      </c>
      <c r="E38">
        <f t="shared" ca="1" si="1"/>
        <v>1658936209.9200001</v>
      </c>
      <c r="F38">
        <f ca="1">SUM($E$2:E38)/SUM($D$2:D38)</f>
        <v>101.45668228529725</v>
      </c>
      <c r="G38">
        <f ca="1">_xlfn.STDEV.P($C$2:C38)</f>
        <v>2.3941782018544919</v>
      </c>
      <c r="H38">
        <f t="shared" ca="1" si="2"/>
        <v>103.85086048715173</v>
      </c>
      <c r="I38">
        <f t="shared" ca="1" si="3"/>
        <v>99.062504083442761</v>
      </c>
      <c r="J38">
        <f t="shared" ca="1" si="12"/>
        <v>102.946</v>
      </c>
      <c r="K38">
        <f t="shared" ca="1" si="13"/>
        <v>1.1783458521878967</v>
      </c>
      <c r="L38">
        <f t="shared" ca="1" si="14"/>
        <v>105.30269170437579</v>
      </c>
      <c r="M38">
        <f t="shared" ca="1" si="15"/>
        <v>100.58930829562421</v>
      </c>
      <c r="N38">
        <f t="shared" ca="1" si="4"/>
        <v>-0.92000000000000171</v>
      </c>
      <c r="O38">
        <f t="shared" ca="1" si="5"/>
        <v>0</v>
      </c>
      <c r="P38">
        <f t="shared" ca="1" si="6"/>
        <v>0.92000000000000171</v>
      </c>
      <c r="Q38">
        <f t="shared" ca="1" si="10"/>
        <v>0.58943911266245552</v>
      </c>
      <c r="R38">
        <f t="shared" ca="1" si="11"/>
        <v>0.49224691475307292</v>
      </c>
      <c r="S38">
        <f t="shared" ca="1" si="8"/>
        <v>1.1974460275858456</v>
      </c>
      <c r="T38">
        <f t="shared" ca="1" si="9"/>
        <v>54.492625190953234</v>
      </c>
      <c r="U38">
        <f>70</f>
        <v>70</v>
      </c>
      <c r="V38">
        <f>30</f>
        <v>30</v>
      </c>
      <c r="W38">
        <f t="shared" ca="1" si="7"/>
        <v>103.24556322223614</v>
      </c>
      <c r="X38">
        <f t="shared" ca="1" si="17"/>
        <v>102.18589434351802</v>
      </c>
      <c r="Y38">
        <f t="shared" ca="1" si="16"/>
        <v>1.0613008984637702</v>
      </c>
      <c r="Z38">
        <f t="shared" ref="Z38:Z101" ca="1" si="18">Y38*(2/(9+1)) + Z37*(1-(2/(9+1)))</f>
        <v>0.99972096006170197</v>
      </c>
      <c r="AA38">
        <f t="shared" ref="AA38:AA101" ca="1" si="19">Y38-Z38</f>
        <v>6.1579938402068213E-2</v>
      </c>
    </row>
    <row r="39" spans="1:27" x14ac:dyDescent="0.25">
      <c r="A39" s="20">
        <f t="shared" ca="1" si="0"/>
        <v>45348</v>
      </c>
      <c r="B39" vm="110">
        <f ca="1"/>
        <v>45348</v>
      </c>
      <c r="C39" vm="111">
        <f ca="1"/>
        <v>104.25</v>
      </c>
      <c r="D39" vm="112">
        <f ca="1"/>
        <v>13360800</v>
      </c>
      <c r="E39">
        <f t="shared" ca="1" si="1"/>
        <v>1392863400</v>
      </c>
      <c r="F39">
        <f ca="1">SUM($E$2:E39)/SUM($D$2:D39)</f>
        <v>101.5081330856768</v>
      </c>
      <c r="G39">
        <f ca="1">_xlfn.STDEV.P($C$2:C39)</f>
        <v>2.4057589031898043</v>
      </c>
      <c r="H39">
        <f t="shared" ca="1" si="2"/>
        <v>103.91389198886661</v>
      </c>
      <c r="I39">
        <f t="shared" ca="1" si="3"/>
        <v>99.102374182486997</v>
      </c>
      <c r="J39">
        <f t="shared" ca="1" si="12"/>
        <v>103.0085</v>
      </c>
      <c r="K39">
        <f t="shared" ca="1" si="13"/>
        <v>1.2139724916678776</v>
      </c>
      <c r="L39">
        <f t="shared" ca="1" si="14"/>
        <v>105.43644498333575</v>
      </c>
      <c r="M39">
        <f t="shared" ca="1" si="15"/>
        <v>100.58055501666425</v>
      </c>
      <c r="N39">
        <f t="shared" ca="1" si="4"/>
        <v>0.40999999999999659</v>
      </c>
      <c r="O39">
        <f t="shared" ca="1" si="5"/>
        <v>0.40999999999999659</v>
      </c>
      <c r="P39">
        <f t="shared" ca="1" si="6"/>
        <v>0</v>
      </c>
      <c r="Q39">
        <f t="shared" ca="1" si="10"/>
        <v>0.57662203318656557</v>
      </c>
      <c r="R39">
        <f t="shared" ca="1" si="11"/>
        <v>0.45708642084213913</v>
      </c>
      <c r="S39">
        <f t="shared" ca="1" si="8"/>
        <v>1.2615164373603425</v>
      </c>
      <c r="T39">
        <f t="shared" ca="1" si="9"/>
        <v>55.78188230339785</v>
      </c>
      <c r="U39">
        <f>70</f>
        <v>70</v>
      </c>
      <c r="V39">
        <f>30</f>
        <v>30</v>
      </c>
      <c r="W39">
        <f t="shared" ca="1" si="7"/>
        <v>103.40009195727674</v>
      </c>
      <c r="X39">
        <f t="shared" ca="1" si="17"/>
        <v>102.33879105881297</v>
      </c>
      <c r="Y39">
        <f t="shared" ca="1" si="16"/>
        <v>1.0329350917292857</v>
      </c>
      <c r="Z39">
        <f t="shared" ca="1" si="18"/>
        <v>1.0063637863952186</v>
      </c>
      <c r="AA39">
        <f t="shared" ca="1" si="19"/>
        <v>2.6571305334067041E-2</v>
      </c>
    </row>
    <row r="40" spans="1:27" x14ac:dyDescent="0.25">
      <c r="A40" s="20">
        <f t="shared" ca="1" si="0"/>
        <v>45348</v>
      </c>
      <c r="B40" vm="113">
        <f ca="1"/>
        <v>45349</v>
      </c>
      <c r="C40" vm="114">
        <f ca="1"/>
        <v>104.03</v>
      </c>
      <c r="D40" vm="115">
        <f ca="1"/>
        <v>16359978</v>
      </c>
      <c r="E40">
        <f t="shared" ca="1" si="1"/>
        <v>1701928511.3399999</v>
      </c>
      <c r="F40">
        <f ca="1">SUM($E$2:E40)/SUM($D$2:D40)</f>
        <v>101.56375654532937</v>
      </c>
      <c r="G40">
        <f ca="1">_xlfn.STDEV.P($C$2:C40)</f>
        <v>2.4085111247956283</v>
      </c>
      <c r="H40">
        <f t="shared" ca="1" si="2"/>
        <v>103.97226767012499</v>
      </c>
      <c r="I40">
        <f t="shared" ca="1" si="3"/>
        <v>99.155245420533745</v>
      </c>
      <c r="J40">
        <f t="shared" ca="1" si="12"/>
        <v>103.05349999999999</v>
      </c>
      <c r="K40">
        <f t="shared" ca="1" si="13"/>
        <v>1.2352083779031393</v>
      </c>
      <c r="L40">
        <f t="shared" ca="1" si="14"/>
        <v>105.52391675580627</v>
      </c>
      <c r="M40">
        <f t="shared" ca="1" si="15"/>
        <v>100.5830832441937</v>
      </c>
      <c r="N40">
        <f t="shared" ca="1" si="4"/>
        <v>-0.21999999999999886</v>
      </c>
      <c r="O40">
        <f t="shared" ca="1" si="5"/>
        <v>0</v>
      </c>
      <c r="P40">
        <f t="shared" ca="1" si="6"/>
        <v>0.21999999999999886</v>
      </c>
      <c r="Q40">
        <f t="shared" ca="1" si="10"/>
        <v>0.53543474510181088</v>
      </c>
      <c r="R40">
        <f t="shared" ca="1" si="11"/>
        <v>0.44015167649627196</v>
      </c>
      <c r="S40">
        <f t="shared" ca="1" si="8"/>
        <v>1.2164778045695936</v>
      </c>
      <c r="T40">
        <f t="shared" ca="1" si="9"/>
        <v>54.883374065900696</v>
      </c>
      <c r="U40">
        <f>70</f>
        <v>70</v>
      </c>
      <c r="V40">
        <f>30</f>
        <v>30</v>
      </c>
      <c r="W40">
        <f t="shared" ca="1" si="7"/>
        <v>103.49700088692649</v>
      </c>
      <c r="X40">
        <f t="shared" ca="1" si="17"/>
        <v>102.4640657951972</v>
      </c>
      <c r="Y40">
        <f t="shared" ca="1" si="16"/>
        <v>1.0220737321312754</v>
      </c>
      <c r="Z40">
        <f t="shared" ca="1" si="18"/>
        <v>1.0095057755424299</v>
      </c>
      <c r="AA40">
        <f t="shared" ca="1" si="19"/>
        <v>1.2567956588845464E-2</v>
      </c>
    </row>
    <row r="41" spans="1:27" x14ac:dyDescent="0.25">
      <c r="A41" s="20">
        <f t="shared" ca="1" si="0"/>
        <v>45348</v>
      </c>
      <c r="B41" vm="116">
        <f ca="1"/>
        <v>45350</v>
      </c>
      <c r="C41" vm="117">
        <f ca="1"/>
        <v>104.32</v>
      </c>
      <c r="D41" vm="118">
        <f ca="1"/>
        <v>14810486</v>
      </c>
      <c r="E41">
        <f t="shared" ca="1" si="1"/>
        <v>1545029899.52</v>
      </c>
      <c r="F41">
        <f ca="1">SUM($E$2:E41)/SUM($D$2:D41)</f>
        <v>101.61771427831823</v>
      </c>
      <c r="G41">
        <f ca="1">_xlfn.STDEV.P($C$2:C41)</f>
        <v>2.4171723019884208</v>
      </c>
      <c r="H41">
        <f t="shared" ca="1" si="2"/>
        <v>104.03488658030665</v>
      </c>
      <c r="I41">
        <f t="shared" ca="1" si="3"/>
        <v>99.200541976329816</v>
      </c>
      <c r="J41">
        <f t="shared" ca="1" si="12"/>
        <v>103.027</v>
      </c>
      <c r="K41">
        <f t="shared" ca="1" si="13"/>
        <v>1.1998162139963022</v>
      </c>
      <c r="L41">
        <f t="shared" ca="1" si="14"/>
        <v>105.4266324279926</v>
      </c>
      <c r="M41">
        <f t="shared" ca="1" si="15"/>
        <v>100.6273675720074</v>
      </c>
      <c r="N41">
        <f t="shared" ca="1" si="4"/>
        <v>0.28999999999999204</v>
      </c>
      <c r="O41">
        <f t="shared" ca="1" si="5"/>
        <v>0.28999999999999204</v>
      </c>
      <c r="P41">
        <f t="shared" ca="1" si="6"/>
        <v>0</v>
      </c>
      <c r="Q41">
        <f t="shared" ca="1" si="10"/>
        <v>0.51790369188025243</v>
      </c>
      <c r="R41">
        <f t="shared" ca="1" si="11"/>
        <v>0.40871227103225255</v>
      </c>
      <c r="S41">
        <f t="shared" ca="1" si="8"/>
        <v>1.2671596342635461</v>
      </c>
      <c r="T41">
        <f t="shared" ca="1" si="9"/>
        <v>55.891945812415827</v>
      </c>
      <c r="U41">
        <f>70</f>
        <v>70</v>
      </c>
      <c r="V41">
        <f>30</f>
        <v>30</v>
      </c>
      <c r="W41">
        <f t="shared" ca="1" si="7"/>
        <v>103.62361613509165</v>
      </c>
      <c r="X41">
        <f t="shared" ca="1" si="17"/>
        <v>102.60154240296038</v>
      </c>
      <c r="Y41">
        <f t="shared" ca="1" si="16"/>
        <v>1.0178709719660901</v>
      </c>
      <c r="Z41">
        <f t="shared" ca="1" si="18"/>
        <v>1.0111788148271621</v>
      </c>
      <c r="AA41">
        <f t="shared" ca="1" si="19"/>
        <v>6.6921571389280121E-3</v>
      </c>
    </row>
    <row r="42" spans="1:27" x14ac:dyDescent="0.25">
      <c r="A42" s="20">
        <f t="shared" ca="1" si="0"/>
        <v>45348</v>
      </c>
      <c r="B42" vm="119">
        <f ca="1"/>
        <v>45351</v>
      </c>
      <c r="C42" vm="120">
        <f ca="1"/>
        <v>104.52</v>
      </c>
      <c r="D42" vm="121">
        <f ca="1"/>
        <v>17566066</v>
      </c>
      <c r="E42">
        <f t="shared" ca="1" si="1"/>
        <v>1836005218.3199999</v>
      </c>
      <c r="F42">
        <f ca="1">SUM($E$2:E42)/SUM($D$2:D42)</f>
        <v>101.68357294566901</v>
      </c>
      <c r="G42">
        <f ca="1">_xlfn.STDEV.P($C$2:C42)</f>
        <v>2.4290393172526192</v>
      </c>
      <c r="H42">
        <f t="shared" ca="1" si="2"/>
        <v>104.11261226292163</v>
      </c>
      <c r="I42">
        <f t="shared" ca="1" si="3"/>
        <v>99.254533628416397</v>
      </c>
      <c r="J42">
        <f t="shared" ca="1" si="12"/>
        <v>103.1125</v>
      </c>
      <c r="K42">
        <f t="shared" ca="1" si="13"/>
        <v>1.243665528736895</v>
      </c>
      <c r="L42">
        <f t="shared" ca="1" si="14"/>
        <v>105.59983105747379</v>
      </c>
      <c r="M42">
        <f t="shared" ca="1" si="15"/>
        <v>100.6251689425262</v>
      </c>
      <c r="N42">
        <f t="shared" ca="1" si="4"/>
        <v>0.20000000000000284</v>
      </c>
      <c r="O42">
        <f t="shared" ca="1" si="5"/>
        <v>0.20000000000000284</v>
      </c>
      <c r="P42">
        <f t="shared" ca="1" si="6"/>
        <v>0</v>
      </c>
      <c r="Q42">
        <f t="shared" ca="1" si="10"/>
        <v>0.49519628531737742</v>
      </c>
      <c r="R42">
        <f t="shared" ca="1" si="11"/>
        <v>0.37951853738709168</v>
      </c>
      <c r="S42">
        <f t="shared" ca="1" si="8"/>
        <v>1.3048013114898249</v>
      </c>
      <c r="T42">
        <f t="shared" ca="1" si="9"/>
        <v>56.612312088906293</v>
      </c>
      <c r="U42">
        <f>70</f>
        <v>70</v>
      </c>
      <c r="V42">
        <f>30</f>
        <v>30</v>
      </c>
      <c r="W42">
        <f t="shared" ca="1" si="7"/>
        <v>103.76152134507755</v>
      </c>
      <c r="X42">
        <f t="shared" ca="1" si="17"/>
        <v>102.74365037311146</v>
      </c>
      <c r="Y42">
        <f t="shared" ca="1" si="16"/>
        <v>1.108277687255864</v>
      </c>
      <c r="Z42">
        <f t="shared" ca="1" si="18"/>
        <v>1.0305985893129026</v>
      </c>
      <c r="AA42">
        <f t="shared" ca="1" si="19"/>
        <v>7.767909794296135E-2</v>
      </c>
    </row>
    <row r="43" spans="1:27" x14ac:dyDescent="0.25">
      <c r="A43" s="20">
        <f t="shared" ca="1" si="0"/>
        <v>45348</v>
      </c>
      <c r="B43" vm="122">
        <f ca="1"/>
        <v>45352</v>
      </c>
      <c r="C43" vm="123">
        <f ca="1"/>
        <v>105.84</v>
      </c>
      <c r="D43" vm="124">
        <f ca="1"/>
        <v>18460120</v>
      </c>
      <c r="E43">
        <f t="shared" ca="1" si="1"/>
        <v>1953819100.8</v>
      </c>
      <c r="F43">
        <f ca="1">SUM($E$2:E43)/SUM($D$2:D43)</f>
        <v>101.78038242991212</v>
      </c>
      <c r="G43">
        <f ca="1">_xlfn.STDEV.P($C$2:C43)</f>
        <v>2.4818872313271902</v>
      </c>
      <c r="H43">
        <f t="shared" ca="1" si="2"/>
        <v>104.26226966123932</v>
      </c>
      <c r="I43">
        <f t="shared" ca="1" si="3"/>
        <v>99.298495198584931</v>
      </c>
      <c r="J43">
        <f t="shared" ca="1" si="12"/>
        <v>103.285</v>
      </c>
      <c r="K43">
        <f t="shared" ca="1" si="13"/>
        <v>1.3709293812669756</v>
      </c>
      <c r="L43">
        <f t="shared" ca="1" si="14"/>
        <v>106.02685876253395</v>
      </c>
      <c r="M43">
        <f t="shared" ca="1" si="15"/>
        <v>100.54314123746605</v>
      </c>
      <c r="N43">
        <f t="shared" ca="1" si="4"/>
        <v>1.3200000000000074</v>
      </c>
      <c r="O43">
        <f t="shared" ca="1" si="5"/>
        <v>1.3200000000000074</v>
      </c>
      <c r="P43">
        <f t="shared" ca="1" si="6"/>
        <v>0</v>
      </c>
      <c r="Q43">
        <f t="shared" ca="1" si="10"/>
        <v>0.55411083636613667</v>
      </c>
      <c r="R43">
        <f t="shared" ca="1" si="11"/>
        <v>0.35241007043087086</v>
      </c>
      <c r="S43">
        <f t="shared" ca="1" si="8"/>
        <v>1.5723467711596841</v>
      </c>
      <c r="T43">
        <f t="shared" ca="1" si="9"/>
        <v>61.124992508332276</v>
      </c>
      <c r="U43">
        <f>70</f>
        <v>70</v>
      </c>
      <c r="V43">
        <f>30</f>
        <v>30</v>
      </c>
      <c r="W43">
        <f t="shared" ca="1" si="7"/>
        <v>104.0812872919887</v>
      </c>
      <c r="X43">
        <f t="shared" ca="1" si="17"/>
        <v>102.97300960473284</v>
      </c>
      <c r="Y43">
        <f t="shared" ca="1" si="16"/>
        <v>1.0484165361323932</v>
      </c>
      <c r="Z43">
        <f t="shared" ca="1" si="18"/>
        <v>1.0341621786768007</v>
      </c>
      <c r="AA43">
        <f t="shared" ca="1" si="19"/>
        <v>1.4254357455592448E-2</v>
      </c>
    </row>
    <row r="44" spans="1:27" x14ac:dyDescent="0.25">
      <c r="A44" s="20">
        <f t="shared" ca="1" si="0"/>
        <v>45355</v>
      </c>
      <c r="B44" vm="125">
        <f ca="1"/>
        <v>45355</v>
      </c>
      <c r="C44" vm="126">
        <f ca="1"/>
        <v>104.36</v>
      </c>
      <c r="D44" vm="127">
        <f ca="1"/>
        <v>18137989</v>
      </c>
      <c r="E44">
        <f t="shared" ca="1" si="1"/>
        <v>1892880532.04</v>
      </c>
      <c r="F44">
        <f ca="1">SUM($E$2:E44)/SUM($D$2:D44)</f>
        <v>101.83809638562236</v>
      </c>
      <c r="G44">
        <f ca="1">_xlfn.STDEV.P($C$2:C44)</f>
        <v>2.4832471240433898</v>
      </c>
      <c r="H44">
        <f t="shared" ca="1" si="2"/>
        <v>104.32134350966575</v>
      </c>
      <c r="I44">
        <f t="shared" ca="1" si="3"/>
        <v>99.354849261578977</v>
      </c>
      <c r="J44">
        <f t="shared" ca="1" si="12"/>
        <v>103.40449999999998</v>
      </c>
      <c r="K44">
        <f t="shared" ca="1" si="13"/>
        <v>1.3543360190999791</v>
      </c>
      <c r="L44">
        <f t="shared" ca="1" si="14"/>
        <v>106.11317203819995</v>
      </c>
      <c r="M44">
        <f t="shared" ca="1" si="15"/>
        <v>100.69582796180002</v>
      </c>
      <c r="N44">
        <f t="shared" ca="1" si="4"/>
        <v>-1.480000000000004</v>
      </c>
      <c r="O44">
        <f t="shared" ca="1" si="5"/>
        <v>0</v>
      </c>
      <c r="P44">
        <f t="shared" ca="1" si="6"/>
        <v>1.480000000000004</v>
      </c>
      <c r="Q44">
        <f t="shared" ca="1" si="10"/>
        <v>0.51453149091141259</v>
      </c>
      <c r="R44">
        <f t="shared" ca="1" si="11"/>
        <v>0.43295220825723751</v>
      </c>
      <c r="S44">
        <f t="shared" ca="1" si="8"/>
        <v>1.1884256070261339</v>
      </c>
      <c r="T44">
        <f t="shared" ca="1" si="9"/>
        <v>54.305049402208986</v>
      </c>
      <c r="U44">
        <f>70</f>
        <v>70</v>
      </c>
      <c r="V44">
        <f>30</f>
        <v>30</v>
      </c>
      <c r="W44">
        <f t="shared" ca="1" si="7"/>
        <v>104.12416617014428</v>
      </c>
      <c r="X44">
        <f t="shared" ca="1" si="17"/>
        <v>103.07574963401188</v>
      </c>
      <c r="Y44">
        <f t="shared" ca="1" si="16"/>
        <v>1.0916772691709014</v>
      </c>
      <c r="Z44">
        <f t="shared" ca="1" si="18"/>
        <v>1.0456651967756208</v>
      </c>
      <c r="AA44">
        <f t="shared" ca="1" si="19"/>
        <v>4.6012072395280601E-2</v>
      </c>
    </row>
    <row r="45" spans="1:27" x14ac:dyDescent="0.25">
      <c r="A45" s="20">
        <f t="shared" ca="1" si="0"/>
        <v>45355</v>
      </c>
      <c r="B45" vm="128">
        <f ca="1"/>
        <v>45356</v>
      </c>
      <c r="C45" vm="129">
        <f ca="1"/>
        <v>105.64</v>
      </c>
      <c r="D45" vm="130">
        <f ca="1"/>
        <v>19952712</v>
      </c>
      <c r="E45">
        <f t="shared" ca="1" si="1"/>
        <v>2107804495.6800001</v>
      </c>
      <c r="F45">
        <f ca="1">SUM($E$2:E45)/SUM($D$2:D45)</f>
        <v>101.92941938906773</v>
      </c>
      <c r="G45">
        <f ca="1">_xlfn.STDEV.P($C$2:C45)</f>
        <v>2.519008838186064</v>
      </c>
      <c r="H45">
        <f t="shared" ca="1" si="2"/>
        <v>104.4484282272538</v>
      </c>
      <c r="I45">
        <f t="shared" ca="1" si="3"/>
        <v>99.410410550881664</v>
      </c>
      <c r="J45">
        <f t="shared" ca="1" si="12"/>
        <v>103.60899999999997</v>
      </c>
      <c r="K45">
        <f t="shared" ca="1" si="13"/>
        <v>1.3682909047421163</v>
      </c>
      <c r="L45">
        <f t="shared" ca="1" si="14"/>
        <v>106.3455818094842</v>
      </c>
      <c r="M45">
        <f t="shared" ca="1" si="15"/>
        <v>100.87241819051573</v>
      </c>
      <c r="N45">
        <f t="shared" ca="1" si="4"/>
        <v>1.2800000000000011</v>
      </c>
      <c r="O45">
        <f t="shared" ca="1" si="5"/>
        <v>1.2800000000000011</v>
      </c>
      <c r="P45">
        <f t="shared" ca="1" si="6"/>
        <v>0</v>
      </c>
      <c r="Q45">
        <f t="shared" ca="1" si="10"/>
        <v>0.56920781298916889</v>
      </c>
      <c r="R45">
        <f t="shared" ca="1" si="11"/>
        <v>0.40202705052457771</v>
      </c>
      <c r="S45">
        <f t="shared" ca="1" si="8"/>
        <v>1.4158445613210564</v>
      </c>
      <c r="T45">
        <f t="shared" ca="1" si="9"/>
        <v>58.606608388199859</v>
      </c>
      <c r="U45">
        <f>70</f>
        <v>70</v>
      </c>
      <c r="V45">
        <f>30</f>
        <v>30</v>
      </c>
      <c r="W45">
        <f t="shared" ca="1" si="7"/>
        <v>104.35737137473747</v>
      </c>
      <c r="X45">
        <f t="shared" ca="1" si="17"/>
        <v>103.26569410556657</v>
      </c>
      <c r="Y45">
        <f t="shared" ca="1" si="16"/>
        <v>1.2032726894241961</v>
      </c>
      <c r="Z45">
        <f t="shared" ca="1" si="18"/>
        <v>1.077186695305336</v>
      </c>
      <c r="AA45">
        <f t="shared" ca="1" si="19"/>
        <v>0.12608599411886012</v>
      </c>
    </row>
    <row r="46" spans="1:27" x14ac:dyDescent="0.25">
      <c r="A46" s="20">
        <f t="shared" ca="1" si="0"/>
        <v>45355</v>
      </c>
      <c r="B46" vm="131">
        <f ca="1"/>
        <v>45357</v>
      </c>
      <c r="C46" vm="132">
        <f ca="1"/>
        <v>106.77</v>
      </c>
      <c r="D46" vm="133">
        <f ca="1"/>
        <v>20472790</v>
      </c>
      <c r="E46">
        <f t="shared" ca="1" si="1"/>
        <v>2185879788.2999997</v>
      </c>
      <c r="F46">
        <f ca="1">SUM($E$2:E46)/SUM($D$2:D46)</f>
        <v>102.04585279541398</v>
      </c>
      <c r="G46">
        <f ca="1">_xlfn.STDEV.P($C$2:C46)</f>
        <v>2.5907735057362098</v>
      </c>
      <c r="H46">
        <f t="shared" ca="1" si="2"/>
        <v>104.63662630115019</v>
      </c>
      <c r="I46">
        <f t="shared" ca="1" si="3"/>
        <v>99.455079289677769</v>
      </c>
      <c r="J46">
        <f t="shared" ca="1" si="12"/>
        <v>103.83499999999999</v>
      </c>
      <c r="K46">
        <f t="shared" ca="1" si="13"/>
        <v>1.4990470657264752</v>
      </c>
      <c r="L46">
        <f t="shared" ca="1" si="14"/>
        <v>106.83309413145294</v>
      </c>
      <c r="M46">
        <f t="shared" ca="1" si="15"/>
        <v>100.83690586854705</v>
      </c>
      <c r="N46">
        <f t="shared" ca="1" si="4"/>
        <v>1.1299999999999955</v>
      </c>
      <c r="O46">
        <f t="shared" ca="1" si="5"/>
        <v>1.1299999999999955</v>
      </c>
      <c r="P46">
        <f t="shared" ca="1" si="6"/>
        <v>0</v>
      </c>
      <c r="Q46">
        <f t="shared" ca="1" si="10"/>
        <v>0.60926439777565655</v>
      </c>
      <c r="R46">
        <f t="shared" ca="1" si="11"/>
        <v>0.37331083262996501</v>
      </c>
      <c r="S46">
        <f t="shared" ca="1" si="8"/>
        <v>1.6320565719548101</v>
      </c>
      <c r="T46">
        <f t="shared" ca="1" si="9"/>
        <v>62.006895647485763</v>
      </c>
      <c r="U46">
        <f>70</f>
        <v>70</v>
      </c>
      <c r="V46">
        <f>30</f>
        <v>30</v>
      </c>
      <c r="W46">
        <f t="shared" ca="1" si="7"/>
        <v>104.72854500939323</v>
      </c>
      <c r="X46">
        <f t="shared" ca="1" si="17"/>
        <v>103.52527231996903</v>
      </c>
      <c r="Y46">
        <f t="shared" ca="1" si="16"/>
        <v>1.3248557373215277</v>
      </c>
      <c r="Z46">
        <f t="shared" ca="1" si="18"/>
        <v>1.1267205037085744</v>
      </c>
      <c r="AA46">
        <f t="shared" ca="1" si="19"/>
        <v>0.19813523361295338</v>
      </c>
    </row>
    <row r="47" spans="1:27" x14ac:dyDescent="0.25">
      <c r="A47" s="20">
        <f t="shared" ca="1" si="0"/>
        <v>45355</v>
      </c>
      <c r="B47" vm="134">
        <f ca="1"/>
        <v>45358</v>
      </c>
      <c r="C47" vm="135">
        <f ca="1"/>
        <v>107.37</v>
      </c>
      <c r="D47" vm="136">
        <f ca="1"/>
        <v>15195406</v>
      </c>
      <c r="E47">
        <f t="shared" ca="1" si="1"/>
        <v>1631530742.22</v>
      </c>
      <c r="F47">
        <f ca="1">SUM($E$2:E47)/SUM($D$2:D47)</f>
        <v>102.13923848768296</v>
      </c>
      <c r="G47">
        <f ca="1">_xlfn.STDEV.P($C$2:C47)</f>
        <v>2.6776006473787497</v>
      </c>
      <c r="H47">
        <f t="shared" ca="1" si="2"/>
        <v>104.81683913506171</v>
      </c>
      <c r="I47">
        <f t="shared" ca="1" si="3"/>
        <v>99.461637840304206</v>
      </c>
      <c r="J47">
        <f t="shared" ca="1" si="12"/>
        <v>104.0925</v>
      </c>
      <c r="K47">
        <f t="shared" ca="1" si="13"/>
        <v>1.6424880837507339</v>
      </c>
      <c r="L47">
        <f t="shared" ca="1" si="14"/>
        <v>107.37747616750147</v>
      </c>
      <c r="M47">
        <f t="shared" ca="1" si="15"/>
        <v>100.80752383249853</v>
      </c>
      <c r="N47">
        <f t="shared" ca="1" si="4"/>
        <v>0.60000000000000853</v>
      </c>
      <c r="O47">
        <f t="shared" ca="1" si="5"/>
        <v>0.60000000000000853</v>
      </c>
      <c r="P47">
        <f t="shared" ca="1" si="6"/>
        <v>0</v>
      </c>
      <c r="Q47">
        <f t="shared" ca="1" si="10"/>
        <v>0.60860265507739597</v>
      </c>
      <c r="R47">
        <f t="shared" ca="1" si="11"/>
        <v>0.34664577315639605</v>
      </c>
      <c r="S47">
        <f t="shared" ca="1" si="8"/>
        <v>1.7556903969598179</v>
      </c>
      <c r="T47">
        <f t="shared" ca="1" si="9"/>
        <v>63.71145317691574</v>
      </c>
      <c r="U47">
        <f>70</f>
        <v>70</v>
      </c>
      <c r="V47">
        <f>30</f>
        <v>30</v>
      </c>
      <c r="W47">
        <f t="shared" ca="1" si="7"/>
        <v>105.13492270025581</v>
      </c>
      <c r="X47">
        <f t="shared" ca="1" si="17"/>
        <v>103.81006696293429</v>
      </c>
      <c r="Y47">
        <f t="shared" ca="1" si="16"/>
        <v>1.4855848405194791</v>
      </c>
      <c r="Z47">
        <f t="shared" ca="1" si="18"/>
        <v>1.1984933710707553</v>
      </c>
      <c r="AA47">
        <f t="shared" ca="1" si="19"/>
        <v>0.28709146944872388</v>
      </c>
    </row>
    <row r="48" spans="1:27" x14ac:dyDescent="0.25">
      <c r="A48" s="20">
        <f t="shared" ca="1" si="0"/>
        <v>45355</v>
      </c>
      <c r="B48" vm="137">
        <f ca="1"/>
        <v>45359</v>
      </c>
      <c r="C48" vm="138">
        <f ca="1"/>
        <v>108.38</v>
      </c>
      <c r="D48" vm="139">
        <f ca="1"/>
        <v>16281468</v>
      </c>
      <c r="E48">
        <f t="shared" ca="1" si="1"/>
        <v>1764585501.8399999</v>
      </c>
      <c r="F48">
        <f ca="1">SUM($E$2:E48)/SUM($D$2:D48)</f>
        <v>102.2543616973512</v>
      </c>
      <c r="G48">
        <f ca="1">_xlfn.STDEV.P($C$2:C48)</f>
        <v>2.7969294099133117</v>
      </c>
      <c r="H48">
        <f t="shared" ca="1" si="2"/>
        <v>105.05129110726452</v>
      </c>
      <c r="I48">
        <f t="shared" ca="1" si="3"/>
        <v>99.457432287437882</v>
      </c>
      <c r="J48">
        <f t="shared" ca="1" si="12"/>
        <v>104.31299999999999</v>
      </c>
      <c r="K48">
        <f t="shared" ca="1" si="13"/>
        <v>1.9008698839714069</v>
      </c>
      <c r="L48">
        <f t="shared" ca="1" si="14"/>
        <v>108.11473976794281</v>
      </c>
      <c r="M48">
        <f t="shared" ca="1" si="15"/>
        <v>100.51126023205717</v>
      </c>
      <c r="N48">
        <f t="shared" ca="1" si="4"/>
        <v>1.0099999999999909</v>
      </c>
      <c r="O48">
        <f t="shared" ca="1" si="5"/>
        <v>1.0099999999999909</v>
      </c>
      <c r="P48">
        <f t="shared" ca="1" si="6"/>
        <v>0</v>
      </c>
      <c r="Q48">
        <f t="shared" ca="1" si="10"/>
        <v>0.63727389400043855</v>
      </c>
      <c r="R48">
        <f t="shared" ca="1" si="11"/>
        <v>0.32188536078808205</v>
      </c>
      <c r="S48">
        <f t="shared" ca="1" si="8"/>
        <v>1.9798163310073524</v>
      </c>
      <c r="T48">
        <f t="shared" ca="1" si="9"/>
        <v>66.440884641304677</v>
      </c>
      <c r="U48">
        <f>70</f>
        <v>70</v>
      </c>
      <c r="V48">
        <f>30</f>
        <v>30</v>
      </c>
      <c r="W48">
        <f t="shared" ca="1" si="7"/>
        <v>105.63416536175492</v>
      </c>
      <c r="X48">
        <f t="shared" ca="1" si="17"/>
        <v>104.14858052123544</v>
      </c>
      <c r="Y48">
        <f t="shared" ca="1" si="16"/>
        <v>1.6456365898566787</v>
      </c>
      <c r="Z48">
        <f t="shared" ca="1" si="18"/>
        <v>1.28792201482794</v>
      </c>
      <c r="AA48">
        <f t="shared" ca="1" si="19"/>
        <v>0.35771457502873871</v>
      </c>
    </row>
    <row r="49" spans="1:27" x14ac:dyDescent="0.25">
      <c r="A49" s="20">
        <f t="shared" ca="1" si="0"/>
        <v>45362</v>
      </c>
      <c r="B49" vm="140">
        <f ca="1"/>
        <v>45362</v>
      </c>
      <c r="C49" vm="141">
        <f ca="1"/>
        <v>109.02</v>
      </c>
      <c r="D49" vm="142">
        <f ca="1"/>
        <v>17577285</v>
      </c>
      <c r="E49">
        <f t="shared" ca="1" si="1"/>
        <v>1916275610.7</v>
      </c>
      <c r="F49">
        <f ca="1">SUM($E$2:E49)/SUM($D$2:D49)</f>
        <v>102.38646943993612</v>
      </c>
      <c r="G49">
        <f ca="1">_xlfn.STDEV.P($C$2:C49)</f>
        <v>2.929729549698231</v>
      </c>
      <c r="H49">
        <f t="shared" ca="1" si="2"/>
        <v>105.31619898963436</v>
      </c>
      <c r="I49">
        <f t="shared" ca="1" si="3"/>
        <v>99.456739890237884</v>
      </c>
      <c r="J49">
        <f t="shared" ca="1" si="12"/>
        <v>104.67550000000001</v>
      </c>
      <c r="K49">
        <f t="shared" ca="1" si="13"/>
        <v>2.0738179258251384</v>
      </c>
      <c r="L49">
        <f t="shared" ca="1" si="14"/>
        <v>108.82313585165029</v>
      </c>
      <c r="M49">
        <f t="shared" ca="1" si="15"/>
        <v>100.52786414834974</v>
      </c>
      <c r="N49">
        <f t="shared" ca="1" si="4"/>
        <v>0.64000000000000057</v>
      </c>
      <c r="O49">
        <f t="shared" ca="1" si="5"/>
        <v>0.64000000000000057</v>
      </c>
      <c r="P49">
        <f t="shared" ca="1" si="6"/>
        <v>0</v>
      </c>
      <c r="Q49">
        <f t="shared" ca="1" si="10"/>
        <v>0.6374686158575501</v>
      </c>
      <c r="R49">
        <f t="shared" ca="1" si="11"/>
        <v>0.29889354930321904</v>
      </c>
      <c r="S49">
        <f t="shared" ca="1" si="8"/>
        <v>2.1327613705401727</v>
      </c>
      <c r="T49">
        <f t="shared" ca="1" si="9"/>
        <v>68.079279532626103</v>
      </c>
      <c r="U49">
        <f>70</f>
        <v>70</v>
      </c>
      <c r="V49">
        <f>30</f>
        <v>30</v>
      </c>
      <c r="W49">
        <f t="shared" ca="1" si="7"/>
        <v>106.15506299840801</v>
      </c>
      <c r="X49">
        <f t="shared" ca="1" si="17"/>
        <v>104.50942640855133</v>
      </c>
      <c r="Y49">
        <f t="shared" ca="1" si="16"/>
        <v>1.6964391103931575</v>
      </c>
      <c r="Z49">
        <f t="shared" ca="1" si="18"/>
        <v>1.3696254339409835</v>
      </c>
      <c r="AA49">
        <f t="shared" ca="1" si="19"/>
        <v>0.32681367645217407</v>
      </c>
    </row>
    <row r="50" spans="1:27" x14ac:dyDescent="0.25">
      <c r="A50" s="20">
        <f t="shared" ca="1" si="0"/>
        <v>45362</v>
      </c>
      <c r="B50" vm="143">
        <f ca="1"/>
        <v>45363</v>
      </c>
      <c r="C50" vm="144">
        <f ca="1"/>
        <v>108.32</v>
      </c>
      <c r="D50" vm="145">
        <f ca="1"/>
        <v>14957247</v>
      </c>
      <c r="E50">
        <f t="shared" ca="1" si="1"/>
        <v>1620168995.04</v>
      </c>
      <c r="F50">
        <f ca="1">SUM($E$2:E50)/SUM($D$2:D50)</f>
        <v>102.48344799869274</v>
      </c>
      <c r="G50">
        <f ca="1">_xlfn.STDEV.P($C$2:C50)</f>
        <v>3.0168289741976619</v>
      </c>
      <c r="H50">
        <f t="shared" ca="1" si="2"/>
        <v>105.5002769728904</v>
      </c>
      <c r="I50">
        <f t="shared" ca="1" si="3"/>
        <v>99.466619024495074</v>
      </c>
      <c r="J50">
        <f t="shared" ca="1" si="12"/>
        <v>104.93300000000002</v>
      </c>
      <c r="K50">
        <f t="shared" ca="1" si="13"/>
        <v>2.1933322401746307</v>
      </c>
      <c r="L50">
        <f t="shared" ca="1" si="14"/>
        <v>109.31966448034929</v>
      </c>
      <c r="M50">
        <f t="shared" ca="1" si="15"/>
        <v>100.54633551965075</v>
      </c>
      <c r="N50">
        <f t="shared" ca="1" si="4"/>
        <v>-0.70000000000000284</v>
      </c>
      <c r="O50">
        <f t="shared" ca="1" si="5"/>
        <v>0</v>
      </c>
      <c r="P50">
        <f t="shared" ca="1" si="6"/>
        <v>0.70000000000000284</v>
      </c>
      <c r="Q50">
        <f t="shared" ca="1" si="10"/>
        <v>0.5919351432962966</v>
      </c>
      <c r="R50">
        <f t="shared" ca="1" si="11"/>
        <v>0.32754401006727502</v>
      </c>
      <c r="S50">
        <f t="shared" ca="1" si="8"/>
        <v>1.807192698088778</v>
      </c>
      <c r="T50">
        <f t="shared" ca="1" si="9"/>
        <v>64.377222814777539</v>
      </c>
      <c r="U50">
        <f>70</f>
        <v>70</v>
      </c>
      <c r="V50">
        <f>30</f>
        <v>30</v>
      </c>
      <c r="W50">
        <f t="shared" ca="1" si="7"/>
        <v>106.48813022942217</v>
      </c>
      <c r="X50">
        <f t="shared" ca="1" si="17"/>
        <v>104.79169111902901</v>
      </c>
      <c r="Y50">
        <f t="shared" ca="1" si="16"/>
        <v>1.8134332320625504</v>
      </c>
      <c r="Z50">
        <f t="shared" ca="1" si="18"/>
        <v>1.4583869935652969</v>
      </c>
      <c r="AA50">
        <f t="shared" ca="1" si="19"/>
        <v>0.35504623849725347</v>
      </c>
    </row>
    <row r="51" spans="1:27" x14ac:dyDescent="0.25">
      <c r="A51" s="20">
        <f t="shared" ca="1" si="0"/>
        <v>45362</v>
      </c>
      <c r="B51" vm="146">
        <f ca="1"/>
        <v>45364</v>
      </c>
      <c r="C51" vm="147">
        <f ca="1"/>
        <v>109.53</v>
      </c>
      <c r="D51" vm="148">
        <f ca="1"/>
        <v>17122239</v>
      </c>
      <c r="E51">
        <f t="shared" ca="1" si="1"/>
        <v>1875398837.6700001</v>
      </c>
      <c r="F51">
        <f ca="1">SUM($E$2:E51)/SUM($D$2:D51)</f>
        <v>102.61286685766395</v>
      </c>
      <c r="G51">
        <f ca="1">_xlfn.STDEV.P($C$2:C51)</f>
        <v>3.1422274647135264</v>
      </c>
      <c r="H51">
        <f t="shared" ca="1" si="2"/>
        <v>105.75509432237747</v>
      </c>
      <c r="I51">
        <f t="shared" ca="1" si="3"/>
        <v>99.470639392950417</v>
      </c>
      <c r="J51">
        <f t="shared" ca="1" si="12"/>
        <v>105.3425</v>
      </c>
      <c r="K51">
        <f t="shared" ca="1" si="13"/>
        <v>2.2509924711698064</v>
      </c>
      <c r="L51">
        <f t="shared" ca="1" si="14"/>
        <v>109.84448494233962</v>
      </c>
      <c r="M51">
        <f t="shared" ca="1" si="15"/>
        <v>100.84051505766038</v>
      </c>
      <c r="N51">
        <f t="shared" ca="1" si="4"/>
        <v>1.210000000000008</v>
      </c>
      <c r="O51">
        <f t="shared" ca="1" si="5"/>
        <v>1.210000000000008</v>
      </c>
      <c r="P51">
        <f t="shared" ca="1" si="6"/>
        <v>0</v>
      </c>
      <c r="Q51">
        <f t="shared" ca="1" si="10"/>
        <v>0.63608263306084745</v>
      </c>
      <c r="R51">
        <f t="shared" ca="1" si="11"/>
        <v>0.30414800934818398</v>
      </c>
      <c r="S51">
        <f t="shared" ca="1" si="8"/>
        <v>2.0913588565778505</v>
      </c>
      <c r="T51">
        <f t="shared" ca="1" si="9"/>
        <v>67.651765893429626</v>
      </c>
      <c r="U51">
        <f>70</f>
        <v>70</v>
      </c>
      <c r="V51">
        <f>30</f>
        <v>30</v>
      </c>
      <c r="W51">
        <f t="shared" ca="1" si="7"/>
        <v>106.95611019412645</v>
      </c>
      <c r="X51">
        <f t="shared" ca="1" si="17"/>
        <v>105.1426769620639</v>
      </c>
      <c r="Y51">
        <f t="shared" ca="1" si="16"/>
        <v>2.0391872221788816</v>
      </c>
      <c r="Z51">
        <f t="shared" ca="1" si="18"/>
        <v>1.5745470392880139</v>
      </c>
      <c r="AA51">
        <f t="shared" ca="1" si="19"/>
        <v>0.46464018289086773</v>
      </c>
    </row>
    <row r="52" spans="1:27" x14ac:dyDescent="0.25">
      <c r="A52" s="20">
        <f t="shared" ca="1" si="0"/>
        <v>45362</v>
      </c>
      <c r="B52" vm="149">
        <f ca="1"/>
        <v>45365</v>
      </c>
      <c r="C52" vm="150">
        <f ca="1"/>
        <v>111.47</v>
      </c>
      <c r="D52" vm="151">
        <f ca="1"/>
        <v>22121014</v>
      </c>
      <c r="E52">
        <f t="shared" ca="1" si="1"/>
        <v>2465829430.5799999</v>
      </c>
      <c r="F52">
        <f ca="1">SUM($E$2:E52)/SUM($D$2:D52)</f>
        <v>102.81815973130502</v>
      </c>
      <c r="G52">
        <f ca="1">_xlfn.STDEV.P($C$2:C52)</f>
        <v>3.3408610847189468</v>
      </c>
      <c r="H52">
        <f t="shared" ca="1" si="2"/>
        <v>106.15902081602397</v>
      </c>
      <c r="I52">
        <f t="shared" ca="1" si="3"/>
        <v>99.477298646586064</v>
      </c>
      <c r="J52">
        <f t="shared" ca="1" si="12"/>
        <v>105.87399999999998</v>
      </c>
      <c r="K52">
        <f t="shared" ca="1" si="13"/>
        <v>2.3830131302507258</v>
      </c>
      <c r="L52">
        <f t="shared" ca="1" si="14"/>
        <v>110.64002626050143</v>
      </c>
      <c r="M52">
        <f t="shared" ca="1" si="15"/>
        <v>101.10797373949853</v>
      </c>
      <c r="N52">
        <f t="shared" ca="1" si="4"/>
        <v>1.9399999999999977</v>
      </c>
      <c r="O52">
        <f t="shared" ca="1" si="5"/>
        <v>1.9399999999999977</v>
      </c>
      <c r="P52">
        <f t="shared" ca="1" si="6"/>
        <v>0</v>
      </c>
      <c r="Q52">
        <f t="shared" ca="1" si="10"/>
        <v>0.7292195878422153</v>
      </c>
      <c r="R52">
        <f t="shared" ca="1" si="11"/>
        <v>0.28242315153759939</v>
      </c>
      <c r="S52">
        <f t="shared" ca="1" si="8"/>
        <v>2.5820106597922914</v>
      </c>
      <c r="T52">
        <f t="shared" ca="1" si="9"/>
        <v>72.082718479179889</v>
      </c>
      <c r="U52">
        <f>70</f>
        <v>70</v>
      </c>
      <c r="V52">
        <f>30</f>
        <v>30</v>
      </c>
      <c r="W52">
        <f t="shared" ca="1" si="7"/>
        <v>107.65055477964546</v>
      </c>
      <c r="X52">
        <f t="shared" ca="1" si="17"/>
        <v>105.61136755746658</v>
      </c>
      <c r="Y52">
        <f t="shared" ca="1" si="16"/>
        <v>2.1768669896810877</v>
      </c>
      <c r="Z52">
        <f t="shared" ca="1" si="18"/>
        <v>1.6950110293666287</v>
      </c>
      <c r="AA52">
        <f t="shared" ca="1" si="19"/>
        <v>0.48185596031445899</v>
      </c>
    </row>
    <row r="53" spans="1:27" x14ac:dyDescent="0.25">
      <c r="A53" s="20">
        <f t="shared" ca="1" si="0"/>
        <v>45362</v>
      </c>
      <c r="B53" vm="152">
        <f ca="1"/>
        <v>45366</v>
      </c>
      <c r="C53" vm="153">
        <f ca="1"/>
        <v>111.27</v>
      </c>
      <c r="D53" vm="154">
        <f ca="1"/>
        <v>38264401</v>
      </c>
      <c r="E53">
        <f t="shared" ca="1" si="1"/>
        <v>4257679899.27</v>
      </c>
      <c r="F53">
        <f ca="1">SUM($E$2:E53)/SUM($D$2:D53)</f>
        <v>103.14395863462964</v>
      </c>
      <c r="G53">
        <f ca="1">_xlfn.STDEV.P($C$2:C53)</f>
        <v>3.5042158464091289</v>
      </c>
      <c r="H53">
        <f t="shared" ca="1" si="2"/>
        <v>106.64817448103877</v>
      </c>
      <c r="I53">
        <f t="shared" ca="1" si="3"/>
        <v>99.639742788220516</v>
      </c>
      <c r="J53">
        <f t="shared" ca="1" si="12"/>
        <v>106.251</v>
      </c>
      <c r="K53">
        <f t="shared" ca="1" si="13"/>
        <v>2.6114502927643373</v>
      </c>
      <c r="L53">
        <f t="shared" ca="1" si="14"/>
        <v>111.47390058552868</v>
      </c>
      <c r="M53">
        <f t="shared" ca="1" si="15"/>
        <v>101.02809941447133</v>
      </c>
      <c r="N53">
        <f t="shared" ca="1" si="4"/>
        <v>-0.20000000000000284</v>
      </c>
      <c r="O53">
        <f t="shared" ca="1" si="5"/>
        <v>0</v>
      </c>
      <c r="P53">
        <f t="shared" ca="1" si="6"/>
        <v>0.20000000000000284</v>
      </c>
      <c r="Q53">
        <f t="shared" ca="1" si="10"/>
        <v>0.6771324744249142</v>
      </c>
      <c r="R53">
        <f t="shared" ca="1" si="11"/>
        <v>0.27653578357062819</v>
      </c>
      <c r="S53">
        <f t="shared" ca="1" si="8"/>
        <v>2.4486251496344678</v>
      </c>
      <c r="T53">
        <f t="shared" ca="1" si="9"/>
        <v>71.002937210905813</v>
      </c>
      <c r="U53">
        <f>70</f>
        <v>70</v>
      </c>
      <c r="V53">
        <f>30</f>
        <v>30</v>
      </c>
      <c r="W53">
        <f t="shared" ca="1" si="7"/>
        <v>108.20739250585385</v>
      </c>
      <c r="X53">
        <f t="shared" ca="1" si="17"/>
        <v>106.03052551617276</v>
      </c>
      <c r="Y53">
        <f t="shared" ca="1" si="16"/>
        <v>2.3420933945368745</v>
      </c>
      <c r="Z53">
        <f t="shared" ca="1" si="18"/>
        <v>1.824427502400678</v>
      </c>
      <c r="AA53">
        <f t="shared" ca="1" si="19"/>
        <v>0.51766589213619651</v>
      </c>
    </row>
    <row r="54" spans="1:27" x14ac:dyDescent="0.25">
      <c r="A54" s="20">
        <f t="shared" ca="1" si="0"/>
        <v>45369</v>
      </c>
      <c r="B54" vm="155">
        <f ca="1"/>
        <v>45369</v>
      </c>
      <c r="C54" vm="156">
        <f ca="1"/>
        <v>112.3</v>
      </c>
      <c r="D54" vm="157">
        <f ca="1"/>
        <v>16770462</v>
      </c>
      <c r="E54">
        <f t="shared" ca="1" si="1"/>
        <v>1883322882.5999999</v>
      </c>
      <c r="F54">
        <f ca="1">SUM($E$2:E54)/SUM($D$2:D54)</f>
        <v>103.29607650658062</v>
      </c>
      <c r="G54">
        <f ca="1">_xlfn.STDEV.P($C$2:C54)</f>
        <v>3.6932651414121866</v>
      </c>
      <c r="H54">
        <f t="shared" ca="1" si="2"/>
        <v>106.9893416479928</v>
      </c>
      <c r="I54">
        <f t="shared" ca="1" si="3"/>
        <v>99.602811365168435</v>
      </c>
      <c r="J54">
        <f t="shared" ca="1" si="12"/>
        <v>106.6795</v>
      </c>
      <c r="K54">
        <f t="shared" ca="1" si="13"/>
        <v>2.8666548908366853</v>
      </c>
      <c r="L54">
        <f t="shared" ca="1" si="14"/>
        <v>112.41280978167337</v>
      </c>
      <c r="M54">
        <f t="shared" ca="1" si="15"/>
        <v>100.94619021832663</v>
      </c>
      <c r="N54">
        <f t="shared" ca="1" si="4"/>
        <v>1.0300000000000011</v>
      </c>
      <c r="O54">
        <f t="shared" ca="1" si="5"/>
        <v>1.0300000000000011</v>
      </c>
      <c r="P54">
        <f t="shared" ca="1" si="6"/>
        <v>0</v>
      </c>
      <c r="Q54">
        <f t="shared" ca="1" si="10"/>
        <v>0.70233729768027753</v>
      </c>
      <c r="R54">
        <f t="shared" ca="1" si="11"/>
        <v>0.25678322760129763</v>
      </c>
      <c r="S54">
        <f t="shared" ca="1" si="8"/>
        <v>2.735136964516947</v>
      </c>
      <c r="T54">
        <f t="shared" ca="1" si="9"/>
        <v>73.227220059135732</v>
      </c>
      <c r="U54">
        <f>70</f>
        <v>70</v>
      </c>
      <c r="V54">
        <f>30</f>
        <v>30</v>
      </c>
      <c r="W54">
        <f t="shared" ca="1" si="7"/>
        <v>108.83702442803016</v>
      </c>
      <c r="X54">
        <f t="shared" ca="1" si="17"/>
        <v>106.49493103349329</v>
      </c>
      <c r="Y54">
        <f t="shared" ca="1" si="16"/>
        <v>2.5078737015374202</v>
      </c>
      <c r="Z54">
        <f t="shared" ca="1" si="18"/>
        <v>1.9611167422280267</v>
      </c>
      <c r="AA54">
        <f t="shared" ca="1" si="19"/>
        <v>0.5467569593093935</v>
      </c>
    </row>
    <row r="55" spans="1:27" x14ac:dyDescent="0.25">
      <c r="A55" s="20">
        <f t="shared" ca="1" si="0"/>
        <v>45369</v>
      </c>
      <c r="B55" vm="158">
        <f ca="1"/>
        <v>45370</v>
      </c>
      <c r="C55" vm="159">
        <f ca="1"/>
        <v>113.09</v>
      </c>
      <c r="D55" vm="160">
        <f ca="1"/>
        <v>14878756</v>
      </c>
      <c r="E55">
        <f t="shared" ca="1" si="1"/>
        <v>1682638516.04</v>
      </c>
      <c r="F55">
        <f ca="1">SUM($E$2:E55)/SUM($D$2:D55)</f>
        <v>103.43834085079736</v>
      </c>
      <c r="G55">
        <f ca="1">_xlfn.STDEV.P($C$2:C55)</f>
        <v>3.8942608091468474</v>
      </c>
      <c r="H55">
        <f t="shared" ca="1" si="2"/>
        <v>107.3326016599442</v>
      </c>
      <c r="I55">
        <f t="shared" ca="1" si="3"/>
        <v>99.544080041650517</v>
      </c>
      <c r="J55">
        <f t="shared" ca="1" si="12"/>
        <v>107.19650000000001</v>
      </c>
      <c r="K55">
        <f t="shared" ca="1" si="13"/>
        <v>3.047382440200459</v>
      </c>
      <c r="L55">
        <f t="shared" ca="1" si="14"/>
        <v>113.29126488040093</v>
      </c>
      <c r="M55">
        <f t="shared" ca="1" si="15"/>
        <v>101.1017351195991</v>
      </c>
      <c r="N55">
        <f t="shared" ca="1" si="4"/>
        <v>0.79000000000000625</v>
      </c>
      <c r="O55">
        <f t="shared" ca="1" si="5"/>
        <v>0.79000000000000625</v>
      </c>
      <c r="P55">
        <f t="shared" ca="1" si="6"/>
        <v>0</v>
      </c>
      <c r="Q55">
        <f t="shared" ca="1" si="10"/>
        <v>0.70859891927454388</v>
      </c>
      <c r="R55">
        <f t="shared" ca="1" si="11"/>
        <v>0.23844156848691922</v>
      </c>
      <c r="S55">
        <f t="shared" ca="1" si="8"/>
        <v>2.9717927279673018</v>
      </c>
      <c r="T55">
        <f t="shared" ca="1" si="9"/>
        <v>74.822452517259535</v>
      </c>
      <c r="U55">
        <f>70</f>
        <v>70</v>
      </c>
      <c r="V55">
        <f>30</f>
        <v>30</v>
      </c>
      <c r="W55">
        <f t="shared" ca="1" si="7"/>
        <v>109.49132836217936</v>
      </c>
      <c r="X55">
        <f t="shared" ca="1" si="17"/>
        <v>106.98345466064194</v>
      </c>
      <c r="Y55">
        <f t="shared" ca="1" si="16"/>
        <v>2.6012015921898666</v>
      </c>
      <c r="Z55">
        <f t="shared" ca="1" si="18"/>
        <v>2.089133712220395</v>
      </c>
      <c r="AA55">
        <f t="shared" ca="1" si="19"/>
        <v>0.51206787996947156</v>
      </c>
    </row>
    <row r="56" spans="1:27" x14ac:dyDescent="0.25">
      <c r="A56" s="20">
        <f t="shared" ca="1" si="0"/>
        <v>45369</v>
      </c>
      <c r="B56" vm="161">
        <f ca="1"/>
        <v>45371</v>
      </c>
      <c r="C56" vm="162">
        <f ca="1"/>
        <v>112.99</v>
      </c>
      <c r="D56" vm="163">
        <f ca="1"/>
        <v>16119703</v>
      </c>
      <c r="E56">
        <f t="shared" ca="1" si="1"/>
        <v>1821365241.97</v>
      </c>
      <c r="F56">
        <f ca="1">SUM($E$2:E56)/SUM($D$2:D56)</f>
        <v>103.58632908749156</v>
      </c>
      <c r="G56">
        <f ca="1">_xlfn.STDEV.P($C$2:C56)</f>
        <v>4.0665621356750199</v>
      </c>
      <c r="H56">
        <f t="shared" ca="1" si="2"/>
        <v>107.65289122316658</v>
      </c>
      <c r="I56">
        <f t="shared" ca="1" si="3"/>
        <v>99.51976695181655</v>
      </c>
      <c r="J56">
        <f t="shared" ca="1" si="12"/>
        <v>107.60350000000001</v>
      </c>
      <c r="K56">
        <f t="shared" ca="1" si="13"/>
        <v>3.2540651094964432</v>
      </c>
      <c r="L56">
        <f t="shared" ca="1" si="14"/>
        <v>114.1116302189929</v>
      </c>
      <c r="M56">
        <f t="shared" ca="1" si="15"/>
        <v>101.09536978100712</v>
      </c>
      <c r="N56">
        <f t="shared" ca="1" si="4"/>
        <v>-0.10000000000000853</v>
      </c>
      <c r="O56">
        <f t="shared" ca="1" si="5"/>
        <v>0</v>
      </c>
      <c r="P56">
        <f t="shared" ca="1" si="6"/>
        <v>0.10000000000000853</v>
      </c>
      <c r="Q56">
        <f t="shared" ca="1" si="10"/>
        <v>0.65798471075493359</v>
      </c>
      <c r="R56">
        <f t="shared" ca="1" si="11"/>
        <v>0.22855288502356846</v>
      </c>
      <c r="S56">
        <f t="shared" ca="1" si="8"/>
        <v>2.8789166703674818</v>
      </c>
      <c r="T56">
        <f t="shared" ca="1" si="9"/>
        <v>74.219606014241549</v>
      </c>
      <c r="U56">
        <f>70</f>
        <v>70</v>
      </c>
      <c r="V56">
        <f>30</f>
        <v>30</v>
      </c>
      <c r="W56">
        <f t="shared" ca="1" si="7"/>
        <v>110.0295855372287</v>
      </c>
      <c r="X56">
        <f t="shared" ca="1" si="17"/>
        <v>107.42838394503883</v>
      </c>
      <c r="Y56">
        <f t="shared" ca="1" si="16"/>
        <v>2.684564451337053</v>
      </c>
      <c r="Z56">
        <f t="shared" ca="1" si="18"/>
        <v>2.2082198600437266</v>
      </c>
      <c r="AA56">
        <f t="shared" ca="1" si="19"/>
        <v>0.4763445912933264</v>
      </c>
    </row>
    <row r="57" spans="1:27" x14ac:dyDescent="0.25">
      <c r="A57" s="20">
        <f t="shared" ca="1" si="0"/>
        <v>45369</v>
      </c>
      <c r="B57" vm="164">
        <f ca="1"/>
        <v>45372</v>
      </c>
      <c r="C57" vm="165">
        <f ca="1"/>
        <v>113.49</v>
      </c>
      <c r="D57" vm="166">
        <f ca="1"/>
        <v>14878022</v>
      </c>
      <c r="E57">
        <f t="shared" ca="1" si="1"/>
        <v>1688506716.78</v>
      </c>
      <c r="F57">
        <f ca="1">SUM($E$2:E57)/SUM($D$2:D57)</f>
        <v>103.72595509124926</v>
      </c>
      <c r="G57">
        <f ca="1">_xlfn.STDEV.P($C$2:C57)</f>
        <v>4.2392944660819518</v>
      </c>
      <c r="H57">
        <f t="shared" ca="1" si="2"/>
        <v>107.96524955733122</v>
      </c>
      <c r="I57">
        <f t="shared" ca="1" si="3"/>
        <v>99.486660625167303</v>
      </c>
      <c r="J57">
        <f t="shared" ca="1" si="12"/>
        <v>108.03999999999999</v>
      </c>
      <c r="K57">
        <f t="shared" ca="1" si="13"/>
        <v>3.43315567586686</v>
      </c>
      <c r="L57">
        <f t="shared" ca="1" si="14"/>
        <v>114.90631135173371</v>
      </c>
      <c r="M57">
        <f t="shared" ca="1" si="15"/>
        <v>101.17368864826628</v>
      </c>
      <c r="N57">
        <f t="shared" ca="1" si="4"/>
        <v>0.5</v>
      </c>
      <c r="O57">
        <f t="shared" ca="1" si="5"/>
        <v>0.5</v>
      </c>
      <c r="P57">
        <f t="shared" ca="1" si="6"/>
        <v>0</v>
      </c>
      <c r="Q57">
        <f t="shared" ca="1" si="10"/>
        <v>0.64670008855815264</v>
      </c>
      <c r="R57">
        <f t="shared" ca="1" si="11"/>
        <v>0.21222767895045644</v>
      </c>
      <c r="S57">
        <f t="shared" ca="1" si="8"/>
        <v>3.0471995535941461</v>
      </c>
      <c r="T57">
        <f t="shared" ca="1" si="9"/>
        <v>75.291556871418834</v>
      </c>
      <c r="U57">
        <f>70</f>
        <v>70</v>
      </c>
      <c r="V57">
        <f>30</f>
        <v>30</v>
      </c>
      <c r="W57">
        <f t="shared" ca="1" si="7"/>
        <v>110.56195699303967</v>
      </c>
      <c r="X57">
        <f t="shared" ca="1" si="17"/>
        <v>107.87739254170262</v>
      </c>
      <c r="Y57">
        <f t="shared" ca="1" si="16"/>
        <v>2.7192839056394007</v>
      </c>
      <c r="Z57">
        <f t="shared" ca="1" si="18"/>
        <v>2.3104326691628616</v>
      </c>
      <c r="AA57">
        <f t="shared" ca="1" si="19"/>
        <v>0.40885123647653909</v>
      </c>
    </row>
    <row r="58" spans="1:27" x14ac:dyDescent="0.25">
      <c r="A58" s="20">
        <f t="shared" ca="1" si="0"/>
        <v>45369</v>
      </c>
      <c r="B58" vm="167">
        <f ca="1"/>
        <v>45373</v>
      </c>
      <c r="C58" vm="165">
        <f ca="1"/>
        <v>113.49</v>
      </c>
      <c r="D58" vm="168">
        <f ca="1"/>
        <v>14701933</v>
      </c>
      <c r="E58">
        <f t="shared" ca="1" si="1"/>
        <v>1668522376.1699998</v>
      </c>
      <c r="F58">
        <f ca="1">SUM($E$2:E58)/SUM($D$2:D58)</f>
        <v>103.86011429825687</v>
      </c>
      <c r="G58">
        <f ca="1">_xlfn.STDEV.P($C$2:C58)</f>
        <v>4.3927589273885772</v>
      </c>
      <c r="H58">
        <f t="shared" ca="1" si="2"/>
        <v>108.25287322564546</v>
      </c>
      <c r="I58">
        <f t="shared" ca="1" si="3"/>
        <v>99.46735537086829</v>
      </c>
      <c r="J58">
        <f t="shared" ca="1" si="12"/>
        <v>108.52249999999997</v>
      </c>
      <c r="K58">
        <f t="shared" ca="1" si="13"/>
        <v>3.4894651603452287</v>
      </c>
      <c r="L58">
        <f t="shared" ca="1" si="14"/>
        <v>115.50143032069042</v>
      </c>
      <c r="M58">
        <f t="shared" ca="1" si="15"/>
        <v>101.54356967930951</v>
      </c>
      <c r="N58">
        <f t="shared" ca="1" si="4"/>
        <v>0</v>
      </c>
      <c r="O58">
        <f t="shared" ca="1" si="5"/>
        <v>0</v>
      </c>
      <c r="P58">
        <f t="shared" ca="1" si="6"/>
        <v>0</v>
      </c>
      <c r="Q58">
        <f t="shared" ca="1" si="10"/>
        <v>0.60050722508971321</v>
      </c>
      <c r="R58">
        <f t="shared" ca="1" si="11"/>
        <v>0.19706855902542383</v>
      </c>
      <c r="S58">
        <f t="shared" ca="1" si="8"/>
        <v>3.0471995535941465</v>
      </c>
      <c r="T58">
        <f t="shared" ca="1" si="9"/>
        <v>75.291556871418848</v>
      </c>
      <c r="U58">
        <f>70</f>
        <v>70</v>
      </c>
      <c r="V58">
        <f>30</f>
        <v>30</v>
      </c>
      <c r="W58">
        <f t="shared" ca="1" si="7"/>
        <v>111.01242514795663</v>
      </c>
      <c r="X58">
        <f t="shared" ca="1" si="17"/>
        <v>108.29314124231723</v>
      </c>
      <c r="Y58">
        <f t="shared" ca="1" si="16"/>
        <v>2.8080323794587514</v>
      </c>
      <c r="Z58">
        <f t="shared" ca="1" si="18"/>
        <v>2.4099526112220397</v>
      </c>
      <c r="AA58">
        <f t="shared" ca="1" si="19"/>
        <v>0.39807976823671165</v>
      </c>
    </row>
    <row r="59" spans="1:27" x14ac:dyDescent="0.25">
      <c r="A59" s="20">
        <f t="shared" ca="1" si="0"/>
        <v>45376</v>
      </c>
      <c r="B59" vm="169">
        <f ca="1"/>
        <v>45376</v>
      </c>
      <c r="C59" vm="170">
        <f ca="1"/>
        <v>114.65</v>
      </c>
      <c r="D59" vm="171">
        <f ca="1"/>
        <v>14011734</v>
      </c>
      <c r="E59">
        <f t="shared" ca="1" si="1"/>
        <v>1606445303.1000001</v>
      </c>
      <c r="F59">
        <f ca="1">SUM($E$2:E59)/SUM($D$2:D59)</f>
        <v>103.99958237017175</v>
      </c>
      <c r="G59">
        <f ca="1">_xlfn.STDEV.P($C$2:C59)</f>
        <v>4.5737634307354522</v>
      </c>
      <c r="H59">
        <f t="shared" ca="1" si="2"/>
        <v>108.57334580090721</v>
      </c>
      <c r="I59">
        <f t="shared" ca="1" si="3"/>
        <v>99.425818939436297</v>
      </c>
      <c r="J59">
        <f t="shared" ca="1" si="12"/>
        <v>109.04249999999999</v>
      </c>
      <c r="K59">
        <f t="shared" ca="1" si="13"/>
        <v>3.5926458143502567</v>
      </c>
      <c r="L59">
        <f t="shared" ca="1" si="14"/>
        <v>116.2277916287005</v>
      </c>
      <c r="M59">
        <f t="shared" ca="1" si="15"/>
        <v>101.85720837129948</v>
      </c>
      <c r="N59">
        <f t="shared" ca="1" si="4"/>
        <v>1.1600000000000108</v>
      </c>
      <c r="O59">
        <f t="shared" ca="1" si="5"/>
        <v>1.1600000000000108</v>
      </c>
      <c r="P59">
        <f t="shared" ca="1" si="6"/>
        <v>0</v>
      </c>
      <c r="Q59">
        <f t="shared" ca="1" si="10"/>
        <v>0.64047099472616309</v>
      </c>
      <c r="R59">
        <f t="shared" ca="1" si="11"/>
        <v>0.18299223338075071</v>
      </c>
      <c r="S59">
        <f t="shared" ca="1" si="8"/>
        <v>3.4999900427114814</v>
      </c>
      <c r="T59">
        <f t="shared" ca="1" si="9"/>
        <v>77.777728605873818</v>
      </c>
      <c r="U59">
        <f>70</f>
        <v>70</v>
      </c>
      <c r="V59">
        <f>30</f>
        <v>30</v>
      </c>
      <c r="W59">
        <f t="shared" ca="1" si="7"/>
        <v>111.572052048271</v>
      </c>
      <c r="X59">
        <f t="shared" ca="1" si="17"/>
        <v>108.76401966881225</v>
      </c>
      <c r="Y59">
        <f t="shared" ca="1" si="16"/>
        <v>2.7769603019159632</v>
      </c>
      <c r="Z59">
        <f t="shared" ca="1" si="18"/>
        <v>2.4833541493608244</v>
      </c>
      <c r="AA59">
        <f t="shared" ca="1" si="19"/>
        <v>0.29360615255513878</v>
      </c>
    </row>
    <row r="60" spans="1:27" x14ac:dyDescent="0.25">
      <c r="A60" s="20">
        <f t="shared" ca="1" si="0"/>
        <v>45376</v>
      </c>
      <c r="B60" vm="172">
        <f ca="1"/>
        <v>45377</v>
      </c>
      <c r="C60" vm="173">
        <f ca="1"/>
        <v>113.79</v>
      </c>
      <c r="D60" vm="174">
        <f ca="1"/>
        <v>13152287</v>
      </c>
      <c r="E60">
        <f t="shared" ca="1" si="1"/>
        <v>1496598737.73</v>
      </c>
      <c r="F60">
        <f ca="1">SUM($E$2:E60)/SUM($D$2:D60)</f>
        <v>104.11694531254857</v>
      </c>
      <c r="G60">
        <f ca="1">_xlfn.STDEV.P($C$2:C60)</f>
        <v>4.7044500744219935</v>
      </c>
      <c r="H60">
        <f t="shared" ca="1" si="2"/>
        <v>108.82139538697056</v>
      </c>
      <c r="I60">
        <f t="shared" ca="1" si="3"/>
        <v>99.412495238126567</v>
      </c>
      <c r="J60">
        <f t="shared" ca="1" si="12"/>
        <v>109.53049999999999</v>
      </c>
      <c r="K60">
        <f t="shared" ca="1" si="13"/>
        <v>3.5384035576573387</v>
      </c>
      <c r="L60">
        <f t="shared" ca="1" si="14"/>
        <v>116.60730711531467</v>
      </c>
      <c r="M60">
        <f t="shared" ca="1" si="15"/>
        <v>102.45369288468531</v>
      </c>
      <c r="N60">
        <f t="shared" ca="1" si="4"/>
        <v>-0.85999999999999943</v>
      </c>
      <c r="O60">
        <f t="shared" ca="1" si="5"/>
        <v>0</v>
      </c>
      <c r="P60">
        <f t="shared" ca="1" si="6"/>
        <v>0.85999999999999943</v>
      </c>
      <c r="Q60">
        <f t="shared" ca="1" si="10"/>
        <v>0.59472306653143714</v>
      </c>
      <c r="R60">
        <f t="shared" ca="1" si="11"/>
        <v>0.23134993099641132</v>
      </c>
      <c r="S60">
        <f t="shared" ca="1" si="8"/>
        <v>2.5706645511844237</v>
      </c>
      <c r="T60">
        <f t="shared" ca="1" si="9"/>
        <v>71.994008799614335</v>
      </c>
      <c r="U60">
        <f>70</f>
        <v>70</v>
      </c>
      <c r="V60">
        <f>30</f>
        <v>30</v>
      </c>
      <c r="W60">
        <f t="shared" ca="1" si="7"/>
        <v>111.91327481007546</v>
      </c>
      <c r="X60">
        <f t="shared" ca="1" si="17"/>
        <v>109.1363145081595</v>
      </c>
      <c r="Y60">
        <f t="shared" ca="1" si="16"/>
        <v>2.8151008645030799</v>
      </c>
      <c r="Z60">
        <f t="shared" ca="1" si="18"/>
        <v>2.5497034923892756</v>
      </c>
      <c r="AA60">
        <f t="shared" ca="1" si="19"/>
        <v>0.26539737211380432</v>
      </c>
    </row>
    <row r="61" spans="1:27" x14ac:dyDescent="0.25">
      <c r="A61" s="20">
        <f t="shared" ca="1" si="0"/>
        <v>45376</v>
      </c>
      <c r="B61" vm="175">
        <f ca="1"/>
        <v>45378</v>
      </c>
      <c r="C61" vm="176">
        <f ca="1"/>
        <v>114.97</v>
      </c>
      <c r="D61" vm="177">
        <f ca="1"/>
        <v>12415674</v>
      </c>
      <c r="E61">
        <f t="shared" ca="1" si="1"/>
        <v>1427430039.78</v>
      </c>
      <c r="F61">
        <f ca="1">SUM($E$2:E61)/SUM($D$2:D61)</f>
        <v>104.2383858952287</v>
      </c>
      <c r="G61">
        <f ca="1">_xlfn.STDEV.P($C$2:C61)</f>
        <v>4.8625269465120251</v>
      </c>
      <c r="H61">
        <f t="shared" ca="1" si="2"/>
        <v>109.10091284174072</v>
      </c>
      <c r="I61">
        <f t="shared" ca="1" si="3"/>
        <v>99.375858948716683</v>
      </c>
      <c r="J61">
        <f t="shared" ca="1" si="12"/>
        <v>110.06299999999999</v>
      </c>
      <c r="K61">
        <f t="shared" ca="1" si="13"/>
        <v>3.514282288035496</v>
      </c>
      <c r="L61">
        <f t="shared" ca="1" si="14"/>
        <v>117.09156457607098</v>
      </c>
      <c r="M61">
        <f t="shared" ca="1" si="15"/>
        <v>103.034435423929</v>
      </c>
      <c r="N61">
        <f t="shared" ca="1" si="4"/>
        <v>1.1799999999999926</v>
      </c>
      <c r="O61">
        <f t="shared" ca="1" si="5"/>
        <v>1.1799999999999926</v>
      </c>
      <c r="P61">
        <f t="shared" ca="1" si="6"/>
        <v>0</v>
      </c>
      <c r="Q61">
        <f t="shared" ca="1" si="10"/>
        <v>0.63652856177919115</v>
      </c>
      <c r="R61">
        <f t="shared" ca="1" si="11"/>
        <v>0.21482493592523907</v>
      </c>
      <c r="S61">
        <f t="shared" ca="1" si="8"/>
        <v>2.9630105976184655</v>
      </c>
      <c r="T61">
        <f t="shared" ca="1" si="9"/>
        <v>74.766658443938027</v>
      </c>
      <c r="U61">
        <f>70</f>
        <v>70</v>
      </c>
      <c r="V61">
        <f>30</f>
        <v>30</v>
      </c>
      <c r="W61">
        <f t="shared" ca="1" si="7"/>
        <v>112.38354022391002</v>
      </c>
      <c r="X61">
        <f t="shared" ca="1" si="17"/>
        <v>109.56843935940694</v>
      </c>
      <c r="Y61">
        <f t="shared" ca="1" si="16"/>
        <v>2.9142126914359778</v>
      </c>
      <c r="Z61">
        <f t="shared" ca="1" si="18"/>
        <v>2.6226053321986162</v>
      </c>
      <c r="AA61">
        <f t="shared" ca="1" si="19"/>
        <v>0.29160735923736159</v>
      </c>
    </row>
    <row r="62" spans="1:27" x14ac:dyDescent="0.25">
      <c r="A62" s="20">
        <f t="shared" ca="1" si="0"/>
        <v>45376</v>
      </c>
      <c r="B62" vm="178">
        <f ca="1"/>
        <v>45379</v>
      </c>
      <c r="C62" vm="179">
        <f ca="1"/>
        <v>116.24</v>
      </c>
      <c r="D62" vm="180">
        <f ca="1"/>
        <v>18482055</v>
      </c>
      <c r="E62">
        <f t="shared" ca="1" si="1"/>
        <v>2148354073.1999998</v>
      </c>
      <c r="F62">
        <f ca="1">SUM($E$2:E62)/SUM($D$2:D62)</f>
        <v>104.43501920677879</v>
      </c>
      <c r="G62">
        <f ca="1">_xlfn.STDEV.P($C$2:C62)</f>
        <v>5.0501216282473216</v>
      </c>
      <c r="H62">
        <f t="shared" ca="1" si="2"/>
        <v>109.48514083502612</v>
      </c>
      <c r="I62">
        <f t="shared" ca="1" si="3"/>
        <v>99.384897578531465</v>
      </c>
      <c r="J62">
        <f t="shared" ca="1" si="12"/>
        <v>110.64899999999997</v>
      </c>
      <c r="K62">
        <f t="shared" ca="1" si="13"/>
        <v>3.518492350574693</v>
      </c>
      <c r="L62">
        <f t="shared" ca="1" si="14"/>
        <v>117.68598470114935</v>
      </c>
      <c r="M62">
        <f t="shared" ca="1" si="15"/>
        <v>103.61201529885059</v>
      </c>
      <c r="N62">
        <f t="shared" ca="1" si="4"/>
        <v>1.269999999999996</v>
      </c>
      <c r="O62">
        <f t="shared" ca="1" si="5"/>
        <v>1.269999999999996</v>
      </c>
      <c r="P62">
        <f t="shared" ca="1" si="6"/>
        <v>0</v>
      </c>
      <c r="Q62">
        <f t="shared" ca="1" si="10"/>
        <v>0.68177652165210578</v>
      </c>
      <c r="R62">
        <f t="shared" ca="1" si="11"/>
        <v>0.19948029764486486</v>
      </c>
      <c r="S62">
        <f t="shared" ca="1" si="8"/>
        <v>3.417763707500947</v>
      </c>
      <c r="T62">
        <f t="shared" ca="1" si="9"/>
        <v>77.364113017133661</v>
      </c>
      <c r="U62">
        <f>70</f>
        <v>70</v>
      </c>
      <c r="V62">
        <f>30</f>
        <v>30</v>
      </c>
      <c r="W62">
        <f t="shared" ca="1" si="7"/>
        <v>112.97684172792387</v>
      </c>
      <c r="X62">
        <f t="shared" ca="1" si="17"/>
        <v>110.06262903648789</v>
      </c>
      <c r="Y62">
        <f t="shared" ca="1" si="16"/>
        <v>3.0184830664809823</v>
      </c>
      <c r="Z62">
        <f t="shared" ca="1" si="18"/>
        <v>2.7017808790550895</v>
      </c>
      <c r="AA62">
        <f t="shared" ca="1" si="19"/>
        <v>0.31670218742589284</v>
      </c>
    </row>
    <row r="63" spans="1:27" x14ac:dyDescent="0.25">
      <c r="A63" s="20">
        <f t="shared" ca="1" si="0"/>
        <v>45383</v>
      </c>
      <c r="B63" vm="181">
        <f ca="1"/>
        <v>45383</v>
      </c>
      <c r="C63" vm="182">
        <f ca="1"/>
        <v>116.99</v>
      </c>
      <c r="D63" vm="183">
        <f ca="1"/>
        <v>13816996</v>
      </c>
      <c r="E63">
        <f t="shared" ca="1" si="1"/>
        <v>1616450362.04</v>
      </c>
      <c r="F63">
        <f ca="1">SUM($E$2:E63)/SUM($D$2:D63)</f>
        <v>104.58693738526931</v>
      </c>
      <c r="G63">
        <f ca="1">_xlfn.STDEV.P($C$2:C63)</f>
        <v>5.245693908203565</v>
      </c>
      <c r="H63">
        <f t="shared" ca="1" si="2"/>
        <v>109.83263129347287</v>
      </c>
      <c r="I63">
        <f t="shared" ca="1" si="3"/>
        <v>99.341243477065746</v>
      </c>
      <c r="J63">
        <f t="shared" ca="1" si="12"/>
        <v>111.20649999999998</v>
      </c>
      <c r="K63">
        <f t="shared" ca="1" si="13"/>
        <v>3.5988423211682359</v>
      </c>
      <c r="L63">
        <f t="shared" ca="1" si="14"/>
        <v>118.40418464233645</v>
      </c>
      <c r="M63">
        <f t="shared" ca="1" si="15"/>
        <v>104.00881535766351</v>
      </c>
      <c r="N63">
        <f t="shared" ca="1" si="4"/>
        <v>0.75</v>
      </c>
      <c r="O63">
        <f t="shared" ca="1" si="5"/>
        <v>0.75</v>
      </c>
      <c r="P63">
        <f t="shared" ca="1" si="6"/>
        <v>0</v>
      </c>
      <c r="Q63">
        <f t="shared" ca="1" si="10"/>
        <v>0.68664962724838396</v>
      </c>
      <c r="R63">
        <f t="shared" ca="1" si="11"/>
        <v>0.18523170495594593</v>
      </c>
      <c r="S63">
        <f t="shared" ca="1" si="8"/>
        <v>3.706976769509795</v>
      </c>
      <c r="T63">
        <f t="shared" ca="1" si="9"/>
        <v>78.754940825761835</v>
      </c>
      <c r="U63">
        <f>70</f>
        <v>70</v>
      </c>
      <c r="V63">
        <f>30</f>
        <v>30</v>
      </c>
      <c r="W63">
        <f t="shared" ca="1" si="7"/>
        <v>113.59425069285867</v>
      </c>
      <c r="X63">
        <f t="shared" ca="1" si="17"/>
        <v>110.57576762637768</v>
      </c>
      <c r="Y63">
        <f t="shared" ca="1" si="16"/>
        <v>3.2484557755164616</v>
      </c>
      <c r="Z63">
        <f t="shared" ca="1" si="18"/>
        <v>2.8111158583473639</v>
      </c>
      <c r="AA63">
        <f t="shared" ca="1" si="19"/>
        <v>0.4373399171690977</v>
      </c>
    </row>
    <row r="64" spans="1:27" x14ac:dyDescent="0.25">
      <c r="A64" s="20">
        <f t="shared" ca="1" si="0"/>
        <v>45383</v>
      </c>
      <c r="B64" vm="184">
        <f ca="1"/>
        <v>45384</v>
      </c>
      <c r="C64" vm="185">
        <f ca="1"/>
        <v>119.28</v>
      </c>
      <c r="D64" vm="186">
        <f ca="1"/>
        <v>19919643</v>
      </c>
      <c r="E64">
        <f t="shared" ca="1" si="1"/>
        <v>2376015017.04</v>
      </c>
      <c r="F64">
        <f ca="1">SUM($E$2:E64)/SUM($D$2:D64)</f>
        <v>104.83885768175348</v>
      </c>
      <c r="G64">
        <f ca="1">_xlfn.STDEV.P($C$2:C64)</f>
        <v>5.5084715215204083</v>
      </c>
      <c r="H64">
        <f t="shared" ca="1" si="2"/>
        <v>110.34732920327389</v>
      </c>
      <c r="I64">
        <f t="shared" ca="1" si="3"/>
        <v>99.330386160233076</v>
      </c>
      <c r="J64">
        <f t="shared" ca="1" si="12"/>
        <v>111.95250000000001</v>
      </c>
      <c r="K64">
        <f t="shared" ca="1" si="13"/>
        <v>3.6509420197503748</v>
      </c>
      <c r="L64">
        <f t="shared" ca="1" si="14"/>
        <v>119.25438403950076</v>
      </c>
      <c r="M64">
        <f t="shared" ca="1" si="15"/>
        <v>104.65061596049927</v>
      </c>
      <c r="N64">
        <f t="shared" ca="1" si="4"/>
        <v>2.2900000000000063</v>
      </c>
      <c r="O64">
        <f t="shared" ca="1" si="5"/>
        <v>2.2900000000000063</v>
      </c>
      <c r="P64">
        <f t="shared" ca="1" si="6"/>
        <v>0</v>
      </c>
      <c r="Q64">
        <f t="shared" ca="1" si="10"/>
        <v>0.80117465387349984</v>
      </c>
      <c r="R64">
        <f t="shared" ca="1" si="11"/>
        <v>0.17200086888766405</v>
      </c>
      <c r="S64">
        <f t="shared" ca="1" si="8"/>
        <v>4.6579686431511993</v>
      </c>
      <c r="T64">
        <f t="shared" ca="1" si="9"/>
        <v>82.325812264610732</v>
      </c>
      <c r="U64">
        <f>70</f>
        <v>70</v>
      </c>
      <c r="V64">
        <f>30</f>
        <v>30</v>
      </c>
      <c r="W64">
        <f t="shared" ca="1" si="7"/>
        <v>114.4689813554958</v>
      </c>
      <c r="X64">
        <f t="shared" ca="1" si="17"/>
        <v>111.22052557997934</v>
      </c>
      <c r="Y64">
        <f t="shared" ca="1" si="16"/>
        <v>3.3932098264643145</v>
      </c>
      <c r="Z64">
        <f t="shared" ca="1" si="18"/>
        <v>2.9275346519707539</v>
      </c>
      <c r="AA64">
        <f t="shared" ca="1" si="19"/>
        <v>0.46567517449356055</v>
      </c>
    </row>
    <row r="65" spans="1:27" x14ac:dyDescent="0.25">
      <c r="A65" s="20">
        <f t="shared" ca="1" si="0"/>
        <v>45383</v>
      </c>
      <c r="B65" vm="187">
        <f ca="1"/>
        <v>45385</v>
      </c>
      <c r="C65" vm="188">
        <f ca="1"/>
        <v>119.3</v>
      </c>
      <c r="D65" vm="189">
        <f ca="1"/>
        <v>16504307</v>
      </c>
      <c r="E65">
        <f t="shared" ca="1" si="1"/>
        <v>1968963825.0999999</v>
      </c>
      <c r="F65">
        <f ca="1">SUM($E$2:E65)/SUM($D$2:D65)</f>
        <v>105.04141272939397</v>
      </c>
      <c r="G65">
        <f ca="1">_xlfn.STDEV.P($C$2:C65)</f>
        <v>5.7436304309507715</v>
      </c>
      <c r="H65">
        <f t="shared" ca="1" si="2"/>
        <v>110.78504316034474</v>
      </c>
      <c r="I65">
        <f t="shared" ca="1" si="3"/>
        <v>99.297782298443195</v>
      </c>
      <c r="J65">
        <f t="shared" ca="1" si="12"/>
        <v>112.63550000000001</v>
      </c>
      <c r="K65">
        <f t="shared" ca="1" si="13"/>
        <v>3.6854371660989096</v>
      </c>
      <c r="L65">
        <f t="shared" ca="1" si="14"/>
        <v>120.00637433219782</v>
      </c>
      <c r="M65">
        <f t="shared" ca="1" si="15"/>
        <v>105.26462566780219</v>
      </c>
      <c r="N65">
        <f t="shared" ca="1" si="4"/>
        <v>1.9999999999996021E-2</v>
      </c>
      <c r="O65">
        <f t="shared" ca="1" si="5"/>
        <v>1.9999999999996021E-2</v>
      </c>
      <c r="P65">
        <f t="shared" ca="1" si="6"/>
        <v>0</v>
      </c>
      <c r="Q65">
        <f t="shared" ca="1" si="10"/>
        <v>0.7453764643111066</v>
      </c>
      <c r="R65">
        <f t="shared" ca="1" si="11"/>
        <v>0.15971509253854518</v>
      </c>
      <c r="S65">
        <f t="shared" ca="1" si="8"/>
        <v>4.666913141794784</v>
      </c>
      <c r="T65">
        <f t="shared" ca="1" si="9"/>
        <v>82.353708712689269</v>
      </c>
      <c r="U65">
        <f>70</f>
        <v>70</v>
      </c>
      <c r="V65">
        <f>30</f>
        <v>30</v>
      </c>
      <c r="W65">
        <f t="shared" ca="1" si="7"/>
        <v>115.21221499311184</v>
      </c>
      <c r="X65">
        <f t="shared" ca="1" si="17"/>
        <v>111.81900516664753</v>
      </c>
      <c r="Y65">
        <f t="shared" ca="1" si="16"/>
        <v>3.5014563355947956</v>
      </c>
      <c r="Z65">
        <f t="shared" ca="1" si="18"/>
        <v>3.0423189886955626</v>
      </c>
      <c r="AA65">
        <f t="shared" ca="1" si="19"/>
        <v>0.45913734689923302</v>
      </c>
    </row>
    <row r="66" spans="1:27" x14ac:dyDescent="0.25">
      <c r="A66" s="20">
        <f t="shared" ca="1" si="0"/>
        <v>45383</v>
      </c>
      <c r="B66" vm="190">
        <f ca="1"/>
        <v>45386</v>
      </c>
      <c r="C66" vm="191">
        <f ca="1"/>
        <v>119.72</v>
      </c>
      <c r="D66" vm="192">
        <f ca="1"/>
        <v>18467362</v>
      </c>
      <c r="E66">
        <f t="shared" ca="1" si="1"/>
        <v>2210912578.6399999</v>
      </c>
      <c r="F66">
        <f ca="1">SUM($E$2:E66)/SUM($D$2:D66)</f>
        <v>105.26791807384885</v>
      </c>
      <c r="G66">
        <f ca="1">_xlfn.STDEV.P($C$2:C66)</f>
        <v>5.9699622192613822</v>
      </c>
      <c r="H66">
        <f t="shared" ca="1" si="2"/>
        <v>111.23788029311022</v>
      </c>
      <c r="I66">
        <f t="shared" ca="1" si="3"/>
        <v>99.297955854587471</v>
      </c>
      <c r="J66">
        <f t="shared" ca="1" si="12"/>
        <v>113.28299999999999</v>
      </c>
      <c r="K66">
        <f t="shared" ca="1" si="13"/>
        <v>3.7379097733471593</v>
      </c>
      <c r="L66">
        <f t="shared" ca="1" si="14"/>
        <v>120.75881954669431</v>
      </c>
      <c r="M66">
        <f t="shared" ca="1" si="15"/>
        <v>105.80718045330566</v>
      </c>
      <c r="N66">
        <f t="shared" ca="1" si="4"/>
        <v>0.42000000000000171</v>
      </c>
      <c r="O66">
        <f t="shared" ca="1" si="5"/>
        <v>0.42000000000000171</v>
      </c>
      <c r="P66">
        <f t="shared" ca="1" si="6"/>
        <v>0</v>
      </c>
      <c r="Q66">
        <f t="shared" ca="1" si="10"/>
        <v>0.72213528828888485</v>
      </c>
      <c r="R66">
        <f t="shared" ca="1" si="11"/>
        <v>0.1483068716429348</v>
      </c>
      <c r="S66">
        <f t="shared" ca="1" si="8"/>
        <v>4.8691964188112973</v>
      </c>
      <c r="T66">
        <f t="shared" ca="1" si="9"/>
        <v>82.961892418612692</v>
      </c>
      <c r="U66">
        <f>70</f>
        <v>70</v>
      </c>
      <c r="V66">
        <f>30</f>
        <v>30</v>
      </c>
      <c r="W66">
        <f t="shared" ca="1" si="7"/>
        <v>115.90572037878695</v>
      </c>
      <c r="X66">
        <f t="shared" ca="1" si="17"/>
        <v>112.40426404319216</v>
      </c>
      <c r="Y66">
        <f t="shared" ca="1" si="16"/>
        <v>3.6779861494651698</v>
      </c>
      <c r="Z66">
        <f t="shared" ca="1" si="18"/>
        <v>3.1694524208494839</v>
      </c>
      <c r="AA66">
        <f t="shared" ca="1" si="19"/>
        <v>0.50853372861568591</v>
      </c>
    </row>
    <row r="67" spans="1:27" x14ac:dyDescent="0.25">
      <c r="A67" s="20">
        <f t="shared" ref="A67:A130" ca="1" si="20">B67 - WEEKDAY(B67, 2) + 1</f>
        <v>45383</v>
      </c>
      <c r="B67" vm="193">
        <f ca="1"/>
        <v>45387</v>
      </c>
      <c r="C67" vm="194">
        <f ca="1"/>
        <v>121.37</v>
      </c>
      <c r="D67" vm="195">
        <f ca="1"/>
        <v>21720591</v>
      </c>
      <c r="E67">
        <f t="shared" ref="E67:E130" ca="1" si="21">C67*D67</f>
        <v>2636228129.6700001</v>
      </c>
      <c r="F67">
        <f ca="1">SUM($E$2:E67)/SUM($D$2:D67)</f>
        <v>105.5549508659082</v>
      </c>
      <c r="G67">
        <f ca="1">_xlfn.STDEV.P($C$2:C67)</f>
        <v>6.2335995232713604</v>
      </c>
      <c r="H67">
        <f t="shared" ref="H67:H130" ca="1" si="22">F67 + G67</f>
        <v>111.78855038917956</v>
      </c>
      <c r="I67">
        <f t="shared" ref="I67:I130" ca="1" si="23">F67 - G67</f>
        <v>99.321351342636831</v>
      </c>
      <c r="J67">
        <f t="shared" ca="1" si="12"/>
        <v>113.98299999999999</v>
      </c>
      <c r="K67">
        <f t="shared" ca="1" si="13"/>
        <v>3.8804735196676856</v>
      </c>
      <c r="L67">
        <f t="shared" ca="1" si="14"/>
        <v>121.74394703933537</v>
      </c>
      <c r="M67">
        <f t="shared" ca="1" si="15"/>
        <v>106.22205296066461</v>
      </c>
      <c r="N67">
        <f t="shared" ca="1" si="4"/>
        <v>1.6500000000000057</v>
      </c>
      <c r="O67">
        <f t="shared" ca="1" si="5"/>
        <v>1.6500000000000057</v>
      </c>
      <c r="P67">
        <f t="shared" ca="1" si="6"/>
        <v>0</v>
      </c>
      <c r="Q67">
        <f t="shared" ca="1" si="10"/>
        <v>0.78841133912539352</v>
      </c>
      <c r="R67">
        <f t="shared" ca="1" si="11"/>
        <v>0.13771352366843945</v>
      </c>
      <c r="S67">
        <f t="shared" ca="1" si="8"/>
        <v>5.7250102831119269</v>
      </c>
      <c r="T67">
        <f t="shared" ca="1" si="9"/>
        <v>85.130134261486063</v>
      </c>
      <c r="U67">
        <f>70</f>
        <v>70</v>
      </c>
      <c r="V67">
        <f>30</f>
        <v>30</v>
      </c>
      <c r="W67">
        <f t="shared" ca="1" si="7"/>
        <v>116.7463787820505</v>
      </c>
      <c r="X67">
        <f t="shared" ca="1" si="17"/>
        <v>113.06839263258533</v>
      </c>
      <c r="Y67">
        <f t="shared" ca="1" si="16"/>
        <v>3.7089655062073064</v>
      </c>
      <c r="Z67">
        <f t="shared" ca="1" si="18"/>
        <v>3.2773550379210485</v>
      </c>
      <c r="AA67">
        <f t="shared" ca="1" si="19"/>
        <v>0.43161046828625782</v>
      </c>
    </row>
    <row r="68" spans="1:27" x14ac:dyDescent="0.25">
      <c r="A68" s="20">
        <f t="shared" ca="1" si="20"/>
        <v>45390</v>
      </c>
      <c r="B68" vm="196">
        <f ca="1"/>
        <v>45390</v>
      </c>
      <c r="C68" vm="197">
        <f ca="1"/>
        <v>120.55</v>
      </c>
      <c r="D68" vm="198">
        <f ca="1"/>
        <v>17513939</v>
      </c>
      <c r="E68">
        <f t="shared" ca="1" si="21"/>
        <v>2111305346.45</v>
      </c>
      <c r="F68">
        <f ca="1">SUM($E$2:E68)/SUM($D$2:D68)</f>
        <v>105.76742774990053</v>
      </c>
      <c r="G68">
        <f ca="1">_xlfn.STDEV.P($C$2:C68)</f>
        <v>6.4421750262496689</v>
      </c>
      <c r="H68">
        <f t="shared" ca="1" si="22"/>
        <v>112.20960277615021</v>
      </c>
      <c r="I68">
        <f t="shared" ca="1" si="23"/>
        <v>99.325252723650863</v>
      </c>
      <c r="J68">
        <f t="shared" ca="1" si="12"/>
        <v>114.5915</v>
      </c>
      <c r="K68">
        <f t="shared" ca="1" si="13"/>
        <v>3.9097035491332672</v>
      </c>
      <c r="L68">
        <f t="shared" ca="1" si="14"/>
        <v>122.41090709826653</v>
      </c>
      <c r="M68">
        <f t="shared" ca="1" si="15"/>
        <v>106.77209290173346</v>
      </c>
      <c r="N68">
        <f t="shared" ref="N68:N131" ca="1" si="24">C68-C67</f>
        <v>-0.82000000000000739</v>
      </c>
      <c r="O68">
        <f t="shared" ref="O68:O131" ca="1" si="25">MAX(N68,0)</f>
        <v>0</v>
      </c>
      <c r="P68">
        <f t="shared" ref="P68:P131" ca="1" si="26">MAX(-N68,0)</f>
        <v>0.82000000000000739</v>
      </c>
      <c r="Q68">
        <f t="shared" ca="1" si="10"/>
        <v>0.7320962434735796</v>
      </c>
      <c r="R68">
        <f t="shared" ca="1" si="11"/>
        <v>0.18644827197783714</v>
      </c>
      <c r="S68">
        <f t="shared" ca="1" si="8"/>
        <v>3.926538099321204</v>
      </c>
      <c r="T68">
        <f t="shared" ca="1" si="9"/>
        <v>79.701770699027307</v>
      </c>
      <c r="U68">
        <f>70</f>
        <v>70</v>
      </c>
      <c r="V68">
        <f>30</f>
        <v>30</v>
      </c>
      <c r="W68">
        <f t="shared" ca="1" si="7"/>
        <v>117.33155127711964</v>
      </c>
      <c r="X68">
        <f t="shared" ca="1" si="17"/>
        <v>113.62258577091234</v>
      </c>
      <c r="Y68">
        <f t="shared" ca="1" si="16"/>
        <v>3.7412260790826934</v>
      </c>
      <c r="Z68">
        <f t="shared" ca="1" si="18"/>
        <v>3.3701292461533776</v>
      </c>
      <c r="AA68">
        <f t="shared" ca="1" si="19"/>
        <v>0.37109683292931583</v>
      </c>
    </row>
    <row r="69" spans="1:27" x14ac:dyDescent="0.25">
      <c r="A69" s="20">
        <f t="shared" ca="1" si="20"/>
        <v>45390</v>
      </c>
      <c r="B69" vm="199">
        <f ca="1"/>
        <v>45391</v>
      </c>
      <c r="C69" vm="200">
        <f ca="1"/>
        <v>121.18</v>
      </c>
      <c r="D69" vm="201">
        <f ca="1"/>
        <v>14135720</v>
      </c>
      <c r="E69">
        <f t="shared" ca="1" si="21"/>
        <v>1712966549.6000001</v>
      </c>
      <c r="F69">
        <f ca="1">SUM($E$2:E69)/SUM($D$2:D69)</f>
        <v>105.94170245096305</v>
      </c>
      <c r="G69">
        <f ca="1">_xlfn.STDEV.P($C$2:C69)</f>
        <v>6.6517930043718581</v>
      </c>
      <c r="H69">
        <f t="shared" ca="1" si="22"/>
        <v>112.5934954553349</v>
      </c>
      <c r="I69">
        <f t="shared" ca="1" si="23"/>
        <v>99.289909446591196</v>
      </c>
      <c r="J69">
        <f t="shared" ca="1" si="12"/>
        <v>115.19950000000001</v>
      </c>
      <c r="K69">
        <f t="shared" ca="1" si="13"/>
        <v>3.9430371342539083</v>
      </c>
      <c r="L69">
        <f t="shared" ca="1" si="14"/>
        <v>123.08557426850783</v>
      </c>
      <c r="M69">
        <f t="shared" ca="1" si="15"/>
        <v>107.3134257314922</v>
      </c>
      <c r="N69">
        <f t="shared" ca="1" si="24"/>
        <v>0.63000000000000966</v>
      </c>
      <c r="O69">
        <f t="shared" ca="1" si="25"/>
        <v>0.63000000000000966</v>
      </c>
      <c r="P69">
        <f t="shared" ca="1" si="26"/>
        <v>0</v>
      </c>
      <c r="Q69">
        <f t="shared" ca="1" si="10"/>
        <v>0.72480365465403895</v>
      </c>
      <c r="R69">
        <f t="shared" ca="1" si="11"/>
        <v>0.1731305382651345</v>
      </c>
      <c r="S69">
        <f t="shared" ca="1" si="8"/>
        <v>4.1864575823363097</v>
      </c>
      <c r="T69">
        <f t="shared" ca="1" si="9"/>
        <v>80.719017091632395</v>
      </c>
      <c r="U69">
        <f>70</f>
        <v>70</v>
      </c>
      <c r="V69">
        <f>30</f>
        <v>30</v>
      </c>
      <c r="W69">
        <f t="shared" ca="1" si="7"/>
        <v>117.92362031140894</v>
      </c>
      <c r="X69">
        <f t="shared" ca="1" si="17"/>
        <v>114.18239423232625</v>
      </c>
      <c r="Y69">
        <f t="shared" ca="1" si="16"/>
        <v>3.8052339230268473</v>
      </c>
      <c r="Z69">
        <f t="shared" ca="1" si="18"/>
        <v>3.4571501815280716</v>
      </c>
      <c r="AA69">
        <f t="shared" ca="1" si="19"/>
        <v>0.34808374149877563</v>
      </c>
    </row>
    <row r="70" spans="1:27" x14ac:dyDescent="0.25">
      <c r="A70" s="20">
        <f t="shared" ca="1" si="20"/>
        <v>45390</v>
      </c>
      <c r="B70" vm="202">
        <f ca="1"/>
        <v>45392</v>
      </c>
      <c r="C70" vm="203">
        <f ca="1"/>
        <v>122.2</v>
      </c>
      <c r="D70" vm="204">
        <f ca="1"/>
        <v>17409184</v>
      </c>
      <c r="E70">
        <f t="shared" ca="1" si="21"/>
        <v>2127402284.8</v>
      </c>
      <c r="F70">
        <f ca="1">SUM($E$2:E70)/SUM($D$2:D70)</f>
        <v>106.16500238865648</v>
      </c>
      <c r="G70">
        <f ca="1">_xlfn.STDEV.P($C$2:C70)</f>
        <v>6.8751284023066912</v>
      </c>
      <c r="H70">
        <f t="shared" ca="1" si="22"/>
        <v>113.04013079096316</v>
      </c>
      <c r="I70">
        <f t="shared" ca="1" si="23"/>
        <v>99.289873986349789</v>
      </c>
      <c r="J70">
        <f t="shared" ca="1" si="12"/>
        <v>115.89349999999999</v>
      </c>
      <c r="K70">
        <f t="shared" ca="1" si="13"/>
        <v>3.8895951284366221</v>
      </c>
      <c r="L70">
        <f t="shared" ca="1" si="14"/>
        <v>123.67269025687324</v>
      </c>
      <c r="M70">
        <f t="shared" ca="1" si="15"/>
        <v>108.11430974312674</v>
      </c>
      <c r="N70">
        <f t="shared" ca="1" si="24"/>
        <v>1.019999999999996</v>
      </c>
      <c r="O70">
        <f t="shared" ca="1" si="25"/>
        <v>1.019999999999996</v>
      </c>
      <c r="P70">
        <f t="shared" ca="1" si="26"/>
        <v>0</v>
      </c>
      <c r="Q70">
        <f t="shared" ca="1" si="10"/>
        <v>0.74588910789303586</v>
      </c>
      <c r="R70">
        <f t="shared" ca="1" si="11"/>
        <v>0.16076407124619632</v>
      </c>
      <c r="S70">
        <f t="shared" ca="1" si="8"/>
        <v>4.6396505270805877</v>
      </c>
      <c r="T70">
        <f t="shared" ca="1" si="9"/>
        <v>82.268404838239888</v>
      </c>
      <c r="U70">
        <f>70</f>
        <v>70</v>
      </c>
      <c r="V70">
        <f>30</f>
        <v>30</v>
      </c>
      <c r="W70">
        <f t="shared" ca="1" si="7"/>
        <v>118.58152487888448</v>
      </c>
      <c r="X70">
        <f t="shared" ca="1" si="17"/>
        <v>114.77629095585763</v>
      </c>
      <c r="Y70">
        <f t="shared" ca="1" si="16"/>
        <v>3.7793114768517313</v>
      </c>
      <c r="Z70">
        <f t="shared" ca="1" si="18"/>
        <v>3.521582440592804</v>
      </c>
      <c r="AA70">
        <f t="shared" ca="1" si="19"/>
        <v>0.25772903625892729</v>
      </c>
    </row>
    <row r="71" spans="1:27" x14ac:dyDescent="0.25">
      <c r="A71" s="20">
        <f t="shared" ca="1" si="20"/>
        <v>45390</v>
      </c>
      <c r="B71" vm="205">
        <f ca="1"/>
        <v>45393</v>
      </c>
      <c r="C71" vm="206">
        <f ca="1"/>
        <v>121.79</v>
      </c>
      <c r="D71" vm="207">
        <f ca="1"/>
        <v>17555869</v>
      </c>
      <c r="E71">
        <f t="shared" ca="1" si="21"/>
        <v>2138129285.5100002</v>
      </c>
      <c r="F71">
        <f ca="1">SUM($E$2:E71)/SUM($D$2:D71)</f>
        <v>106.37845604565902</v>
      </c>
      <c r="G71">
        <f ca="1">_xlfn.STDEV.P($C$2:C71)</f>
        <v>7.0653464016642671</v>
      </c>
      <c r="H71">
        <f t="shared" ca="1" si="22"/>
        <v>113.44380244732329</v>
      </c>
      <c r="I71">
        <f t="shared" ca="1" si="23"/>
        <v>99.31310964399475</v>
      </c>
      <c r="J71">
        <f t="shared" ca="1" si="12"/>
        <v>116.50649999999999</v>
      </c>
      <c r="K71">
        <f t="shared" ca="1" si="13"/>
        <v>3.7989559161211113</v>
      </c>
      <c r="L71">
        <f t="shared" ca="1" si="14"/>
        <v>124.10441183224221</v>
      </c>
      <c r="M71">
        <f t="shared" ca="1" si="15"/>
        <v>108.90858816775777</v>
      </c>
      <c r="N71">
        <f t="shared" ca="1" si="24"/>
        <v>-0.40999999999999659</v>
      </c>
      <c r="O71">
        <f t="shared" ca="1" si="25"/>
        <v>0</v>
      </c>
      <c r="P71">
        <f t="shared" ca="1" si="26"/>
        <v>0.40999999999999659</v>
      </c>
      <c r="Q71">
        <f t="shared" ca="1" si="10"/>
        <v>0.69261131447210467</v>
      </c>
      <c r="R71">
        <f t="shared" ca="1" si="11"/>
        <v>0.1785666375857535</v>
      </c>
      <c r="S71">
        <f t="shared" ca="1" si="8"/>
        <v>3.8787274254379698</v>
      </c>
      <c r="T71">
        <f t="shared" ca="1" si="9"/>
        <v>79.502851608680956</v>
      </c>
      <c r="U71">
        <f>70</f>
        <v>70</v>
      </c>
      <c r="V71">
        <f>30</f>
        <v>30</v>
      </c>
      <c r="W71">
        <f t="shared" ca="1" si="7"/>
        <v>119.07513643597918</v>
      </c>
      <c r="X71">
        <f t="shared" ca="1" si="17"/>
        <v>115.29582495912744</v>
      </c>
      <c r="Y71">
        <f t="shared" ca="1" si="16"/>
        <v>3.6026564380894399</v>
      </c>
      <c r="Z71">
        <f t="shared" ca="1" si="18"/>
        <v>3.5377972400921314</v>
      </c>
      <c r="AA71">
        <f t="shared" ca="1" si="19"/>
        <v>6.4859197997308549E-2</v>
      </c>
    </row>
    <row r="72" spans="1:27" x14ac:dyDescent="0.25">
      <c r="A72" s="20">
        <f t="shared" ca="1" si="20"/>
        <v>45390</v>
      </c>
      <c r="B72" vm="208">
        <f ca="1"/>
        <v>45394</v>
      </c>
      <c r="C72" vm="209">
        <f ca="1"/>
        <v>120.37</v>
      </c>
      <c r="D72" vm="210">
        <f ca="1"/>
        <v>21556218</v>
      </c>
      <c r="E72">
        <f t="shared" ca="1" si="21"/>
        <v>2594721960.6600003</v>
      </c>
      <c r="F72">
        <f ca="1">SUM($E$2:E72)/SUM($D$2:D72)</f>
        <v>106.60927694564592</v>
      </c>
      <c r="G72">
        <f ca="1">_xlfn.STDEV.P($C$2:C72)</f>
        <v>7.1995999332304379</v>
      </c>
      <c r="H72">
        <f t="shared" ca="1" si="22"/>
        <v>113.80887687887636</v>
      </c>
      <c r="I72">
        <f t="shared" ca="1" si="23"/>
        <v>99.409677012415472</v>
      </c>
      <c r="J72">
        <f t="shared" ca="1" si="12"/>
        <v>116.95149999999998</v>
      </c>
      <c r="K72">
        <f t="shared" ca="1" si="13"/>
        <v>3.6978589466708569</v>
      </c>
      <c r="L72">
        <f t="shared" ca="1" si="14"/>
        <v>124.34721789334169</v>
      </c>
      <c r="M72">
        <f t="shared" ca="1" si="15"/>
        <v>109.55578210665827</v>
      </c>
      <c r="N72">
        <f t="shared" ca="1" si="24"/>
        <v>-1.4200000000000017</v>
      </c>
      <c r="O72">
        <f t="shared" ca="1" si="25"/>
        <v>0</v>
      </c>
      <c r="P72">
        <f t="shared" ca="1" si="26"/>
        <v>1.4200000000000017</v>
      </c>
      <c r="Q72">
        <f t="shared" ca="1" si="10"/>
        <v>0.64313907772409717</v>
      </c>
      <c r="R72">
        <f t="shared" ca="1" si="11"/>
        <v>0.2672404491867712</v>
      </c>
      <c r="S72">
        <f t="shared" ca="1" si="8"/>
        <v>2.4065933120573932</v>
      </c>
      <c r="T72">
        <f t="shared" ca="1" si="9"/>
        <v>70.645160475699527</v>
      </c>
      <c r="U72">
        <f>70</f>
        <v>70</v>
      </c>
      <c r="V72">
        <f>30</f>
        <v>30</v>
      </c>
      <c r="W72">
        <f t="shared" ca="1" si="7"/>
        <v>119.2743462150593</v>
      </c>
      <c r="X72">
        <f t="shared" ca="1" si="17"/>
        <v>115.67168977696986</v>
      </c>
      <c r="Y72">
        <f t="shared" ca="1" si="16"/>
        <v>3.3681528443230917</v>
      </c>
      <c r="Z72">
        <f t="shared" ca="1" si="18"/>
        <v>3.5038683609383234</v>
      </c>
      <c r="AA72">
        <f t="shared" ca="1" si="19"/>
        <v>-0.13571551661523173</v>
      </c>
    </row>
    <row r="73" spans="1:27" x14ac:dyDescent="0.25">
      <c r="A73" s="20">
        <f t="shared" ca="1" si="20"/>
        <v>45397</v>
      </c>
      <c r="B73" vm="211">
        <f ca="1"/>
        <v>45397</v>
      </c>
      <c r="C73" vm="212">
        <f ca="1"/>
        <v>119.68</v>
      </c>
      <c r="D73" vm="213">
        <f ca="1"/>
        <v>15029528</v>
      </c>
      <c r="E73">
        <f t="shared" ca="1" si="21"/>
        <v>1798733911.0400002</v>
      </c>
      <c r="F73">
        <f ca="1">SUM($E$2:E73)/SUM($D$2:D73)</f>
        <v>106.75790987236194</v>
      </c>
      <c r="G73">
        <f ca="1">_xlfn.STDEV.P($C$2:C73)</f>
        <v>7.3058258505130489</v>
      </c>
      <c r="H73">
        <f t="shared" ca="1" si="22"/>
        <v>114.06373572287498</v>
      </c>
      <c r="I73">
        <f t="shared" ca="1" si="23"/>
        <v>99.45208402184889</v>
      </c>
      <c r="J73">
        <f t="shared" ca="1" si="12"/>
        <v>117.372</v>
      </c>
      <c r="K73">
        <f t="shared" ca="1" si="13"/>
        <v>3.4901207941695587</v>
      </c>
      <c r="L73">
        <f t="shared" ca="1" si="14"/>
        <v>124.35224158833911</v>
      </c>
      <c r="M73">
        <f t="shared" ca="1" si="15"/>
        <v>110.39175841166089</v>
      </c>
      <c r="N73">
        <f t="shared" ca="1" si="24"/>
        <v>-0.68999999999999773</v>
      </c>
      <c r="O73">
        <f t="shared" ca="1" si="25"/>
        <v>0</v>
      </c>
      <c r="P73">
        <f t="shared" ca="1" si="26"/>
        <v>0.68999999999999773</v>
      </c>
      <c r="Q73">
        <f t="shared" ca="1" si="10"/>
        <v>0.59720057217237599</v>
      </c>
      <c r="R73">
        <f t="shared" ca="1" si="11"/>
        <v>0.2974375599591445</v>
      </c>
      <c r="S73">
        <f t="shared" ca="1" si="8"/>
        <v>2.0078182871538028</v>
      </c>
      <c r="T73">
        <f t="shared" ca="1" si="9"/>
        <v>66.753310721231557</v>
      </c>
      <c r="U73">
        <f>70</f>
        <v>70</v>
      </c>
      <c r="V73">
        <f>30</f>
        <v>30</v>
      </c>
      <c r="W73">
        <f t="shared" ca="1" si="7"/>
        <v>119.33675448966555</v>
      </c>
      <c r="X73">
        <f t="shared" ca="1" si="17"/>
        <v>115.96860164534246</v>
      </c>
      <c r="Y73">
        <f t="shared" ca="1" si="16"/>
        <v>3.0670670902973569</v>
      </c>
      <c r="Z73">
        <f t="shared" ca="1" si="18"/>
        <v>3.4165081068101304</v>
      </c>
      <c r="AA73">
        <f t="shared" ca="1" si="19"/>
        <v>-0.34944101651277348</v>
      </c>
    </row>
    <row r="74" spans="1:27" x14ac:dyDescent="0.25">
      <c r="A74" s="20">
        <f t="shared" ca="1" si="20"/>
        <v>45397</v>
      </c>
      <c r="B74" vm="214">
        <f ca="1"/>
        <v>45398</v>
      </c>
      <c r="C74" vm="215">
        <f ca="1"/>
        <v>118.69</v>
      </c>
      <c r="D74" vm="216">
        <f ca="1"/>
        <v>18082228</v>
      </c>
      <c r="E74">
        <f t="shared" ca="1" si="21"/>
        <v>2146179641.3199999</v>
      </c>
      <c r="F74">
        <f ca="1">SUM($E$2:E74)/SUM($D$2:D74)</f>
        <v>106.91895113919672</v>
      </c>
      <c r="G74">
        <f ca="1">_xlfn.STDEV.P($C$2:C74)</f>
        <v>7.381527645730765</v>
      </c>
      <c r="H74">
        <f t="shared" ca="1" si="22"/>
        <v>114.30047878492749</v>
      </c>
      <c r="I74">
        <f t="shared" ca="1" si="23"/>
        <v>99.537423493465951</v>
      </c>
      <c r="J74">
        <f t="shared" ca="1" si="12"/>
        <v>117.69149999999999</v>
      </c>
      <c r="K74">
        <f t="shared" ca="1" si="13"/>
        <v>3.2880025531428192</v>
      </c>
      <c r="L74">
        <f t="shared" ca="1" si="14"/>
        <v>124.26750510628563</v>
      </c>
      <c r="M74">
        <f t="shared" ca="1" si="15"/>
        <v>111.11549489371436</v>
      </c>
      <c r="N74">
        <f t="shared" ca="1" si="24"/>
        <v>-0.99000000000000909</v>
      </c>
      <c r="O74">
        <f t="shared" ca="1" si="25"/>
        <v>0</v>
      </c>
      <c r="P74">
        <f t="shared" ca="1" si="26"/>
        <v>0.99000000000000909</v>
      </c>
      <c r="Q74">
        <f t="shared" ca="1" si="10"/>
        <v>0.55454338844577766</v>
      </c>
      <c r="R74">
        <f t="shared" ca="1" si="11"/>
        <v>0.34690630567634911</v>
      </c>
      <c r="S74">
        <f t="shared" ca="1" si="8"/>
        <v>1.5985393732310715</v>
      </c>
      <c r="T74">
        <f t="shared" ca="1" si="9"/>
        <v>61.516842488456057</v>
      </c>
      <c r="U74">
        <f>70</f>
        <v>70</v>
      </c>
      <c r="V74">
        <f>30</f>
        <v>30</v>
      </c>
      <c r="W74">
        <f t="shared" ca="1" si="7"/>
        <v>119.23725379894778</v>
      </c>
      <c r="X74">
        <f t="shared" ca="1" si="17"/>
        <v>116.17018670865042</v>
      </c>
      <c r="Y74">
        <f t="shared" ca="1" si="16"/>
        <v>2.7914350369689487</v>
      </c>
      <c r="Z74">
        <f t="shared" ca="1" si="18"/>
        <v>3.2914934928418944</v>
      </c>
      <c r="AA74">
        <f t="shared" ca="1" si="19"/>
        <v>-0.50005845587294573</v>
      </c>
    </row>
    <row r="75" spans="1:27" x14ac:dyDescent="0.25">
      <c r="A75" s="20">
        <f t="shared" ca="1" si="20"/>
        <v>45397</v>
      </c>
      <c r="B75" vm="217">
        <f ca="1"/>
        <v>45399</v>
      </c>
      <c r="C75" vm="218">
        <f ca="1"/>
        <v>118.63</v>
      </c>
      <c r="D75" vm="219">
        <f ca="1"/>
        <v>14538577</v>
      </c>
      <c r="E75">
        <f t="shared" ca="1" si="21"/>
        <v>1724711389.51</v>
      </c>
      <c r="F75">
        <f ca="1">SUM($E$2:E75)/SUM($D$2:D75)</f>
        <v>107.04466959478169</v>
      </c>
      <c r="G75">
        <f ca="1">_xlfn.STDEV.P($C$2:C75)</f>
        <v>7.4499155063572831</v>
      </c>
      <c r="H75">
        <f t="shared" ca="1" si="22"/>
        <v>114.49458510113898</v>
      </c>
      <c r="I75">
        <f t="shared" ca="1" si="23"/>
        <v>99.594754088424409</v>
      </c>
      <c r="J75">
        <f t="shared" ca="1" si="12"/>
        <v>117.96850000000002</v>
      </c>
      <c r="K75">
        <f t="shared" ca="1" si="13"/>
        <v>3.1083982590463073</v>
      </c>
      <c r="L75">
        <f t="shared" ca="1" si="14"/>
        <v>124.18529651809263</v>
      </c>
      <c r="M75">
        <f t="shared" ca="1" si="15"/>
        <v>111.75170348190741</v>
      </c>
      <c r="N75">
        <f t="shared" ca="1" si="24"/>
        <v>-6.0000000000002274E-2</v>
      </c>
      <c r="O75">
        <f t="shared" ca="1" si="25"/>
        <v>0</v>
      </c>
      <c r="P75">
        <f t="shared" ca="1" si="26"/>
        <v>6.0000000000002274E-2</v>
      </c>
      <c r="Q75">
        <f t="shared" ca="1" si="10"/>
        <v>0.51493314641393639</v>
      </c>
      <c r="R75">
        <f t="shared" ca="1" si="11"/>
        <v>0.32641299812803864</v>
      </c>
      <c r="S75">
        <f t="shared" ca="1" si="8"/>
        <v>1.5775509840816722</v>
      </c>
      <c r="T75">
        <f t="shared" ca="1" si="9"/>
        <v>61.203483222029099</v>
      </c>
      <c r="U75">
        <f>70</f>
        <v>70</v>
      </c>
      <c r="V75">
        <f>30</f>
        <v>30</v>
      </c>
      <c r="W75">
        <f t="shared" ca="1" si="7"/>
        <v>119.1438301375712</v>
      </c>
      <c r="X75">
        <f t="shared" ca="1" si="17"/>
        <v>116.35239510060225</v>
      </c>
      <c r="Y75">
        <f t="shared" ca="1" si="16"/>
        <v>2.534897843768988</v>
      </c>
      <c r="Z75">
        <f t="shared" ca="1" si="18"/>
        <v>3.1401743630273136</v>
      </c>
      <c r="AA75">
        <f t="shared" ca="1" si="19"/>
        <v>-0.6052765192583256</v>
      </c>
    </row>
    <row r="76" spans="1:27" x14ac:dyDescent="0.25">
      <c r="A76" s="20">
        <f t="shared" ca="1" si="20"/>
        <v>45397</v>
      </c>
      <c r="B76" vm="220">
        <f ca="1"/>
        <v>45400</v>
      </c>
      <c r="C76" vm="221">
        <f ca="1"/>
        <v>118.52</v>
      </c>
      <c r="D76" vm="222">
        <f ca="1"/>
        <v>13821356</v>
      </c>
      <c r="E76">
        <f t="shared" ca="1" si="21"/>
        <v>1638107113.1199999</v>
      </c>
      <c r="F76">
        <f ca="1">SUM($E$2:E76)/SUM($D$2:D76)</f>
        <v>107.16059736697204</v>
      </c>
      <c r="G76">
        <f ca="1">_xlfn.STDEV.P($C$2:C76)</f>
        <v>7.5106500976206378</v>
      </c>
      <c r="H76">
        <f t="shared" ca="1" si="22"/>
        <v>114.67124746459268</v>
      </c>
      <c r="I76">
        <f t="shared" ca="1" si="23"/>
        <v>99.649947269351401</v>
      </c>
      <c r="J76">
        <f t="shared" ca="1" si="12"/>
        <v>118.245</v>
      </c>
      <c r="K76">
        <f t="shared" ca="1" si="13"/>
        <v>2.8797870900833162</v>
      </c>
      <c r="L76">
        <f t="shared" ca="1" si="14"/>
        <v>124.00457418016664</v>
      </c>
      <c r="M76">
        <f t="shared" ca="1" si="15"/>
        <v>112.48542581983337</v>
      </c>
      <c r="N76">
        <f t="shared" ca="1" si="24"/>
        <v>-0.10999999999999943</v>
      </c>
      <c r="O76">
        <f t="shared" ca="1" si="25"/>
        <v>0</v>
      </c>
      <c r="P76">
        <f t="shared" ca="1" si="26"/>
        <v>0.10999999999999943</v>
      </c>
      <c r="Q76">
        <f t="shared" ca="1" si="10"/>
        <v>0.47815220738436948</v>
      </c>
      <c r="R76">
        <f t="shared" ca="1" si="11"/>
        <v>0.31095492683317871</v>
      </c>
      <c r="S76">
        <f t="shared" ca="1" si="8"/>
        <v>1.5376897618376983</v>
      </c>
      <c r="T76">
        <f t="shared" ca="1" si="9"/>
        <v>60.594079897463978</v>
      </c>
      <c r="U76">
        <f>70</f>
        <v>70</v>
      </c>
      <c r="V76">
        <f>30</f>
        <v>30</v>
      </c>
      <c r="W76">
        <f t="shared" ca="1" si="7"/>
        <v>119.04785627025255</v>
      </c>
      <c r="X76">
        <f t="shared" ca="1" si="17"/>
        <v>116.51295842648356</v>
      </c>
      <c r="Y76">
        <f t="shared" ca="1" si="16"/>
        <v>2.4135094691106787</v>
      </c>
      <c r="Z76">
        <f t="shared" ca="1" si="18"/>
        <v>2.9948413842439869</v>
      </c>
      <c r="AA76">
        <f t="shared" ca="1" si="19"/>
        <v>-0.58133191513330829</v>
      </c>
    </row>
    <row r="77" spans="1:27" x14ac:dyDescent="0.25">
      <c r="A77" s="20">
        <f t="shared" ca="1" si="20"/>
        <v>45397</v>
      </c>
      <c r="B77" vm="223">
        <f ca="1"/>
        <v>45401</v>
      </c>
      <c r="C77" vm="224">
        <f ca="1"/>
        <v>119.88</v>
      </c>
      <c r="D77" vm="225">
        <f ca="1"/>
        <v>21572367</v>
      </c>
      <c r="E77">
        <f t="shared" ca="1" si="21"/>
        <v>2586095355.96</v>
      </c>
      <c r="F77">
        <f ca="1">SUM($E$2:E77)/SUM($D$2:D77)</f>
        <v>107.3580403652427</v>
      </c>
      <c r="G77">
        <f ca="1">_xlfn.STDEV.P($C$2:C77)</f>
        <v>7.5938057021200676</v>
      </c>
      <c r="H77">
        <f t="shared" ca="1" si="22"/>
        <v>114.95184606736277</v>
      </c>
      <c r="I77">
        <f t="shared" ca="1" si="23"/>
        <v>99.764234663122636</v>
      </c>
      <c r="J77">
        <f t="shared" ca="1" si="12"/>
        <v>118.5645</v>
      </c>
      <c r="K77">
        <f t="shared" ca="1" si="13"/>
        <v>2.6714070311945712</v>
      </c>
      <c r="L77">
        <f t="shared" ca="1" si="14"/>
        <v>123.90731406238913</v>
      </c>
      <c r="M77">
        <f t="shared" ca="1" si="15"/>
        <v>113.22168593761086</v>
      </c>
      <c r="N77">
        <f t="shared" ca="1" si="24"/>
        <v>1.3599999999999994</v>
      </c>
      <c r="O77">
        <f t="shared" ca="1" si="25"/>
        <v>1.3599999999999994</v>
      </c>
      <c r="P77">
        <f t="shared" ca="1" si="26"/>
        <v>0</v>
      </c>
      <c r="Q77">
        <f t="shared" ca="1" si="10"/>
        <v>0.54114133542834308</v>
      </c>
      <c r="R77">
        <f t="shared" ca="1" si="11"/>
        <v>0.28874386063080876</v>
      </c>
      <c r="S77">
        <f t="shared" ca="1" si="8"/>
        <v>1.8741223943121432</v>
      </c>
      <c r="T77">
        <f t="shared" ca="1" si="9"/>
        <v>65.206770526579206</v>
      </c>
      <c r="U77">
        <f>70</f>
        <v>70</v>
      </c>
      <c r="V77">
        <f>30</f>
        <v>30</v>
      </c>
      <c r="W77">
        <f t="shared" ca="1" si="7"/>
        <v>119.17587838252138</v>
      </c>
      <c r="X77">
        <f t="shared" ca="1" si="17"/>
        <v>116.7623689134107</v>
      </c>
      <c r="Y77">
        <f t="shared" ca="1" si="16"/>
        <v>2.3451452500010532</v>
      </c>
      <c r="Z77">
        <f t="shared" ca="1" si="18"/>
        <v>2.8649021573954001</v>
      </c>
      <c r="AA77">
        <f t="shared" ca="1" si="19"/>
        <v>-0.51975690739434688</v>
      </c>
    </row>
    <row r="78" spans="1:27" x14ac:dyDescent="0.25">
      <c r="A78" s="20">
        <f t="shared" ca="1" si="20"/>
        <v>45404</v>
      </c>
      <c r="B78" vm="226">
        <f ca="1"/>
        <v>45404</v>
      </c>
      <c r="C78" vm="227">
        <f ca="1"/>
        <v>120.56</v>
      </c>
      <c r="D78" vm="228">
        <f ca="1"/>
        <v>16340694</v>
      </c>
      <c r="E78">
        <f t="shared" ca="1" si="21"/>
        <v>1970034068.6400001</v>
      </c>
      <c r="F78">
        <f ca="1">SUM($E$2:E78)/SUM($D$2:D78)</f>
        <v>107.5114700197913</v>
      </c>
      <c r="G78">
        <f ca="1">_xlfn.STDEV.P($C$2:C78)</f>
        <v>7.684880995719281</v>
      </c>
      <c r="H78">
        <f t="shared" ca="1" si="22"/>
        <v>115.19635101551059</v>
      </c>
      <c r="I78">
        <f t="shared" ca="1" si="23"/>
        <v>99.826589024072021</v>
      </c>
      <c r="J78">
        <f t="shared" ca="1" si="12"/>
        <v>118.91800000000001</v>
      </c>
      <c r="K78">
        <f t="shared" ca="1" si="13"/>
        <v>2.4205710505015792</v>
      </c>
      <c r="L78">
        <f t="shared" ca="1" si="14"/>
        <v>123.75914210100316</v>
      </c>
      <c r="M78">
        <f t="shared" ca="1" si="15"/>
        <v>114.07685789899685</v>
      </c>
      <c r="N78">
        <f t="shared" ca="1" si="24"/>
        <v>0.68000000000000682</v>
      </c>
      <c r="O78">
        <f t="shared" ca="1" si="25"/>
        <v>0.68000000000000682</v>
      </c>
      <c r="P78">
        <f t="shared" ca="1" si="26"/>
        <v>0</v>
      </c>
      <c r="Q78">
        <f t="shared" ca="1" si="10"/>
        <v>0.55105981146917615</v>
      </c>
      <c r="R78">
        <f t="shared" ca="1" si="11"/>
        <v>0.26811929915717958</v>
      </c>
      <c r="S78">
        <f t="shared" ca="1" si="8"/>
        <v>2.0552784271829996</v>
      </c>
      <c r="T78">
        <f t="shared" ca="1" si="9"/>
        <v>67.269758752494084</v>
      </c>
      <c r="U78">
        <f>70</f>
        <v>70</v>
      </c>
      <c r="V78">
        <f>30</f>
        <v>30</v>
      </c>
      <c r="W78">
        <f t="shared" ca="1" si="7"/>
        <v>119.38882016982578</v>
      </c>
      <c r="X78">
        <f t="shared" ca="1" si="17"/>
        <v>117.04367491982472</v>
      </c>
      <c r="Y78">
        <f t="shared" ca="1" si="16"/>
        <v>2.3023511153710103</v>
      </c>
      <c r="Z78">
        <f t="shared" ca="1" si="18"/>
        <v>2.7523919489905224</v>
      </c>
      <c r="AA78">
        <f t="shared" ca="1" si="19"/>
        <v>-0.45004083361951208</v>
      </c>
    </row>
    <row r="79" spans="1:27" x14ac:dyDescent="0.25">
      <c r="A79" s="20">
        <f t="shared" ca="1" si="20"/>
        <v>45404</v>
      </c>
      <c r="B79" vm="229">
        <f ca="1"/>
        <v>45405</v>
      </c>
      <c r="C79" vm="230">
        <f ca="1"/>
        <v>121.03</v>
      </c>
      <c r="D79" vm="231">
        <f ca="1"/>
        <v>13929816</v>
      </c>
      <c r="E79">
        <f t="shared" ca="1" si="21"/>
        <v>1685925630.48</v>
      </c>
      <c r="F79">
        <f ca="1">SUM($E$2:E79)/SUM($D$2:D79)</f>
        <v>107.64408538316756</v>
      </c>
      <c r="G79">
        <f ca="1">_xlfn.STDEV.P($C$2:C79)</f>
        <v>7.7790474211440337</v>
      </c>
      <c r="H79">
        <f t="shared" ca="1" si="22"/>
        <v>115.42313280431159</v>
      </c>
      <c r="I79">
        <f t="shared" ca="1" si="23"/>
        <v>99.865037962023536</v>
      </c>
      <c r="J79">
        <f t="shared" ca="1" si="12"/>
        <v>119.23700000000001</v>
      </c>
      <c r="K79">
        <f t="shared" ca="1" si="13"/>
        <v>2.2423392390889254</v>
      </c>
      <c r="L79">
        <f t="shared" ca="1" si="14"/>
        <v>123.72167847817786</v>
      </c>
      <c r="M79">
        <f t="shared" ca="1" si="15"/>
        <v>114.75232152182215</v>
      </c>
      <c r="N79">
        <f t="shared" ca="1" si="24"/>
        <v>0.46999999999999886</v>
      </c>
      <c r="O79">
        <f t="shared" ca="1" si="25"/>
        <v>0.46999999999999886</v>
      </c>
      <c r="P79">
        <f t="shared" ca="1" si="26"/>
        <v>0</v>
      </c>
      <c r="Q79">
        <f t="shared" ca="1" si="10"/>
        <v>0.54526982493566345</v>
      </c>
      <c r="R79">
        <f t="shared" ca="1" si="11"/>
        <v>0.24896792064595247</v>
      </c>
      <c r="S79">
        <f t="shared" ca="1" si="8"/>
        <v>2.190120813641169</v>
      </c>
      <c r="T79">
        <f t="shared" ca="1" si="9"/>
        <v>68.653224801896741</v>
      </c>
      <c r="U79">
        <f>70</f>
        <v>70</v>
      </c>
      <c r="V79">
        <f>30</f>
        <v>30</v>
      </c>
      <c r="W79">
        <f t="shared" ref="W79:W142" ca="1" si="27">C79*(2/(12+1)) + W78*(1-(2/(12+1)))</f>
        <v>119.64130937446797</v>
      </c>
      <c r="X79">
        <f t="shared" ca="1" si="17"/>
        <v>117.33895825909696</v>
      </c>
      <c r="Y79">
        <f t="shared" ca="1" si="16"/>
        <v>2.2441807692606091</v>
      </c>
      <c r="Z79">
        <f t="shared" ca="1" si="18"/>
        <v>2.6507497130445397</v>
      </c>
      <c r="AA79">
        <f t="shared" ca="1" si="19"/>
        <v>-0.4065689437839306</v>
      </c>
    </row>
    <row r="80" spans="1:27" x14ac:dyDescent="0.25">
      <c r="A80" s="20">
        <f t="shared" ca="1" si="20"/>
        <v>45404</v>
      </c>
      <c r="B80" vm="232">
        <f ca="1"/>
        <v>45406</v>
      </c>
      <c r="C80" vm="233">
        <f ca="1"/>
        <v>121.05</v>
      </c>
      <c r="D80" vm="234">
        <f ca="1"/>
        <v>12101161</v>
      </c>
      <c r="E80">
        <f t="shared" ca="1" si="21"/>
        <v>1464845539.05</v>
      </c>
      <c r="F80">
        <f ca="1">SUM($E$2:E80)/SUM($D$2:D80)</f>
        <v>107.75736638076272</v>
      </c>
      <c r="G80">
        <f ca="1">_xlfn.STDEV.P($C$2:C80)</f>
        <v>7.8666449786829533</v>
      </c>
      <c r="H80">
        <f t="shared" ca="1" si="22"/>
        <v>115.62401135944567</v>
      </c>
      <c r="I80">
        <f t="shared" ca="1" si="23"/>
        <v>99.890721402079762</v>
      </c>
      <c r="J80">
        <f t="shared" ca="1" si="12"/>
        <v>119.60000000000002</v>
      </c>
      <c r="K80">
        <f t="shared" ca="1" si="13"/>
        <v>1.8710453031168968</v>
      </c>
      <c r="L80">
        <f t="shared" ca="1" si="14"/>
        <v>123.34209060623381</v>
      </c>
      <c r="M80">
        <f t="shared" ca="1" si="15"/>
        <v>115.85790939376623</v>
      </c>
      <c r="N80">
        <f t="shared" ca="1" si="24"/>
        <v>1.9999999999996021E-2</v>
      </c>
      <c r="O80">
        <f t="shared" ca="1" si="25"/>
        <v>1.9999999999996021E-2</v>
      </c>
      <c r="P80">
        <f t="shared" ca="1" si="26"/>
        <v>0</v>
      </c>
      <c r="Q80">
        <f t="shared" ca="1" si="10"/>
        <v>0.50775055172597294</v>
      </c>
      <c r="R80">
        <f t="shared" ca="1" si="11"/>
        <v>0.23118449774267016</v>
      </c>
      <c r="S80">
        <f t="shared" ref="S80:S143" ca="1" si="28">IF(R80=0,NA(),Q80/R80)</f>
        <v>2.1963001701400691</v>
      </c>
      <c r="T80">
        <f t="shared" ref="T80:T143" ca="1" si="29">100-(100/(1+S80))</f>
        <v>68.713827025946131</v>
      </c>
      <c r="U80">
        <f>70</f>
        <v>70</v>
      </c>
      <c r="V80">
        <f>30</f>
        <v>30</v>
      </c>
      <c r="W80">
        <f t="shared" ca="1" si="27"/>
        <v>119.8580310091652</v>
      </c>
      <c r="X80">
        <f t="shared" ca="1" si="17"/>
        <v>117.61385023990459</v>
      </c>
      <c r="Y80">
        <f t="shared" ca="1" si="16"/>
        <v>2.1953671844816824</v>
      </c>
      <c r="Z80">
        <f t="shared" ca="1" si="18"/>
        <v>2.5596732073319681</v>
      </c>
      <c r="AA80">
        <f t="shared" ca="1" si="19"/>
        <v>-0.36430602285028568</v>
      </c>
    </row>
    <row r="81" spans="1:27" x14ac:dyDescent="0.25">
      <c r="A81" s="20">
        <f t="shared" ca="1" si="20"/>
        <v>45404</v>
      </c>
      <c r="B81" vm="235">
        <f ca="1"/>
        <v>45407</v>
      </c>
      <c r="C81" vm="236">
        <f ca="1"/>
        <v>121.33</v>
      </c>
      <c r="D81" vm="237">
        <f ca="1"/>
        <v>16041029</v>
      </c>
      <c r="E81">
        <f t="shared" ca="1" si="21"/>
        <v>1946258048.5699999</v>
      </c>
      <c r="F81">
        <f ca="1">SUM($E$2:E81)/SUM($D$2:D81)</f>
        <v>107.90771253948155</v>
      </c>
      <c r="G81">
        <f ca="1">_xlfn.STDEV.P($C$2:C81)</f>
        <v>7.9534786168930518</v>
      </c>
      <c r="H81">
        <f t="shared" ca="1" si="22"/>
        <v>115.8611911563746</v>
      </c>
      <c r="I81">
        <f t="shared" ca="1" si="23"/>
        <v>99.9542339225885</v>
      </c>
      <c r="J81">
        <f t="shared" ca="1" si="12"/>
        <v>119.91800000000001</v>
      </c>
      <c r="K81">
        <f t="shared" ca="1" si="13"/>
        <v>1.5568003624167939</v>
      </c>
      <c r="L81">
        <f t="shared" ca="1" si="14"/>
        <v>123.03160072483359</v>
      </c>
      <c r="M81">
        <f t="shared" ca="1" si="15"/>
        <v>116.80439927516642</v>
      </c>
      <c r="N81">
        <f t="shared" ca="1" si="24"/>
        <v>0.28000000000000114</v>
      </c>
      <c r="O81">
        <f t="shared" ca="1" si="25"/>
        <v>0.28000000000000114</v>
      </c>
      <c r="P81">
        <f t="shared" ca="1" si="26"/>
        <v>0</v>
      </c>
      <c r="Q81">
        <f t="shared" ref="Q81:Q144" ca="1" si="30">(Q80*13+O81)/14</f>
        <v>0.49148265517411777</v>
      </c>
      <c r="R81">
        <f t="shared" ref="R81:R144" ca="1" si="31">(R80*13+P81)/14</f>
        <v>0.21467131933247943</v>
      </c>
      <c r="S81">
        <f t="shared" ca="1" si="28"/>
        <v>2.2894658527388909</v>
      </c>
      <c r="T81">
        <f t="shared" ca="1" si="29"/>
        <v>69.599927624499429</v>
      </c>
      <c r="U81">
        <f>70</f>
        <v>70</v>
      </c>
      <c r="V81">
        <f>30</f>
        <v>30</v>
      </c>
      <c r="W81">
        <f t="shared" ca="1" si="27"/>
        <v>120.08448777698594</v>
      </c>
      <c r="X81">
        <f t="shared" ca="1" si="17"/>
        <v>117.88912059250426</v>
      </c>
      <c r="Y81">
        <f t="shared" ca="1" si="16"/>
        <v>1.8632725846180591</v>
      </c>
      <c r="Z81">
        <f t="shared" ca="1" si="18"/>
        <v>2.4203930827891864</v>
      </c>
      <c r="AA81">
        <f t="shared" ca="1" si="19"/>
        <v>-0.5571204981711273</v>
      </c>
    </row>
    <row r="82" spans="1:27" x14ac:dyDescent="0.25">
      <c r="A82" s="20">
        <f t="shared" ca="1" si="20"/>
        <v>45404</v>
      </c>
      <c r="B82" vm="238">
        <f ca="1"/>
        <v>45408</v>
      </c>
      <c r="C82" vm="239">
        <f ca="1"/>
        <v>117.96</v>
      </c>
      <c r="D82" vm="240">
        <f ca="1"/>
        <v>27289468</v>
      </c>
      <c r="E82">
        <f t="shared" ca="1" si="21"/>
        <v>3219065645.2799997</v>
      </c>
      <c r="F82">
        <f ca="1">SUM($E$2:E82)/SUM($D$2:D82)</f>
        <v>108.09364188091085</v>
      </c>
      <c r="G82">
        <f ca="1">_xlfn.STDEV.P($C$2:C82)</f>
        <v>7.9757982860049665</v>
      </c>
      <c r="H82">
        <f t="shared" ca="1" si="22"/>
        <v>116.06944016691583</v>
      </c>
      <c r="I82">
        <f t="shared" ca="1" si="23"/>
        <v>100.11784359490588</v>
      </c>
      <c r="J82">
        <f t="shared" ca="1" si="12"/>
        <v>120.00399999999999</v>
      </c>
      <c r="K82">
        <f t="shared" ca="1" si="13"/>
        <v>1.380447677195225</v>
      </c>
      <c r="L82">
        <f t="shared" ca="1" si="14"/>
        <v>122.76489535439045</v>
      </c>
      <c r="M82">
        <f t="shared" ca="1" si="15"/>
        <v>117.24310464560953</v>
      </c>
      <c r="N82">
        <f t="shared" ca="1" si="24"/>
        <v>-3.3700000000000045</v>
      </c>
      <c r="O82">
        <f t="shared" ca="1" si="25"/>
        <v>0</v>
      </c>
      <c r="P82">
        <f t="shared" ca="1" si="26"/>
        <v>3.3700000000000045</v>
      </c>
      <c r="Q82">
        <f t="shared" ca="1" si="30"/>
        <v>0.45637675123310933</v>
      </c>
      <c r="R82">
        <f t="shared" ca="1" si="31"/>
        <v>0.4400519393801598</v>
      </c>
      <c r="S82">
        <f t="shared" ca="1" si="28"/>
        <v>1.0370974659853653</v>
      </c>
      <c r="T82">
        <f t="shared" ca="1" si="29"/>
        <v>50.910547153604668</v>
      </c>
      <c r="U82">
        <f>70</f>
        <v>70</v>
      </c>
      <c r="V82">
        <f>30</f>
        <v>30</v>
      </c>
      <c r="W82">
        <f t="shared" ca="1" si="27"/>
        <v>119.75764350360349</v>
      </c>
      <c r="X82">
        <f t="shared" ca="1" si="17"/>
        <v>117.89437091898543</v>
      </c>
      <c r="Y82">
        <f t="shared" ca="1" si="16"/>
        <v>1.715867726210746</v>
      </c>
      <c r="Z82">
        <f t="shared" ca="1" si="18"/>
        <v>2.2794880114734983</v>
      </c>
      <c r="AA82">
        <f t="shared" ca="1" si="19"/>
        <v>-0.56362028526275232</v>
      </c>
    </row>
    <row r="83" spans="1:27" x14ac:dyDescent="0.25">
      <c r="A83" s="20">
        <f t="shared" ca="1" si="20"/>
        <v>45411</v>
      </c>
      <c r="B83" vm="241">
        <f ca="1"/>
        <v>45411</v>
      </c>
      <c r="C83" vm="242">
        <f ca="1"/>
        <v>119.64</v>
      </c>
      <c r="D83" vm="243">
        <f ca="1"/>
        <v>17343755</v>
      </c>
      <c r="E83">
        <f t="shared" ca="1" si="21"/>
        <v>2075006848.2</v>
      </c>
      <c r="F83">
        <f ca="1">SUM($E$2:E83)/SUM($D$2:D83)</f>
        <v>108.22779496400524</v>
      </c>
      <c r="G83">
        <f ca="1">_xlfn.STDEV.P($C$2:C83)</f>
        <v>8.0220188550641875</v>
      </c>
      <c r="H83">
        <f t="shared" ca="1" si="22"/>
        <v>116.24981381906943</v>
      </c>
      <c r="I83">
        <f t="shared" ca="1" si="23"/>
        <v>100.20577610894105</v>
      </c>
      <c r="J83">
        <f t="shared" ca="1" si="12"/>
        <v>120.13649999999998</v>
      </c>
      <c r="K83">
        <f t="shared" ca="1" si="13"/>
        <v>1.1899636217349829</v>
      </c>
      <c r="L83">
        <f t="shared" ca="1" si="14"/>
        <v>122.51642724346995</v>
      </c>
      <c r="M83">
        <f t="shared" ca="1" si="15"/>
        <v>117.75657275653002</v>
      </c>
      <c r="N83">
        <f t="shared" ca="1" si="24"/>
        <v>1.6800000000000068</v>
      </c>
      <c r="O83">
        <f t="shared" ca="1" si="25"/>
        <v>1.6800000000000068</v>
      </c>
      <c r="P83">
        <f t="shared" ca="1" si="26"/>
        <v>0</v>
      </c>
      <c r="Q83">
        <f t="shared" ca="1" si="30"/>
        <v>0.5437784118593163</v>
      </c>
      <c r="R83">
        <f t="shared" ca="1" si="31"/>
        <v>0.40861965799586264</v>
      </c>
      <c r="S83">
        <f t="shared" ca="1" si="28"/>
        <v>1.3307690935046061</v>
      </c>
      <c r="T83">
        <f t="shared" ca="1" si="29"/>
        <v>57.095707044219743</v>
      </c>
      <c r="U83">
        <f>70</f>
        <v>70</v>
      </c>
      <c r="V83">
        <f>30</f>
        <v>30</v>
      </c>
      <c r="W83">
        <f t="shared" ca="1" si="27"/>
        <v>119.7395445030491</v>
      </c>
      <c r="X83">
        <f t="shared" ca="1" si="17"/>
        <v>118.02367677683836</v>
      </c>
      <c r="Y83">
        <f t="shared" ca="1" si="16"/>
        <v>1.4715377918322332</v>
      </c>
      <c r="Z83">
        <f t="shared" ca="1" si="18"/>
        <v>2.1178979675452454</v>
      </c>
      <c r="AA83">
        <f t="shared" ca="1" si="19"/>
        <v>-0.64636017571301219</v>
      </c>
    </row>
    <row r="84" spans="1:27" x14ac:dyDescent="0.25">
      <c r="A84" s="20">
        <f t="shared" ca="1" si="20"/>
        <v>45411</v>
      </c>
      <c r="B84" vm="244">
        <f ca="1"/>
        <v>45412</v>
      </c>
      <c r="C84" vm="245">
        <f ca="1"/>
        <v>118.27</v>
      </c>
      <c r="D84" vm="246">
        <f ca="1"/>
        <v>21083294</v>
      </c>
      <c r="E84">
        <f t="shared" ca="1" si="21"/>
        <v>2493521181.3800001</v>
      </c>
      <c r="F84">
        <f ca="1">SUM($E$2:E84)/SUM($D$2:D84)</f>
        <v>108.36765353515919</v>
      </c>
      <c r="G84">
        <f ca="1">_xlfn.STDEV.P($C$2:C84)</f>
        <v>8.0435907483274285</v>
      </c>
      <c r="H84">
        <f t="shared" ca="1" si="22"/>
        <v>116.41124428348662</v>
      </c>
      <c r="I84">
        <f t="shared" ca="1" si="23"/>
        <v>100.32406278683176</v>
      </c>
      <c r="J84">
        <f t="shared" ca="1" si="12"/>
        <v>120.08599999999998</v>
      </c>
      <c r="K84">
        <f t="shared" ca="1" si="13"/>
        <v>1.248229904599649</v>
      </c>
      <c r="L84">
        <f t="shared" ca="1" si="14"/>
        <v>122.58245980919928</v>
      </c>
      <c r="M84">
        <f t="shared" ca="1" si="15"/>
        <v>117.58954019080069</v>
      </c>
      <c r="N84">
        <f t="shared" ca="1" si="24"/>
        <v>-1.3700000000000045</v>
      </c>
      <c r="O84">
        <f t="shared" ca="1" si="25"/>
        <v>0</v>
      </c>
      <c r="P84">
        <f t="shared" ca="1" si="26"/>
        <v>1.3700000000000045</v>
      </c>
      <c r="Q84">
        <f t="shared" ca="1" si="30"/>
        <v>0.50493709672650799</v>
      </c>
      <c r="R84">
        <f t="shared" ca="1" si="31"/>
        <v>0.47728968242472991</v>
      </c>
      <c r="S84">
        <f t="shared" ca="1" si="28"/>
        <v>1.057925857859159</v>
      </c>
      <c r="T84">
        <f t="shared" ca="1" si="29"/>
        <v>51.407384470095018</v>
      </c>
      <c r="U84">
        <f>70</f>
        <v>70</v>
      </c>
      <c r="V84">
        <f>30</f>
        <v>30</v>
      </c>
      <c r="W84">
        <f t="shared" ca="1" si="27"/>
        <v>119.51346073334923</v>
      </c>
      <c r="X84">
        <f t="shared" ca="1" si="17"/>
        <v>118.041922941517</v>
      </c>
      <c r="Y84">
        <f t="shared" ca="1" si="16"/>
        <v>1.0846520849336088</v>
      </c>
      <c r="Z84">
        <f t="shared" ca="1" si="18"/>
        <v>1.9112487910229183</v>
      </c>
      <c r="AA84">
        <f t="shared" ca="1" si="19"/>
        <v>-0.82659670608930957</v>
      </c>
    </row>
    <row r="85" spans="1:27" x14ac:dyDescent="0.25">
      <c r="A85" s="20">
        <f t="shared" ca="1" si="20"/>
        <v>45411</v>
      </c>
      <c r="B85" vm="247">
        <f ca="1"/>
        <v>45413</v>
      </c>
      <c r="C85" vm="248">
        <f ca="1"/>
        <v>116.03</v>
      </c>
      <c r="D85" vm="249">
        <f ca="1"/>
        <v>27789759</v>
      </c>
      <c r="E85">
        <f t="shared" ca="1" si="21"/>
        <v>3224445736.77</v>
      </c>
      <c r="F85">
        <f ca="1">SUM($E$2:E85)/SUM($D$2:D85)</f>
        <v>108.50577716011246</v>
      </c>
      <c r="G85">
        <f ca="1">_xlfn.STDEV.P($C$2:C85)</f>
        <v>8.0352249824573985</v>
      </c>
      <c r="H85">
        <f t="shared" ca="1" si="22"/>
        <v>116.54100214256985</v>
      </c>
      <c r="I85">
        <f t="shared" ca="1" si="23"/>
        <v>100.47055217765507</v>
      </c>
      <c r="J85">
        <f t="shared" ca="1" si="12"/>
        <v>119.92249999999999</v>
      </c>
      <c r="K85">
        <f t="shared" ca="1" si="13"/>
        <v>1.5372938458281351</v>
      </c>
      <c r="L85">
        <f t="shared" ca="1" si="14"/>
        <v>122.99708769165626</v>
      </c>
      <c r="M85">
        <f t="shared" ca="1" si="15"/>
        <v>116.84791230834371</v>
      </c>
      <c r="N85">
        <f t="shared" ca="1" si="24"/>
        <v>-2.2399999999999949</v>
      </c>
      <c r="O85">
        <f t="shared" ca="1" si="25"/>
        <v>0</v>
      </c>
      <c r="P85">
        <f t="shared" ca="1" si="26"/>
        <v>2.2399999999999949</v>
      </c>
      <c r="Q85">
        <f t="shared" ca="1" si="30"/>
        <v>0.46887016124604314</v>
      </c>
      <c r="R85">
        <f t="shared" ca="1" si="31"/>
        <v>0.60319756225153454</v>
      </c>
      <c r="S85">
        <f t="shared" ca="1" si="28"/>
        <v>0.77730778535627332</v>
      </c>
      <c r="T85">
        <f t="shared" ca="1" si="29"/>
        <v>43.735125213580083</v>
      </c>
      <c r="U85">
        <f>70</f>
        <v>70</v>
      </c>
      <c r="V85">
        <f>30</f>
        <v>30</v>
      </c>
      <c r="W85">
        <f t="shared" ca="1" si="27"/>
        <v>118.97754369744935</v>
      </c>
      <c r="X85">
        <f t="shared" ca="1" si="17"/>
        <v>117.89289161251574</v>
      </c>
      <c r="Y85">
        <f t="shared" ca="1" si="16"/>
        <v>0.7859279318371506</v>
      </c>
      <c r="Z85">
        <f t="shared" ca="1" si="18"/>
        <v>1.6861846191857648</v>
      </c>
      <c r="AA85">
        <f t="shared" ca="1" si="19"/>
        <v>-0.90025668734861419</v>
      </c>
    </row>
    <row r="86" spans="1:27" x14ac:dyDescent="0.25">
      <c r="A86" s="20">
        <f t="shared" ca="1" si="20"/>
        <v>45411</v>
      </c>
      <c r="B86" vm="250">
        <f ca="1"/>
        <v>45414</v>
      </c>
      <c r="C86" vm="179">
        <f ca="1"/>
        <v>116.24</v>
      </c>
      <c r="D86" vm="251">
        <f ca="1"/>
        <v>25513648</v>
      </c>
      <c r="E86">
        <f t="shared" ca="1" si="21"/>
        <v>2965706443.52</v>
      </c>
      <c r="F86">
        <f ca="1">SUM($E$2:E86)/SUM($D$2:D86)</f>
        <v>108.63169346285493</v>
      </c>
      <c r="G86">
        <f ca="1">_xlfn.STDEV.P($C$2:C86)</f>
        <v>8.0283681148932935</v>
      </c>
      <c r="H86">
        <f t="shared" ca="1" si="22"/>
        <v>116.66006157774822</v>
      </c>
      <c r="I86">
        <f t="shared" ca="1" si="23"/>
        <v>100.60332534796163</v>
      </c>
      <c r="J86">
        <f t="shared" ref="J86:J149" ca="1" si="32">AVERAGE(C67:C86)</f>
        <v>119.74850000000001</v>
      </c>
      <c r="K86">
        <f t="shared" ref="K86:K149" ca="1" si="33">_xlfn.STDEV.S(C67:C86)</f>
        <v>1.7444114525505392</v>
      </c>
      <c r="L86">
        <f t="shared" ref="L86:L149" ca="1" si="34">J86 + 2*K86</f>
        <v>123.23732290510108</v>
      </c>
      <c r="M86">
        <f t="shared" ref="M86:M149" ca="1" si="35">J86-2*K86</f>
        <v>116.25967709489893</v>
      </c>
      <c r="N86">
        <f t="shared" ca="1" si="24"/>
        <v>0.20999999999999375</v>
      </c>
      <c r="O86">
        <f t="shared" ca="1" si="25"/>
        <v>0.20999999999999375</v>
      </c>
      <c r="P86">
        <f t="shared" ca="1" si="26"/>
        <v>0</v>
      </c>
      <c r="Q86">
        <f t="shared" ca="1" si="30"/>
        <v>0.45037943544275388</v>
      </c>
      <c r="R86">
        <f t="shared" ca="1" si="31"/>
        <v>0.56011202209071065</v>
      </c>
      <c r="S86">
        <f t="shared" ca="1" si="28"/>
        <v>0.80408814251413185</v>
      </c>
      <c r="T86">
        <f t="shared" ca="1" si="29"/>
        <v>44.570335759403349</v>
      </c>
      <c r="U86">
        <f>70</f>
        <v>70</v>
      </c>
      <c r="V86">
        <f>30</f>
        <v>30</v>
      </c>
      <c r="W86">
        <f t="shared" ca="1" si="27"/>
        <v>118.55638312861099</v>
      </c>
      <c r="X86">
        <f t="shared" ca="1" si="17"/>
        <v>117.77045519677384</v>
      </c>
      <c r="Y86">
        <f t="shared" ca="1" si="16"/>
        <v>0.52378304913381157</v>
      </c>
      <c r="Z86">
        <f t="shared" ca="1" si="18"/>
        <v>1.4537043051753742</v>
      </c>
      <c r="AA86">
        <f t="shared" ca="1" si="19"/>
        <v>-0.92992125604156262</v>
      </c>
    </row>
    <row r="87" spans="1:27" x14ac:dyDescent="0.25">
      <c r="A87" s="20">
        <f t="shared" ca="1" si="20"/>
        <v>45411</v>
      </c>
      <c r="B87" vm="252">
        <f ca="1"/>
        <v>45415</v>
      </c>
      <c r="C87" vm="253">
        <f ca="1"/>
        <v>116</v>
      </c>
      <c r="D87" vm="254">
        <f ca="1"/>
        <v>28023313</v>
      </c>
      <c r="E87">
        <f t="shared" ca="1" si="21"/>
        <v>3250704308</v>
      </c>
      <c r="F87">
        <f ca="1">SUM($E$2:E87)/SUM($D$2:D87)</f>
        <v>108.76113764006089</v>
      </c>
      <c r="G87">
        <f ca="1">_xlfn.STDEV.P($C$2:C87)</f>
        <v>8.0182354473425814</v>
      </c>
      <c r="H87">
        <f t="shared" ca="1" si="22"/>
        <v>116.77937308740347</v>
      </c>
      <c r="I87">
        <f t="shared" ca="1" si="23"/>
        <v>100.74290219271832</v>
      </c>
      <c r="J87">
        <f t="shared" ca="1" si="32"/>
        <v>119.47999999999999</v>
      </c>
      <c r="K87">
        <f t="shared" ca="1" si="33"/>
        <v>1.8889791172120365</v>
      </c>
      <c r="L87">
        <f t="shared" ca="1" si="34"/>
        <v>123.25795823442407</v>
      </c>
      <c r="M87">
        <f t="shared" ca="1" si="35"/>
        <v>115.70204176557591</v>
      </c>
      <c r="N87">
        <f t="shared" ca="1" si="24"/>
        <v>-0.23999999999999488</v>
      </c>
      <c r="O87">
        <f t="shared" ca="1" si="25"/>
        <v>0</v>
      </c>
      <c r="P87">
        <f t="shared" ca="1" si="26"/>
        <v>0.23999999999999488</v>
      </c>
      <c r="Q87">
        <f t="shared" ca="1" si="30"/>
        <v>0.41820947576827144</v>
      </c>
      <c r="R87">
        <f t="shared" ca="1" si="31"/>
        <v>0.53724687765565948</v>
      </c>
      <c r="S87">
        <f t="shared" ca="1" si="28"/>
        <v>0.77843072367991817</v>
      </c>
      <c r="T87">
        <f t="shared" ca="1" si="29"/>
        <v>43.7706520313141</v>
      </c>
      <c r="U87">
        <f>70</f>
        <v>70</v>
      </c>
      <c r="V87">
        <f>30</f>
        <v>30</v>
      </c>
      <c r="W87">
        <f t="shared" ca="1" si="27"/>
        <v>118.163093416517</v>
      </c>
      <c r="X87">
        <f t="shared" ca="1" si="17"/>
        <v>117.63931036738319</v>
      </c>
      <c r="Y87">
        <f t="shared" ca="1" si="16"/>
        <v>0.37225890400573292</v>
      </c>
      <c r="Z87">
        <f t="shared" ca="1" si="18"/>
        <v>1.2374152249414461</v>
      </c>
      <c r="AA87">
        <f t="shared" ca="1" si="19"/>
        <v>-0.86515632093571315</v>
      </c>
    </row>
    <row r="88" spans="1:27" x14ac:dyDescent="0.25">
      <c r="A88" s="20">
        <f t="shared" ca="1" si="20"/>
        <v>45418</v>
      </c>
      <c r="B88" vm="255">
        <f ca="1"/>
        <v>45418</v>
      </c>
      <c r="C88" vm="256">
        <f ca="1"/>
        <v>116.75</v>
      </c>
      <c r="D88" vm="257">
        <f ca="1"/>
        <v>31401260</v>
      </c>
      <c r="E88">
        <f t="shared" ca="1" si="21"/>
        <v>3666097105</v>
      </c>
      <c r="F88">
        <f ca="1">SUM($E$2:E88)/SUM($D$2:D88)</f>
        <v>108.91536492177602</v>
      </c>
      <c r="G88">
        <f ca="1">_xlfn.STDEV.P($C$2:C88)</f>
        <v>8.0154021719315001</v>
      </c>
      <c r="H88">
        <f t="shared" ca="1" si="22"/>
        <v>116.93076709370752</v>
      </c>
      <c r="I88">
        <f t="shared" ca="1" si="23"/>
        <v>100.89996274984452</v>
      </c>
      <c r="J88">
        <f t="shared" ca="1" si="32"/>
        <v>119.28999999999999</v>
      </c>
      <c r="K88">
        <f t="shared" ca="1" si="33"/>
        <v>1.9652587883694006</v>
      </c>
      <c r="L88">
        <f t="shared" ca="1" si="34"/>
        <v>123.2205175767388</v>
      </c>
      <c r="M88">
        <f t="shared" ca="1" si="35"/>
        <v>115.35948242326118</v>
      </c>
      <c r="N88">
        <f t="shared" ca="1" si="24"/>
        <v>0.75</v>
      </c>
      <c r="O88">
        <f t="shared" ca="1" si="25"/>
        <v>0.75</v>
      </c>
      <c r="P88">
        <f t="shared" ca="1" si="26"/>
        <v>0</v>
      </c>
      <c r="Q88">
        <f t="shared" ca="1" si="30"/>
        <v>0.44190879892768065</v>
      </c>
      <c r="R88">
        <f t="shared" ca="1" si="31"/>
        <v>0.49887210068025523</v>
      </c>
      <c r="S88">
        <f t="shared" ca="1" si="28"/>
        <v>0.88581581997690351</v>
      </c>
      <c r="T88">
        <f t="shared" ca="1" si="29"/>
        <v>46.97255217573435</v>
      </c>
      <c r="U88">
        <f>70</f>
        <v>70</v>
      </c>
      <c r="V88">
        <f>30</f>
        <v>30</v>
      </c>
      <c r="W88">
        <f t="shared" ca="1" si="27"/>
        <v>117.94569442936054</v>
      </c>
      <c r="X88">
        <f t="shared" ca="1" si="17"/>
        <v>117.57343552535481</v>
      </c>
      <c r="Y88">
        <f t="shared" ca="1" si="16"/>
        <v>0.20303333270589974</v>
      </c>
      <c r="Z88">
        <f t="shared" ca="1" si="18"/>
        <v>1.0305388464943368</v>
      </c>
      <c r="AA88">
        <f t="shared" ca="1" si="19"/>
        <v>-0.82750551378843706</v>
      </c>
    </row>
    <row r="89" spans="1:27" x14ac:dyDescent="0.25">
      <c r="A89" s="20">
        <f t="shared" ca="1" si="20"/>
        <v>45418</v>
      </c>
      <c r="B89" vm="258">
        <f ca="1"/>
        <v>45419</v>
      </c>
      <c r="C89" vm="259">
        <f ca="1"/>
        <v>116.17</v>
      </c>
      <c r="D89" vm="260">
        <f ca="1"/>
        <v>30121973</v>
      </c>
      <c r="E89">
        <f t="shared" ca="1" si="21"/>
        <v>3499269603.4099998</v>
      </c>
      <c r="F89">
        <f ca="1">SUM($E$2:E89)/SUM($D$2:D89)</f>
        <v>109.04726927584456</v>
      </c>
      <c r="G89">
        <f ca="1">_xlfn.STDEV.P($C$2:C89)</f>
        <v>8.0056120738622756</v>
      </c>
      <c r="H89">
        <f t="shared" ca="1" si="22"/>
        <v>117.05288134970684</v>
      </c>
      <c r="I89">
        <f t="shared" ca="1" si="23"/>
        <v>101.04165720198228</v>
      </c>
      <c r="J89">
        <f t="shared" ca="1" si="32"/>
        <v>119.0395</v>
      </c>
      <c r="K89">
        <f t="shared" ca="1" si="33"/>
        <v>2.0299065962437015</v>
      </c>
      <c r="L89">
        <f t="shared" ca="1" si="34"/>
        <v>123.0993131924874</v>
      </c>
      <c r="M89">
        <f t="shared" ca="1" si="35"/>
        <v>114.97968680751261</v>
      </c>
      <c r="N89">
        <f t="shared" ca="1" si="24"/>
        <v>-0.57999999999999829</v>
      </c>
      <c r="O89">
        <f t="shared" ca="1" si="25"/>
        <v>0</v>
      </c>
      <c r="P89">
        <f t="shared" ca="1" si="26"/>
        <v>0.57999999999999829</v>
      </c>
      <c r="Q89">
        <f t="shared" ca="1" si="30"/>
        <v>0.41034388471856065</v>
      </c>
      <c r="R89">
        <f t="shared" ca="1" si="31"/>
        <v>0.50466695063166545</v>
      </c>
      <c r="S89">
        <f t="shared" ca="1" si="28"/>
        <v>0.81309838935352219</v>
      </c>
      <c r="T89">
        <f t="shared" ca="1" si="29"/>
        <v>44.84579513875363</v>
      </c>
      <c r="U89">
        <f>70</f>
        <v>70</v>
      </c>
      <c r="V89">
        <f>30</f>
        <v>30</v>
      </c>
      <c r="W89">
        <f t="shared" ca="1" si="27"/>
        <v>117.67251067099738</v>
      </c>
      <c r="X89">
        <f t="shared" ca="1" si="17"/>
        <v>117.46947733829148</v>
      </c>
      <c r="Y89">
        <f t="shared" ca="1" si="16"/>
        <v>6.6539983878897146E-2</v>
      </c>
      <c r="Z89">
        <f t="shared" ca="1" si="18"/>
        <v>0.83773907397124892</v>
      </c>
      <c r="AA89">
        <f t="shared" ca="1" si="19"/>
        <v>-0.77119909009235177</v>
      </c>
    </row>
    <row r="90" spans="1:27" x14ac:dyDescent="0.25">
      <c r="A90" s="20">
        <f t="shared" ca="1" si="20"/>
        <v>45418</v>
      </c>
      <c r="B90" vm="261">
        <f ca="1"/>
        <v>45420</v>
      </c>
      <c r="C90" vm="262">
        <f ca="1"/>
        <v>116.15</v>
      </c>
      <c r="D90" vm="263">
        <f ca="1"/>
        <v>18957166</v>
      </c>
      <c r="E90">
        <f t="shared" ca="1" si="21"/>
        <v>2201874830.9000001</v>
      </c>
      <c r="F90">
        <f ca="1">SUM($E$2:E90)/SUM($D$2:D90)</f>
        <v>109.12762513835438</v>
      </c>
      <c r="G90">
        <f ca="1">_xlfn.STDEV.P($C$2:C90)</f>
        <v>7.9950379258277984</v>
      </c>
      <c r="H90">
        <f t="shared" ca="1" si="22"/>
        <v>117.12266306418218</v>
      </c>
      <c r="I90">
        <f t="shared" ca="1" si="23"/>
        <v>101.13258721252657</v>
      </c>
      <c r="J90">
        <f t="shared" ca="1" si="32"/>
        <v>118.73700000000001</v>
      </c>
      <c r="K90">
        <f t="shared" ca="1" si="33"/>
        <v>1.9844158626128436</v>
      </c>
      <c r="L90">
        <f t="shared" ca="1" si="34"/>
        <v>122.70583172522569</v>
      </c>
      <c r="M90">
        <f t="shared" ca="1" si="35"/>
        <v>114.76816827477433</v>
      </c>
      <c r="N90">
        <f t="shared" ca="1" si="24"/>
        <v>-1.9999999999996021E-2</v>
      </c>
      <c r="O90">
        <f t="shared" ca="1" si="25"/>
        <v>0</v>
      </c>
      <c r="P90">
        <f t="shared" ca="1" si="26"/>
        <v>1.9999999999996021E-2</v>
      </c>
      <c r="Q90">
        <f t="shared" ca="1" si="30"/>
        <v>0.38103360723866342</v>
      </c>
      <c r="R90">
        <f t="shared" ca="1" si="31"/>
        <v>0.47004788272940334</v>
      </c>
      <c r="S90">
        <f t="shared" ca="1" si="28"/>
        <v>0.81062721743609345</v>
      </c>
      <c r="T90">
        <f t="shared" ca="1" si="29"/>
        <v>44.770519830358438</v>
      </c>
      <c r="U90">
        <f>70</f>
        <v>70</v>
      </c>
      <c r="V90">
        <f>30</f>
        <v>30</v>
      </c>
      <c r="W90">
        <f t="shared" ca="1" si="27"/>
        <v>117.43827826007471</v>
      </c>
      <c r="X90">
        <f t="shared" ca="1" si="17"/>
        <v>117.37173827619581</v>
      </c>
      <c r="Y90">
        <f t="shared" ca="1" si="16"/>
        <v>0.14152052273090021</v>
      </c>
      <c r="Z90">
        <f t="shared" ca="1" si="18"/>
        <v>0.69849536372317922</v>
      </c>
      <c r="AA90">
        <f t="shared" ca="1" si="19"/>
        <v>-0.55697484099227901</v>
      </c>
    </row>
    <row r="91" spans="1:27" x14ac:dyDescent="0.25">
      <c r="A91" s="20">
        <f t="shared" ca="1" si="20"/>
        <v>45418</v>
      </c>
      <c r="B91" vm="264">
        <f ca="1"/>
        <v>45421</v>
      </c>
      <c r="C91" vm="265">
        <f ca="1"/>
        <v>118.44</v>
      </c>
      <c r="D91" vm="266">
        <f ca="1"/>
        <v>17563975</v>
      </c>
      <c r="E91">
        <f t="shared" ca="1" si="21"/>
        <v>2080277199</v>
      </c>
      <c r="F91">
        <f ca="1">SUM($E$2:E91)/SUM($D$2:D91)</f>
        <v>109.22422433362939</v>
      </c>
      <c r="G91">
        <f ca="1">_xlfn.STDEV.P($C$2:C91)</f>
        <v>8.0094384599948363</v>
      </c>
      <c r="H91">
        <f t="shared" ca="1" si="22"/>
        <v>117.23366279362423</v>
      </c>
      <c r="I91">
        <f t="shared" ca="1" si="23"/>
        <v>101.21478587363455</v>
      </c>
      <c r="J91">
        <f t="shared" ca="1" si="32"/>
        <v>118.56949999999999</v>
      </c>
      <c r="K91">
        <f t="shared" ca="1" si="33"/>
        <v>1.8499857040699417</v>
      </c>
      <c r="L91">
        <f t="shared" ca="1" si="34"/>
        <v>122.26947140813988</v>
      </c>
      <c r="M91">
        <f t="shared" ca="1" si="35"/>
        <v>114.8695285918601</v>
      </c>
      <c r="N91">
        <f t="shared" ca="1" si="24"/>
        <v>2.289999999999992</v>
      </c>
      <c r="O91">
        <f t="shared" ca="1" si="25"/>
        <v>2.289999999999992</v>
      </c>
      <c r="P91">
        <f t="shared" ca="1" si="26"/>
        <v>0</v>
      </c>
      <c r="Q91">
        <f t="shared" ca="1" si="30"/>
        <v>0.51738834957875834</v>
      </c>
      <c r="R91">
        <f t="shared" ca="1" si="31"/>
        <v>0.43647303396301734</v>
      </c>
      <c r="S91">
        <f t="shared" ca="1" si="28"/>
        <v>1.185384455211492</v>
      </c>
      <c r="T91">
        <f t="shared" ca="1" si="29"/>
        <v>54.241460919368336</v>
      </c>
      <c r="U91">
        <f>70</f>
        <v>70</v>
      </c>
      <c r="V91">
        <f>30</f>
        <v>30</v>
      </c>
      <c r="W91">
        <f t="shared" ca="1" si="27"/>
        <v>117.59238929698628</v>
      </c>
      <c r="X91">
        <f t="shared" ca="1" si="17"/>
        <v>117.45086877425538</v>
      </c>
      <c r="Y91">
        <f t="shared" ca="1" si="16"/>
        <v>0.16036259137300135</v>
      </c>
      <c r="Z91">
        <f t="shared" ca="1" si="18"/>
        <v>0.59086880925314367</v>
      </c>
      <c r="AA91">
        <f t="shared" ca="1" si="19"/>
        <v>-0.43050621788014232</v>
      </c>
    </row>
    <row r="92" spans="1:27" x14ac:dyDescent="0.25">
      <c r="A92" s="20">
        <f t="shared" ca="1" si="20"/>
        <v>45418</v>
      </c>
      <c r="B92" vm="267">
        <f ca="1"/>
        <v>45422</v>
      </c>
      <c r="C92" vm="239">
        <f ca="1"/>
        <v>117.96</v>
      </c>
      <c r="D92" vm="268">
        <f ca="1"/>
        <v>13648130</v>
      </c>
      <c r="E92">
        <f t="shared" ca="1" si="21"/>
        <v>1609933414.8</v>
      </c>
      <c r="F92">
        <f ca="1">SUM($E$2:E92)/SUM($D$2:D92)</f>
        <v>109.29407623995381</v>
      </c>
      <c r="G92">
        <f ca="1">_xlfn.STDEV.P($C$2:C92)</f>
        <v>8.0164270000794584</v>
      </c>
      <c r="H92">
        <f t="shared" ca="1" si="22"/>
        <v>117.31050324003327</v>
      </c>
      <c r="I92">
        <f t="shared" ca="1" si="23"/>
        <v>101.27764923987435</v>
      </c>
      <c r="J92">
        <f t="shared" ca="1" si="32"/>
        <v>118.449</v>
      </c>
      <c r="K92">
        <f t="shared" ca="1" si="33"/>
        <v>1.8044649301691971</v>
      </c>
      <c r="L92">
        <f t="shared" ca="1" si="34"/>
        <v>122.05792986033839</v>
      </c>
      <c r="M92">
        <f t="shared" ca="1" si="35"/>
        <v>114.84007013966161</v>
      </c>
      <c r="N92">
        <f t="shared" ca="1" si="24"/>
        <v>-0.48000000000000398</v>
      </c>
      <c r="O92">
        <f t="shared" ca="1" si="25"/>
        <v>0</v>
      </c>
      <c r="P92">
        <f t="shared" ca="1" si="26"/>
        <v>0.48000000000000398</v>
      </c>
      <c r="Q92">
        <f t="shared" ca="1" si="30"/>
        <v>0.48043203889456132</v>
      </c>
      <c r="R92">
        <f t="shared" ca="1" si="31"/>
        <v>0.43958210296565925</v>
      </c>
      <c r="S92">
        <f t="shared" ca="1" si="28"/>
        <v>1.0929290243012768</v>
      </c>
      <c r="T92">
        <f t="shared" ca="1" si="29"/>
        <v>52.220071087510988</v>
      </c>
      <c r="U92">
        <f>70</f>
        <v>70</v>
      </c>
      <c r="V92">
        <f>30</f>
        <v>30</v>
      </c>
      <c r="W92">
        <f t="shared" ca="1" si="27"/>
        <v>117.64894478975762</v>
      </c>
      <c r="X92">
        <f t="shared" ca="1" si="17"/>
        <v>117.48858219838462</v>
      </c>
      <c r="Y92">
        <f t="shared" ref="Y92:Y155" ca="1" si="36">W93-X93</f>
        <v>0.16930879795729936</v>
      </c>
      <c r="Z92">
        <f t="shared" ca="1" si="18"/>
        <v>0.50655680699397476</v>
      </c>
      <c r="AA92">
        <f t="shared" ca="1" si="19"/>
        <v>-0.3372480090366754</v>
      </c>
    </row>
    <row r="93" spans="1:27" x14ac:dyDescent="0.25">
      <c r="A93" s="20">
        <f t="shared" ca="1" si="20"/>
        <v>45425</v>
      </c>
      <c r="B93" vm="269">
        <f ca="1"/>
        <v>45425</v>
      </c>
      <c r="C93" vm="270">
        <f ca="1"/>
        <v>117.91</v>
      </c>
      <c r="D93" vm="271">
        <f ca="1"/>
        <v>15060619</v>
      </c>
      <c r="E93">
        <f t="shared" ca="1" si="21"/>
        <v>1775797586.29</v>
      </c>
      <c r="F93">
        <f ca="1">SUM($E$2:E93)/SUM($D$2:D93)</f>
        <v>109.3694348830135</v>
      </c>
      <c r="G93">
        <f ca="1">_xlfn.STDEV.P($C$2:C93)</f>
        <v>8.0215899619393287</v>
      </c>
      <c r="H93">
        <f t="shared" ca="1" si="22"/>
        <v>117.39102484495282</v>
      </c>
      <c r="I93">
        <f t="shared" ca="1" si="23"/>
        <v>101.34784492107417</v>
      </c>
      <c r="J93">
        <f t="shared" ca="1" si="32"/>
        <v>118.3605</v>
      </c>
      <c r="K93">
        <f t="shared" ca="1" si="33"/>
        <v>1.7842040094586775</v>
      </c>
      <c r="L93">
        <f t="shared" ca="1" si="34"/>
        <v>121.92890801891735</v>
      </c>
      <c r="M93">
        <f t="shared" ca="1" si="35"/>
        <v>114.79209198108265</v>
      </c>
      <c r="N93">
        <f t="shared" ca="1" si="24"/>
        <v>-4.9999999999997158E-2</v>
      </c>
      <c r="O93">
        <f t="shared" ca="1" si="25"/>
        <v>0</v>
      </c>
      <c r="P93">
        <f t="shared" ca="1" si="26"/>
        <v>4.9999999999997158E-2</v>
      </c>
      <c r="Q93">
        <f t="shared" ca="1" si="30"/>
        <v>0.44611546468780688</v>
      </c>
      <c r="R93">
        <f t="shared" ca="1" si="31"/>
        <v>0.41175480989668334</v>
      </c>
      <c r="S93">
        <f t="shared" ca="1" si="28"/>
        <v>1.0834493100390139</v>
      </c>
      <c r="T93">
        <f t="shared" ca="1" si="29"/>
        <v>52.00267195455433</v>
      </c>
      <c r="U93">
        <f>70</f>
        <v>70</v>
      </c>
      <c r="V93">
        <f>30</f>
        <v>30</v>
      </c>
      <c r="W93">
        <f t="shared" ca="1" si="27"/>
        <v>117.68910712979491</v>
      </c>
      <c r="X93">
        <f t="shared" ref="X93:X156" ca="1" si="37">C93*(2/(26+1)) + X92*(1-(2/(26+1)))</f>
        <v>117.51979833183761</v>
      </c>
      <c r="Y93">
        <f t="shared" ca="1" si="36"/>
        <v>0.15524319003380072</v>
      </c>
      <c r="Z93">
        <f t="shared" ca="1" si="18"/>
        <v>0.43629408360194</v>
      </c>
      <c r="AA93">
        <f t="shared" ca="1" si="19"/>
        <v>-0.28105089356813928</v>
      </c>
    </row>
    <row r="94" spans="1:27" x14ac:dyDescent="0.25">
      <c r="A94" s="20">
        <f t="shared" ca="1" si="20"/>
        <v>45425</v>
      </c>
      <c r="B94" vm="272">
        <f ca="1"/>
        <v>45426</v>
      </c>
      <c r="C94" vm="273">
        <f ca="1"/>
        <v>117.67</v>
      </c>
      <c r="D94" vm="274">
        <f ca="1"/>
        <v>15079131</v>
      </c>
      <c r="E94">
        <f t="shared" ca="1" si="21"/>
        <v>1774361344.77</v>
      </c>
      <c r="F94">
        <f ca="1">SUM($E$2:E94)/SUM($D$2:D94)</f>
        <v>109.44149346852321</v>
      </c>
      <c r="G94">
        <f ca="1">_xlfn.STDEV.P($C$2:C94)</f>
        <v>8.0229587414668586</v>
      </c>
      <c r="H94">
        <f t="shared" ca="1" si="22"/>
        <v>117.46445220999007</v>
      </c>
      <c r="I94">
        <f t="shared" ca="1" si="23"/>
        <v>101.41853472705634</v>
      </c>
      <c r="J94">
        <f t="shared" ca="1" si="32"/>
        <v>118.3095</v>
      </c>
      <c r="K94">
        <f t="shared" ca="1" si="33"/>
        <v>1.7888616639169104</v>
      </c>
      <c r="L94">
        <f t="shared" ca="1" si="34"/>
        <v>121.88722332783382</v>
      </c>
      <c r="M94">
        <f t="shared" ca="1" si="35"/>
        <v>114.73177667216618</v>
      </c>
      <c r="N94">
        <f t="shared" ca="1" si="24"/>
        <v>-0.23999999999999488</v>
      </c>
      <c r="O94">
        <f t="shared" ca="1" si="25"/>
        <v>0</v>
      </c>
      <c r="P94">
        <f t="shared" ca="1" si="26"/>
        <v>0.23999999999999488</v>
      </c>
      <c r="Q94">
        <f t="shared" ca="1" si="30"/>
        <v>0.41425007435296352</v>
      </c>
      <c r="R94">
        <f t="shared" ca="1" si="31"/>
        <v>0.39948660918977702</v>
      </c>
      <c r="S94">
        <f t="shared" ca="1" si="28"/>
        <v>1.0369560952071188</v>
      </c>
      <c r="T94">
        <f t="shared" ca="1" si="29"/>
        <v>50.907140200372382</v>
      </c>
      <c r="U94">
        <f>70</f>
        <v>70</v>
      </c>
      <c r="V94">
        <f>30</f>
        <v>30</v>
      </c>
      <c r="W94">
        <f t="shared" ca="1" si="27"/>
        <v>117.68616757136492</v>
      </c>
      <c r="X94">
        <f t="shared" ca="1" si="37"/>
        <v>117.53092438133112</v>
      </c>
      <c r="Y94">
        <f t="shared" ca="1" si="36"/>
        <v>0.21504656627568863</v>
      </c>
      <c r="Z94">
        <f t="shared" ca="1" si="18"/>
        <v>0.39204458013668975</v>
      </c>
      <c r="AA94">
        <f t="shared" ca="1" si="19"/>
        <v>-0.17699801386100111</v>
      </c>
    </row>
    <row r="95" spans="1:27" x14ac:dyDescent="0.25">
      <c r="A95" s="20">
        <f t="shared" ca="1" si="20"/>
        <v>45425</v>
      </c>
      <c r="B95" vm="275">
        <f ca="1"/>
        <v>45427</v>
      </c>
      <c r="C95" vm="276">
        <f ca="1"/>
        <v>118.58</v>
      </c>
      <c r="D95" vm="277">
        <f ca="1"/>
        <v>18244303</v>
      </c>
      <c r="E95">
        <f t="shared" ca="1" si="21"/>
        <v>2163409449.7399998</v>
      </c>
      <c r="F95">
        <f ca="1">SUM($E$2:E95)/SUM($D$2:D95)</f>
        <v>109.5364809757574</v>
      </c>
      <c r="G95">
        <f ca="1">_xlfn.STDEV.P($C$2:C95)</f>
        <v>8.033572544176355</v>
      </c>
      <c r="H95">
        <f t="shared" ca="1" si="22"/>
        <v>117.57005351993375</v>
      </c>
      <c r="I95">
        <f t="shared" ca="1" si="23"/>
        <v>101.50290843158105</v>
      </c>
      <c r="J95">
        <f t="shared" ca="1" si="32"/>
        <v>118.30700000000002</v>
      </c>
      <c r="K95">
        <f t="shared" ca="1" si="33"/>
        <v>1.7884250642747979</v>
      </c>
      <c r="L95">
        <f t="shared" ca="1" si="34"/>
        <v>121.88385012854961</v>
      </c>
      <c r="M95">
        <f t="shared" ca="1" si="35"/>
        <v>114.73014987145042</v>
      </c>
      <c r="N95">
        <f t="shared" ca="1" si="24"/>
        <v>0.90999999999999659</v>
      </c>
      <c r="O95">
        <f t="shared" ca="1" si="25"/>
        <v>0.90999999999999659</v>
      </c>
      <c r="P95">
        <f t="shared" ca="1" si="26"/>
        <v>0</v>
      </c>
      <c r="Q95">
        <f t="shared" ca="1" si="30"/>
        <v>0.44966078332775161</v>
      </c>
      <c r="R95">
        <f t="shared" ca="1" si="31"/>
        <v>0.37095185139050724</v>
      </c>
      <c r="S95">
        <f t="shared" ca="1" si="28"/>
        <v>1.21218099233689</v>
      </c>
      <c r="T95">
        <f t="shared" ca="1" si="29"/>
        <v>54.795742144785983</v>
      </c>
      <c r="U95">
        <f>70</f>
        <v>70</v>
      </c>
      <c r="V95">
        <f>30</f>
        <v>30</v>
      </c>
      <c r="W95">
        <f t="shared" ca="1" si="27"/>
        <v>117.82368025269339</v>
      </c>
      <c r="X95">
        <f t="shared" ca="1" si="37"/>
        <v>117.6086336864177</v>
      </c>
      <c r="Y95">
        <f t="shared" ca="1" si="36"/>
        <v>0.20281221357319623</v>
      </c>
      <c r="Z95">
        <f t="shared" ca="1" si="18"/>
        <v>0.35419810682399111</v>
      </c>
      <c r="AA95">
        <f t="shared" ca="1" si="19"/>
        <v>-0.15138589325079488</v>
      </c>
    </row>
    <row r="96" spans="1:27" x14ac:dyDescent="0.25">
      <c r="A96" s="20">
        <f t="shared" ca="1" si="20"/>
        <v>45425</v>
      </c>
      <c r="B96" vm="278">
        <f ca="1"/>
        <v>45428</v>
      </c>
      <c r="C96" vm="279">
        <f ca="1"/>
        <v>117.87</v>
      </c>
      <c r="D96" vm="280">
        <f ca="1"/>
        <v>15745202</v>
      </c>
      <c r="E96">
        <f t="shared" ca="1" si="21"/>
        <v>1855886959.74</v>
      </c>
      <c r="F96">
        <f ca="1">SUM($E$2:E96)/SUM($D$2:D96)</f>
        <v>109.61057142468624</v>
      </c>
      <c r="G96">
        <f ca="1">_xlfn.STDEV.P($C$2:C96)</f>
        <v>8.0349647302316463</v>
      </c>
      <c r="H96">
        <f t="shared" ca="1" si="22"/>
        <v>117.64553615491789</v>
      </c>
      <c r="I96">
        <f t="shared" ca="1" si="23"/>
        <v>101.57560669445459</v>
      </c>
      <c r="J96">
        <f t="shared" ca="1" si="32"/>
        <v>118.27450000000002</v>
      </c>
      <c r="K96">
        <f t="shared" ca="1" si="33"/>
        <v>1.7902557153423049</v>
      </c>
      <c r="L96">
        <f t="shared" ca="1" si="34"/>
        <v>121.85501143068463</v>
      </c>
      <c r="M96">
        <f t="shared" ca="1" si="35"/>
        <v>114.69398856931541</v>
      </c>
      <c r="N96">
        <f t="shared" ca="1" si="24"/>
        <v>-0.70999999999999375</v>
      </c>
      <c r="O96">
        <f t="shared" ca="1" si="25"/>
        <v>0</v>
      </c>
      <c r="P96">
        <f t="shared" ca="1" si="26"/>
        <v>0.70999999999999375</v>
      </c>
      <c r="Q96">
        <f t="shared" ca="1" si="30"/>
        <v>0.4175421559471979</v>
      </c>
      <c r="R96">
        <f t="shared" ca="1" si="31"/>
        <v>0.39516957629118482</v>
      </c>
      <c r="S96">
        <f t="shared" ca="1" si="28"/>
        <v>1.0566151368887964</v>
      </c>
      <c r="T96">
        <f t="shared" ca="1" si="29"/>
        <v>51.376415447725485</v>
      </c>
      <c r="U96">
        <f>70</f>
        <v>70</v>
      </c>
      <c r="V96">
        <f>30</f>
        <v>30</v>
      </c>
      <c r="W96">
        <f t="shared" ca="1" si="27"/>
        <v>117.83080636766366</v>
      </c>
      <c r="X96">
        <f t="shared" ca="1" si="37"/>
        <v>117.62799415409046</v>
      </c>
      <c r="Y96">
        <f t="shared" ca="1" si="36"/>
        <v>0.332112225403705</v>
      </c>
      <c r="Z96">
        <f t="shared" ca="1" si="18"/>
        <v>0.34978093053993392</v>
      </c>
      <c r="AA96">
        <f t="shared" ca="1" si="19"/>
        <v>-1.7668705136228924E-2</v>
      </c>
    </row>
    <row r="97" spans="1:28" x14ac:dyDescent="0.25">
      <c r="A97" s="20">
        <f t="shared" ca="1" si="20"/>
        <v>45425</v>
      </c>
      <c r="B97" vm="281">
        <f ca="1"/>
        <v>45429</v>
      </c>
      <c r="C97" vm="242">
        <f ca="1"/>
        <v>119.64</v>
      </c>
      <c r="D97" vm="282">
        <f ca="1"/>
        <v>15104469</v>
      </c>
      <c r="E97">
        <f t="shared" ca="1" si="21"/>
        <v>1807098671.1600001</v>
      </c>
      <c r="F97">
        <f ca="1">SUM($E$2:E97)/SUM($D$2:D97)</f>
        <v>109.69538763810512</v>
      </c>
      <c r="G97">
        <f ca="1">_xlfn.STDEV.P($C$2:C97)</f>
        <v>8.0558523783168123</v>
      </c>
      <c r="H97">
        <f t="shared" ca="1" si="22"/>
        <v>117.75124001642193</v>
      </c>
      <c r="I97">
        <f t="shared" ca="1" si="23"/>
        <v>101.6395352597883</v>
      </c>
      <c r="J97">
        <f t="shared" ca="1" si="32"/>
        <v>118.2625</v>
      </c>
      <c r="K97">
        <f t="shared" ca="1" si="33"/>
        <v>1.7797009654196934</v>
      </c>
      <c r="L97">
        <f t="shared" ca="1" si="34"/>
        <v>121.82190193083939</v>
      </c>
      <c r="M97">
        <f t="shared" ca="1" si="35"/>
        <v>114.70309806916062</v>
      </c>
      <c r="N97">
        <f t="shared" ca="1" si="24"/>
        <v>1.769999999999996</v>
      </c>
      <c r="O97">
        <f t="shared" ca="1" si="25"/>
        <v>1.769999999999996</v>
      </c>
      <c r="P97">
        <f t="shared" ca="1" si="26"/>
        <v>0</v>
      </c>
      <c r="Q97">
        <f t="shared" ca="1" si="30"/>
        <v>0.51414628766525483</v>
      </c>
      <c r="R97">
        <f t="shared" ca="1" si="31"/>
        <v>0.36694317798467158</v>
      </c>
      <c r="S97">
        <f t="shared" ca="1" si="28"/>
        <v>1.4011605025308098</v>
      </c>
      <c r="T97">
        <f t="shared" ca="1" si="29"/>
        <v>58.353471209192158</v>
      </c>
      <c r="U97">
        <f>70</f>
        <v>70</v>
      </c>
      <c r="V97">
        <f>30</f>
        <v>30</v>
      </c>
      <c r="W97">
        <f t="shared" ca="1" si="27"/>
        <v>118.10914384956155</v>
      </c>
      <c r="X97">
        <f t="shared" ca="1" si="37"/>
        <v>117.77703162415784</v>
      </c>
      <c r="Y97">
        <f t="shared" ca="1" si="36"/>
        <v>0.35225198139167446</v>
      </c>
      <c r="Z97">
        <f t="shared" ca="1" si="18"/>
        <v>0.35027514071028204</v>
      </c>
      <c r="AA97">
        <f t="shared" ca="1" si="19"/>
        <v>1.9768406813924222E-3</v>
      </c>
    </row>
    <row r="98" spans="1:28" x14ac:dyDescent="0.25">
      <c r="A98" s="20">
        <f t="shared" ca="1" si="20"/>
        <v>45432</v>
      </c>
      <c r="B98" vm="283">
        <f ca="1"/>
        <v>45432</v>
      </c>
      <c r="C98" vm="284">
        <f ca="1"/>
        <v>118.67</v>
      </c>
      <c r="D98" vm="285">
        <f ca="1"/>
        <v>11551250</v>
      </c>
      <c r="E98">
        <f t="shared" ca="1" si="21"/>
        <v>1370786837.5</v>
      </c>
      <c r="F98">
        <f ca="1">SUM($E$2:E98)/SUM($D$2:D98)</f>
        <v>109.7530566114968</v>
      </c>
      <c r="G98">
        <f ca="1">_xlfn.STDEV.P($C$2:C98)</f>
        <v>8.063571834632441</v>
      </c>
      <c r="H98">
        <f t="shared" ca="1" si="22"/>
        <v>117.81662844612924</v>
      </c>
      <c r="I98">
        <f t="shared" ca="1" si="23"/>
        <v>101.68948477686436</v>
      </c>
      <c r="J98">
        <f t="shared" ca="1" si="32"/>
        <v>118.16800000000001</v>
      </c>
      <c r="K98">
        <f t="shared" ca="1" si="33"/>
        <v>1.6996643631518604</v>
      </c>
      <c r="L98">
        <f t="shared" ca="1" si="34"/>
        <v>121.56732872630373</v>
      </c>
      <c r="M98">
        <f t="shared" ca="1" si="35"/>
        <v>114.76867127369628</v>
      </c>
      <c r="N98">
        <f t="shared" ca="1" si="24"/>
        <v>-0.96999999999999886</v>
      </c>
      <c r="O98">
        <f t="shared" ca="1" si="25"/>
        <v>0</v>
      </c>
      <c r="P98">
        <f t="shared" ca="1" si="26"/>
        <v>0.96999999999999886</v>
      </c>
      <c r="Q98">
        <f t="shared" ca="1" si="30"/>
        <v>0.47742155283202237</v>
      </c>
      <c r="R98">
        <f t="shared" ca="1" si="31"/>
        <v>0.41001866527148068</v>
      </c>
      <c r="S98">
        <f t="shared" ca="1" si="28"/>
        <v>1.1643898028786397</v>
      </c>
      <c r="T98">
        <f t="shared" ca="1" si="29"/>
        <v>53.797601584058505</v>
      </c>
      <c r="U98">
        <f>70</f>
        <v>70</v>
      </c>
      <c r="V98">
        <f>30</f>
        <v>30</v>
      </c>
      <c r="W98">
        <f t="shared" ca="1" si="27"/>
        <v>118.19542941116745</v>
      </c>
      <c r="X98">
        <f t="shared" ca="1" si="37"/>
        <v>117.84317742977578</v>
      </c>
      <c r="Y98">
        <f t="shared" ca="1" si="36"/>
        <v>0.29860361948605885</v>
      </c>
      <c r="Z98">
        <f t="shared" ca="1" si="18"/>
        <v>0.33994083646543743</v>
      </c>
      <c r="AA98">
        <f t="shared" ca="1" si="19"/>
        <v>-4.1337216979378588E-2</v>
      </c>
    </row>
    <row r="99" spans="1:28" x14ac:dyDescent="0.25">
      <c r="A99" s="20">
        <f t="shared" ca="1" si="20"/>
        <v>45432</v>
      </c>
      <c r="B99" vm="286">
        <f ca="1"/>
        <v>45433</v>
      </c>
      <c r="C99" vm="287">
        <f ca="1"/>
        <v>117.85</v>
      </c>
      <c r="D99" vm="288">
        <f ca="1"/>
        <v>14494980</v>
      </c>
      <c r="E99">
        <f t="shared" ca="1" si="21"/>
        <v>1708233393</v>
      </c>
      <c r="F99">
        <f ca="1">SUM($E$2:E99)/SUM($D$2:D99)</f>
        <v>109.81782281474342</v>
      </c>
      <c r="G99">
        <f ca="1">_xlfn.STDEV.P($C$2:C99)</f>
        <v>8.0615930224465266</v>
      </c>
      <c r="H99">
        <f t="shared" ca="1" si="22"/>
        <v>117.87941583718995</v>
      </c>
      <c r="I99">
        <f t="shared" ca="1" si="23"/>
        <v>101.75622979229689</v>
      </c>
      <c r="J99">
        <f t="shared" ca="1" si="32"/>
        <v>118.00900000000001</v>
      </c>
      <c r="K99">
        <f t="shared" ca="1" si="33"/>
        <v>1.5609170718725438</v>
      </c>
      <c r="L99">
        <f t="shared" ca="1" si="34"/>
        <v>121.1308341437451</v>
      </c>
      <c r="M99">
        <f t="shared" ca="1" si="35"/>
        <v>114.88716585625492</v>
      </c>
      <c r="N99">
        <f t="shared" ca="1" si="24"/>
        <v>-0.82000000000000739</v>
      </c>
      <c r="O99">
        <f t="shared" ca="1" si="25"/>
        <v>0</v>
      </c>
      <c r="P99">
        <f t="shared" ca="1" si="26"/>
        <v>0.82000000000000739</v>
      </c>
      <c r="Q99">
        <f t="shared" ca="1" si="30"/>
        <v>0.44332001334402077</v>
      </c>
      <c r="R99">
        <f t="shared" ca="1" si="31"/>
        <v>0.4393030463235183</v>
      </c>
      <c r="S99">
        <f t="shared" ca="1" si="28"/>
        <v>1.0091439543934877</v>
      </c>
      <c r="T99">
        <f t="shared" ca="1" si="29"/>
        <v>50.227558467711887</v>
      </c>
      <c r="U99">
        <f>70</f>
        <v>70</v>
      </c>
      <c r="V99">
        <f>30</f>
        <v>30</v>
      </c>
      <c r="W99">
        <f t="shared" ca="1" si="27"/>
        <v>118.142286424834</v>
      </c>
      <c r="X99">
        <f t="shared" ca="1" si="37"/>
        <v>117.84368280534794</v>
      </c>
      <c r="Y99">
        <f t="shared" ca="1" si="36"/>
        <v>6.4108707799476861E-2</v>
      </c>
      <c r="Z99">
        <f t="shared" ca="1" si="18"/>
        <v>0.2847744107322453</v>
      </c>
      <c r="AA99">
        <f t="shared" ca="1" si="19"/>
        <v>-0.22066570293276844</v>
      </c>
    </row>
    <row r="100" spans="1:28" x14ac:dyDescent="0.25">
      <c r="A100" s="20">
        <f t="shared" ca="1" si="20"/>
        <v>45432</v>
      </c>
      <c r="B100" vm="289">
        <f ca="1"/>
        <v>45434</v>
      </c>
      <c r="C100" vm="290">
        <f ca="1"/>
        <v>115.48</v>
      </c>
      <c r="D100" vm="291">
        <f ca="1"/>
        <v>17879252</v>
      </c>
      <c r="E100">
        <f t="shared" ca="1" si="21"/>
        <v>2064696020.96</v>
      </c>
      <c r="F100">
        <f ca="1">SUM($E$2:E100)/SUM($D$2:D100)</f>
        <v>109.87314235856921</v>
      </c>
      <c r="G100">
        <f ca="1">_xlfn.STDEV.P($C$2:C100)</f>
        <v>8.0393150968097586</v>
      </c>
      <c r="H100">
        <f t="shared" ca="1" si="22"/>
        <v>117.91245745537897</v>
      </c>
      <c r="I100">
        <f t="shared" ca="1" si="23"/>
        <v>101.83382726175945</v>
      </c>
      <c r="J100">
        <f t="shared" ca="1" si="32"/>
        <v>117.73050000000001</v>
      </c>
      <c r="K100">
        <f t="shared" ca="1" si="33"/>
        <v>1.484830222440829</v>
      </c>
      <c r="L100">
        <f t="shared" ca="1" si="34"/>
        <v>120.70016044488166</v>
      </c>
      <c r="M100">
        <f t="shared" ca="1" si="35"/>
        <v>114.76083955511835</v>
      </c>
      <c r="N100">
        <f t="shared" ca="1" si="24"/>
        <v>-2.3699999999999903</v>
      </c>
      <c r="O100">
        <f t="shared" ca="1" si="25"/>
        <v>0</v>
      </c>
      <c r="P100">
        <f t="shared" ca="1" si="26"/>
        <v>2.3699999999999903</v>
      </c>
      <c r="Q100">
        <f t="shared" ca="1" si="30"/>
        <v>0.41165429810516219</v>
      </c>
      <c r="R100">
        <f t="shared" ca="1" si="31"/>
        <v>0.57720997158612342</v>
      </c>
      <c r="S100">
        <f t="shared" ca="1" si="28"/>
        <v>0.71317946392015985</v>
      </c>
      <c r="T100">
        <f t="shared" ca="1" si="29"/>
        <v>41.62899911771278</v>
      </c>
      <c r="U100">
        <f>70</f>
        <v>70</v>
      </c>
      <c r="V100">
        <f>30</f>
        <v>30</v>
      </c>
      <c r="W100">
        <f t="shared" ca="1" si="27"/>
        <v>117.73270389793646</v>
      </c>
      <c r="X100">
        <f t="shared" ca="1" si="37"/>
        <v>117.66859519013698</v>
      </c>
      <c r="Y100">
        <f t="shared" ca="1" si="36"/>
        <v>-0.27749395757091122</v>
      </c>
      <c r="Z100">
        <f t="shared" ca="1" si="18"/>
        <v>0.17232073707161399</v>
      </c>
      <c r="AA100">
        <f t="shared" ca="1" si="19"/>
        <v>-0.44981469464252521</v>
      </c>
    </row>
    <row r="101" spans="1:28" x14ac:dyDescent="0.25">
      <c r="A101" s="20">
        <f t="shared" ca="1" si="20"/>
        <v>45432</v>
      </c>
      <c r="B101" vm="292">
        <f ca="1"/>
        <v>45435</v>
      </c>
      <c r="C101" vm="293">
        <f ca="1"/>
        <v>113.51</v>
      </c>
      <c r="D101" vm="294">
        <f ca="1"/>
        <v>15979835</v>
      </c>
      <c r="E101">
        <f t="shared" ca="1" si="21"/>
        <v>1813871070.8500001</v>
      </c>
      <c r="F101">
        <f ca="1">SUM($E$2:E101)/SUM($D$2:D101)</f>
        <v>109.90462481025665</v>
      </c>
      <c r="G101">
        <f ca="1">_xlfn.STDEV.P($C$2:C101)</f>
        <v>8.006302782183548</v>
      </c>
      <c r="H101">
        <f t="shared" ca="1" si="22"/>
        <v>117.9109275924402</v>
      </c>
      <c r="I101">
        <f t="shared" ca="1" si="23"/>
        <v>101.8983220280731</v>
      </c>
      <c r="J101">
        <f t="shared" ca="1" si="32"/>
        <v>117.33950000000004</v>
      </c>
      <c r="K101">
        <f t="shared" ca="1" si="33"/>
        <v>1.5163719686700938</v>
      </c>
      <c r="L101">
        <f t="shared" ca="1" si="34"/>
        <v>120.37224393734023</v>
      </c>
      <c r="M101">
        <f t="shared" ca="1" si="35"/>
        <v>114.30675606265986</v>
      </c>
      <c r="N101">
        <f t="shared" ca="1" si="24"/>
        <v>-1.9699999999999989</v>
      </c>
      <c r="O101">
        <f t="shared" ca="1" si="25"/>
        <v>0</v>
      </c>
      <c r="P101">
        <f t="shared" ca="1" si="26"/>
        <v>1.9699999999999989</v>
      </c>
      <c r="Q101">
        <f t="shared" ca="1" si="30"/>
        <v>0.38225041966907913</v>
      </c>
      <c r="R101">
        <f t="shared" ca="1" si="31"/>
        <v>0.67669497361568598</v>
      </c>
      <c r="S101">
        <f t="shared" ca="1" si="28"/>
        <v>0.56487846751196624</v>
      </c>
      <c r="T101">
        <f t="shared" ca="1" si="29"/>
        <v>36.097273957004383</v>
      </c>
      <c r="U101">
        <f>70</f>
        <v>70</v>
      </c>
      <c r="V101">
        <f>30</f>
        <v>30</v>
      </c>
      <c r="W101">
        <f t="shared" ca="1" si="27"/>
        <v>117.08305714440777</v>
      </c>
      <c r="X101">
        <f t="shared" ca="1" si="37"/>
        <v>117.36055110197869</v>
      </c>
      <c r="Y101">
        <f t="shared" ca="1" si="36"/>
        <v>-0.54914853633607663</v>
      </c>
      <c r="Z101">
        <f t="shared" ca="1" si="18"/>
        <v>2.8026882390075863E-2</v>
      </c>
      <c r="AA101">
        <f t="shared" ca="1" si="19"/>
        <v>-0.57717541872615252</v>
      </c>
      <c r="AB101">
        <f ca="1">AVERAGE(C2:C101)</f>
        <v>110.11239999999999</v>
      </c>
    </row>
    <row r="102" spans="1:28" x14ac:dyDescent="0.25">
      <c r="A102" s="20">
        <f t="shared" ca="1" si="20"/>
        <v>45432</v>
      </c>
      <c r="B102" vm="295">
        <f ca="1"/>
        <v>45436</v>
      </c>
      <c r="C102" vm="296">
        <f ca="1"/>
        <v>113.42</v>
      </c>
      <c r="D102" vm="297">
        <f ca="1"/>
        <v>12212949</v>
      </c>
      <c r="E102">
        <f t="shared" ca="1" si="21"/>
        <v>1385192675.5799999</v>
      </c>
      <c r="F102">
        <f ca="1">SUM($E$2:E102)/SUM($D$2:D102)</f>
        <v>109.92772940651071</v>
      </c>
      <c r="G102">
        <f ca="1">_xlfn.STDEV.P($C$2:C102)</f>
        <v>7.9732972189866196</v>
      </c>
      <c r="H102">
        <f t="shared" ca="1" si="22"/>
        <v>117.90102662549732</v>
      </c>
      <c r="I102">
        <f t="shared" ca="1" si="23"/>
        <v>101.95443218752409</v>
      </c>
      <c r="J102">
        <f t="shared" ca="1" si="32"/>
        <v>117.11250000000003</v>
      </c>
      <c r="K102">
        <f t="shared" ca="1" si="33"/>
        <v>1.7416745571885379</v>
      </c>
      <c r="L102">
        <f t="shared" ca="1" si="34"/>
        <v>120.5958491143771</v>
      </c>
      <c r="M102">
        <f t="shared" ca="1" si="35"/>
        <v>113.62915088562295</v>
      </c>
      <c r="N102">
        <f t="shared" ca="1" si="24"/>
        <v>-9.0000000000003411E-2</v>
      </c>
      <c r="O102">
        <f t="shared" ca="1" si="25"/>
        <v>0</v>
      </c>
      <c r="P102">
        <f t="shared" ca="1" si="26"/>
        <v>9.0000000000003411E-2</v>
      </c>
      <c r="Q102">
        <f t="shared" ca="1" si="30"/>
        <v>0.35494681826414493</v>
      </c>
      <c r="R102">
        <f t="shared" ca="1" si="31"/>
        <v>0.63478818978599438</v>
      </c>
      <c r="S102">
        <f t="shared" ca="1" si="28"/>
        <v>0.5591578797075728</v>
      </c>
      <c r="T102">
        <f t="shared" ca="1" si="29"/>
        <v>35.862813316406772</v>
      </c>
      <c r="U102">
        <f>70</f>
        <v>70</v>
      </c>
      <c r="V102">
        <f>30</f>
        <v>30</v>
      </c>
      <c r="W102">
        <f t="shared" ca="1" si="27"/>
        <v>116.51950989142196</v>
      </c>
      <c r="X102">
        <f t="shared" ca="1" si="37"/>
        <v>117.06865842775804</v>
      </c>
      <c r="Y102">
        <f t="shared" ca="1" si="36"/>
        <v>-0.64085342241891396</v>
      </c>
      <c r="Z102">
        <f t="shared" ref="Z102:Z165" ca="1" si="38">Y102*(2/(9+1)) + Z101*(1-(2/(9+1)))</f>
        <v>-0.10574917857172211</v>
      </c>
      <c r="AA102">
        <f t="shared" ref="AA102:AA165" ca="1" si="39">Y102-Z102</f>
        <v>-0.5351042438471918</v>
      </c>
      <c r="AB102">
        <f t="shared" ref="AB102:AB165" ca="1" si="40">AVERAGE(C3:C102)</f>
        <v>110.223</v>
      </c>
    </row>
    <row r="103" spans="1:28" x14ac:dyDescent="0.25">
      <c r="A103" s="20">
        <f t="shared" ca="1" si="20"/>
        <v>45439</v>
      </c>
      <c r="B103" vm="298">
        <f ca="1"/>
        <v>45440</v>
      </c>
      <c r="C103" vm="299">
        <f ca="1"/>
        <v>114.86</v>
      </c>
      <c r="D103" vm="300">
        <f ca="1"/>
        <v>13978305</v>
      </c>
      <c r="E103">
        <f t="shared" ca="1" si="21"/>
        <v>1605548112.3</v>
      </c>
      <c r="F103">
        <f ca="1">SUM($E$2:E103)/SUM($D$2:D103)</f>
        <v>109.96455526007173</v>
      </c>
      <c r="G103">
        <f ca="1">_xlfn.STDEV.P($C$2:C103)</f>
        <v>7.9477041991809063</v>
      </c>
      <c r="H103">
        <f t="shared" ca="1" si="22"/>
        <v>117.91225945925264</v>
      </c>
      <c r="I103">
        <f t="shared" ca="1" si="23"/>
        <v>102.01685106089083</v>
      </c>
      <c r="J103">
        <f t="shared" ca="1" si="32"/>
        <v>116.87350000000001</v>
      </c>
      <c r="K103">
        <f t="shared" ca="1" si="33"/>
        <v>1.704147494852051</v>
      </c>
      <c r="L103">
        <f t="shared" ca="1" si="34"/>
        <v>120.28179498970411</v>
      </c>
      <c r="M103">
        <f t="shared" ca="1" si="35"/>
        <v>113.4652050102959</v>
      </c>
      <c r="N103">
        <f t="shared" ca="1" si="24"/>
        <v>1.4399999999999977</v>
      </c>
      <c r="O103">
        <f t="shared" ca="1" si="25"/>
        <v>1.4399999999999977</v>
      </c>
      <c r="P103">
        <f t="shared" ca="1" si="26"/>
        <v>0</v>
      </c>
      <c r="Q103">
        <f t="shared" ca="1" si="30"/>
        <v>0.43245061695956294</v>
      </c>
      <c r="R103">
        <f t="shared" ca="1" si="31"/>
        <v>0.58944617622985185</v>
      </c>
      <c r="S103">
        <f t="shared" ca="1" si="28"/>
        <v>0.73365581862885954</v>
      </c>
      <c r="T103">
        <f t="shared" ca="1" si="29"/>
        <v>42.318423919293544</v>
      </c>
      <c r="U103">
        <f>70</f>
        <v>70</v>
      </c>
      <c r="V103">
        <f>30</f>
        <v>30</v>
      </c>
      <c r="W103">
        <f t="shared" ca="1" si="27"/>
        <v>116.26420067735705</v>
      </c>
      <c r="X103">
        <f t="shared" ca="1" si="37"/>
        <v>116.90505409977597</v>
      </c>
      <c r="Y103">
        <f t="shared" ca="1" si="36"/>
        <v>-0.80351846510581026</v>
      </c>
      <c r="Z103">
        <f t="shared" ca="1" si="38"/>
        <v>-0.24530303587853974</v>
      </c>
      <c r="AA103">
        <f t="shared" ca="1" si="39"/>
        <v>-0.55821542922727052</v>
      </c>
      <c r="AB103">
        <f t="shared" ca="1" si="40"/>
        <v>110.33940000000003</v>
      </c>
    </row>
    <row r="104" spans="1:28" x14ac:dyDescent="0.25">
      <c r="A104" s="20">
        <f t="shared" ca="1" si="20"/>
        <v>45439</v>
      </c>
      <c r="B104" vm="301">
        <f ca="1"/>
        <v>45441</v>
      </c>
      <c r="C104" vm="302">
        <f ca="1"/>
        <v>113.63</v>
      </c>
      <c r="D104" vm="303">
        <f ca="1"/>
        <v>13902001</v>
      </c>
      <c r="E104">
        <f t="shared" ca="1" si="21"/>
        <v>1579684373.6299999</v>
      </c>
      <c r="F104">
        <f ca="1">SUM($E$2:E104)/SUM($D$2:D104)</f>
        <v>109.99157259114875</v>
      </c>
      <c r="G104">
        <f ca="1">_xlfn.STDEV.P($C$2:C104)</f>
        <v>7.9162126676422861</v>
      </c>
      <c r="H104">
        <f t="shared" ca="1" si="22"/>
        <v>117.90778525879104</v>
      </c>
      <c r="I104">
        <f t="shared" ca="1" si="23"/>
        <v>102.07535992350647</v>
      </c>
      <c r="J104">
        <f t="shared" ca="1" si="32"/>
        <v>116.64150000000002</v>
      </c>
      <c r="K104">
        <f t="shared" ca="1" si="33"/>
        <v>1.8161824479414297</v>
      </c>
      <c r="L104">
        <f t="shared" ca="1" si="34"/>
        <v>120.27386489588288</v>
      </c>
      <c r="M104">
        <f t="shared" ca="1" si="35"/>
        <v>113.00913510411716</v>
      </c>
      <c r="N104">
        <f t="shared" ca="1" si="24"/>
        <v>-1.230000000000004</v>
      </c>
      <c r="O104">
        <f t="shared" ca="1" si="25"/>
        <v>0</v>
      </c>
      <c r="P104">
        <f t="shared" ca="1" si="26"/>
        <v>1.230000000000004</v>
      </c>
      <c r="Q104">
        <f t="shared" ca="1" si="30"/>
        <v>0.401561287176737</v>
      </c>
      <c r="R104">
        <f t="shared" ca="1" si="31"/>
        <v>0.63520002078486271</v>
      </c>
      <c r="S104">
        <f t="shared" ca="1" si="28"/>
        <v>0.6321808470354926</v>
      </c>
      <c r="T104">
        <f t="shared" ca="1" si="29"/>
        <v>38.732279464234239</v>
      </c>
      <c r="U104">
        <f>70</f>
        <v>70</v>
      </c>
      <c r="V104">
        <f>30</f>
        <v>30</v>
      </c>
      <c r="W104">
        <f t="shared" ca="1" si="27"/>
        <v>115.85893903468674</v>
      </c>
      <c r="X104">
        <f t="shared" ca="1" si="37"/>
        <v>116.66245749979255</v>
      </c>
      <c r="Y104">
        <f t="shared" ca="1" si="36"/>
        <v>-0.89308773256585994</v>
      </c>
      <c r="Z104">
        <f t="shared" ca="1" si="38"/>
        <v>-0.37485997521600378</v>
      </c>
      <c r="AA104">
        <f t="shared" ca="1" si="39"/>
        <v>-0.51822775734985616</v>
      </c>
      <c r="AB104">
        <f t="shared" ca="1" si="40"/>
        <v>110.4525</v>
      </c>
    </row>
    <row r="105" spans="1:28" x14ac:dyDescent="0.25">
      <c r="A105" s="20">
        <f t="shared" ca="1" si="20"/>
        <v>45439</v>
      </c>
      <c r="B105" vm="304">
        <f ca="1"/>
        <v>45442</v>
      </c>
      <c r="C105" vm="305">
        <f ca="1"/>
        <v>113.99</v>
      </c>
      <c r="D105" vm="306">
        <f ca="1"/>
        <v>14691976</v>
      </c>
      <c r="E105">
        <f t="shared" ca="1" si="21"/>
        <v>1674738344.24</v>
      </c>
      <c r="F105">
        <f ca="1">SUM($E$2:E105)/SUM($D$2:D105)</f>
        <v>110.02247824809088</v>
      </c>
      <c r="G105">
        <f ca="1">_xlfn.STDEV.P($C$2:C105)</f>
        <v>7.8866259139262489</v>
      </c>
      <c r="H105">
        <f t="shared" ca="1" si="22"/>
        <v>117.90910416201713</v>
      </c>
      <c r="I105">
        <f t="shared" ca="1" si="23"/>
        <v>102.13585233416462</v>
      </c>
      <c r="J105">
        <f t="shared" ca="1" si="32"/>
        <v>116.5395</v>
      </c>
      <c r="K105">
        <f t="shared" ca="1" si="33"/>
        <v>1.9073306643468753</v>
      </c>
      <c r="L105">
        <f t="shared" ca="1" si="34"/>
        <v>120.35416132869375</v>
      </c>
      <c r="M105">
        <f t="shared" ca="1" si="35"/>
        <v>112.72483867130626</v>
      </c>
      <c r="N105">
        <f t="shared" ca="1" si="24"/>
        <v>0.35999999999999943</v>
      </c>
      <c r="O105">
        <f t="shared" ca="1" si="25"/>
        <v>0.35999999999999943</v>
      </c>
      <c r="P105">
        <f t="shared" ca="1" si="26"/>
        <v>0</v>
      </c>
      <c r="Q105">
        <f t="shared" ca="1" si="30"/>
        <v>0.39859262380697003</v>
      </c>
      <c r="R105">
        <f t="shared" ca="1" si="31"/>
        <v>0.58982859072880101</v>
      </c>
      <c r="S105">
        <f t="shared" ca="1" si="28"/>
        <v>0.67577704789532678</v>
      </c>
      <c r="T105">
        <f t="shared" ca="1" si="29"/>
        <v>40.326190691301171</v>
      </c>
      <c r="U105">
        <f>70</f>
        <v>70</v>
      </c>
      <c r="V105">
        <f>30</f>
        <v>30</v>
      </c>
      <c r="W105">
        <f t="shared" ca="1" si="27"/>
        <v>115.57140995242725</v>
      </c>
      <c r="X105">
        <f t="shared" ca="1" si="37"/>
        <v>116.46449768499311</v>
      </c>
      <c r="Y105">
        <f t="shared" ca="1" si="36"/>
        <v>-0.69223074573180554</v>
      </c>
      <c r="Z105">
        <f t="shared" ca="1" si="38"/>
        <v>-0.43833412931916416</v>
      </c>
      <c r="AA105">
        <f t="shared" ca="1" si="39"/>
        <v>-0.25389661641264138</v>
      </c>
      <c r="AB105">
        <f t="shared" ca="1" si="40"/>
        <v>110.56610000000001</v>
      </c>
    </row>
    <row r="106" spans="1:28" x14ac:dyDescent="0.25">
      <c r="A106" s="20">
        <f t="shared" ca="1" si="20"/>
        <v>45439</v>
      </c>
      <c r="B106" vm="307">
        <f ca="1"/>
        <v>45443</v>
      </c>
      <c r="C106" vm="308">
        <f ca="1"/>
        <v>117.26</v>
      </c>
      <c r="D106" vm="309">
        <f ca="1"/>
        <v>29037378</v>
      </c>
      <c r="E106">
        <f t="shared" ca="1" si="21"/>
        <v>3404922944.2800002</v>
      </c>
      <c r="F106">
        <f ca="1">SUM($E$2:E106)/SUM($D$2:D106)</f>
        <v>110.13137914791209</v>
      </c>
      <c r="G106">
        <f ca="1">_xlfn.STDEV.P($C$2:C106)</f>
        <v>7.878362353857864</v>
      </c>
      <c r="H106">
        <f t="shared" ca="1" si="22"/>
        <v>118.00974150176995</v>
      </c>
      <c r="I106">
        <f t="shared" ca="1" si="23"/>
        <v>102.25301679405422</v>
      </c>
      <c r="J106">
        <f t="shared" ca="1" si="32"/>
        <v>116.59049999999999</v>
      </c>
      <c r="K106">
        <f t="shared" ca="1" si="33"/>
        <v>1.9125306327096123</v>
      </c>
      <c r="L106">
        <f t="shared" ca="1" si="34"/>
        <v>120.41556126541921</v>
      </c>
      <c r="M106">
        <f t="shared" ca="1" si="35"/>
        <v>112.76543873458077</v>
      </c>
      <c r="N106">
        <f t="shared" ca="1" si="24"/>
        <v>3.2700000000000102</v>
      </c>
      <c r="O106">
        <f t="shared" ca="1" si="25"/>
        <v>3.2700000000000102</v>
      </c>
      <c r="P106">
        <f t="shared" ca="1" si="26"/>
        <v>0</v>
      </c>
      <c r="Q106">
        <f t="shared" ca="1" si="30"/>
        <v>0.60369315067790141</v>
      </c>
      <c r="R106">
        <f t="shared" ca="1" si="31"/>
        <v>0.5476979771053152</v>
      </c>
      <c r="S106">
        <f t="shared" ca="1" si="28"/>
        <v>1.1022373204088338</v>
      </c>
      <c r="T106">
        <f t="shared" ca="1" si="29"/>
        <v>52.431631277218294</v>
      </c>
      <c r="U106">
        <f>70</f>
        <v>70</v>
      </c>
      <c r="V106">
        <f>30</f>
        <v>30</v>
      </c>
      <c r="W106">
        <f t="shared" ca="1" si="27"/>
        <v>115.83119303666922</v>
      </c>
      <c r="X106">
        <f t="shared" ca="1" si="37"/>
        <v>116.52342378240103</v>
      </c>
      <c r="Y106">
        <f t="shared" ca="1" si="36"/>
        <v>-0.75113503529792069</v>
      </c>
      <c r="Z106">
        <f t="shared" ca="1" si="38"/>
        <v>-0.50089431051491551</v>
      </c>
      <c r="AA106">
        <f t="shared" ca="1" si="39"/>
        <v>-0.25024072478300519</v>
      </c>
      <c r="AB106">
        <f t="shared" ca="1" si="40"/>
        <v>110.7295</v>
      </c>
    </row>
    <row r="107" spans="1:28" x14ac:dyDescent="0.25">
      <c r="A107" s="20">
        <f t="shared" ca="1" si="20"/>
        <v>45446</v>
      </c>
      <c r="B107" vm="310">
        <f ca="1"/>
        <v>45446</v>
      </c>
      <c r="C107" vm="311">
        <f ca="1"/>
        <v>114.45</v>
      </c>
      <c r="D107" vm="312">
        <f ca="1"/>
        <v>19589338</v>
      </c>
      <c r="E107">
        <f t="shared" ca="1" si="21"/>
        <v>2241999734.0999999</v>
      </c>
      <c r="F107">
        <f ca="1">SUM($E$2:E107)/SUM($D$2:D107)</f>
        <v>110.17477645449006</v>
      </c>
      <c r="G107">
        <f ca="1">_xlfn.STDEV.P($C$2:C107)</f>
        <v>7.8512323323605342</v>
      </c>
      <c r="H107">
        <f t="shared" ca="1" si="22"/>
        <v>118.0260087868506</v>
      </c>
      <c r="I107">
        <f t="shared" ca="1" si="23"/>
        <v>102.32354412212952</v>
      </c>
      <c r="J107">
        <f t="shared" ca="1" si="32"/>
        <v>116.51299999999999</v>
      </c>
      <c r="K107">
        <f t="shared" ca="1" si="33"/>
        <v>1.9683097210283587</v>
      </c>
      <c r="L107">
        <f t="shared" ca="1" si="34"/>
        <v>120.44961944205672</v>
      </c>
      <c r="M107">
        <f t="shared" ca="1" si="35"/>
        <v>112.57638055794327</v>
      </c>
      <c r="N107">
        <f t="shared" ca="1" si="24"/>
        <v>-2.8100000000000023</v>
      </c>
      <c r="O107">
        <f t="shared" ca="1" si="25"/>
        <v>0</v>
      </c>
      <c r="P107">
        <f t="shared" ca="1" si="26"/>
        <v>2.8100000000000023</v>
      </c>
      <c r="Q107">
        <f t="shared" ca="1" si="30"/>
        <v>0.56057221134376556</v>
      </c>
      <c r="R107">
        <f t="shared" ca="1" si="31"/>
        <v>0.70929097874064995</v>
      </c>
      <c r="S107">
        <f t="shared" ca="1" si="28"/>
        <v>0.79032756392738091</v>
      </c>
      <c r="T107">
        <f t="shared" ca="1" si="29"/>
        <v>44.14429961596894</v>
      </c>
      <c r="U107">
        <f>70</f>
        <v>70</v>
      </c>
      <c r="V107">
        <f>30</f>
        <v>30</v>
      </c>
      <c r="W107">
        <f t="shared" ca="1" si="27"/>
        <v>115.61870180025858</v>
      </c>
      <c r="X107">
        <f t="shared" ca="1" si="37"/>
        <v>116.3698368355565</v>
      </c>
      <c r="Y107">
        <f t="shared" ca="1" si="36"/>
        <v>-0.93071947828794066</v>
      </c>
      <c r="Z107">
        <f t="shared" ca="1" si="38"/>
        <v>-0.58685934406952056</v>
      </c>
      <c r="AA107">
        <f t="shared" ca="1" si="39"/>
        <v>-0.3438601342184201</v>
      </c>
      <c r="AB107">
        <f t="shared" ca="1" si="40"/>
        <v>110.87730000000003</v>
      </c>
    </row>
    <row r="108" spans="1:28" x14ac:dyDescent="0.25">
      <c r="A108" s="20">
        <f t="shared" ca="1" si="20"/>
        <v>45446</v>
      </c>
      <c r="B108" vm="313">
        <f ca="1"/>
        <v>45447</v>
      </c>
      <c r="C108" vm="314">
        <f ca="1"/>
        <v>112.67</v>
      </c>
      <c r="D108" vm="315">
        <f ca="1"/>
        <v>19412238</v>
      </c>
      <c r="E108">
        <f t="shared" ca="1" si="21"/>
        <v>2187176855.46</v>
      </c>
      <c r="F108">
        <f ca="1">SUM($E$2:E108)/SUM($D$2:D108)</f>
        <v>110.1993789793042</v>
      </c>
      <c r="G108">
        <f ca="1">_xlfn.STDEV.P($C$2:C108)</f>
        <v>7.8176008509019619</v>
      </c>
      <c r="H108">
        <f t="shared" ca="1" si="22"/>
        <v>118.01697983020617</v>
      </c>
      <c r="I108">
        <f t="shared" ca="1" si="23"/>
        <v>102.38177812840223</v>
      </c>
      <c r="J108">
        <f t="shared" ca="1" si="32"/>
        <v>116.309</v>
      </c>
      <c r="K108">
        <f t="shared" ca="1" si="33"/>
        <v>2.1458746223246221</v>
      </c>
      <c r="L108">
        <f t="shared" ca="1" si="34"/>
        <v>120.60074924464924</v>
      </c>
      <c r="M108">
        <f t="shared" ca="1" si="35"/>
        <v>112.01725075535076</v>
      </c>
      <c r="N108">
        <f t="shared" ca="1" si="24"/>
        <v>-1.7800000000000011</v>
      </c>
      <c r="O108">
        <f t="shared" ca="1" si="25"/>
        <v>0</v>
      </c>
      <c r="P108">
        <f t="shared" ca="1" si="26"/>
        <v>1.7800000000000011</v>
      </c>
      <c r="Q108">
        <f t="shared" ca="1" si="30"/>
        <v>0.52053133910492522</v>
      </c>
      <c r="R108">
        <f t="shared" ca="1" si="31"/>
        <v>0.78577019454488928</v>
      </c>
      <c r="S108">
        <f t="shared" ca="1" si="28"/>
        <v>0.66244729402902858</v>
      </c>
      <c r="T108">
        <f t="shared" ca="1" si="29"/>
        <v>39.847717061967877</v>
      </c>
      <c r="U108">
        <f>70</f>
        <v>70</v>
      </c>
      <c r="V108">
        <f>30</f>
        <v>30</v>
      </c>
      <c r="W108">
        <f t="shared" ca="1" si="27"/>
        <v>115.16505536944956</v>
      </c>
      <c r="X108">
        <f t="shared" ca="1" si="37"/>
        <v>116.0957748477375</v>
      </c>
      <c r="Y108">
        <f t="shared" ca="1" si="36"/>
        <v>-1.0249156147811078</v>
      </c>
      <c r="Z108">
        <f t="shared" ca="1" si="38"/>
        <v>-0.67447059821183797</v>
      </c>
      <c r="AA108">
        <f t="shared" ca="1" si="39"/>
        <v>-0.35044501656926985</v>
      </c>
      <c r="AB108">
        <f t="shared" ca="1" si="40"/>
        <v>111.01710000000003</v>
      </c>
    </row>
    <row r="109" spans="1:28" x14ac:dyDescent="0.25">
      <c r="A109" s="20">
        <f t="shared" ca="1" si="20"/>
        <v>45446</v>
      </c>
      <c r="B109" vm="316">
        <f ca="1"/>
        <v>45448</v>
      </c>
      <c r="C109" vm="317">
        <f ca="1"/>
        <v>113.12</v>
      </c>
      <c r="D109" vm="318">
        <f ca="1"/>
        <v>14863516</v>
      </c>
      <c r="E109">
        <f t="shared" ca="1" si="21"/>
        <v>1681360929.9200001</v>
      </c>
      <c r="F109">
        <f ca="1">SUM($E$2:E109)/SUM($D$2:D109)</f>
        <v>110.22126289314863</v>
      </c>
      <c r="G109">
        <f ca="1">_xlfn.STDEV.P($C$2:C109)</f>
        <v>7.7857223314360651</v>
      </c>
      <c r="H109">
        <f t="shared" ca="1" si="22"/>
        <v>118.0069852245847</v>
      </c>
      <c r="I109">
        <f t="shared" ca="1" si="23"/>
        <v>102.43554056171257</v>
      </c>
      <c r="J109">
        <f t="shared" ca="1" si="32"/>
        <v>116.15649999999998</v>
      </c>
      <c r="K109">
        <f t="shared" ca="1" si="33"/>
        <v>2.2615324915919985</v>
      </c>
      <c r="L109">
        <f t="shared" ca="1" si="34"/>
        <v>120.67956498318398</v>
      </c>
      <c r="M109">
        <f t="shared" ca="1" si="35"/>
        <v>111.63343501681598</v>
      </c>
      <c r="N109">
        <f t="shared" ca="1" si="24"/>
        <v>0.45000000000000284</v>
      </c>
      <c r="O109">
        <f t="shared" ca="1" si="25"/>
        <v>0.45000000000000284</v>
      </c>
      <c r="P109">
        <f t="shared" ca="1" si="26"/>
        <v>0</v>
      </c>
      <c r="Q109">
        <f t="shared" ca="1" si="30"/>
        <v>0.51549338631171648</v>
      </c>
      <c r="R109">
        <f t="shared" ca="1" si="31"/>
        <v>0.72964375207739718</v>
      </c>
      <c r="S109">
        <f t="shared" ca="1" si="28"/>
        <v>0.70650010343271652</v>
      </c>
      <c r="T109">
        <f t="shared" ca="1" si="29"/>
        <v>41.400530947027406</v>
      </c>
      <c r="U109">
        <f>70</f>
        <v>70</v>
      </c>
      <c r="V109">
        <f>30</f>
        <v>30</v>
      </c>
      <c r="W109">
        <f t="shared" ca="1" si="27"/>
        <v>114.85043146645732</v>
      </c>
      <c r="X109">
        <f t="shared" ca="1" si="37"/>
        <v>115.87534708123843</v>
      </c>
      <c r="Y109">
        <f t="shared" ca="1" si="36"/>
        <v>-1.0192297887882233</v>
      </c>
      <c r="Z109">
        <f t="shared" ca="1" si="38"/>
        <v>-0.74342243632711513</v>
      </c>
      <c r="AA109">
        <f t="shared" ca="1" si="39"/>
        <v>-0.27580735246110821</v>
      </c>
      <c r="AB109">
        <f t="shared" ca="1" si="40"/>
        <v>111.16160000000004</v>
      </c>
    </row>
    <row r="110" spans="1:28" x14ac:dyDescent="0.25">
      <c r="A110" s="20">
        <f t="shared" ca="1" si="20"/>
        <v>45446</v>
      </c>
      <c r="B110" vm="319">
        <f ca="1"/>
        <v>45449</v>
      </c>
      <c r="C110" vm="320">
        <f ca="1"/>
        <v>113.97</v>
      </c>
      <c r="D110" vm="321">
        <f ca="1"/>
        <v>13154094</v>
      </c>
      <c r="E110">
        <f t="shared" ca="1" si="21"/>
        <v>1499172093.1800001</v>
      </c>
      <c r="F110">
        <f ca="1">SUM($E$2:E110)/SUM($D$2:D110)</f>
        <v>110.245957595349</v>
      </c>
      <c r="G110">
        <f ca="1">_xlfn.STDEV.P($C$2:C110)</f>
        <v>7.7573408996585735</v>
      </c>
      <c r="H110">
        <f t="shared" ca="1" si="22"/>
        <v>118.00329849500757</v>
      </c>
      <c r="I110">
        <f t="shared" ca="1" si="23"/>
        <v>102.48861669569042</v>
      </c>
      <c r="J110">
        <f t="shared" ca="1" si="32"/>
        <v>116.04749999999997</v>
      </c>
      <c r="K110">
        <f t="shared" ca="1" si="33"/>
        <v>2.3137935926684734</v>
      </c>
      <c r="L110">
        <f t="shared" ca="1" si="34"/>
        <v>120.67508718533692</v>
      </c>
      <c r="M110">
        <f t="shared" ca="1" si="35"/>
        <v>111.41991281466302</v>
      </c>
      <c r="N110">
        <f t="shared" ca="1" si="24"/>
        <v>0.84999999999999432</v>
      </c>
      <c r="O110">
        <f t="shared" ca="1" si="25"/>
        <v>0.84999999999999432</v>
      </c>
      <c r="P110">
        <f t="shared" ca="1" si="26"/>
        <v>0</v>
      </c>
      <c r="Q110">
        <f t="shared" ca="1" si="30"/>
        <v>0.53938671586087916</v>
      </c>
      <c r="R110">
        <f t="shared" ca="1" si="31"/>
        <v>0.67752634121472599</v>
      </c>
      <c r="S110">
        <f t="shared" ca="1" si="28"/>
        <v>0.79611180119406344</v>
      </c>
      <c r="T110">
        <f t="shared" ca="1" si="29"/>
        <v>44.324178520780528</v>
      </c>
      <c r="U110">
        <f>70</f>
        <v>70</v>
      </c>
      <c r="V110">
        <f>30</f>
        <v>30</v>
      </c>
      <c r="W110">
        <f t="shared" ca="1" si="27"/>
        <v>114.71498047161774</v>
      </c>
      <c r="X110">
        <f t="shared" ca="1" si="37"/>
        <v>115.73421026040596</v>
      </c>
      <c r="Y110">
        <f t="shared" ca="1" si="36"/>
        <v>-1.100481864847481</v>
      </c>
      <c r="Z110">
        <f t="shared" ca="1" si="38"/>
        <v>-0.81483432203118833</v>
      </c>
      <c r="AA110">
        <f t="shared" ca="1" si="39"/>
        <v>-0.28564754281629268</v>
      </c>
      <c r="AB110">
        <f t="shared" ca="1" si="40"/>
        <v>111.30180000000001</v>
      </c>
    </row>
    <row r="111" spans="1:28" x14ac:dyDescent="0.25">
      <c r="A111" s="20">
        <f t="shared" ca="1" si="20"/>
        <v>45446</v>
      </c>
      <c r="B111" vm="322">
        <f ca="1"/>
        <v>45450</v>
      </c>
      <c r="C111" vm="323">
        <f ca="1"/>
        <v>112.75</v>
      </c>
      <c r="D111" vm="324">
        <f ca="1"/>
        <v>13289196</v>
      </c>
      <c r="E111">
        <f t="shared" ca="1" si="21"/>
        <v>1498356849</v>
      </c>
      <c r="F111">
        <f ca="1">SUM($E$2:E111)/SUM($D$2:D111)</f>
        <v>110.26251215152161</v>
      </c>
      <c r="G111">
        <f ca="1">_xlfn.STDEV.P($C$2:C111)</f>
        <v>7.7250955563909942</v>
      </c>
      <c r="H111">
        <f t="shared" ca="1" si="22"/>
        <v>117.9876077079126</v>
      </c>
      <c r="I111">
        <f t="shared" ca="1" si="23"/>
        <v>102.53741659513061</v>
      </c>
      <c r="J111">
        <f t="shared" ca="1" si="32"/>
        <v>115.76299999999999</v>
      </c>
      <c r="K111">
        <f t="shared" ca="1" si="33"/>
        <v>2.3536066388685923</v>
      </c>
      <c r="L111">
        <f t="shared" ca="1" si="34"/>
        <v>120.47021327773717</v>
      </c>
      <c r="M111">
        <f t="shared" ca="1" si="35"/>
        <v>111.05578672226281</v>
      </c>
      <c r="N111">
        <f t="shared" ca="1" si="24"/>
        <v>-1.2199999999999989</v>
      </c>
      <c r="O111">
        <f t="shared" ca="1" si="25"/>
        <v>0</v>
      </c>
      <c r="P111">
        <f t="shared" ca="1" si="26"/>
        <v>1.2199999999999989</v>
      </c>
      <c r="Q111">
        <f t="shared" ca="1" si="30"/>
        <v>0.50085909329938783</v>
      </c>
      <c r="R111">
        <f t="shared" ca="1" si="31"/>
        <v>0.7162744596993883</v>
      </c>
      <c r="S111">
        <f t="shared" ca="1" si="28"/>
        <v>0.69925583205855524</v>
      </c>
      <c r="T111">
        <f t="shared" ca="1" si="29"/>
        <v>41.150709555690931</v>
      </c>
      <c r="U111">
        <f>70</f>
        <v>70</v>
      </c>
      <c r="V111">
        <f>30</f>
        <v>30</v>
      </c>
      <c r="W111">
        <f t="shared" ca="1" si="27"/>
        <v>114.41267578367655</v>
      </c>
      <c r="X111">
        <f t="shared" ca="1" si="37"/>
        <v>115.51315764852403</v>
      </c>
      <c r="Y111">
        <f t="shared" ca="1" si="36"/>
        <v>-1.1252750085993597</v>
      </c>
      <c r="Z111">
        <f t="shared" ca="1" si="38"/>
        <v>-0.8769224593448226</v>
      </c>
      <c r="AA111">
        <f t="shared" ca="1" si="39"/>
        <v>-0.24835254925453709</v>
      </c>
      <c r="AB111">
        <f t="shared" ca="1" si="40"/>
        <v>111.45240000000004</v>
      </c>
    </row>
    <row r="112" spans="1:28" x14ac:dyDescent="0.25">
      <c r="A112" s="20">
        <f t="shared" ca="1" si="20"/>
        <v>45453</v>
      </c>
      <c r="B112" vm="325">
        <f ca="1"/>
        <v>45453</v>
      </c>
      <c r="C112" vm="326">
        <f ca="1"/>
        <v>113.08</v>
      </c>
      <c r="D112" vm="327">
        <f ca="1"/>
        <v>15245227</v>
      </c>
      <c r="E112">
        <f t="shared" ca="1" si="21"/>
        <v>1723930269.1600001</v>
      </c>
      <c r="F112">
        <f ca="1">SUM($E$2:E112)/SUM($D$2:D112)</f>
        <v>110.28371976231857</v>
      </c>
      <c r="G112">
        <f ca="1">_xlfn.STDEV.P($C$2:C112)</f>
        <v>7.6941816542518655</v>
      </c>
      <c r="H112">
        <f t="shared" ca="1" si="22"/>
        <v>117.97790141657043</v>
      </c>
      <c r="I112">
        <f t="shared" ca="1" si="23"/>
        <v>102.58953810806671</v>
      </c>
      <c r="J112">
        <f t="shared" ca="1" si="32"/>
        <v>115.51900000000001</v>
      </c>
      <c r="K112">
        <f t="shared" ca="1" si="33"/>
        <v>2.3667741759618721</v>
      </c>
      <c r="L112">
        <f t="shared" ca="1" si="34"/>
        <v>120.25254835192375</v>
      </c>
      <c r="M112">
        <f t="shared" ca="1" si="35"/>
        <v>110.78545164807626</v>
      </c>
      <c r="N112">
        <f t="shared" ca="1" si="24"/>
        <v>0.32999999999999829</v>
      </c>
      <c r="O112">
        <f t="shared" ca="1" si="25"/>
        <v>0.32999999999999829</v>
      </c>
      <c r="P112">
        <f t="shared" ca="1" si="26"/>
        <v>0</v>
      </c>
      <c r="Q112">
        <f t="shared" ca="1" si="30"/>
        <v>0.48865487234943139</v>
      </c>
      <c r="R112">
        <f t="shared" ca="1" si="31"/>
        <v>0.66511199829228917</v>
      </c>
      <c r="S112">
        <f t="shared" ca="1" si="28"/>
        <v>0.73469562059334226</v>
      </c>
      <c r="T112">
        <f t="shared" ca="1" si="29"/>
        <v>42.352999100905329</v>
      </c>
      <c r="U112">
        <f>70</f>
        <v>70</v>
      </c>
      <c r="V112">
        <f>30</f>
        <v>30</v>
      </c>
      <c r="W112">
        <f t="shared" ca="1" si="27"/>
        <v>114.207648740034</v>
      </c>
      <c r="X112">
        <f t="shared" ca="1" si="37"/>
        <v>115.33292374863336</v>
      </c>
      <c r="Y112">
        <f t="shared" ca="1" si="36"/>
        <v>-1.2044687820961286</v>
      </c>
      <c r="Z112">
        <f t="shared" ca="1" si="38"/>
        <v>-0.94243172389508389</v>
      </c>
      <c r="AA112">
        <f t="shared" ca="1" si="39"/>
        <v>-0.26203705820104473</v>
      </c>
      <c r="AB112">
        <f t="shared" ca="1" si="40"/>
        <v>111.61340000000001</v>
      </c>
    </row>
    <row r="113" spans="1:28" x14ac:dyDescent="0.25">
      <c r="A113" s="20">
        <f t="shared" ca="1" si="20"/>
        <v>45453</v>
      </c>
      <c r="B113" vm="328">
        <f ca="1"/>
        <v>45454</v>
      </c>
      <c r="C113" vm="329">
        <f ca="1"/>
        <v>112.17</v>
      </c>
      <c r="D113" vm="330">
        <f ca="1"/>
        <v>12462403</v>
      </c>
      <c r="E113">
        <f t="shared" ca="1" si="21"/>
        <v>1397907744.51</v>
      </c>
      <c r="F113">
        <f ca="1">SUM($E$2:E113)/SUM($D$2:D113)</f>
        <v>110.29525534965593</v>
      </c>
      <c r="G113">
        <f ca="1">_xlfn.STDEV.P($C$2:C113)</f>
        <v>7.6613848394297737</v>
      </c>
      <c r="H113">
        <f t="shared" ca="1" si="22"/>
        <v>117.9566401890857</v>
      </c>
      <c r="I113">
        <f t="shared" ca="1" si="23"/>
        <v>102.63387051022616</v>
      </c>
      <c r="J113">
        <f t="shared" ca="1" si="32"/>
        <v>115.23200000000001</v>
      </c>
      <c r="K113">
        <f t="shared" ca="1" si="33"/>
        <v>2.4092182615070281</v>
      </c>
      <c r="L113">
        <f t="shared" ca="1" si="34"/>
        <v>120.05043652301407</v>
      </c>
      <c r="M113">
        <f t="shared" ca="1" si="35"/>
        <v>110.41356347698596</v>
      </c>
      <c r="N113">
        <f t="shared" ca="1" si="24"/>
        <v>-0.90999999999999659</v>
      </c>
      <c r="O113">
        <f t="shared" ca="1" si="25"/>
        <v>0</v>
      </c>
      <c r="P113">
        <f t="shared" ca="1" si="26"/>
        <v>0.90999999999999659</v>
      </c>
      <c r="Q113">
        <f t="shared" ca="1" si="30"/>
        <v>0.45375095289590062</v>
      </c>
      <c r="R113">
        <f t="shared" ca="1" si="31"/>
        <v>0.68260399841426822</v>
      </c>
      <c r="S113">
        <f t="shared" ca="1" si="28"/>
        <v>0.66473526957063311</v>
      </c>
      <c r="T113">
        <f t="shared" ca="1" si="29"/>
        <v>39.930389036695367</v>
      </c>
      <c r="U113">
        <f>70</f>
        <v>70</v>
      </c>
      <c r="V113">
        <f>30</f>
        <v>30</v>
      </c>
      <c r="W113">
        <f t="shared" ca="1" si="27"/>
        <v>113.89416431849031</v>
      </c>
      <c r="X113">
        <f t="shared" ca="1" si="37"/>
        <v>115.09863310058644</v>
      </c>
      <c r="Y113">
        <f t="shared" ca="1" si="36"/>
        <v>-1.3517064247833872</v>
      </c>
      <c r="Z113">
        <f t="shared" ca="1" si="38"/>
        <v>-1.0242866640727446</v>
      </c>
      <c r="AA113">
        <f t="shared" ca="1" si="39"/>
        <v>-0.3274197607106426</v>
      </c>
      <c r="AB113">
        <f t="shared" ca="1" si="40"/>
        <v>111.76710000000003</v>
      </c>
    </row>
    <row r="114" spans="1:28" x14ac:dyDescent="0.25">
      <c r="A114" s="20">
        <f t="shared" ca="1" si="20"/>
        <v>45453</v>
      </c>
      <c r="B114" vm="331">
        <f ca="1"/>
        <v>45455</v>
      </c>
      <c r="C114" vm="332">
        <f ca="1"/>
        <v>110.93</v>
      </c>
      <c r="D114" vm="333">
        <f ca="1"/>
        <v>13606788</v>
      </c>
      <c r="E114">
        <f t="shared" ca="1" si="21"/>
        <v>1509400992.8400002</v>
      </c>
      <c r="F114">
        <f ca="1">SUM($E$2:E114)/SUM($D$2:D114)</f>
        <v>110.29946548626458</v>
      </c>
      <c r="G114">
        <f ca="1">_xlfn.STDEV.P($C$2:C114)</f>
        <v>7.6275132102626246</v>
      </c>
      <c r="H114">
        <f t="shared" ca="1" si="22"/>
        <v>117.9269786965272</v>
      </c>
      <c r="I114">
        <f t="shared" ca="1" si="23"/>
        <v>102.67195227600196</v>
      </c>
      <c r="J114">
        <f t="shared" ca="1" si="32"/>
        <v>114.89500000000001</v>
      </c>
      <c r="K114">
        <f t="shared" ca="1" si="33"/>
        <v>2.5191299667690195</v>
      </c>
      <c r="L114">
        <f t="shared" ca="1" si="34"/>
        <v>119.93325993353805</v>
      </c>
      <c r="M114">
        <f t="shared" ca="1" si="35"/>
        <v>109.85674006646197</v>
      </c>
      <c r="N114">
        <f t="shared" ca="1" si="24"/>
        <v>-1.2399999999999949</v>
      </c>
      <c r="O114">
        <f t="shared" ca="1" si="25"/>
        <v>0</v>
      </c>
      <c r="P114">
        <f t="shared" ca="1" si="26"/>
        <v>1.2399999999999949</v>
      </c>
      <c r="Q114">
        <f t="shared" ca="1" si="30"/>
        <v>0.42134017054619344</v>
      </c>
      <c r="R114">
        <f t="shared" ca="1" si="31"/>
        <v>0.72241799852753441</v>
      </c>
      <c r="S114">
        <f t="shared" ca="1" si="28"/>
        <v>0.58323598166849155</v>
      </c>
      <c r="T114">
        <f t="shared" ca="1" si="29"/>
        <v>36.838221744673142</v>
      </c>
      <c r="U114">
        <f>70</f>
        <v>70</v>
      </c>
      <c r="V114">
        <f>30</f>
        <v>30</v>
      </c>
      <c r="W114">
        <f t="shared" ca="1" si="27"/>
        <v>113.43813903872258</v>
      </c>
      <c r="X114">
        <f t="shared" ca="1" si="37"/>
        <v>114.78984546350597</v>
      </c>
      <c r="Y114">
        <f t="shared" ca="1" si="36"/>
        <v>-1.5226566414211788</v>
      </c>
      <c r="Z114">
        <f t="shared" ca="1" si="38"/>
        <v>-1.1239606595424316</v>
      </c>
      <c r="AA114">
        <f t="shared" ca="1" si="39"/>
        <v>-0.39869598187874722</v>
      </c>
      <c r="AB114">
        <f t="shared" ca="1" si="40"/>
        <v>111.90690000000002</v>
      </c>
    </row>
    <row r="115" spans="1:28" x14ac:dyDescent="0.25">
      <c r="A115" s="20">
        <f t="shared" ca="1" si="20"/>
        <v>45453</v>
      </c>
      <c r="B115" vm="334">
        <f ca="1"/>
        <v>45456</v>
      </c>
      <c r="C115" vm="335">
        <f ca="1"/>
        <v>110.04</v>
      </c>
      <c r="D115" vm="336">
        <f ca="1"/>
        <v>14466868</v>
      </c>
      <c r="E115">
        <f t="shared" ca="1" si="21"/>
        <v>1591934154.72</v>
      </c>
      <c r="F115">
        <f ca="1">SUM($E$2:E115)/SUM($D$2:D115)</f>
        <v>110.29764853318073</v>
      </c>
      <c r="G115">
        <f ca="1">_xlfn.STDEV.P($C$2:C115)</f>
        <v>7.5941115514234596</v>
      </c>
      <c r="H115">
        <f t="shared" ca="1" si="22"/>
        <v>117.89176008460419</v>
      </c>
      <c r="I115">
        <f t="shared" ca="1" si="23"/>
        <v>102.70353698175728</v>
      </c>
      <c r="J115">
        <f t="shared" ca="1" si="32"/>
        <v>114.46799999999999</v>
      </c>
      <c r="K115">
        <f t="shared" ca="1" si="33"/>
        <v>2.584564709354769</v>
      </c>
      <c r="L115">
        <f t="shared" ca="1" si="34"/>
        <v>119.63712941870952</v>
      </c>
      <c r="M115">
        <f t="shared" ca="1" si="35"/>
        <v>109.29887058129046</v>
      </c>
      <c r="N115">
        <f t="shared" ca="1" si="24"/>
        <v>-0.89000000000000057</v>
      </c>
      <c r="O115">
        <f t="shared" ca="1" si="25"/>
        <v>0</v>
      </c>
      <c r="P115">
        <f t="shared" ca="1" si="26"/>
        <v>0.89000000000000057</v>
      </c>
      <c r="Q115">
        <f t="shared" ca="1" si="30"/>
        <v>0.39124444407860814</v>
      </c>
      <c r="R115">
        <f t="shared" ca="1" si="31"/>
        <v>0.73438814148985343</v>
      </c>
      <c r="S115">
        <f t="shared" ca="1" si="28"/>
        <v>0.53274885850538167</v>
      </c>
      <c r="T115">
        <f t="shared" ca="1" si="29"/>
        <v>34.757739700741141</v>
      </c>
      <c r="U115">
        <f>70</f>
        <v>70</v>
      </c>
      <c r="V115">
        <f>30</f>
        <v>30</v>
      </c>
      <c r="W115">
        <f t="shared" ca="1" si="27"/>
        <v>112.91534841738064</v>
      </c>
      <c r="X115">
        <f t="shared" ca="1" si="37"/>
        <v>114.43800505880182</v>
      </c>
      <c r="Y115">
        <f t="shared" ca="1" si="36"/>
        <v>-1.7134278180870126</v>
      </c>
      <c r="Z115">
        <f t="shared" ca="1" si="38"/>
        <v>-1.2418540912513478</v>
      </c>
      <c r="AA115">
        <f t="shared" ca="1" si="39"/>
        <v>-0.47157372683566479</v>
      </c>
      <c r="AB115">
        <f t="shared" ca="1" si="40"/>
        <v>112.03910000000002</v>
      </c>
    </row>
    <row r="116" spans="1:28" x14ac:dyDescent="0.25">
      <c r="A116" s="20">
        <f t="shared" ca="1" si="20"/>
        <v>45453</v>
      </c>
      <c r="B116" vm="337">
        <f ca="1"/>
        <v>45457</v>
      </c>
      <c r="C116" vm="338">
        <f ca="1"/>
        <v>109.11</v>
      </c>
      <c r="D116" vm="339">
        <f ca="1"/>
        <v>13313430</v>
      </c>
      <c r="E116">
        <f t="shared" ca="1" si="21"/>
        <v>1452628347.3</v>
      </c>
      <c r="F116">
        <f ca="1">SUM($E$2:E116)/SUM($D$2:D116)</f>
        <v>110.29004390955131</v>
      </c>
      <c r="G116">
        <f ca="1">_xlfn.STDEV.P($C$2:C116)</f>
        <v>7.5621309366115508</v>
      </c>
      <c r="H116">
        <f t="shared" ca="1" si="22"/>
        <v>117.85217484616287</v>
      </c>
      <c r="I116">
        <f t="shared" ca="1" si="23"/>
        <v>102.72791297293976</v>
      </c>
      <c r="J116">
        <f t="shared" ca="1" si="32"/>
        <v>114.03000000000002</v>
      </c>
      <c r="K116">
        <f t="shared" ca="1" si="33"/>
        <v>2.7165884177730977</v>
      </c>
      <c r="L116">
        <f t="shared" ca="1" si="34"/>
        <v>119.46317683554621</v>
      </c>
      <c r="M116">
        <f t="shared" ca="1" si="35"/>
        <v>108.59682316445382</v>
      </c>
      <c r="N116">
        <f t="shared" ca="1" si="24"/>
        <v>-0.93000000000000682</v>
      </c>
      <c r="O116">
        <f t="shared" ca="1" si="25"/>
        <v>0</v>
      </c>
      <c r="P116">
        <f t="shared" ca="1" si="26"/>
        <v>0.93000000000000682</v>
      </c>
      <c r="Q116">
        <f t="shared" ca="1" si="30"/>
        <v>0.36329841235870758</v>
      </c>
      <c r="R116">
        <f t="shared" ca="1" si="31"/>
        <v>0.7483604170977215</v>
      </c>
      <c r="S116">
        <f t="shared" ca="1" si="28"/>
        <v>0.48545915050884869</v>
      </c>
      <c r="T116">
        <f t="shared" ca="1" si="29"/>
        <v>32.680747251955935</v>
      </c>
      <c r="U116">
        <f>70</f>
        <v>70</v>
      </c>
      <c r="V116">
        <f>30</f>
        <v>30</v>
      </c>
      <c r="W116">
        <f t="shared" ca="1" si="27"/>
        <v>112.32991019932209</v>
      </c>
      <c r="X116">
        <f t="shared" ca="1" si="37"/>
        <v>114.0433380174091</v>
      </c>
      <c r="Y116">
        <f t="shared" ca="1" si="36"/>
        <v>-1.9031952320777776</v>
      </c>
      <c r="Z116">
        <f t="shared" ca="1" si="38"/>
        <v>-1.3741223194166339</v>
      </c>
      <c r="AA116">
        <f t="shared" ca="1" si="39"/>
        <v>-0.52907291266114376</v>
      </c>
      <c r="AB116">
        <f t="shared" ca="1" si="40"/>
        <v>112.15110000000004</v>
      </c>
    </row>
    <row r="117" spans="1:28" x14ac:dyDescent="0.25">
      <c r="A117" s="20">
        <f t="shared" ca="1" si="20"/>
        <v>45460</v>
      </c>
      <c r="B117" vm="340">
        <f ca="1"/>
        <v>45460</v>
      </c>
      <c r="C117" vm="341">
        <f ca="1"/>
        <v>108.36</v>
      </c>
      <c r="D117" vm="342">
        <f ca="1"/>
        <v>21147943</v>
      </c>
      <c r="E117">
        <f t="shared" ca="1" si="21"/>
        <v>2291591103.48</v>
      </c>
      <c r="F117">
        <f ca="1">SUM($E$2:E117)/SUM($D$2:D117)</f>
        <v>110.27061089349229</v>
      </c>
      <c r="G117">
        <f ca="1">_xlfn.STDEV.P($C$2:C117)</f>
        <v>7.5320465223078168</v>
      </c>
      <c r="H117">
        <f t="shared" ca="1" si="22"/>
        <v>117.80265741580011</v>
      </c>
      <c r="I117">
        <f t="shared" ca="1" si="23"/>
        <v>102.73856437118447</v>
      </c>
      <c r="J117">
        <f t="shared" ca="1" si="32"/>
        <v>113.46600000000004</v>
      </c>
      <c r="K117">
        <f t="shared" ca="1" si="33"/>
        <v>2.6609464086060961</v>
      </c>
      <c r="L117">
        <f t="shared" ca="1" si="34"/>
        <v>118.78789281721222</v>
      </c>
      <c r="M117">
        <f t="shared" ca="1" si="35"/>
        <v>108.14410718278785</v>
      </c>
      <c r="N117">
        <f t="shared" ca="1" si="24"/>
        <v>-0.75</v>
      </c>
      <c r="O117">
        <f t="shared" ca="1" si="25"/>
        <v>0</v>
      </c>
      <c r="P117">
        <f t="shared" ca="1" si="26"/>
        <v>0.75</v>
      </c>
      <c r="Q117">
        <f t="shared" ca="1" si="30"/>
        <v>0.33734852576165703</v>
      </c>
      <c r="R117">
        <f t="shared" ca="1" si="31"/>
        <v>0.74847753016216989</v>
      </c>
      <c r="S117">
        <f t="shared" ca="1" si="28"/>
        <v>0.45071296353888535</v>
      </c>
      <c r="T117">
        <f t="shared" ca="1" si="29"/>
        <v>31.068376368500296</v>
      </c>
      <c r="U117">
        <f>70</f>
        <v>70</v>
      </c>
      <c r="V117">
        <f>30</f>
        <v>30</v>
      </c>
      <c r="W117">
        <f t="shared" ca="1" si="27"/>
        <v>111.71915478404176</v>
      </c>
      <c r="X117">
        <f t="shared" ca="1" si="37"/>
        <v>113.62235001611954</v>
      </c>
      <c r="Y117">
        <f t="shared" ca="1" si="36"/>
        <v>-1.9488170495112485</v>
      </c>
      <c r="Z117">
        <f t="shared" ca="1" si="38"/>
        <v>-1.4890612654355568</v>
      </c>
      <c r="AA117">
        <f t="shared" ca="1" si="39"/>
        <v>-0.45975578407569162</v>
      </c>
      <c r="AB117">
        <f t="shared" ca="1" si="40"/>
        <v>112.23870000000005</v>
      </c>
    </row>
    <row r="118" spans="1:28" x14ac:dyDescent="0.25">
      <c r="A118" s="20">
        <f t="shared" ca="1" si="20"/>
        <v>45460</v>
      </c>
      <c r="B118" vm="343">
        <f ca="1"/>
        <v>45461</v>
      </c>
      <c r="C118" vm="344">
        <f ca="1"/>
        <v>109.38</v>
      </c>
      <c r="D118" vm="345">
        <f ca="1"/>
        <v>17762915</v>
      </c>
      <c r="E118">
        <f t="shared" ca="1" si="21"/>
        <v>1942907642.6999998</v>
      </c>
      <c r="F118">
        <f ca="1">SUM($E$2:E118)/SUM($D$2:D118)</f>
        <v>110.26314211256516</v>
      </c>
      <c r="G118">
        <f ca="1">_xlfn.STDEV.P($C$2:C118)</f>
        <v>7.5004660366079046</v>
      </c>
      <c r="H118">
        <f t="shared" ca="1" si="22"/>
        <v>117.76360814917307</v>
      </c>
      <c r="I118">
        <f t="shared" ca="1" si="23"/>
        <v>102.76267607595726</v>
      </c>
      <c r="J118">
        <f t="shared" ca="1" si="32"/>
        <v>113.00150000000001</v>
      </c>
      <c r="K118">
        <f t="shared" ca="1" si="33"/>
        <v>2.5113495533173724</v>
      </c>
      <c r="L118">
        <f t="shared" ca="1" si="34"/>
        <v>118.02419910663475</v>
      </c>
      <c r="M118">
        <f t="shared" ca="1" si="35"/>
        <v>107.97880089336526</v>
      </c>
      <c r="N118">
        <f t="shared" ca="1" si="24"/>
        <v>1.019999999999996</v>
      </c>
      <c r="O118">
        <f t="shared" ca="1" si="25"/>
        <v>1.019999999999996</v>
      </c>
      <c r="P118">
        <f t="shared" ca="1" si="26"/>
        <v>0</v>
      </c>
      <c r="Q118">
        <f t="shared" ca="1" si="30"/>
        <v>0.38610934535010977</v>
      </c>
      <c r="R118">
        <f t="shared" ca="1" si="31"/>
        <v>0.69501484943630054</v>
      </c>
      <c r="S118">
        <f t="shared" ca="1" si="28"/>
        <v>0.55554114514714037</v>
      </c>
      <c r="T118">
        <f t="shared" ca="1" si="29"/>
        <v>35.713690176584251</v>
      </c>
      <c r="U118">
        <f>70</f>
        <v>70</v>
      </c>
      <c r="V118">
        <f>30</f>
        <v>30</v>
      </c>
      <c r="W118">
        <f t="shared" ca="1" si="27"/>
        <v>111.3592848172661</v>
      </c>
      <c r="X118">
        <f t="shared" ca="1" si="37"/>
        <v>113.30810186677735</v>
      </c>
      <c r="Y118">
        <f t="shared" ca="1" si="36"/>
        <v>-1.7740897891014384</v>
      </c>
      <c r="Z118">
        <f t="shared" ca="1" si="38"/>
        <v>-1.5460669701687333</v>
      </c>
      <c r="AA118">
        <f t="shared" ca="1" si="39"/>
        <v>-0.22802281893270515</v>
      </c>
      <c r="AB118">
        <f t="shared" ca="1" si="40"/>
        <v>112.31120000000003</v>
      </c>
    </row>
    <row r="119" spans="1:28" x14ac:dyDescent="0.25">
      <c r="A119" s="20">
        <f t="shared" ca="1" si="20"/>
        <v>45460</v>
      </c>
      <c r="B119" vm="346">
        <f ca="1"/>
        <v>45463</v>
      </c>
      <c r="C119" vm="347">
        <f ca="1"/>
        <v>111.74</v>
      </c>
      <c r="D119" vm="348">
        <f ca="1"/>
        <v>17433192</v>
      </c>
      <c r="E119">
        <f t="shared" ca="1" si="21"/>
        <v>1947984874.0799999</v>
      </c>
      <c r="F119">
        <f ca="1">SUM($E$2:E119)/SUM($D$2:D119)</f>
        <v>110.27519811381386</v>
      </c>
      <c r="G119">
        <f ca="1">_xlfn.STDEV.P($C$2:C119)</f>
        <v>7.4695308930631379</v>
      </c>
      <c r="H119">
        <f t="shared" ca="1" si="22"/>
        <v>117.74472900687699</v>
      </c>
      <c r="I119">
        <f t="shared" ca="1" si="23"/>
        <v>102.80566722075072</v>
      </c>
      <c r="J119">
        <f t="shared" ca="1" si="32"/>
        <v>112.696</v>
      </c>
      <c r="K119">
        <f t="shared" ca="1" si="33"/>
        <v>2.2483617427620031</v>
      </c>
      <c r="L119">
        <f t="shared" ca="1" si="34"/>
        <v>117.192723485524</v>
      </c>
      <c r="M119">
        <f t="shared" ca="1" si="35"/>
        <v>108.199276514476</v>
      </c>
      <c r="N119">
        <f t="shared" ca="1" si="24"/>
        <v>2.3599999999999994</v>
      </c>
      <c r="O119">
        <f t="shared" ca="1" si="25"/>
        <v>2.3599999999999994</v>
      </c>
      <c r="P119">
        <f t="shared" ca="1" si="26"/>
        <v>0</v>
      </c>
      <c r="Q119">
        <f t="shared" ca="1" si="30"/>
        <v>0.52710153496795908</v>
      </c>
      <c r="R119">
        <f t="shared" ca="1" si="31"/>
        <v>0.64537093161942194</v>
      </c>
      <c r="S119">
        <f t="shared" ca="1" si="28"/>
        <v>0.81674198378490526</v>
      </c>
      <c r="T119">
        <f t="shared" ca="1" si="29"/>
        <v>44.956410490572125</v>
      </c>
      <c r="U119">
        <f>70</f>
        <v>70</v>
      </c>
      <c r="V119">
        <f>30</f>
        <v>30</v>
      </c>
      <c r="W119">
        <f t="shared" ca="1" si="27"/>
        <v>111.41785638384054</v>
      </c>
      <c r="X119">
        <f t="shared" ca="1" si="37"/>
        <v>113.19194617294198</v>
      </c>
      <c r="Y119">
        <f t="shared" ca="1" si="36"/>
        <v>-1.6951543025797804</v>
      </c>
      <c r="Z119">
        <f t="shared" ca="1" si="38"/>
        <v>-1.5758844366509428</v>
      </c>
      <c r="AA119">
        <f t="shared" ca="1" si="39"/>
        <v>-0.11926986592883759</v>
      </c>
      <c r="AB119">
        <f t="shared" ca="1" si="40"/>
        <v>112.39860000000004</v>
      </c>
    </row>
    <row r="120" spans="1:28" x14ac:dyDescent="0.25">
      <c r="A120" s="20">
        <f t="shared" ca="1" si="20"/>
        <v>45460</v>
      </c>
      <c r="B120" vm="349">
        <f ca="1"/>
        <v>45464</v>
      </c>
      <c r="C120" vm="350">
        <f ca="1"/>
        <v>110.76</v>
      </c>
      <c r="D120" vm="351">
        <f ca="1"/>
        <v>52220574</v>
      </c>
      <c r="E120">
        <f t="shared" ca="1" si="21"/>
        <v>5783950776.2400007</v>
      </c>
      <c r="F120">
        <f ca="1">SUM($E$2:E120)/SUM($D$2:D120)</f>
        <v>110.28676993290793</v>
      </c>
      <c r="G120">
        <f ca="1">_xlfn.STDEV.P($C$2:C120)</f>
        <v>7.4381252701724927</v>
      </c>
      <c r="H120">
        <f t="shared" ca="1" si="22"/>
        <v>117.72489520308042</v>
      </c>
      <c r="I120">
        <f t="shared" ca="1" si="23"/>
        <v>102.84864466273544</v>
      </c>
      <c r="J120">
        <f t="shared" ca="1" si="32"/>
        <v>112.46</v>
      </c>
      <c r="K120">
        <f t="shared" ca="1" si="33"/>
        <v>2.1876567613003552</v>
      </c>
      <c r="L120">
        <f t="shared" ca="1" si="34"/>
        <v>116.8353135226007</v>
      </c>
      <c r="M120">
        <f t="shared" ca="1" si="35"/>
        <v>108.08468647739929</v>
      </c>
      <c r="N120">
        <f t="shared" ca="1" si="24"/>
        <v>-0.97999999999998977</v>
      </c>
      <c r="O120">
        <f t="shared" ca="1" si="25"/>
        <v>0</v>
      </c>
      <c r="P120">
        <f t="shared" ca="1" si="26"/>
        <v>0.97999999999998977</v>
      </c>
      <c r="Q120">
        <f t="shared" ca="1" si="30"/>
        <v>0.48945142532739055</v>
      </c>
      <c r="R120">
        <f t="shared" ca="1" si="31"/>
        <v>0.66927300793231959</v>
      </c>
      <c r="S120">
        <f t="shared" ca="1" si="28"/>
        <v>0.73131804140663392</v>
      </c>
      <c r="T120">
        <f t="shared" ca="1" si="29"/>
        <v>42.240537204387024</v>
      </c>
      <c r="U120">
        <f>70</f>
        <v>70</v>
      </c>
      <c r="V120">
        <f>30</f>
        <v>30</v>
      </c>
      <c r="W120">
        <f t="shared" ca="1" si="27"/>
        <v>111.31664770940354</v>
      </c>
      <c r="X120">
        <f t="shared" ca="1" si="37"/>
        <v>113.01180201198332</v>
      </c>
      <c r="Y120">
        <f t="shared" ca="1" si="36"/>
        <v>-1.3515421202328497</v>
      </c>
      <c r="Z120">
        <f t="shared" ca="1" si="38"/>
        <v>-1.5310159733673241</v>
      </c>
      <c r="AA120">
        <f t="shared" ca="1" si="39"/>
        <v>0.17947385313447439</v>
      </c>
      <c r="AB120">
        <f t="shared" ca="1" si="40"/>
        <v>112.47490000000002</v>
      </c>
    </row>
    <row r="121" spans="1:28" x14ac:dyDescent="0.25">
      <c r="A121" s="20">
        <f t="shared" ca="1" si="20"/>
        <v>45467</v>
      </c>
      <c r="B121" vm="352">
        <f ca="1"/>
        <v>45467</v>
      </c>
      <c r="C121" vm="353">
        <f ca="1"/>
        <v>114.05</v>
      </c>
      <c r="D121" vm="354">
        <f ca="1"/>
        <v>16266688</v>
      </c>
      <c r="E121">
        <f t="shared" ca="1" si="21"/>
        <v>1855215766.3999999</v>
      </c>
      <c r="F121">
        <f ca="1">SUM($E$2:E121)/SUM($D$2:D121)</f>
        <v>110.31454393495278</v>
      </c>
      <c r="G121">
        <f ca="1">_xlfn.STDEV.P($C$2:C121)</f>
        <v>7.4141807800247834</v>
      </c>
      <c r="H121">
        <f t="shared" ca="1" si="22"/>
        <v>117.72872471497756</v>
      </c>
      <c r="I121">
        <f t="shared" ca="1" si="23"/>
        <v>102.900363154928</v>
      </c>
      <c r="J121">
        <f t="shared" ca="1" si="32"/>
        <v>112.48699999999999</v>
      </c>
      <c r="K121">
        <f t="shared" ca="1" si="33"/>
        <v>2.2045648812837131</v>
      </c>
      <c r="L121">
        <f t="shared" ca="1" si="34"/>
        <v>116.89612976256743</v>
      </c>
      <c r="M121">
        <f t="shared" ca="1" si="35"/>
        <v>108.07787023743256</v>
      </c>
      <c r="N121">
        <f t="shared" ca="1" si="24"/>
        <v>3.289999999999992</v>
      </c>
      <c r="O121">
        <f t="shared" ca="1" si="25"/>
        <v>3.289999999999992</v>
      </c>
      <c r="P121">
        <f t="shared" ca="1" si="26"/>
        <v>0</v>
      </c>
      <c r="Q121">
        <f t="shared" ca="1" si="30"/>
        <v>0.68949060923257632</v>
      </c>
      <c r="R121">
        <f t="shared" ca="1" si="31"/>
        <v>0.6214677930800111</v>
      </c>
      <c r="S121">
        <f t="shared" ca="1" si="28"/>
        <v>1.1094550947128607</v>
      </c>
      <c r="T121">
        <f t="shared" ca="1" si="29"/>
        <v>52.594392622701449</v>
      </c>
      <c r="U121">
        <f>70</f>
        <v>70</v>
      </c>
      <c r="V121">
        <f>30</f>
        <v>30</v>
      </c>
      <c r="W121">
        <f t="shared" ca="1" si="27"/>
        <v>111.73716344641838</v>
      </c>
      <c r="X121">
        <f t="shared" ca="1" si="37"/>
        <v>113.08870556665123</v>
      </c>
      <c r="Y121">
        <f t="shared" ca="1" si="36"/>
        <v>-1.041401041525333</v>
      </c>
      <c r="Z121">
        <f t="shared" ca="1" si="38"/>
        <v>-1.433092986998926</v>
      </c>
      <c r="AA121">
        <f t="shared" ca="1" si="39"/>
        <v>0.39169194547359298</v>
      </c>
      <c r="AB121">
        <f t="shared" ca="1" si="40"/>
        <v>112.56690000000002</v>
      </c>
    </row>
    <row r="122" spans="1:28" x14ac:dyDescent="0.25">
      <c r="A122" s="20">
        <f t="shared" ca="1" si="20"/>
        <v>45467</v>
      </c>
      <c r="B122" vm="355">
        <f ca="1"/>
        <v>45468</v>
      </c>
      <c r="C122" vm="356">
        <f ca="1"/>
        <v>114.37</v>
      </c>
      <c r="D122" vm="357">
        <f ca="1"/>
        <v>16213682</v>
      </c>
      <c r="E122">
        <f t="shared" ca="1" si="21"/>
        <v>1854358810.3400002</v>
      </c>
      <c r="F122">
        <f ca="1">SUM($E$2:E122)/SUM($D$2:D122)</f>
        <v>110.34415927990439</v>
      </c>
      <c r="G122">
        <f ca="1">_xlfn.STDEV.P($C$2:C122)</f>
        <v>7.3917531102409413</v>
      </c>
      <c r="H122">
        <f t="shared" ca="1" si="22"/>
        <v>117.73591239014533</v>
      </c>
      <c r="I122">
        <f t="shared" ca="1" si="23"/>
        <v>102.95240616966345</v>
      </c>
      <c r="J122">
        <f t="shared" ca="1" si="32"/>
        <v>112.53450000000001</v>
      </c>
      <c r="K122">
        <f t="shared" ca="1" si="33"/>
        <v>2.23573954560666</v>
      </c>
      <c r="L122">
        <f t="shared" ca="1" si="34"/>
        <v>117.00597909121333</v>
      </c>
      <c r="M122">
        <f t="shared" ca="1" si="35"/>
        <v>108.06302090878668</v>
      </c>
      <c r="N122">
        <f t="shared" ca="1" si="24"/>
        <v>0.32000000000000739</v>
      </c>
      <c r="O122">
        <f t="shared" ca="1" si="25"/>
        <v>0.32000000000000739</v>
      </c>
      <c r="P122">
        <f t="shared" ca="1" si="26"/>
        <v>0</v>
      </c>
      <c r="Q122">
        <f t="shared" ca="1" si="30"/>
        <v>0.66309842285882137</v>
      </c>
      <c r="R122">
        <f t="shared" ca="1" si="31"/>
        <v>0.57707723643143893</v>
      </c>
      <c r="S122">
        <f t="shared" ca="1" si="28"/>
        <v>1.1490635585616318</v>
      </c>
      <c r="T122">
        <f t="shared" ca="1" si="29"/>
        <v>53.468104932675878</v>
      </c>
      <c r="U122">
        <f>70</f>
        <v>70</v>
      </c>
      <c r="V122">
        <f>30</f>
        <v>30</v>
      </c>
      <c r="W122">
        <f t="shared" ca="1" si="27"/>
        <v>112.14221522389248</v>
      </c>
      <c r="X122">
        <f t="shared" ca="1" si="37"/>
        <v>113.18361626541781</v>
      </c>
      <c r="Y122">
        <f t="shared" ca="1" si="36"/>
        <v>-0.7833543155690279</v>
      </c>
      <c r="Z122">
        <f t="shared" ca="1" si="38"/>
        <v>-1.3031452527129463</v>
      </c>
      <c r="AA122">
        <f t="shared" ca="1" si="39"/>
        <v>0.51979093714391844</v>
      </c>
      <c r="AB122">
        <f t="shared" ca="1" si="40"/>
        <v>112.68250000000003</v>
      </c>
    </row>
    <row r="123" spans="1:28" x14ac:dyDescent="0.25">
      <c r="A123" s="20">
        <f t="shared" ca="1" si="20"/>
        <v>45467</v>
      </c>
      <c r="B123" vm="358">
        <f ca="1"/>
        <v>45469</v>
      </c>
      <c r="C123" vm="359">
        <f ca="1"/>
        <v>114.41</v>
      </c>
      <c r="D123" vm="360">
        <f ca="1"/>
        <v>15771751</v>
      </c>
      <c r="E123">
        <f t="shared" ca="1" si="21"/>
        <v>1804446031.9099998</v>
      </c>
      <c r="F123">
        <f ca="1">SUM($E$2:E123)/SUM($D$2:D123)</f>
        <v>110.37283746018926</v>
      </c>
      <c r="G123">
        <f ca="1">_xlfn.STDEV.P($C$2:C123)</f>
        <v>7.3696615595483284</v>
      </c>
      <c r="H123">
        <f t="shared" ca="1" si="22"/>
        <v>117.74249901973759</v>
      </c>
      <c r="I123">
        <f t="shared" ca="1" si="23"/>
        <v>103.00317590064093</v>
      </c>
      <c r="J123">
        <f t="shared" ca="1" si="32"/>
        <v>112.51199999999999</v>
      </c>
      <c r="K123">
        <f t="shared" ca="1" si="33"/>
        <v>2.2132557585221777</v>
      </c>
      <c r="L123">
        <f t="shared" ca="1" si="34"/>
        <v>116.93851151704435</v>
      </c>
      <c r="M123">
        <f t="shared" ca="1" si="35"/>
        <v>108.08548848295563</v>
      </c>
      <c r="N123">
        <f t="shared" ca="1" si="24"/>
        <v>3.9999999999992042E-2</v>
      </c>
      <c r="O123">
        <f t="shared" ca="1" si="25"/>
        <v>3.9999999999992042E-2</v>
      </c>
      <c r="P123">
        <f t="shared" ca="1" si="26"/>
        <v>0</v>
      </c>
      <c r="Q123">
        <f t="shared" ca="1" si="30"/>
        <v>0.61859139265461927</v>
      </c>
      <c r="R123">
        <f t="shared" ca="1" si="31"/>
        <v>0.53585743382919326</v>
      </c>
      <c r="S123">
        <f t="shared" ca="1" si="28"/>
        <v>1.1543954671566576</v>
      </c>
      <c r="T123">
        <f t="shared" ca="1" si="29"/>
        <v>53.583266617257287</v>
      </c>
      <c r="U123">
        <f>70</f>
        <v>70</v>
      </c>
      <c r="V123">
        <f>30</f>
        <v>30</v>
      </c>
      <c r="W123">
        <f t="shared" ca="1" si="27"/>
        <v>112.49110518944747</v>
      </c>
      <c r="X123">
        <f t="shared" ca="1" si="37"/>
        <v>113.27445950501649</v>
      </c>
      <c r="Y123">
        <f t="shared" ca="1" si="36"/>
        <v>-0.53316552098137038</v>
      </c>
      <c r="Z123">
        <f t="shared" ca="1" si="38"/>
        <v>-1.1491493063666312</v>
      </c>
      <c r="AA123">
        <f t="shared" ca="1" si="39"/>
        <v>0.61598378538526077</v>
      </c>
      <c r="AB123">
        <f t="shared" ca="1" si="40"/>
        <v>112.80270000000002</v>
      </c>
    </row>
    <row r="124" spans="1:28" x14ac:dyDescent="0.25">
      <c r="A124" s="20">
        <f t="shared" ca="1" si="20"/>
        <v>45467</v>
      </c>
      <c r="B124" vm="361">
        <f ca="1"/>
        <v>45470</v>
      </c>
      <c r="C124" vm="362">
        <f ca="1"/>
        <v>114.9</v>
      </c>
      <c r="D124" vm="363">
        <f ca="1"/>
        <v>16812731</v>
      </c>
      <c r="E124">
        <f t="shared" ca="1" si="21"/>
        <v>1931782791.9000001</v>
      </c>
      <c r="F124">
        <f ca="1">SUM($E$2:E124)/SUM($D$2:D124)</f>
        <v>110.40662312181914</v>
      </c>
      <c r="G124">
        <f ca="1">_xlfn.STDEV.P($C$2:C124)</f>
        <v>7.3499262686373559</v>
      </c>
      <c r="H124">
        <f t="shared" ca="1" si="22"/>
        <v>117.7565493904565</v>
      </c>
      <c r="I124">
        <f t="shared" ca="1" si="23"/>
        <v>103.05669685318178</v>
      </c>
      <c r="J124">
        <f t="shared" ca="1" si="32"/>
        <v>112.57549999999999</v>
      </c>
      <c r="K124">
        <f t="shared" ca="1" si="33"/>
        <v>2.2646423558699067</v>
      </c>
      <c r="L124">
        <f t="shared" ca="1" si="34"/>
        <v>117.10478471173981</v>
      </c>
      <c r="M124">
        <f t="shared" ca="1" si="35"/>
        <v>108.04621528826017</v>
      </c>
      <c r="N124">
        <f t="shared" ca="1" si="24"/>
        <v>0.49000000000000909</v>
      </c>
      <c r="O124">
        <f t="shared" ca="1" si="25"/>
        <v>0.49000000000000909</v>
      </c>
      <c r="P124">
        <f t="shared" ca="1" si="26"/>
        <v>0</v>
      </c>
      <c r="Q124">
        <f t="shared" ca="1" si="30"/>
        <v>0.60940629317928996</v>
      </c>
      <c r="R124">
        <f t="shared" ca="1" si="31"/>
        <v>0.49758190284139375</v>
      </c>
      <c r="S124">
        <f t="shared" ca="1" si="28"/>
        <v>1.2247356459295118</v>
      </c>
      <c r="T124">
        <f t="shared" ca="1" si="29"/>
        <v>55.050839328724273</v>
      </c>
      <c r="U124">
        <f>70</f>
        <v>70</v>
      </c>
      <c r="V124">
        <f>30</f>
        <v>30</v>
      </c>
      <c r="W124">
        <f t="shared" ca="1" si="27"/>
        <v>112.86170439107093</v>
      </c>
      <c r="X124">
        <f t="shared" ca="1" si="37"/>
        <v>113.3948699120523</v>
      </c>
      <c r="Y124">
        <f t="shared" ca="1" si="36"/>
        <v>-0.31352284122202434</v>
      </c>
      <c r="Z124">
        <f t="shared" ca="1" si="38"/>
        <v>-0.98202401333770983</v>
      </c>
      <c r="AA124">
        <f t="shared" ca="1" si="39"/>
        <v>0.66850117211568549</v>
      </c>
      <c r="AB124">
        <f t="shared" ca="1" si="40"/>
        <v>112.932</v>
      </c>
    </row>
    <row r="125" spans="1:28" x14ac:dyDescent="0.25">
      <c r="A125" s="20">
        <f t="shared" ca="1" si="20"/>
        <v>45467</v>
      </c>
      <c r="B125" vm="364">
        <f ca="1"/>
        <v>45471</v>
      </c>
      <c r="C125" vm="365">
        <f ca="1"/>
        <v>115.12</v>
      </c>
      <c r="D125" vm="366">
        <f ca="1"/>
        <v>24565910</v>
      </c>
      <c r="E125">
        <f t="shared" ca="1" si="21"/>
        <v>2828027559.2000003</v>
      </c>
      <c r="F125">
        <f ca="1">SUM($E$2:E125)/SUM($D$2:D125)</f>
        <v>110.45746516815683</v>
      </c>
      <c r="G125">
        <f ca="1">_xlfn.STDEV.P($C$2:C125)</f>
        <v>7.3313495970845768</v>
      </c>
      <c r="H125">
        <f t="shared" ca="1" si="22"/>
        <v>117.78881476524141</v>
      </c>
      <c r="I125">
        <f t="shared" ca="1" si="23"/>
        <v>103.12611557107225</v>
      </c>
      <c r="J125">
        <f t="shared" ca="1" si="32"/>
        <v>112.63199999999999</v>
      </c>
      <c r="K125">
        <f t="shared" ca="1" si="33"/>
        <v>2.3153187799159713</v>
      </c>
      <c r="L125">
        <f t="shared" ca="1" si="34"/>
        <v>117.26263755983193</v>
      </c>
      <c r="M125">
        <f t="shared" ca="1" si="35"/>
        <v>108.00136244016805</v>
      </c>
      <c r="N125">
        <f t="shared" ca="1" si="24"/>
        <v>0.21999999999999886</v>
      </c>
      <c r="O125">
        <f t="shared" ca="1" si="25"/>
        <v>0.21999999999999886</v>
      </c>
      <c r="P125">
        <f t="shared" ca="1" si="26"/>
        <v>0</v>
      </c>
      <c r="Q125">
        <f t="shared" ca="1" si="30"/>
        <v>0.58159155795219775</v>
      </c>
      <c r="R125">
        <f t="shared" ca="1" si="31"/>
        <v>0.46204033835272279</v>
      </c>
      <c r="S125">
        <f t="shared" ca="1" si="28"/>
        <v>1.2587462818196822</v>
      </c>
      <c r="T125">
        <f t="shared" ca="1" si="29"/>
        <v>55.727652634169075</v>
      </c>
      <c r="U125">
        <f>70</f>
        <v>70</v>
      </c>
      <c r="V125">
        <f>30</f>
        <v>30</v>
      </c>
      <c r="W125">
        <f t="shared" ca="1" si="27"/>
        <v>113.20913448475233</v>
      </c>
      <c r="X125">
        <f t="shared" ca="1" si="37"/>
        <v>113.52265732597435</v>
      </c>
      <c r="Y125">
        <f t="shared" ca="1" si="36"/>
        <v>-0.15062874350491029</v>
      </c>
      <c r="Z125">
        <f t="shared" ca="1" si="38"/>
        <v>-0.81574495937114999</v>
      </c>
      <c r="AA125">
        <f t="shared" ca="1" si="39"/>
        <v>0.6651162158662397</v>
      </c>
      <c r="AB125">
        <f t="shared" ca="1" si="40"/>
        <v>113.06770000000002</v>
      </c>
    </row>
    <row r="126" spans="1:28" x14ac:dyDescent="0.25">
      <c r="A126" s="20">
        <f t="shared" ca="1" si="20"/>
        <v>45474</v>
      </c>
      <c r="B126" vm="367">
        <f ca="1"/>
        <v>45474</v>
      </c>
      <c r="C126" vm="368">
        <f ca="1"/>
        <v>114.96</v>
      </c>
      <c r="D126" vm="369">
        <f ca="1"/>
        <v>11972881</v>
      </c>
      <c r="E126">
        <f t="shared" ca="1" si="21"/>
        <v>1376402399.76</v>
      </c>
      <c r="F126">
        <f ca="1">SUM($E$2:E126)/SUM($D$2:D126)</f>
        <v>110.48101222012244</v>
      </c>
      <c r="G126">
        <f ca="1">_xlfn.STDEV.P($C$2:C126)</f>
        <v>7.312083839344294</v>
      </c>
      <c r="H126">
        <f t="shared" ca="1" si="22"/>
        <v>117.79309605946673</v>
      </c>
      <c r="I126">
        <f t="shared" ca="1" si="23"/>
        <v>103.16892838077814</v>
      </c>
      <c r="J126">
        <f t="shared" ca="1" si="32"/>
        <v>112.51700000000001</v>
      </c>
      <c r="K126">
        <f t="shared" ca="1" si="33"/>
        <v>2.122436782270992</v>
      </c>
      <c r="L126">
        <f t="shared" ca="1" si="34"/>
        <v>116.761873564542</v>
      </c>
      <c r="M126">
        <f t="shared" ca="1" si="35"/>
        <v>108.27212643545802</v>
      </c>
      <c r="N126">
        <f t="shared" ca="1" si="24"/>
        <v>-0.1600000000000108</v>
      </c>
      <c r="O126">
        <f t="shared" ca="1" si="25"/>
        <v>0</v>
      </c>
      <c r="P126">
        <f t="shared" ca="1" si="26"/>
        <v>0.1600000000000108</v>
      </c>
      <c r="Q126">
        <f t="shared" ca="1" si="30"/>
        <v>0.54004930381275507</v>
      </c>
      <c r="R126">
        <f t="shared" ca="1" si="31"/>
        <v>0.44046602847038624</v>
      </c>
      <c r="S126">
        <f t="shared" ca="1" si="28"/>
        <v>1.2260861653467201</v>
      </c>
      <c r="T126">
        <f t="shared" ca="1" si="29"/>
        <v>55.07810903428139</v>
      </c>
      <c r="U126">
        <f>70</f>
        <v>70</v>
      </c>
      <c r="V126">
        <f>30</f>
        <v>30</v>
      </c>
      <c r="W126">
        <f t="shared" ca="1" si="27"/>
        <v>113.47849841017504</v>
      </c>
      <c r="X126">
        <f t="shared" ca="1" si="37"/>
        <v>113.62912715367995</v>
      </c>
      <c r="Y126">
        <f t="shared" ca="1" si="36"/>
        <v>-8.351081801708915E-2</v>
      </c>
      <c r="Z126">
        <f t="shared" ca="1" si="38"/>
        <v>-0.66929813110033787</v>
      </c>
      <c r="AA126">
        <f t="shared" ca="1" si="39"/>
        <v>0.58578731308324872</v>
      </c>
      <c r="AB126">
        <f t="shared" ca="1" si="40"/>
        <v>113.19480000000001</v>
      </c>
    </row>
    <row r="127" spans="1:28" x14ac:dyDescent="0.25">
      <c r="A127" s="20">
        <f t="shared" ca="1" si="20"/>
        <v>45474</v>
      </c>
      <c r="B127" vm="370">
        <f ca="1"/>
        <v>45475</v>
      </c>
      <c r="C127" vm="371">
        <f ca="1"/>
        <v>114.18</v>
      </c>
      <c r="D127" vm="372">
        <f ca="1"/>
        <v>13326703</v>
      </c>
      <c r="E127">
        <f t="shared" ca="1" si="21"/>
        <v>1521642948.5400002</v>
      </c>
      <c r="F127">
        <f ca="1">SUM($E$2:E127)/SUM($D$2:D127)</f>
        <v>110.50241970656494</v>
      </c>
      <c r="G127">
        <f ca="1">_xlfn.STDEV.P($C$2:C127)</f>
        <v>7.289636308189106</v>
      </c>
      <c r="H127">
        <f t="shared" ca="1" si="22"/>
        <v>117.79205601475404</v>
      </c>
      <c r="I127">
        <f t="shared" ca="1" si="23"/>
        <v>103.21278339837583</v>
      </c>
      <c r="J127">
        <f t="shared" ca="1" si="32"/>
        <v>112.5035</v>
      </c>
      <c r="K127">
        <f t="shared" ca="1" si="33"/>
        <v>2.1103186963110572</v>
      </c>
      <c r="L127">
        <f t="shared" ca="1" si="34"/>
        <v>116.72413739262211</v>
      </c>
      <c r="M127">
        <f t="shared" ca="1" si="35"/>
        <v>108.28286260737789</v>
      </c>
      <c r="N127">
        <f t="shared" ca="1" si="24"/>
        <v>-0.77999999999998693</v>
      </c>
      <c r="O127">
        <f t="shared" ca="1" si="25"/>
        <v>0</v>
      </c>
      <c r="P127">
        <f t="shared" ca="1" si="26"/>
        <v>0.77999999999998693</v>
      </c>
      <c r="Q127">
        <f t="shared" ca="1" si="30"/>
        <v>0.50147435354041536</v>
      </c>
      <c r="R127">
        <f t="shared" ca="1" si="31"/>
        <v>0.4647184550082149</v>
      </c>
      <c r="S127">
        <f t="shared" ca="1" si="28"/>
        <v>1.0790928316620236</v>
      </c>
      <c r="T127">
        <f t="shared" ca="1" si="29"/>
        <v>51.90209957096522</v>
      </c>
      <c r="U127">
        <f>70</f>
        <v>70</v>
      </c>
      <c r="V127">
        <f>30</f>
        <v>30</v>
      </c>
      <c r="W127">
        <f t="shared" ca="1" si="27"/>
        <v>113.58642173168657</v>
      </c>
      <c r="X127">
        <f t="shared" ca="1" si="37"/>
        <v>113.66993254970366</v>
      </c>
      <c r="Y127">
        <f t="shared" ca="1" si="36"/>
        <v>1.6293947741374382E-2</v>
      </c>
      <c r="Z127">
        <f t="shared" ca="1" si="38"/>
        <v>-0.53217971533199548</v>
      </c>
      <c r="AA127">
        <f t="shared" ca="1" si="39"/>
        <v>0.54847366307336987</v>
      </c>
      <c r="AB127">
        <f t="shared" ca="1" si="40"/>
        <v>113.31440000000002</v>
      </c>
    </row>
    <row r="128" spans="1:28" x14ac:dyDescent="0.25">
      <c r="A128" s="20">
        <f t="shared" ca="1" si="20"/>
        <v>45474</v>
      </c>
      <c r="B128" vm="373">
        <f ca="1"/>
        <v>45476</v>
      </c>
      <c r="C128" vm="374">
        <f ca="1"/>
        <v>114.76</v>
      </c>
      <c r="D128" vm="375">
        <f ca="1"/>
        <v>7732928</v>
      </c>
      <c r="E128">
        <f t="shared" ca="1" si="21"/>
        <v>887430817.28000009</v>
      </c>
      <c r="F128">
        <f ca="1">SUM($E$2:E128)/SUM($D$2:D128)</f>
        <v>110.51666957582285</v>
      </c>
      <c r="G128">
        <f ca="1">_xlfn.STDEV.P($C$2:C128)</f>
        <v>7.2697173050662283</v>
      </c>
      <c r="H128">
        <f t="shared" ca="1" si="22"/>
        <v>117.78638688088907</v>
      </c>
      <c r="I128">
        <f t="shared" ca="1" si="23"/>
        <v>103.24695227075662</v>
      </c>
      <c r="J128">
        <f t="shared" ca="1" si="32"/>
        <v>112.60800000000002</v>
      </c>
      <c r="K128">
        <f t="shared" ca="1" si="33"/>
        <v>2.1699032236484652</v>
      </c>
      <c r="L128">
        <f t="shared" ca="1" si="34"/>
        <v>116.94780644729695</v>
      </c>
      <c r="M128">
        <f t="shared" ca="1" si="35"/>
        <v>108.26819355270308</v>
      </c>
      <c r="N128">
        <f t="shared" ca="1" si="24"/>
        <v>0.57999999999999829</v>
      </c>
      <c r="O128">
        <f t="shared" ca="1" si="25"/>
        <v>0.57999999999999829</v>
      </c>
      <c r="P128">
        <f t="shared" ca="1" si="26"/>
        <v>0</v>
      </c>
      <c r="Q128">
        <f t="shared" ca="1" si="30"/>
        <v>0.50708332828752845</v>
      </c>
      <c r="R128">
        <f t="shared" ca="1" si="31"/>
        <v>0.43152427965048529</v>
      </c>
      <c r="S128">
        <f t="shared" ca="1" si="28"/>
        <v>1.1750980239124493</v>
      </c>
      <c r="T128">
        <f t="shared" ca="1" si="29"/>
        <v>54.025060525720406</v>
      </c>
      <c r="U128">
        <f>70</f>
        <v>70</v>
      </c>
      <c r="V128">
        <f>30</f>
        <v>30</v>
      </c>
      <c r="W128">
        <f t="shared" ca="1" si="27"/>
        <v>113.76697223450402</v>
      </c>
      <c r="X128">
        <f t="shared" ca="1" si="37"/>
        <v>113.75067828676265</v>
      </c>
      <c r="Y128">
        <f t="shared" ca="1" si="36"/>
        <v>-1.6580312108743556E-2</v>
      </c>
      <c r="Z128">
        <f t="shared" ca="1" si="38"/>
        <v>-0.4290598346873451</v>
      </c>
      <c r="AA128">
        <f t="shared" ca="1" si="39"/>
        <v>0.41247952257860154</v>
      </c>
      <c r="AB128">
        <f t="shared" ca="1" si="40"/>
        <v>113.42230000000001</v>
      </c>
    </row>
    <row r="129" spans="1:28" x14ac:dyDescent="0.25">
      <c r="A129" s="20">
        <f t="shared" ca="1" si="20"/>
        <v>45474</v>
      </c>
      <c r="B129" vm="376">
        <f ca="1"/>
        <v>45478</v>
      </c>
      <c r="C129" vm="377">
        <f ca="1"/>
        <v>113.37</v>
      </c>
      <c r="D129" vm="378">
        <f ca="1"/>
        <v>12630986</v>
      </c>
      <c r="E129">
        <f t="shared" ca="1" si="21"/>
        <v>1431974882.8200002</v>
      </c>
      <c r="F129">
        <f ca="1">SUM($E$2:E129)/SUM($D$2:D129)</f>
        <v>110.53218364086418</v>
      </c>
      <c r="G129">
        <f ca="1">_xlfn.STDEV.P($C$2:C129)</f>
        <v>7.2449721179580973</v>
      </c>
      <c r="H129">
        <f t="shared" ca="1" si="22"/>
        <v>117.77715575882227</v>
      </c>
      <c r="I129">
        <f t="shared" ca="1" si="23"/>
        <v>103.28721152290608</v>
      </c>
      <c r="J129">
        <f t="shared" ca="1" si="32"/>
        <v>112.62050000000002</v>
      </c>
      <c r="K129">
        <f t="shared" ca="1" si="33"/>
        <v>2.1737246109409831</v>
      </c>
      <c r="L129">
        <f t="shared" ca="1" si="34"/>
        <v>116.96794922188198</v>
      </c>
      <c r="M129">
        <f t="shared" ca="1" si="35"/>
        <v>108.27305077811806</v>
      </c>
      <c r="N129">
        <f t="shared" ca="1" si="24"/>
        <v>-1.3900000000000006</v>
      </c>
      <c r="O129">
        <f t="shared" ca="1" si="25"/>
        <v>0</v>
      </c>
      <c r="P129">
        <f t="shared" ca="1" si="26"/>
        <v>1.3900000000000006</v>
      </c>
      <c r="Q129">
        <f t="shared" ca="1" si="30"/>
        <v>0.47086309055270498</v>
      </c>
      <c r="R129">
        <f t="shared" ca="1" si="31"/>
        <v>0.49998683110402214</v>
      </c>
      <c r="S129">
        <f t="shared" ca="1" si="28"/>
        <v>0.94175098474692032</v>
      </c>
      <c r="T129">
        <f t="shared" ca="1" si="29"/>
        <v>48.500090492791188</v>
      </c>
      <c r="U129">
        <f>70</f>
        <v>70</v>
      </c>
      <c r="V129">
        <f>30</f>
        <v>30</v>
      </c>
      <c r="W129">
        <f t="shared" ca="1" si="27"/>
        <v>113.70589958304186</v>
      </c>
      <c r="X129">
        <f t="shared" ca="1" si="37"/>
        <v>113.7224798951506</v>
      </c>
      <c r="Y129">
        <f t="shared" ca="1" si="36"/>
        <v>-0.13707632410401516</v>
      </c>
      <c r="Z129">
        <f t="shared" ca="1" si="38"/>
        <v>-0.37066313257067912</v>
      </c>
      <c r="AA129">
        <f t="shared" ca="1" si="39"/>
        <v>0.23358680846666396</v>
      </c>
      <c r="AB129">
        <f t="shared" ca="1" si="40"/>
        <v>113.53830000000004</v>
      </c>
    </row>
    <row r="130" spans="1:28" x14ac:dyDescent="0.25">
      <c r="A130" s="20">
        <f t="shared" ca="1" si="20"/>
        <v>45481</v>
      </c>
      <c r="B130" vm="379">
        <f ca="1"/>
        <v>45481</v>
      </c>
      <c r="C130" vm="380">
        <f ca="1"/>
        <v>112.18</v>
      </c>
      <c r="D130" vm="381">
        <f ca="1"/>
        <v>13350549</v>
      </c>
      <c r="E130">
        <f t="shared" ca="1" si="21"/>
        <v>1497664586.8200002</v>
      </c>
      <c r="F130">
        <f ca="1">SUM($E$2:E130)/SUM($D$2:D130)</f>
        <v>110.54159940366527</v>
      </c>
      <c r="G130">
        <f ca="1">_xlfn.STDEV.P($C$2:C130)</f>
        <v>7.2179133977680312</v>
      </c>
      <c r="H130">
        <f t="shared" ca="1" si="22"/>
        <v>117.7595128014333</v>
      </c>
      <c r="I130">
        <f t="shared" ca="1" si="23"/>
        <v>103.32368600589724</v>
      </c>
      <c r="J130">
        <f t="shared" ca="1" si="32"/>
        <v>112.53100000000002</v>
      </c>
      <c r="K130">
        <f t="shared" ca="1" si="33"/>
        <v>2.1519780374539637</v>
      </c>
      <c r="L130">
        <f t="shared" ca="1" si="34"/>
        <v>116.83495607490795</v>
      </c>
      <c r="M130">
        <f t="shared" ca="1" si="35"/>
        <v>108.22704392509209</v>
      </c>
      <c r="N130">
        <f t="shared" ca="1" si="24"/>
        <v>-1.1899999999999977</v>
      </c>
      <c r="O130">
        <f t="shared" ca="1" si="25"/>
        <v>0</v>
      </c>
      <c r="P130">
        <f t="shared" ca="1" si="26"/>
        <v>1.1899999999999977</v>
      </c>
      <c r="Q130">
        <f t="shared" ca="1" si="30"/>
        <v>0.43723001265608319</v>
      </c>
      <c r="R130">
        <f t="shared" ca="1" si="31"/>
        <v>0.54927348602516324</v>
      </c>
      <c r="S130">
        <f t="shared" ca="1" si="28"/>
        <v>0.79601514323968825</v>
      </c>
      <c r="T130">
        <f t="shared" ca="1" si="29"/>
        <v>44.321182159066886</v>
      </c>
      <c r="U130">
        <f>70</f>
        <v>70</v>
      </c>
      <c r="V130">
        <f>30</f>
        <v>30</v>
      </c>
      <c r="W130">
        <f t="shared" ca="1" si="27"/>
        <v>113.47114580103542</v>
      </c>
      <c r="X130">
        <f t="shared" ca="1" si="37"/>
        <v>113.60822212513943</v>
      </c>
      <c r="Y130">
        <f t="shared" ca="1" si="36"/>
        <v>-0.32883728707348325</v>
      </c>
      <c r="Z130">
        <f t="shared" ca="1" si="38"/>
        <v>-0.36229796347123994</v>
      </c>
      <c r="AA130">
        <f t="shared" ca="1" si="39"/>
        <v>3.3460676397756683E-2</v>
      </c>
      <c r="AB130">
        <f t="shared" ca="1" si="40"/>
        <v>113.62840000000004</v>
      </c>
    </row>
    <row r="131" spans="1:28" x14ac:dyDescent="0.25">
      <c r="A131" s="20">
        <f t="shared" ref="A131:A194" ca="1" si="41">B131 - WEEKDAY(B131, 2) + 1</f>
        <v>45481</v>
      </c>
      <c r="B131" vm="382">
        <f ca="1"/>
        <v>45482</v>
      </c>
      <c r="C131" vm="383">
        <f ca="1"/>
        <v>110.94</v>
      </c>
      <c r="D131" vm="384">
        <f ca="1"/>
        <v>11729085</v>
      </c>
      <c r="E131">
        <f t="shared" ref="E131:E194" ca="1" si="42">C131*D131</f>
        <v>1301224689.8999999</v>
      </c>
      <c r="F131">
        <f ca="1">SUM($E$2:E131)/SUM($D$2:D131)</f>
        <v>110.5435894213841</v>
      </c>
      <c r="G131">
        <f ca="1">_xlfn.STDEV.P($C$2:C131)</f>
        <v>7.1901140797131964</v>
      </c>
      <c r="H131">
        <f t="shared" ref="H131:H194" ca="1" si="43">F131 + G131</f>
        <v>117.7337035010973</v>
      </c>
      <c r="I131">
        <f t="shared" ref="I131:I194" ca="1" si="44">F131 - G131</f>
        <v>103.3534753416709</v>
      </c>
      <c r="J131">
        <f t="shared" ca="1" si="32"/>
        <v>112.44050000000001</v>
      </c>
      <c r="K131">
        <f t="shared" ca="1" si="33"/>
        <v>2.1801580700780203</v>
      </c>
      <c r="L131">
        <f t="shared" ca="1" si="34"/>
        <v>116.80081614015606</v>
      </c>
      <c r="M131">
        <f t="shared" ca="1" si="35"/>
        <v>108.08018385984397</v>
      </c>
      <c r="N131">
        <f t="shared" ca="1" si="24"/>
        <v>-1.2400000000000091</v>
      </c>
      <c r="O131">
        <f t="shared" ca="1" si="25"/>
        <v>0</v>
      </c>
      <c r="P131">
        <f t="shared" ca="1" si="26"/>
        <v>1.2400000000000091</v>
      </c>
      <c r="Q131">
        <f t="shared" ca="1" si="30"/>
        <v>0.40599929746636298</v>
      </c>
      <c r="R131">
        <f t="shared" ca="1" si="31"/>
        <v>0.5986110941662236</v>
      </c>
      <c r="S131">
        <f t="shared" ca="1" si="28"/>
        <v>0.67823550452545445</v>
      </c>
      <c r="T131">
        <f t="shared" ca="1" si="29"/>
        <v>40.41360719020394</v>
      </c>
      <c r="U131">
        <f>70</f>
        <v>70</v>
      </c>
      <c r="V131">
        <f>30</f>
        <v>30</v>
      </c>
      <c r="W131">
        <f t="shared" ca="1" si="27"/>
        <v>113.08173875472228</v>
      </c>
      <c r="X131">
        <f t="shared" ca="1" si="37"/>
        <v>113.41057604179576</v>
      </c>
      <c r="Y131">
        <f t="shared" ca="1" si="36"/>
        <v>-0.39715328612849987</v>
      </c>
      <c r="Z131">
        <f t="shared" ca="1" si="38"/>
        <v>-0.36926902800269196</v>
      </c>
      <c r="AA131">
        <f t="shared" ca="1" si="39"/>
        <v>-2.7884258125807915E-2</v>
      </c>
      <c r="AB131">
        <f t="shared" ca="1" si="40"/>
        <v>113.72440000000002</v>
      </c>
    </row>
    <row r="132" spans="1:28" x14ac:dyDescent="0.25">
      <c r="A132" s="20">
        <f t="shared" ca="1" si="41"/>
        <v>45481</v>
      </c>
      <c r="B132" vm="385">
        <f ca="1"/>
        <v>45483</v>
      </c>
      <c r="C132" vm="386">
        <f ca="1"/>
        <v>111.92</v>
      </c>
      <c r="D132" vm="387">
        <f ca="1"/>
        <v>10004094</v>
      </c>
      <c r="E132">
        <f t="shared" ca="1" si="42"/>
        <v>1119658200.48</v>
      </c>
      <c r="F132">
        <f ca="1">SUM($E$2:E132)/SUM($D$2:D132)</f>
        <v>110.54942860667479</v>
      </c>
      <c r="G132">
        <f ca="1">_xlfn.STDEV.P($C$2:C132)</f>
        <v>7.1633169841228197</v>
      </c>
      <c r="H132">
        <f t="shared" ca="1" si="43"/>
        <v>117.71274559079761</v>
      </c>
      <c r="I132">
        <f t="shared" ca="1" si="44"/>
        <v>103.38611162255198</v>
      </c>
      <c r="J132">
        <f t="shared" ca="1" si="32"/>
        <v>112.38250000000001</v>
      </c>
      <c r="K132">
        <f t="shared" ca="1" si="33"/>
        <v>2.1776783267362614</v>
      </c>
      <c r="L132">
        <f t="shared" ca="1" si="34"/>
        <v>116.73785665347253</v>
      </c>
      <c r="M132">
        <f t="shared" ca="1" si="35"/>
        <v>108.02714334652748</v>
      </c>
      <c r="N132">
        <f t="shared" ref="N132:N195" ca="1" si="45">C132-C131</f>
        <v>0.98000000000000398</v>
      </c>
      <c r="O132">
        <f t="shared" ref="O132:O195" ca="1" si="46">MAX(N132,0)</f>
        <v>0.98000000000000398</v>
      </c>
      <c r="P132">
        <f t="shared" ref="P132:P195" ca="1" si="47">MAX(-N132,0)</f>
        <v>0</v>
      </c>
      <c r="Q132">
        <f t="shared" ca="1" si="30"/>
        <v>0.44699934764733734</v>
      </c>
      <c r="R132">
        <f t="shared" ca="1" si="31"/>
        <v>0.55585315886863618</v>
      </c>
      <c r="S132">
        <f t="shared" ca="1" si="28"/>
        <v>0.80416804423158084</v>
      </c>
      <c r="T132">
        <f t="shared" ca="1" si="29"/>
        <v>44.572790589143082</v>
      </c>
      <c r="U132">
        <f>70</f>
        <v>70</v>
      </c>
      <c r="V132">
        <f>30</f>
        <v>30</v>
      </c>
      <c r="W132">
        <f t="shared" ca="1" si="27"/>
        <v>112.90300971553424</v>
      </c>
      <c r="X132">
        <f t="shared" ca="1" si="37"/>
        <v>113.30016300166274</v>
      </c>
      <c r="Y132">
        <f t="shared" ca="1" si="36"/>
        <v>-0.34005438754051909</v>
      </c>
      <c r="Z132">
        <f t="shared" ca="1" si="38"/>
        <v>-0.36342609991025737</v>
      </c>
      <c r="AA132">
        <f t="shared" ca="1" si="39"/>
        <v>2.3371712369738284E-2</v>
      </c>
      <c r="AB132">
        <f t="shared" ca="1" si="40"/>
        <v>113.83520000000003</v>
      </c>
    </row>
    <row r="133" spans="1:28" x14ac:dyDescent="0.25">
      <c r="A133" s="20">
        <f t="shared" ca="1" si="41"/>
        <v>45481</v>
      </c>
      <c r="B133" vm="388">
        <f ca="1"/>
        <v>45484</v>
      </c>
      <c r="C133" vm="389">
        <f ca="1"/>
        <v>113.25</v>
      </c>
      <c r="D133" vm="390">
        <f ca="1"/>
        <v>13084875</v>
      </c>
      <c r="E133">
        <f t="shared" ca="1" si="42"/>
        <v>1481862093.75</v>
      </c>
      <c r="F133">
        <f ca="1">SUM($E$2:E133)/SUM($D$2:D133)</f>
        <v>110.56433074521838</v>
      </c>
      <c r="G133">
        <f ca="1">_xlfn.STDEV.P($C$2:C133)</f>
        <v>7.1393465280490904</v>
      </c>
      <c r="H133">
        <f t="shared" ca="1" si="43"/>
        <v>117.70367727326747</v>
      </c>
      <c r="I133">
        <f t="shared" ca="1" si="44"/>
        <v>103.4249842171693</v>
      </c>
      <c r="J133">
        <f t="shared" ca="1" si="32"/>
        <v>112.4365</v>
      </c>
      <c r="K133">
        <f t="shared" ca="1" si="33"/>
        <v>2.1855079501113699</v>
      </c>
      <c r="L133">
        <f t="shared" ca="1" si="34"/>
        <v>116.80751590022274</v>
      </c>
      <c r="M133">
        <f t="shared" ca="1" si="35"/>
        <v>108.06548409977725</v>
      </c>
      <c r="N133">
        <f t="shared" ca="1" si="45"/>
        <v>1.3299999999999983</v>
      </c>
      <c r="O133">
        <f t="shared" ca="1" si="46"/>
        <v>1.3299999999999983</v>
      </c>
      <c r="P133">
        <f t="shared" ca="1" si="47"/>
        <v>0</v>
      </c>
      <c r="Q133">
        <f t="shared" ca="1" si="30"/>
        <v>0.51007082281538463</v>
      </c>
      <c r="R133">
        <f t="shared" ca="1" si="31"/>
        <v>0.51614936180659077</v>
      </c>
      <c r="S133">
        <f t="shared" ca="1" si="28"/>
        <v>0.98822329457130309</v>
      </c>
      <c r="T133">
        <f t="shared" ca="1" si="29"/>
        <v>49.703838460678625</v>
      </c>
      <c r="U133">
        <f>70</f>
        <v>70</v>
      </c>
      <c r="V133">
        <f>30</f>
        <v>30</v>
      </c>
      <c r="W133">
        <f t="shared" ca="1" si="27"/>
        <v>112.95639283622127</v>
      </c>
      <c r="X133">
        <f t="shared" ca="1" si="37"/>
        <v>113.29644722376179</v>
      </c>
      <c r="Y133">
        <f t="shared" ca="1" si="36"/>
        <v>-0.28984807796257428</v>
      </c>
      <c r="Z133">
        <f t="shared" ca="1" si="38"/>
        <v>-0.34871049552072075</v>
      </c>
      <c r="AA133">
        <f t="shared" ca="1" si="39"/>
        <v>5.8862417558146474E-2</v>
      </c>
      <c r="AB133">
        <f t="shared" ca="1" si="40"/>
        <v>113.93040000000005</v>
      </c>
    </row>
    <row r="134" spans="1:28" x14ac:dyDescent="0.25">
      <c r="A134" s="20">
        <f t="shared" ca="1" si="41"/>
        <v>45481</v>
      </c>
      <c r="B134" vm="391">
        <f ca="1"/>
        <v>45485</v>
      </c>
      <c r="C134" vm="392">
        <f ca="1"/>
        <v>113.27</v>
      </c>
      <c r="D134" vm="393">
        <f ca="1"/>
        <v>11684946</v>
      </c>
      <c r="E134">
        <f t="shared" ca="1" si="42"/>
        <v>1323553833.4199998</v>
      </c>
      <c r="F134">
        <f ca="1">SUM($E$2:E134)/SUM($D$2:D134)</f>
        <v>110.5775982705689</v>
      </c>
      <c r="G134">
        <f ca="1">_xlfn.STDEV.P($C$2:C134)</f>
        <v>7.1156611016201339</v>
      </c>
      <c r="H134">
        <f t="shared" ca="1" si="43"/>
        <v>117.69325937218903</v>
      </c>
      <c r="I134">
        <f t="shared" ca="1" si="44"/>
        <v>103.46193716894877</v>
      </c>
      <c r="J134">
        <f t="shared" ca="1" si="32"/>
        <v>112.55350000000001</v>
      </c>
      <c r="K134">
        <f t="shared" ca="1" si="33"/>
        <v>2.1631343608657088</v>
      </c>
      <c r="L134">
        <f t="shared" ca="1" si="34"/>
        <v>116.87976872173144</v>
      </c>
      <c r="M134">
        <f t="shared" ca="1" si="35"/>
        <v>108.22723127826859</v>
      </c>
      <c r="N134">
        <f t="shared" ca="1" si="45"/>
        <v>1.9999999999996021E-2</v>
      </c>
      <c r="O134">
        <f t="shared" ca="1" si="46"/>
        <v>1.9999999999996021E-2</v>
      </c>
      <c r="P134">
        <f t="shared" ca="1" si="47"/>
        <v>0</v>
      </c>
      <c r="Q134">
        <f t="shared" ca="1" si="30"/>
        <v>0.47506576404285689</v>
      </c>
      <c r="R134">
        <f t="shared" ca="1" si="31"/>
        <v>0.47928155024897717</v>
      </c>
      <c r="S134">
        <f t="shared" ca="1" si="28"/>
        <v>0.99120394639866638</v>
      </c>
      <c r="T134">
        <f t="shared" ca="1" si="29"/>
        <v>49.779127255717768</v>
      </c>
      <c r="U134">
        <f>70</f>
        <v>70</v>
      </c>
      <c r="V134">
        <f>30</f>
        <v>30</v>
      </c>
      <c r="W134">
        <f t="shared" ca="1" si="27"/>
        <v>113.00464009218723</v>
      </c>
      <c r="X134">
        <f t="shared" ca="1" si="37"/>
        <v>113.2944881701498</v>
      </c>
      <c r="Y134">
        <f t="shared" ca="1" si="36"/>
        <v>-9.2451703473159341E-2</v>
      </c>
      <c r="Z134">
        <f t="shared" ca="1" si="38"/>
        <v>-0.29745873711120846</v>
      </c>
      <c r="AA134">
        <f t="shared" ca="1" si="39"/>
        <v>0.20500703363804912</v>
      </c>
      <c r="AB134">
        <f t="shared" ca="1" si="40"/>
        <v>114.02580000000003</v>
      </c>
    </row>
    <row r="135" spans="1:28" x14ac:dyDescent="0.25">
      <c r="A135" s="20">
        <f t="shared" ca="1" si="41"/>
        <v>45488</v>
      </c>
      <c r="B135" vm="394">
        <f ca="1"/>
        <v>45488</v>
      </c>
      <c r="C135" vm="395">
        <f ca="1"/>
        <v>115.21</v>
      </c>
      <c r="D135" vm="396">
        <f ca="1"/>
        <v>13032503</v>
      </c>
      <c r="E135">
        <f t="shared" ca="1" si="42"/>
        <v>1501474670.6299999</v>
      </c>
      <c r="F135">
        <f ca="1">SUM($E$2:E135)/SUM($D$2:D135)</f>
        <v>110.60279556016049</v>
      </c>
      <c r="G135">
        <f ca="1">_xlfn.STDEV.P($C$2:C135)</f>
        <v>7.0991369836220155</v>
      </c>
      <c r="H135">
        <f t="shared" ca="1" si="43"/>
        <v>117.7019325437825</v>
      </c>
      <c r="I135">
        <f t="shared" ca="1" si="44"/>
        <v>103.50365857653847</v>
      </c>
      <c r="J135">
        <f t="shared" ca="1" si="32"/>
        <v>112.81200000000001</v>
      </c>
      <c r="K135">
        <f t="shared" ca="1" si="33"/>
        <v>2.1558576263898228</v>
      </c>
      <c r="L135">
        <f t="shared" ca="1" si="34"/>
        <v>117.12371525277966</v>
      </c>
      <c r="M135">
        <f t="shared" ca="1" si="35"/>
        <v>108.50028474722036</v>
      </c>
      <c r="N135">
        <f t="shared" ca="1" si="45"/>
        <v>1.9399999999999977</v>
      </c>
      <c r="O135">
        <f t="shared" ca="1" si="46"/>
        <v>1.9399999999999977</v>
      </c>
      <c r="P135">
        <f t="shared" ca="1" si="47"/>
        <v>0</v>
      </c>
      <c r="Q135">
        <f t="shared" ca="1" si="30"/>
        <v>0.57970392375408131</v>
      </c>
      <c r="R135">
        <f t="shared" ca="1" si="31"/>
        <v>0.44504715380262166</v>
      </c>
      <c r="S135">
        <f t="shared" ca="1" si="28"/>
        <v>1.3025674219032977</v>
      </c>
      <c r="T135">
        <f t="shared" ca="1" si="29"/>
        <v>56.57021850967552</v>
      </c>
      <c r="U135">
        <f>70</f>
        <v>70</v>
      </c>
      <c r="V135">
        <f>30</f>
        <v>30</v>
      </c>
      <c r="W135">
        <f t="shared" ca="1" si="27"/>
        <v>113.34392623185073</v>
      </c>
      <c r="X135">
        <f t="shared" ca="1" si="37"/>
        <v>113.43637793532389</v>
      </c>
      <c r="Y135">
        <f t="shared" ca="1" si="36"/>
        <v>0.12946798256238878</v>
      </c>
      <c r="Z135">
        <f t="shared" ca="1" si="38"/>
        <v>-0.21207339317648904</v>
      </c>
      <c r="AA135">
        <f t="shared" ca="1" si="39"/>
        <v>0.34154137573887783</v>
      </c>
      <c r="AB135">
        <f t="shared" ca="1" si="40"/>
        <v>114.15040000000003</v>
      </c>
    </row>
    <row r="136" spans="1:28" x14ac:dyDescent="0.25">
      <c r="A136" s="20">
        <f t="shared" ca="1" si="41"/>
        <v>45488</v>
      </c>
      <c r="B136" vm="397">
        <f ca="1"/>
        <v>45489</v>
      </c>
      <c r="C136" vm="398">
        <f ca="1"/>
        <v>116.04</v>
      </c>
      <c r="D136" vm="399">
        <f ca="1"/>
        <v>13614050</v>
      </c>
      <c r="E136">
        <f t="shared" ca="1" si="42"/>
        <v>1579774362</v>
      </c>
      <c r="F136">
        <f ca="1">SUM($E$2:E136)/SUM($D$2:D136)</f>
        <v>110.63351562107349</v>
      </c>
      <c r="G136">
        <f ca="1">_xlfn.STDEV.P($C$2:C136)</f>
        <v>7.0867851338676608</v>
      </c>
      <c r="H136">
        <f t="shared" ca="1" si="43"/>
        <v>117.72030075494115</v>
      </c>
      <c r="I136">
        <f t="shared" ca="1" si="44"/>
        <v>103.54673048720582</v>
      </c>
      <c r="J136">
        <f t="shared" ca="1" si="32"/>
        <v>113.1585</v>
      </c>
      <c r="K136">
        <f t="shared" ca="1" si="33"/>
        <v>2.0852950693644758</v>
      </c>
      <c r="L136">
        <f t="shared" ca="1" si="34"/>
        <v>117.32909013872896</v>
      </c>
      <c r="M136">
        <f t="shared" ca="1" si="35"/>
        <v>108.98790986127105</v>
      </c>
      <c r="N136">
        <f t="shared" ca="1" si="45"/>
        <v>0.83000000000001251</v>
      </c>
      <c r="O136">
        <f t="shared" ca="1" si="46"/>
        <v>0.83000000000001251</v>
      </c>
      <c r="P136">
        <f t="shared" ca="1" si="47"/>
        <v>0</v>
      </c>
      <c r="Q136">
        <f t="shared" ca="1" si="30"/>
        <v>0.59758221491450492</v>
      </c>
      <c r="R136">
        <f t="shared" ca="1" si="31"/>
        <v>0.41325807138814868</v>
      </c>
      <c r="S136">
        <f t="shared" ca="1" si="28"/>
        <v>1.4460267234641173</v>
      </c>
      <c r="T136">
        <f t="shared" ca="1" si="29"/>
        <v>59.117372250791362</v>
      </c>
      <c r="U136">
        <f>70</f>
        <v>70</v>
      </c>
      <c r="V136">
        <f>30</f>
        <v>30</v>
      </c>
      <c r="W136">
        <f t="shared" ca="1" si="27"/>
        <v>113.758706811566</v>
      </c>
      <c r="X136">
        <f t="shared" ca="1" si="37"/>
        <v>113.62923882900361</v>
      </c>
      <c r="Y136">
        <f t="shared" ca="1" si="36"/>
        <v>0.42949659147842567</v>
      </c>
      <c r="Z136">
        <f t="shared" ca="1" si="38"/>
        <v>-8.3759396245506101E-2</v>
      </c>
      <c r="AA136">
        <f t="shared" ca="1" si="39"/>
        <v>0.51325598772393177</v>
      </c>
      <c r="AB136">
        <f t="shared" ca="1" si="40"/>
        <v>114.26230000000004</v>
      </c>
    </row>
    <row r="137" spans="1:28" x14ac:dyDescent="0.25">
      <c r="A137" s="20">
        <f t="shared" ca="1" si="41"/>
        <v>45488</v>
      </c>
      <c r="B137" vm="400">
        <f ca="1"/>
        <v>45490</v>
      </c>
      <c r="C137" vm="401">
        <f ca="1"/>
        <v>117.64</v>
      </c>
      <c r="D137" vm="402">
        <f ca="1"/>
        <v>13602766</v>
      </c>
      <c r="E137">
        <f t="shared" ca="1" si="42"/>
        <v>1600229392.24</v>
      </c>
      <c r="F137">
        <f ca="1">SUM($E$2:E137)/SUM($D$2:D137)</f>
        <v>110.67284722250106</v>
      </c>
      <c r="G137">
        <f ca="1">_xlfn.STDEV.P($C$2:C137)</f>
        <v>7.0842082821790413</v>
      </c>
      <c r="H137">
        <f t="shared" ca="1" si="43"/>
        <v>117.7570555046801</v>
      </c>
      <c r="I137">
        <f t="shared" ca="1" si="44"/>
        <v>103.58863894032203</v>
      </c>
      <c r="J137">
        <f t="shared" ca="1" si="32"/>
        <v>113.62250000000002</v>
      </c>
      <c r="K137">
        <f t="shared" ca="1" si="33"/>
        <v>1.9917325835087727</v>
      </c>
      <c r="L137">
        <f t="shared" ca="1" si="34"/>
        <v>117.60596516701756</v>
      </c>
      <c r="M137">
        <f t="shared" ca="1" si="35"/>
        <v>109.63903483298247</v>
      </c>
      <c r="N137">
        <f t="shared" ca="1" si="45"/>
        <v>1.5999999999999943</v>
      </c>
      <c r="O137">
        <f t="shared" ca="1" si="46"/>
        <v>1.5999999999999943</v>
      </c>
      <c r="P137">
        <f t="shared" ca="1" si="47"/>
        <v>0</v>
      </c>
      <c r="Q137">
        <f t="shared" ca="1" si="30"/>
        <v>0.66918348527775418</v>
      </c>
      <c r="R137">
        <f t="shared" ca="1" si="31"/>
        <v>0.38373963771756664</v>
      </c>
      <c r="S137">
        <f t="shared" ca="1" si="28"/>
        <v>1.7438477016811982</v>
      </c>
      <c r="T137">
        <f t="shared" ca="1" si="29"/>
        <v>63.554828521011409</v>
      </c>
      <c r="U137">
        <f>70</f>
        <v>70</v>
      </c>
      <c r="V137">
        <f>30</f>
        <v>30</v>
      </c>
      <c r="W137">
        <f t="shared" ca="1" si="27"/>
        <v>114.35582884055584</v>
      </c>
      <c r="X137">
        <f t="shared" ca="1" si="37"/>
        <v>113.92633224907742</v>
      </c>
      <c r="Y137">
        <f t="shared" ca="1" si="36"/>
        <v>0.75220280539865314</v>
      </c>
      <c r="Z137">
        <f t="shared" ca="1" si="38"/>
        <v>8.3433044083325761E-2</v>
      </c>
      <c r="AA137">
        <f t="shared" ca="1" si="39"/>
        <v>0.66876976131532739</v>
      </c>
      <c r="AB137">
        <f t="shared" ca="1" si="40"/>
        <v>114.39110000000002</v>
      </c>
    </row>
    <row r="138" spans="1:28" x14ac:dyDescent="0.25">
      <c r="A138" s="20">
        <f t="shared" ca="1" si="41"/>
        <v>45488</v>
      </c>
      <c r="B138" vm="403">
        <f ca="1"/>
        <v>45491</v>
      </c>
      <c r="C138" vm="404">
        <f ca="1"/>
        <v>118.8</v>
      </c>
      <c r="D138" vm="405">
        <f ca="1"/>
        <v>13033563</v>
      </c>
      <c r="E138">
        <f t="shared" ca="1" si="42"/>
        <v>1548387284.3999999</v>
      </c>
      <c r="F138">
        <f ca="1">SUM($E$2:E138)/SUM($D$2:D138)</f>
        <v>110.71632688288592</v>
      </c>
      <c r="G138">
        <f ca="1">_xlfn.STDEV.P($C$2:C138)</f>
        <v>7.0899665011911113</v>
      </c>
      <c r="H138">
        <f t="shared" ca="1" si="43"/>
        <v>117.80629338407704</v>
      </c>
      <c r="I138">
        <f t="shared" ca="1" si="44"/>
        <v>103.62636038169481</v>
      </c>
      <c r="J138">
        <f t="shared" ca="1" si="32"/>
        <v>114.09350000000002</v>
      </c>
      <c r="K138">
        <f t="shared" ca="1" si="33"/>
        <v>2.0486690801591161</v>
      </c>
      <c r="L138">
        <f t="shared" ca="1" si="34"/>
        <v>118.19083816031825</v>
      </c>
      <c r="M138">
        <f t="shared" ca="1" si="35"/>
        <v>109.99616183968179</v>
      </c>
      <c r="N138">
        <f t="shared" ca="1" si="45"/>
        <v>1.1599999999999966</v>
      </c>
      <c r="O138">
        <f t="shared" ca="1" si="46"/>
        <v>1.1599999999999966</v>
      </c>
      <c r="P138">
        <f t="shared" ca="1" si="47"/>
        <v>0</v>
      </c>
      <c r="Q138">
        <f t="shared" ca="1" si="30"/>
        <v>0.70424180775791434</v>
      </c>
      <c r="R138">
        <f t="shared" ca="1" si="31"/>
        <v>0.35632966359488327</v>
      </c>
      <c r="S138">
        <f t="shared" ca="1" si="28"/>
        <v>1.9763771577506883</v>
      </c>
      <c r="T138">
        <f t="shared" ca="1" si="29"/>
        <v>66.402107427953752</v>
      </c>
      <c r="U138">
        <f>70</f>
        <v>70</v>
      </c>
      <c r="V138">
        <f>30</f>
        <v>30</v>
      </c>
      <c r="W138">
        <f t="shared" ca="1" si="27"/>
        <v>115.03954748047033</v>
      </c>
      <c r="X138">
        <f t="shared" ca="1" si="37"/>
        <v>114.28734467507168</v>
      </c>
      <c r="Y138">
        <f t="shared" ca="1" si="36"/>
        <v>0.77868541966209648</v>
      </c>
      <c r="Z138">
        <f t="shared" ca="1" si="38"/>
        <v>0.22248351919907994</v>
      </c>
      <c r="AA138">
        <f t="shared" ca="1" si="39"/>
        <v>0.55620190046301654</v>
      </c>
      <c r="AB138">
        <f t="shared" ca="1" si="40"/>
        <v>114.54070000000002</v>
      </c>
    </row>
    <row r="139" spans="1:28" x14ac:dyDescent="0.25">
      <c r="A139" s="20">
        <f t="shared" ca="1" si="41"/>
        <v>45488</v>
      </c>
      <c r="B139" vm="406">
        <f ca="1"/>
        <v>45492</v>
      </c>
      <c r="C139" vm="407">
        <f ca="1"/>
        <v>116.07</v>
      </c>
      <c r="D139" vm="408">
        <f ca="1"/>
        <v>16157707</v>
      </c>
      <c r="E139">
        <f t="shared" ca="1" si="42"/>
        <v>1875425051.4899998</v>
      </c>
      <c r="F139">
        <f ca="1">SUM($E$2:E139)/SUM($D$2:D139)</f>
        <v>110.75160011697018</v>
      </c>
      <c r="G139">
        <f ca="1">_xlfn.STDEV.P($C$2:C139)</f>
        <v>7.0773340579027195</v>
      </c>
      <c r="H139">
        <f t="shared" ca="1" si="43"/>
        <v>117.8289341748729</v>
      </c>
      <c r="I139">
        <f t="shared" ca="1" si="44"/>
        <v>103.67426605906746</v>
      </c>
      <c r="J139">
        <f t="shared" ca="1" si="32"/>
        <v>114.31000000000003</v>
      </c>
      <c r="K139">
        <f t="shared" ca="1" si="33"/>
        <v>2.0153881694810574</v>
      </c>
      <c r="L139">
        <f t="shared" ca="1" si="34"/>
        <v>118.34077633896214</v>
      </c>
      <c r="M139">
        <f t="shared" ca="1" si="35"/>
        <v>110.27922366103792</v>
      </c>
      <c r="N139">
        <f t="shared" ca="1" si="45"/>
        <v>-2.730000000000004</v>
      </c>
      <c r="O139">
        <f t="shared" ca="1" si="46"/>
        <v>0</v>
      </c>
      <c r="P139">
        <f t="shared" ca="1" si="47"/>
        <v>2.730000000000004</v>
      </c>
      <c r="Q139">
        <f t="shared" ca="1" si="30"/>
        <v>0.65393882148949189</v>
      </c>
      <c r="R139">
        <f t="shared" ca="1" si="31"/>
        <v>0.52587754476667758</v>
      </c>
      <c r="S139">
        <f t="shared" ca="1" si="28"/>
        <v>1.2435191956706058</v>
      </c>
      <c r="T139">
        <f t="shared" ca="1" si="29"/>
        <v>55.427169870900435</v>
      </c>
      <c r="U139">
        <f>70</f>
        <v>70</v>
      </c>
      <c r="V139">
        <f>30</f>
        <v>30</v>
      </c>
      <c r="W139">
        <f t="shared" ca="1" si="27"/>
        <v>115.19807863732106</v>
      </c>
      <c r="X139">
        <f t="shared" ca="1" si="37"/>
        <v>114.41939321765896</v>
      </c>
      <c r="Y139">
        <f t="shared" ca="1" si="36"/>
        <v>0.72674233488659468</v>
      </c>
      <c r="Z139">
        <f t="shared" ca="1" si="38"/>
        <v>0.32333528233658293</v>
      </c>
      <c r="AA139">
        <f t="shared" ca="1" si="39"/>
        <v>0.40340705255001175</v>
      </c>
      <c r="AB139">
        <f t="shared" ca="1" si="40"/>
        <v>114.65890000000002</v>
      </c>
    </row>
    <row r="140" spans="1:28" x14ac:dyDescent="0.25">
      <c r="A140" s="20">
        <f t="shared" ca="1" si="41"/>
        <v>45495</v>
      </c>
      <c r="B140" vm="409">
        <f ca="1"/>
        <v>45495</v>
      </c>
      <c r="C140" vm="410">
        <f ca="1"/>
        <v>115.27</v>
      </c>
      <c r="D140" vm="411">
        <f ca="1"/>
        <v>12065877</v>
      </c>
      <c r="E140">
        <f t="shared" ca="1" si="42"/>
        <v>1390833641.79</v>
      </c>
      <c r="F140">
        <f ca="1">SUM($E$2:E140)/SUM($D$2:D140)</f>
        <v>110.77372218546172</v>
      </c>
      <c r="G140">
        <f ca="1">_xlfn.STDEV.P($C$2:C140)</f>
        <v>7.0609214107787768</v>
      </c>
      <c r="H140">
        <f t="shared" ca="1" si="43"/>
        <v>117.8346435962405</v>
      </c>
      <c r="I140">
        <f t="shared" ca="1" si="44"/>
        <v>103.71280077468295</v>
      </c>
      <c r="J140">
        <f t="shared" ca="1" si="32"/>
        <v>114.53550000000003</v>
      </c>
      <c r="K140">
        <f t="shared" ca="1" si="33"/>
        <v>1.8421397026855815</v>
      </c>
      <c r="L140">
        <f t="shared" ca="1" si="34"/>
        <v>118.21977940537118</v>
      </c>
      <c r="M140">
        <f t="shared" ca="1" si="35"/>
        <v>110.85122059462887</v>
      </c>
      <c r="N140">
        <f t="shared" ca="1" si="45"/>
        <v>-0.79999999999999716</v>
      </c>
      <c r="O140">
        <f t="shared" ca="1" si="46"/>
        <v>0</v>
      </c>
      <c r="P140">
        <f t="shared" ca="1" si="47"/>
        <v>0.79999999999999716</v>
      </c>
      <c r="Q140">
        <f t="shared" ca="1" si="30"/>
        <v>0.60722890566881393</v>
      </c>
      <c r="R140">
        <f t="shared" ca="1" si="31"/>
        <v>0.5454577201404861</v>
      </c>
      <c r="S140">
        <f t="shared" ca="1" si="28"/>
        <v>1.1132465143447201</v>
      </c>
      <c r="T140">
        <f t="shared" ca="1" si="29"/>
        <v>52.679444011287906</v>
      </c>
      <c r="U140">
        <f>70</f>
        <v>70</v>
      </c>
      <c r="V140">
        <f>30</f>
        <v>30</v>
      </c>
      <c r="W140">
        <f t="shared" ca="1" si="27"/>
        <v>115.20914346234859</v>
      </c>
      <c r="X140">
        <f t="shared" ca="1" si="37"/>
        <v>114.482401127462</v>
      </c>
      <c r="Y140">
        <f t="shared" ca="1" si="36"/>
        <v>0.52938815353954283</v>
      </c>
      <c r="Z140">
        <f t="shared" ca="1" si="38"/>
        <v>0.36454585657717492</v>
      </c>
      <c r="AA140">
        <f t="shared" ca="1" si="39"/>
        <v>0.16484229696236791</v>
      </c>
      <c r="AB140">
        <f t="shared" ca="1" si="40"/>
        <v>114.77130000000002</v>
      </c>
    </row>
    <row r="141" spans="1:28" x14ac:dyDescent="0.25">
      <c r="A141" s="20">
        <f t="shared" ca="1" si="41"/>
        <v>45495</v>
      </c>
      <c r="B141" vm="412">
        <f ca="1"/>
        <v>45496</v>
      </c>
      <c r="C141" vm="413">
        <f ca="1"/>
        <v>113.41</v>
      </c>
      <c r="D141" vm="414">
        <f ca="1"/>
        <v>11251733</v>
      </c>
      <c r="E141">
        <f t="shared" ca="1" si="42"/>
        <v>1276059039.53</v>
      </c>
      <c r="F141">
        <f ca="1">SUM($E$2:E141)/SUM($D$2:D141)</f>
        <v>110.7857037753048</v>
      </c>
      <c r="G141">
        <f ca="1">_xlfn.STDEV.P($C$2:C141)</f>
        <v>7.0384362809229337</v>
      </c>
      <c r="H141">
        <f t="shared" ca="1" si="43"/>
        <v>117.82414005622773</v>
      </c>
      <c r="I141">
        <f t="shared" ca="1" si="44"/>
        <v>103.74726749438186</v>
      </c>
      <c r="J141">
        <f t="shared" ca="1" si="32"/>
        <v>114.5035</v>
      </c>
      <c r="K141">
        <f t="shared" ca="1" si="33"/>
        <v>1.8565198767133024</v>
      </c>
      <c r="L141">
        <f t="shared" ca="1" si="34"/>
        <v>118.2165397534266</v>
      </c>
      <c r="M141">
        <f t="shared" ca="1" si="35"/>
        <v>110.7904602465734</v>
      </c>
      <c r="N141">
        <f t="shared" ca="1" si="45"/>
        <v>-1.8599999999999994</v>
      </c>
      <c r="O141">
        <f t="shared" ca="1" si="46"/>
        <v>0</v>
      </c>
      <c r="P141">
        <f t="shared" ca="1" si="47"/>
        <v>1.8599999999999994</v>
      </c>
      <c r="Q141">
        <f t="shared" ca="1" si="30"/>
        <v>0.56385541240675585</v>
      </c>
      <c r="R141">
        <f t="shared" ca="1" si="31"/>
        <v>0.63935359727330854</v>
      </c>
      <c r="S141">
        <f t="shared" ca="1" si="28"/>
        <v>0.8819148196107216</v>
      </c>
      <c r="T141">
        <f t="shared" ca="1" si="29"/>
        <v>46.862632167015278</v>
      </c>
      <c r="U141">
        <f>70</f>
        <v>70</v>
      </c>
      <c r="V141">
        <f>30</f>
        <v>30</v>
      </c>
      <c r="W141">
        <f t="shared" ca="1" si="27"/>
        <v>114.9323521604488</v>
      </c>
      <c r="X141">
        <f t="shared" ca="1" si="37"/>
        <v>114.40296400690926</v>
      </c>
      <c r="Y141">
        <f t="shared" ca="1" si="36"/>
        <v>0.49636834589112766</v>
      </c>
      <c r="Z141">
        <f t="shared" ca="1" si="38"/>
        <v>0.39091035443996552</v>
      </c>
      <c r="AA141">
        <f t="shared" ca="1" si="39"/>
        <v>0.10545799145116214</v>
      </c>
      <c r="AB141">
        <f t="shared" ca="1" si="40"/>
        <v>114.86220000000002</v>
      </c>
    </row>
    <row r="142" spans="1:28" x14ac:dyDescent="0.25">
      <c r="A142" s="20">
        <f t="shared" ca="1" si="41"/>
        <v>45495</v>
      </c>
      <c r="B142" vm="415">
        <f ca="1"/>
        <v>45497</v>
      </c>
      <c r="C142" vm="416">
        <f ca="1"/>
        <v>115.01</v>
      </c>
      <c r="D142" vm="417">
        <f ca="1"/>
        <v>14925184</v>
      </c>
      <c r="E142">
        <f t="shared" ca="1" si="42"/>
        <v>1716545411.8400002</v>
      </c>
      <c r="F142">
        <f ca="1">SUM($E$2:E142)/SUM($D$2:D142)</f>
        <v>110.81101816987326</v>
      </c>
      <c r="G142">
        <f ca="1">_xlfn.STDEV.P($C$2:C142)</f>
        <v>7.0211866123612845</v>
      </c>
      <c r="H142">
        <f t="shared" ca="1" si="43"/>
        <v>117.83220478223456</v>
      </c>
      <c r="I142">
        <f t="shared" ca="1" si="44"/>
        <v>103.78983155751197</v>
      </c>
      <c r="J142">
        <f t="shared" ca="1" si="32"/>
        <v>114.5355</v>
      </c>
      <c r="K142">
        <f t="shared" ca="1" si="33"/>
        <v>1.8596108110088654</v>
      </c>
      <c r="L142">
        <f t="shared" ca="1" si="34"/>
        <v>118.25472162201773</v>
      </c>
      <c r="M142">
        <f t="shared" ca="1" si="35"/>
        <v>110.81627837798227</v>
      </c>
      <c r="N142">
        <f t="shared" ca="1" si="45"/>
        <v>1.6000000000000085</v>
      </c>
      <c r="O142">
        <f t="shared" ca="1" si="46"/>
        <v>1.6000000000000085</v>
      </c>
      <c r="P142">
        <f t="shared" ca="1" si="47"/>
        <v>0</v>
      </c>
      <c r="Q142">
        <f t="shared" ca="1" si="30"/>
        <v>0.63786574009198815</v>
      </c>
      <c r="R142">
        <f t="shared" ca="1" si="31"/>
        <v>0.59368548318235792</v>
      </c>
      <c r="S142">
        <f t="shared" ca="1" si="28"/>
        <v>1.0744169398800336</v>
      </c>
      <c r="T142">
        <f t="shared" ca="1" si="29"/>
        <v>51.793683286358458</v>
      </c>
      <c r="U142">
        <f>70</f>
        <v>70</v>
      </c>
      <c r="V142">
        <f>30</f>
        <v>30</v>
      </c>
      <c r="W142">
        <f t="shared" ca="1" si="27"/>
        <v>114.94429798191821</v>
      </c>
      <c r="X142">
        <f t="shared" ca="1" si="37"/>
        <v>114.44792963602708</v>
      </c>
      <c r="Y142">
        <f t="shared" ca="1" si="36"/>
        <v>0.65788993994559064</v>
      </c>
      <c r="Z142">
        <f t="shared" ca="1" si="38"/>
        <v>0.44430627154109059</v>
      </c>
      <c r="AA142">
        <f t="shared" ca="1" si="39"/>
        <v>0.21358366840450005</v>
      </c>
      <c r="AB142">
        <f t="shared" ca="1" si="40"/>
        <v>114.96710000000002</v>
      </c>
    </row>
    <row r="143" spans="1:28" x14ac:dyDescent="0.25">
      <c r="A143" s="20">
        <f t="shared" ca="1" si="41"/>
        <v>45495</v>
      </c>
      <c r="B143" vm="418">
        <f ca="1"/>
        <v>45498</v>
      </c>
      <c r="C143" vm="419">
        <f ca="1"/>
        <v>117.43</v>
      </c>
      <c r="D143" vm="420">
        <f ca="1"/>
        <v>17021698</v>
      </c>
      <c r="E143">
        <f t="shared" ca="1" si="42"/>
        <v>1998857996.1400001</v>
      </c>
      <c r="F143">
        <f ca="1">SUM($E$2:E143)/SUM($D$2:D143)</f>
        <v>110.85594745802938</v>
      </c>
      <c r="G143">
        <f ca="1">_xlfn.STDEV.P($C$2:C143)</f>
        <v>7.0163726261793551</v>
      </c>
      <c r="H143">
        <f t="shared" ca="1" si="43"/>
        <v>117.87232008420874</v>
      </c>
      <c r="I143">
        <f t="shared" ca="1" si="44"/>
        <v>103.83957483185002</v>
      </c>
      <c r="J143">
        <f t="shared" ca="1" si="32"/>
        <v>114.6865</v>
      </c>
      <c r="K143">
        <f t="shared" ca="1" si="33"/>
        <v>1.9683182107950348</v>
      </c>
      <c r="L143">
        <f t="shared" ca="1" si="34"/>
        <v>118.62313642159006</v>
      </c>
      <c r="M143">
        <f t="shared" ca="1" si="35"/>
        <v>110.74986357840993</v>
      </c>
      <c r="N143">
        <f t="shared" ca="1" si="45"/>
        <v>2.4200000000000017</v>
      </c>
      <c r="O143">
        <f t="shared" ca="1" si="46"/>
        <v>2.4200000000000017</v>
      </c>
      <c r="P143">
        <f t="shared" ca="1" si="47"/>
        <v>0</v>
      </c>
      <c r="Q143">
        <f t="shared" ca="1" si="30"/>
        <v>0.76516104437113197</v>
      </c>
      <c r="R143">
        <f t="shared" ca="1" si="31"/>
        <v>0.55127937724076093</v>
      </c>
      <c r="S143">
        <f t="shared" ca="1" si="28"/>
        <v>1.3879732780879308</v>
      </c>
      <c r="T143">
        <f t="shared" ca="1" si="29"/>
        <v>58.123484497250828</v>
      </c>
      <c r="U143">
        <f>70</f>
        <v>70</v>
      </c>
      <c r="V143">
        <f>30</f>
        <v>30</v>
      </c>
      <c r="W143">
        <f t="shared" ref="W143:W206" ca="1" si="48">C143*(2/(12+1)) + W142*(1-(2/(12+1)))</f>
        <v>115.32671367700772</v>
      </c>
      <c r="X143">
        <f t="shared" ca="1" si="37"/>
        <v>114.66882373706213</v>
      </c>
      <c r="Y143">
        <f t="shared" ca="1" si="36"/>
        <v>0.76896366816552586</v>
      </c>
      <c r="Z143">
        <f t="shared" ca="1" si="38"/>
        <v>0.50923775086597767</v>
      </c>
      <c r="AA143">
        <f t="shared" ca="1" si="39"/>
        <v>0.25972591729954819</v>
      </c>
      <c r="AB143">
        <f t="shared" ca="1" si="40"/>
        <v>115.08300000000001</v>
      </c>
    </row>
    <row r="144" spans="1:28" x14ac:dyDescent="0.25">
      <c r="A144" s="20">
        <f t="shared" ca="1" si="41"/>
        <v>45495</v>
      </c>
      <c r="B144" vm="421">
        <f ca="1"/>
        <v>45499</v>
      </c>
      <c r="C144" vm="422">
        <f ca="1"/>
        <v>117.33</v>
      </c>
      <c r="D144" vm="423">
        <f ca="1"/>
        <v>11252479</v>
      </c>
      <c r="E144">
        <f t="shared" ca="1" si="42"/>
        <v>1320253361.0699999</v>
      </c>
      <c r="F144">
        <f ca="1">SUM($E$2:E144)/SUM($D$2:D144)</f>
        <v>110.88486860117055</v>
      </c>
      <c r="G144">
        <f ca="1">_xlfn.STDEV.P($C$2:C144)</f>
        <v>7.0107289134785082</v>
      </c>
      <c r="H144">
        <f t="shared" ca="1" si="43"/>
        <v>117.89559751464905</v>
      </c>
      <c r="I144">
        <f t="shared" ca="1" si="44"/>
        <v>103.87413968769205</v>
      </c>
      <c r="J144">
        <f t="shared" ca="1" si="32"/>
        <v>114.80799999999999</v>
      </c>
      <c r="K144">
        <f t="shared" ca="1" si="33"/>
        <v>2.0552694790656885</v>
      </c>
      <c r="L144">
        <f t="shared" ca="1" si="34"/>
        <v>118.91853895813136</v>
      </c>
      <c r="M144">
        <f t="shared" ca="1" si="35"/>
        <v>110.69746104186862</v>
      </c>
      <c r="N144">
        <f t="shared" ca="1" si="45"/>
        <v>-0.10000000000000853</v>
      </c>
      <c r="O144">
        <f t="shared" ca="1" si="46"/>
        <v>0</v>
      </c>
      <c r="P144">
        <f t="shared" ca="1" si="47"/>
        <v>0.10000000000000853</v>
      </c>
      <c r="Q144">
        <f t="shared" ca="1" si="30"/>
        <v>0.71050668405890816</v>
      </c>
      <c r="R144">
        <f t="shared" ca="1" si="31"/>
        <v>0.5190451360092786</v>
      </c>
      <c r="S144">
        <f t="shared" ref="S144:S207" ca="1" si="49">IF(R144=0,NA(),Q144/R144)</f>
        <v>1.3688726370151496</v>
      </c>
      <c r="T144">
        <f t="shared" ref="T144:T207" ca="1" si="50">100-(100/(1+S144))</f>
        <v>57.785826710378572</v>
      </c>
      <c r="U144">
        <f>70</f>
        <v>70</v>
      </c>
      <c r="V144">
        <f>30</f>
        <v>30</v>
      </c>
      <c r="W144">
        <f t="shared" ca="1" si="48"/>
        <v>115.63491157285269</v>
      </c>
      <c r="X144">
        <f t="shared" ca="1" si="37"/>
        <v>114.86594790468716</v>
      </c>
      <c r="Y144">
        <f t="shared" ca="1" si="36"/>
        <v>0.74910446756102544</v>
      </c>
      <c r="Z144">
        <f t="shared" ca="1" si="38"/>
        <v>0.55721109420498727</v>
      </c>
      <c r="AA144">
        <f t="shared" ca="1" si="39"/>
        <v>0.19189337335603818</v>
      </c>
      <c r="AB144">
        <f t="shared" ca="1" si="40"/>
        <v>115.21270000000003</v>
      </c>
    </row>
    <row r="145" spans="1:28" x14ac:dyDescent="0.25">
      <c r="A145" s="20">
        <f t="shared" ca="1" si="41"/>
        <v>45502</v>
      </c>
      <c r="B145" vm="424">
        <f ca="1"/>
        <v>45502</v>
      </c>
      <c r="C145" vm="425">
        <f ca="1"/>
        <v>116.1</v>
      </c>
      <c r="D145" vm="426">
        <f ca="1"/>
        <v>8861806</v>
      </c>
      <c r="E145">
        <f t="shared" ca="1" si="42"/>
        <v>1028855676.5999999</v>
      </c>
      <c r="F145">
        <f ca="1">SUM($E$2:E145)/SUM($D$2:D145)</f>
        <v>110.90315184662887</v>
      </c>
      <c r="G145">
        <f ca="1">_xlfn.STDEV.P($C$2:C145)</f>
        <v>6.9982101492603004</v>
      </c>
      <c r="H145">
        <f t="shared" ca="1" si="43"/>
        <v>117.90136199588918</v>
      </c>
      <c r="I145">
        <f t="shared" ca="1" si="44"/>
        <v>103.90494169736857</v>
      </c>
      <c r="J145">
        <f t="shared" ca="1" si="32"/>
        <v>114.857</v>
      </c>
      <c r="K145">
        <f t="shared" ca="1" si="33"/>
        <v>2.0746898309715696</v>
      </c>
      <c r="L145">
        <f t="shared" ca="1" si="34"/>
        <v>119.00637966194314</v>
      </c>
      <c r="M145">
        <f t="shared" ca="1" si="35"/>
        <v>110.70762033805686</v>
      </c>
      <c r="N145">
        <f t="shared" ca="1" si="45"/>
        <v>-1.230000000000004</v>
      </c>
      <c r="O145">
        <f t="shared" ca="1" si="46"/>
        <v>0</v>
      </c>
      <c r="P145">
        <f t="shared" ca="1" si="47"/>
        <v>1.230000000000004</v>
      </c>
      <c r="Q145">
        <f t="shared" ref="Q145:Q208" ca="1" si="51">(Q144*13+O145)/14</f>
        <v>0.65975620662612899</v>
      </c>
      <c r="R145">
        <f t="shared" ref="R145:R208" ca="1" si="52">(R144*13+P145)/14</f>
        <v>0.56982762629433037</v>
      </c>
      <c r="S145">
        <f t="shared" ca="1" si="49"/>
        <v>1.1578171646689315</v>
      </c>
      <c r="T145">
        <f t="shared" ca="1" si="50"/>
        <v>53.656870638832487</v>
      </c>
      <c r="U145">
        <f>70</f>
        <v>70</v>
      </c>
      <c r="V145">
        <f>30</f>
        <v>30</v>
      </c>
      <c r="W145">
        <f t="shared" ca="1" si="48"/>
        <v>115.70646363856766</v>
      </c>
      <c r="X145">
        <f t="shared" ca="1" si="37"/>
        <v>114.95735917100663</v>
      </c>
      <c r="Y145">
        <f t="shared" ca="1" si="36"/>
        <v>0.89013666688730098</v>
      </c>
      <c r="Z145">
        <f t="shared" ca="1" si="38"/>
        <v>0.62379620874145003</v>
      </c>
      <c r="AA145">
        <f t="shared" ca="1" si="39"/>
        <v>0.26634045814585094</v>
      </c>
      <c r="AB145">
        <f t="shared" ca="1" si="40"/>
        <v>115.31730000000002</v>
      </c>
    </row>
    <row r="146" spans="1:28" x14ac:dyDescent="0.25">
      <c r="A146" s="20">
        <f t="shared" ca="1" si="41"/>
        <v>45502</v>
      </c>
      <c r="B146" vm="427">
        <f ca="1"/>
        <v>45503</v>
      </c>
      <c r="C146" vm="428">
        <f ca="1"/>
        <v>118.17</v>
      </c>
      <c r="D146" vm="429">
        <f ca="1"/>
        <v>12483857</v>
      </c>
      <c r="E146">
        <f t="shared" ca="1" si="42"/>
        <v>1475217381.6900001</v>
      </c>
      <c r="F146">
        <f ca="1">SUM($E$2:E146)/SUM($D$2:D146)</f>
        <v>110.93886441511194</v>
      </c>
      <c r="G146">
        <f ca="1">_xlfn.STDEV.P($C$2:C146)</f>
        <v>6.9976561131059389</v>
      </c>
      <c r="H146">
        <f t="shared" ca="1" si="43"/>
        <v>117.93652052821787</v>
      </c>
      <c r="I146">
        <f t="shared" ca="1" si="44"/>
        <v>103.941208302006</v>
      </c>
      <c r="J146">
        <f t="shared" ca="1" si="32"/>
        <v>115.01750000000001</v>
      </c>
      <c r="K146">
        <f t="shared" ca="1" si="33"/>
        <v>2.203258054026259</v>
      </c>
      <c r="L146">
        <f t="shared" ca="1" si="34"/>
        <v>119.42401610805253</v>
      </c>
      <c r="M146">
        <f t="shared" ca="1" si="35"/>
        <v>110.6109838919475</v>
      </c>
      <c r="N146">
        <f t="shared" ca="1" si="45"/>
        <v>2.0700000000000074</v>
      </c>
      <c r="O146">
        <f t="shared" ca="1" si="46"/>
        <v>2.0700000000000074</v>
      </c>
      <c r="P146">
        <f t="shared" ca="1" si="47"/>
        <v>0</v>
      </c>
      <c r="Q146">
        <f t="shared" ca="1" si="51"/>
        <v>0.76048790615283468</v>
      </c>
      <c r="R146">
        <f t="shared" ca="1" si="52"/>
        <v>0.52912565298759251</v>
      </c>
      <c r="S146">
        <f t="shared" ca="1" si="49"/>
        <v>1.4372538958542376</v>
      </c>
      <c r="T146">
        <f t="shared" ca="1" si="50"/>
        <v>58.970216369291791</v>
      </c>
      <c r="U146">
        <f>70</f>
        <v>70</v>
      </c>
      <c r="V146">
        <f>30</f>
        <v>30</v>
      </c>
      <c r="W146">
        <f t="shared" ca="1" si="48"/>
        <v>116.08546923263418</v>
      </c>
      <c r="X146">
        <f t="shared" ca="1" si="37"/>
        <v>115.19533256574688</v>
      </c>
      <c r="Y146">
        <f t="shared" ca="1" si="36"/>
        <v>1.0239922456541848</v>
      </c>
      <c r="Z146">
        <f t="shared" ca="1" si="38"/>
        <v>0.70383541612399703</v>
      </c>
      <c r="AA146">
        <f t="shared" ca="1" si="39"/>
        <v>0.32015682953018776</v>
      </c>
      <c r="AB146">
        <f t="shared" ca="1" si="40"/>
        <v>115.43130000000001</v>
      </c>
    </row>
    <row r="147" spans="1:28" x14ac:dyDescent="0.25">
      <c r="A147" s="20">
        <f t="shared" ca="1" si="41"/>
        <v>45502</v>
      </c>
      <c r="B147" vm="430">
        <f ca="1"/>
        <v>45504</v>
      </c>
      <c r="C147" vm="431">
        <f ca="1"/>
        <v>118.59</v>
      </c>
      <c r="D147" vm="432">
        <f ca="1"/>
        <v>15137710</v>
      </c>
      <c r="E147">
        <f t="shared" ca="1" si="42"/>
        <v>1795181028.9000001</v>
      </c>
      <c r="F147">
        <f ca="1">SUM($E$2:E147)/SUM($D$2:D147)</f>
        <v>110.98418880190779</v>
      </c>
      <c r="G147">
        <f ca="1">_xlfn.STDEV.P($C$2:C147)</f>
        <v>6.9996887835275476</v>
      </c>
      <c r="H147">
        <f t="shared" ca="1" si="43"/>
        <v>117.98387758543534</v>
      </c>
      <c r="I147">
        <f t="shared" ca="1" si="44"/>
        <v>103.98450001838025</v>
      </c>
      <c r="J147">
        <f t="shared" ca="1" si="32"/>
        <v>115.23800000000001</v>
      </c>
      <c r="K147">
        <f t="shared" ca="1" si="33"/>
        <v>2.3319465553142735</v>
      </c>
      <c r="L147">
        <f t="shared" ca="1" si="34"/>
        <v>119.90189311062856</v>
      </c>
      <c r="M147">
        <f t="shared" ca="1" si="35"/>
        <v>110.57410688937146</v>
      </c>
      <c r="N147">
        <f t="shared" ca="1" si="45"/>
        <v>0.42000000000000171</v>
      </c>
      <c r="O147">
        <f t="shared" ca="1" si="46"/>
        <v>0.42000000000000171</v>
      </c>
      <c r="P147">
        <f t="shared" ca="1" si="47"/>
        <v>0</v>
      </c>
      <c r="Q147">
        <f t="shared" ca="1" si="51"/>
        <v>0.73616734142763229</v>
      </c>
      <c r="R147">
        <f t="shared" ca="1" si="52"/>
        <v>0.49133096348847877</v>
      </c>
      <c r="S147">
        <f t="shared" ca="1" si="49"/>
        <v>1.4983125349984068</v>
      </c>
      <c r="T147">
        <f t="shared" ca="1" si="50"/>
        <v>59.97298232342105</v>
      </c>
      <c r="U147">
        <f>70</f>
        <v>70</v>
      </c>
      <c r="V147">
        <f>30</f>
        <v>30</v>
      </c>
      <c r="W147">
        <f t="shared" ca="1" si="48"/>
        <v>116.47078165838278</v>
      </c>
      <c r="X147">
        <f t="shared" ca="1" si="37"/>
        <v>115.44678941272859</v>
      </c>
      <c r="Y147">
        <f t="shared" ca="1" si="36"/>
        <v>0.98636921197405059</v>
      </c>
      <c r="Z147">
        <f t="shared" ca="1" si="38"/>
        <v>0.76034217529400783</v>
      </c>
      <c r="AA147">
        <f t="shared" ca="1" si="39"/>
        <v>0.22602703668004276</v>
      </c>
      <c r="AB147">
        <f t="shared" ca="1" si="40"/>
        <v>115.54350000000001</v>
      </c>
    </row>
    <row r="148" spans="1:28" x14ac:dyDescent="0.25">
      <c r="A148" s="20">
        <f t="shared" ca="1" si="41"/>
        <v>45502</v>
      </c>
      <c r="B148" vm="433">
        <f ca="1"/>
        <v>45505</v>
      </c>
      <c r="C148" vm="434">
        <f ca="1"/>
        <v>116.95</v>
      </c>
      <c r="D148" vm="435">
        <f ca="1"/>
        <v>15051482</v>
      </c>
      <c r="E148">
        <f t="shared" ca="1" si="42"/>
        <v>1760270819.9000001</v>
      </c>
      <c r="F148">
        <f ca="1">SUM($E$2:E148)/SUM($D$2:D148)</f>
        <v>111.01912246104851</v>
      </c>
      <c r="G148">
        <f ca="1">_xlfn.STDEV.P($C$2:C148)</f>
        <v>6.9911370863538709</v>
      </c>
      <c r="H148">
        <f t="shared" ca="1" si="43"/>
        <v>118.01025954740238</v>
      </c>
      <c r="I148">
        <f t="shared" ca="1" si="44"/>
        <v>104.02798537469464</v>
      </c>
      <c r="J148">
        <f t="shared" ca="1" si="32"/>
        <v>115.3475</v>
      </c>
      <c r="K148">
        <f t="shared" ca="1" si="33"/>
        <v>2.3595737237676504</v>
      </c>
      <c r="L148">
        <f t="shared" ca="1" si="34"/>
        <v>120.0666474475353</v>
      </c>
      <c r="M148">
        <f t="shared" ca="1" si="35"/>
        <v>110.62835255246469</v>
      </c>
      <c r="N148">
        <f t="shared" ca="1" si="45"/>
        <v>-1.6400000000000006</v>
      </c>
      <c r="O148">
        <f t="shared" ca="1" si="46"/>
        <v>0</v>
      </c>
      <c r="P148">
        <f t="shared" ca="1" si="47"/>
        <v>1.6400000000000006</v>
      </c>
      <c r="Q148">
        <f t="shared" ca="1" si="51"/>
        <v>0.68358395989708709</v>
      </c>
      <c r="R148">
        <f t="shared" ca="1" si="52"/>
        <v>0.57337875181073028</v>
      </c>
      <c r="S148">
        <f t="shared" ca="1" si="49"/>
        <v>1.1922031601944243</v>
      </c>
      <c r="T148">
        <f t="shared" ca="1" si="50"/>
        <v>54.383789871404474</v>
      </c>
      <c r="U148">
        <f>70</f>
        <v>70</v>
      </c>
      <c r="V148">
        <f>30</f>
        <v>30</v>
      </c>
      <c r="W148">
        <f t="shared" ca="1" si="48"/>
        <v>116.54450755709311</v>
      </c>
      <c r="X148">
        <f t="shared" ca="1" si="37"/>
        <v>115.55813834511906</v>
      </c>
      <c r="Y148">
        <f t="shared" ca="1" si="36"/>
        <v>0.94006775582039381</v>
      </c>
      <c r="Z148">
        <f t="shared" ca="1" si="38"/>
        <v>0.79628729139928511</v>
      </c>
      <c r="AA148">
        <f t="shared" ca="1" si="39"/>
        <v>0.1437804644211087</v>
      </c>
      <c r="AB148">
        <f t="shared" ca="1" si="40"/>
        <v>115.62920000000003</v>
      </c>
    </row>
    <row r="149" spans="1:28" x14ac:dyDescent="0.25">
      <c r="A149" s="20">
        <f t="shared" ca="1" si="41"/>
        <v>45502</v>
      </c>
      <c r="B149" vm="436">
        <f ca="1"/>
        <v>45506</v>
      </c>
      <c r="C149" vm="437">
        <f ca="1"/>
        <v>116.88</v>
      </c>
      <c r="D149" vm="438">
        <f ca="1"/>
        <v>20403773</v>
      </c>
      <c r="E149">
        <f t="shared" ca="1" si="42"/>
        <v>2384792988.2399998</v>
      </c>
      <c r="F149">
        <f ca="1">SUM($E$2:E149)/SUM($D$2:D149)</f>
        <v>111.0652791516906</v>
      </c>
      <c r="G149">
        <f ca="1">_xlfn.STDEV.P($C$2:C149)</f>
        <v>6.9821119175282265</v>
      </c>
      <c r="H149">
        <f t="shared" ca="1" si="43"/>
        <v>118.04739106921883</v>
      </c>
      <c r="I149">
        <f t="shared" ca="1" si="44"/>
        <v>104.08316723416237</v>
      </c>
      <c r="J149">
        <f t="shared" ca="1" si="32"/>
        <v>115.523</v>
      </c>
      <c r="K149">
        <f t="shared" ca="1" si="33"/>
        <v>2.3351571568886795</v>
      </c>
      <c r="L149">
        <f t="shared" ca="1" si="34"/>
        <v>120.19331431377735</v>
      </c>
      <c r="M149">
        <f t="shared" ca="1" si="35"/>
        <v>110.85268568622264</v>
      </c>
      <c r="N149">
        <f t="shared" ca="1" si="45"/>
        <v>-7.000000000000739E-2</v>
      </c>
      <c r="O149">
        <f t="shared" ca="1" si="46"/>
        <v>0</v>
      </c>
      <c r="P149">
        <f t="shared" ca="1" si="47"/>
        <v>7.000000000000739E-2</v>
      </c>
      <c r="Q149">
        <f t="shared" ca="1" si="51"/>
        <v>0.63475653419015221</v>
      </c>
      <c r="R149">
        <f t="shared" ca="1" si="52"/>
        <v>0.53742312668139292</v>
      </c>
      <c r="S149">
        <f t="shared" ca="1" si="49"/>
        <v>1.1811113118815646</v>
      </c>
      <c r="T149">
        <f t="shared" ca="1" si="50"/>
        <v>54.151812676752535</v>
      </c>
      <c r="U149">
        <f>70</f>
        <v>70</v>
      </c>
      <c r="V149">
        <f>30</f>
        <v>30</v>
      </c>
      <c r="W149">
        <f t="shared" ca="1" si="48"/>
        <v>116.59612177907879</v>
      </c>
      <c r="X149">
        <f t="shared" ca="1" si="37"/>
        <v>115.65605402325839</v>
      </c>
      <c r="Y149">
        <f t="shared" ca="1" si="36"/>
        <v>0.72475957500691379</v>
      </c>
      <c r="Z149">
        <f t="shared" ca="1" si="38"/>
        <v>0.78198174812081089</v>
      </c>
      <c r="AA149">
        <f t="shared" ca="1" si="39"/>
        <v>-5.7222173113897101E-2</v>
      </c>
      <c r="AB149">
        <f t="shared" ca="1" si="40"/>
        <v>115.70780000000001</v>
      </c>
    </row>
    <row r="150" spans="1:28" x14ac:dyDescent="0.25">
      <c r="A150" s="20">
        <f t="shared" ca="1" si="41"/>
        <v>45509</v>
      </c>
      <c r="B150" vm="439">
        <f ca="1"/>
        <v>45509</v>
      </c>
      <c r="C150" vm="440">
        <f ca="1"/>
        <v>114.77</v>
      </c>
      <c r="D150" vm="441">
        <f ca="1"/>
        <v>18025858</v>
      </c>
      <c r="E150">
        <f t="shared" ca="1" si="42"/>
        <v>2068827722.6599998</v>
      </c>
      <c r="F150">
        <f ca="1">SUM($E$2:E150)/SUM($D$2:D150)</f>
        <v>111.09087690193289</v>
      </c>
      <c r="G150">
        <f ca="1">_xlfn.STDEV.P($C$2:C150)</f>
        <v>6.9640736320836822</v>
      </c>
      <c r="H150">
        <f t="shared" ca="1" si="43"/>
        <v>118.05495053401657</v>
      </c>
      <c r="I150">
        <f t="shared" ca="1" si="44"/>
        <v>104.1268032698492</v>
      </c>
      <c r="J150">
        <f t="shared" ref="J150:J213" ca="1" si="53">AVERAGE(C131:C150)</f>
        <v>115.65249999999999</v>
      </c>
      <c r="K150">
        <f t="shared" ref="K150:K213" ca="1" si="54">_xlfn.STDEV.S(C131:C150)</f>
        <v>2.2083832500151264</v>
      </c>
      <c r="L150">
        <f t="shared" ref="L150:L213" ca="1" si="55">J150 + 2*K150</f>
        <v>120.06926650003024</v>
      </c>
      <c r="M150">
        <f t="shared" ref="M150:M213" ca="1" si="56">J150-2*K150</f>
        <v>111.23573349996974</v>
      </c>
      <c r="N150">
        <f t="shared" ca="1" si="45"/>
        <v>-2.1099999999999994</v>
      </c>
      <c r="O150">
        <f t="shared" ca="1" si="46"/>
        <v>0</v>
      </c>
      <c r="P150">
        <f t="shared" ca="1" si="47"/>
        <v>2.1099999999999994</v>
      </c>
      <c r="Q150">
        <f t="shared" ca="1" si="51"/>
        <v>0.5894167817479985</v>
      </c>
      <c r="R150">
        <f t="shared" ca="1" si="52"/>
        <v>0.64975004620415056</v>
      </c>
      <c r="S150">
        <f t="shared" ca="1" si="49"/>
        <v>0.9071438858548454</v>
      </c>
      <c r="T150">
        <f t="shared" ca="1" si="50"/>
        <v>47.565571354267973</v>
      </c>
      <c r="U150">
        <f>70</f>
        <v>70</v>
      </c>
      <c r="V150">
        <f>30</f>
        <v>30</v>
      </c>
      <c r="W150">
        <f t="shared" ca="1" si="48"/>
        <v>116.31517996691282</v>
      </c>
      <c r="X150">
        <f t="shared" ca="1" si="37"/>
        <v>115.59042039190591</v>
      </c>
      <c r="Y150">
        <f t="shared" ca="1" si="36"/>
        <v>0.49915049231819353</v>
      </c>
      <c r="Z150">
        <f t="shared" ca="1" si="38"/>
        <v>0.72541549696028751</v>
      </c>
      <c r="AA150">
        <f t="shared" ca="1" si="39"/>
        <v>-0.22626500464209398</v>
      </c>
      <c r="AB150">
        <f t="shared" ca="1" si="40"/>
        <v>115.77230000000002</v>
      </c>
    </row>
    <row r="151" spans="1:28" x14ac:dyDescent="0.25">
      <c r="A151" s="20">
        <f t="shared" ca="1" si="41"/>
        <v>45509</v>
      </c>
      <c r="B151" vm="442">
        <f ca="1"/>
        <v>45510</v>
      </c>
      <c r="C151" vm="443">
        <f ca="1"/>
        <v>114.16</v>
      </c>
      <c r="D151" vm="444">
        <f ca="1"/>
        <v>13647778</v>
      </c>
      <c r="E151">
        <f t="shared" ca="1" si="42"/>
        <v>1558030336.48</v>
      </c>
      <c r="F151">
        <f ca="1">SUM($E$2:E151)/SUM($D$2:D151)</f>
        <v>111.1068489497909</v>
      </c>
      <c r="G151">
        <f ca="1">_xlfn.STDEV.P($C$2:C151)</f>
        <v>6.9443895384851668</v>
      </c>
      <c r="H151">
        <f t="shared" ca="1" si="43"/>
        <v>118.05123848827607</v>
      </c>
      <c r="I151">
        <f t="shared" ca="1" si="44"/>
        <v>104.16245941130573</v>
      </c>
      <c r="J151">
        <f t="shared" ca="1" si="53"/>
        <v>115.81349999999998</v>
      </c>
      <c r="K151">
        <f t="shared" ca="1" si="54"/>
        <v>1.9488681600516649</v>
      </c>
      <c r="L151">
        <f t="shared" ca="1" si="55"/>
        <v>119.71123632010331</v>
      </c>
      <c r="M151">
        <f t="shared" ca="1" si="56"/>
        <v>111.91576367989664</v>
      </c>
      <c r="N151">
        <f t="shared" ca="1" si="45"/>
        <v>-0.60999999999999943</v>
      </c>
      <c r="O151">
        <f t="shared" ca="1" si="46"/>
        <v>0</v>
      </c>
      <c r="P151">
        <f t="shared" ca="1" si="47"/>
        <v>0.60999999999999943</v>
      </c>
      <c r="Q151">
        <f t="shared" ca="1" si="51"/>
        <v>0.54731558305171291</v>
      </c>
      <c r="R151">
        <f t="shared" ca="1" si="52"/>
        <v>0.64691075718956825</v>
      </c>
      <c r="S151">
        <f t="shared" ca="1" si="49"/>
        <v>0.84604495592168616</v>
      </c>
      <c r="T151">
        <f t="shared" ca="1" si="50"/>
        <v>45.830138275222893</v>
      </c>
      <c r="U151">
        <f>70</f>
        <v>70</v>
      </c>
      <c r="V151">
        <f>30</f>
        <v>30</v>
      </c>
      <c r="W151">
        <f t="shared" ca="1" si="48"/>
        <v>115.983613818157</v>
      </c>
      <c r="X151">
        <f t="shared" ca="1" si="37"/>
        <v>115.4844633258388</v>
      </c>
      <c r="Y151">
        <f t="shared" ca="1" si="36"/>
        <v>0.43795647605416832</v>
      </c>
      <c r="Z151">
        <f t="shared" ca="1" si="38"/>
        <v>0.66792369277906372</v>
      </c>
      <c r="AA151">
        <f t="shared" ca="1" si="39"/>
        <v>-0.2299672167248954</v>
      </c>
      <c r="AB151">
        <f t="shared" ca="1" si="40"/>
        <v>115.81860000000002</v>
      </c>
    </row>
    <row r="152" spans="1:28" x14ac:dyDescent="0.25">
      <c r="A152" s="20">
        <f t="shared" ca="1" si="41"/>
        <v>45509</v>
      </c>
      <c r="B152" vm="445">
        <f ca="1"/>
        <v>45511</v>
      </c>
      <c r="C152" vm="446">
        <f ca="1"/>
        <v>115.68</v>
      </c>
      <c r="D152" vm="447">
        <f ca="1"/>
        <v>13660657</v>
      </c>
      <c r="E152">
        <f t="shared" ca="1" si="42"/>
        <v>1580264801.76</v>
      </c>
      <c r="F152">
        <f ca="1">SUM($E$2:E152)/SUM($D$2:D152)</f>
        <v>111.13054713571263</v>
      </c>
      <c r="G152">
        <f ca="1">_xlfn.STDEV.P($C$2:C152)</f>
        <v>6.9298833409489244</v>
      </c>
      <c r="H152">
        <f t="shared" ca="1" si="43"/>
        <v>118.06043047666155</v>
      </c>
      <c r="I152">
        <f t="shared" ca="1" si="44"/>
        <v>104.20066379476371</v>
      </c>
      <c r="J152">
        <f t="shared" ca="1" si="53"/>
        <v>116.00149999999999</v>
      </c>
      <c r="K152">
        <f t="shared" ca="1" si="54"/>
        <v>1.7216157496589326</v>
      </c>
      <c r="L152">
        <f t="shared" ca="1" si="55"/>
        <v>119.44473149931785</v>
      </c>
      <c r="M152">
        <f t="shared" ca="1" si="56"/>
        <v>112.55826850068213</v>
      </c>
      <c r="N152">
        <f t="shared" ca="1" si="45"/>
        <v>1.5200000000000102</v>
      </c>
      <c r="O152">
        <f t="shared" ca="1" si="46"/>
        <v>1.5200000000000102</v>
      </c>
      <c r="P152">
        <f t="shared" ca="1" si="47"/>
        <v>0</v>
      </c>
      <c r="Q152">
        <f t="shared" ca="1" si="51"/>
        <v>0.61679304140516267</v>
      </c>
      <c r="R152">
        <f t="shared" ca="1" si="52"/>
        <v>0.60070284596174195</v>
      </c>
      <c r="S152">
        <f t="shared" ca="1" si="49"/>
        <v>1.0267856154695918</v>
      </c>
      <c r="T152">
        <f t="shared" ca="1" si="50"/>
        <v>50.660790546004193</v>
      </c>
      <c r="U152">
        <f>70</f>
        <v>70</v>
      </c>
      <c r="V152">
        <f>30</f>
        <v>30</v>
      </c>
      <c r="W152">
        <f t="shared" ca="1" si="48"/>
        <v>115.93690399997899</v>
      </c>
      <c r="X152">
        <f t="shared" ca="1" si="37"/>
        <v>115.49894752392483</v>
      </c>
      <c r="Y152">
        <f t="shared" ca="1" si="36"/>
        <v>0.56131778552192202</v>
      </c>
      <c r="Z152">
        <f t="shared" ca="1" si="38"/>
        <v>0.64660251132763535</v>
      </c>
      <c r="AA152">
        <f t="shared" ca="1" si="39"/>
        <v>-8.5284725805713335E-2</v>
      </c>
      <c r="AB152">
        <f t="shared" ca="1" si="40"/>
        <v>115.86070000000001</v>
      </c>
    </row>
    <row r="153" spans="1:28" x14ac:dyDescent="0.25">
      <c r="A153" s="20">
        <f t="shared" ca="1" si="41"/>
        <v>45509</v>
      </c>
      <c r="B153" vm="448">
        <f ca="1"/>
        <v>45512</v>
      </c>
      <c r="C153" vm="449">
        <f ca="1"/>
        <v>117.89</v>
      </c>
      <c r="D153" vm="450">
        <f ca="1"/>
        <v>13850993</v>
      </c>
      <c r="E153">
        <f t="shared" ca="1" si="42"/>
        <v>1632893564.77</v>
      </c>
      <c r="F153">
        <f ca="1">SUM($E$2:E153)/SUM($D$2:D153)</f>
        <v>111.16587720707598</v>
      </c>
      <c r="G153">
        <f ca="1">_xlfn.STDEV.P($C$2:C153)</f>
        <v>6.9265167065998963</v>
      </c>
      <c r="H153">
        <f t="shared" ca="1" si="43"/>
        <v>118.09239391367588</v>
      </c>
      <c r="I153">
        <f t="shared" ca="1" si="44"/>
        <v>104.23936050047608</v>
      </c>
      <c r="J153">
        <f t="shared" ca="1" si="53"/>
        <v>116.23349999999998</v>
      </c>
      <c r="K153">
        <f t="shared" ca="1" si="54"/>
        <v>1.6421176155068491</v>
      </c>
      <c r="L153">
        <f t="shared" ca="1" si="55"/>
        <v>119.51773523101367</v>
      </c>
      <c r="M153">
        <f t="shared" ca="1" si="56"/>
        <v>112.94926476898628</v>
      </c>
      <c r="N153">
        <f t="shared" ca="1" si="45"/>
        <v>2.2099999999999937</v>
      </c>
      <c r="O153">
        <f t="shared" ca="1" si="46"/>
        <v>2.2099999999999937</v>
      </c>
      <c r="P153">
        <f t="shared" ca="1" si="47"/>
        <v>0</v>
      </c>
      <c r="Q153">
        <f t="shared" ca="1" si="51"/>
        <v>0.73059353844765063</v>
      </c>
      <c r="R153">
        <f t="shared" ca="1" si="52"/>
        <v>0.55779549982161758</v>
      </c>
      <c r="S153">
        <f t="shared" ca="1" si="49"/>
        <v>1.3097874376564416</v>
      </c>
      <c r="T153">
        <f t="shared" ca="1" si="50"/>
        <v>56.705972865857269</v>
      </c>
      <c r="U153">
        <f>70</f>
        <v>70</v>
      </c>
      <c r="V153">
        <f>30</f>
        <v>30</v>
      </c>
      <c r="W153">
        <f t="shared" ca="1" si="48"/>
        <v>116.23738030767454</v>
      </c>
      <c r="X153">
        <f t="shared" ca="1" si="37"/>
        <v>115.67606252215262</v>
      </c>
      <c r="Y153">
        <f t="shared" ca="1" si="36"/>
        <v>0.72815279680837364</v>
      </c>
      <c r="Z153">
        <f t="shared" ca="1" si="38"/>
        <v>0.6629125684237831</v>
      </c>
      <c r="AA153">
        <f t="shared" ca="1" si="39"/>
        <v>6.5240228384590537E-2</v>
      </c>
      <c r="AB153">
        <f t="shared" ca="1" si="40"/>
        <v>115.92690000000002</v>
      </c>
    </row>
    <row r="154" spans="1:28" x14ac:dyDescent="0.25">
      <c r="A154" s="20">
        <f t="shared" ca="1" si="41"/>
        <v>45509</v>
      </c>
      <c r="B154" vm="451">
        <f ca="1"/>
        <v>45513</v>
      </c>
      <c r="C154" vm="452">
        <f ca="1"/>
        <v>118.85</v>
      </c>
      <c r="D154" vm="453">
        <f ca="1"/>
        <v>12151867</v>
      </c>
      <c r="E154">
        <f t="shared" ca="1" si="42"/>
        <v>1444249392.95</v>
      </c>
      <c r="F154">
        <f ca="1">SUM($E$2:E154)/SUM($D$2:D154)</f>
        <v>111.20095259002609</v>
      </c>
      <c r="G154">
        <f ca="1">_xlfn.STDEV.P($C$2:C154)</f>
        <v>6.9291110768455262</v>
      </c>
      <c r="H154">
        <f t="shared" ca="1" si="43"/>
        <v>118.13006366687162</v>
      </c>
      <c r="I154">
        <f t="shared" ca="1" si="44"/>
        <v>104.27184151318056</v>
      </c>
      <c r="J154">
        <f t="shared" ca="1" si="53"/>
        <v>116.51249999999997</v>
      </c>
      <c r="K154">
        <f t="shared" ca="1" si="54"/>
        <v>1.585151080297529</v>
      </c>
      <c r="L154">
        <f t="shared" ca="1" si="55"/>
        <v>119.68280216059503</v>
      </c>
      <c r="M154">
        <f t="shared" ca="1" si="56"/>
        <v>113.34219783940492</v>
      </c>
      <c r="N154">
        <f t="shared" ca="1" si="45"/>
        <v>0.95999999999999375</v>
      </c>
      <c r="O154">
        <f t="shared" ca="1" si="46"/>
        <v>0.95999999999999375</v>
      </c>
      <c r="P154">
        <f t="shared" ca="1" si="47"/>
        <v>0</v>
      </c>
      <c r="Q154">
        <f t="shared" ca="1" si="51"/>
        <v>0.74697971427281806</v>
      </c>
      <c r="R154">
        <f t="shared" ca="1" si="52"/>
        <v>0.51795296412007352</v>
      </c>
      <c r="S154">
        <f t="shared" ca="1" si="49"/>
        <v>1.4421767342172229</v>
      </c>
      <c r="T154">
        <f t="shared" ca="1" si="50"/>
        <v>59.052922501920222</v>
      </c>
      <c r="U154">
        <f>70</f>
        <v>70</v>
      </c>
      <c r="V154">
        <f>30</f>
        <v>30</v>
      </c>
      <c r="W154">
        <f t="shared" ca="1" si="48"/>
        <v>116.63932179880155</v>
      </c>
      <c r="X154">
        <f t="shared" ca="1" si="37"/>
        <v>115.91116900199317</v>
      </c>
      <c r="Y154">
        <f t="shared" ca="1" si="36"/>
        <v>0.86253176238257367</v>
      </c>
      <c r="Z154">
        <f t="shared" ca="1" si="38"/>
        <v>0.7028364072155413</v>
      </c>
      <c r="AA154">
        <f t="shared" ca="1" si="39"/>
        <v>0.15969535516703237</v>
      </c>
      <c r="AB154">
        <f t="shared" ca="1" si="40"/>
        <v>115.99240000000002</v>
      </c>
    </row>
    <row r="155" spans="1:28" x14ac:dyDescent="0.25">
      <c r="A155" s="20">
        <f t="shared" ca="1" si="41"/>
        <v>45516</v>
      </c>
      <c r="B155" vm="454">
        <f ca="1"/>
        <v>45516</v>
      </c>
      <c r="C155" vm="455">
        <f ca="1"/>
        <v>119</v>
      </c>
      <c r="D155" vm="456">
        <f ca="1"/>
        <v>13228911</v>
      </c>
      <c r="E155">
        <f t="shared" ca="1" si="42"/>
        <v>1574240409</v>
      </c>
      <c r="F155">
        <f ca="1">SUM($E$2:E155)/SUM($D$2:D155)</f>
        <v>111.23951622888428</v>
      </c>
      <c r="G155">
        <f ca="1">_xlfn.STDEV.P($C$2:C155)</f>
        <v>6.9323734988489036</v>
      </c>
      <c r="H155">
        <f t="shared" ca="1" si="43"/>
        <v>118.17188972773319</v>
      </c>
      <c r="I155">
        <f t="shared" ca="1" si="44"/>
        <v>104.30714273003538</v>
      </c>
      <c r="J155">
        <f t="shared" ca="1" si="53"/>
        <v>116.702</v>
      </c>
      <c r="K155">
        <f t="shared" ca="1" si="54"/>
        <v>1.6465964897326857</v>
      </c>
      <c r="L155">
        <f t="shared" ca="1" si="55"/>
        <v>119.99519297946537</v>
      </c>
      <c r="M155">
        <f t="shared" ca="1" si="56"/>
        <v>113.40880702053462</v>
      </c>
      <c r="N155">
        <f t="shared" ca="1" si="45"/>
        <v>0.15000000000000568</v>
      </c>
      <c r="O155">
        <f t="shared" ca="1" si="46"/>
        <v>0.15000000000000568</v>
      </c>
      <c r="P155">
        <f t="shared" ca="1" si="47"/>
        <v>0</v>
      </c>
      <c r="Q155">
        <f t="shared" ca="1" si="51"/>
        <v>0.70433830611047432</v>
      </c>
      <c r="R155">
        <f t="shared" ca="1" si="52"/>
        <v>0.48095632382578257</v>
      </c>
      <c r="S155">
        <f t="shared" ca="1" si="49"/>
        <v>1.4644537793115862</v>
      </c>
      <c r="T155">
        <f t="shared" ca="1" si="50"/>
        <v>59.423057214757854</v>
      </c>
      <c r="U155">
        <f>70</f>
        <v>70</v>
      </c>
      <c r="V155">
        <f>30</f>
        <v>30</v>
      </c>
      <c r="W155">
        <f t="shared" ca="1" si="48"/>
        <v>117.00250306052439</v>
      </c>
      <c r="X155">
        <f t="shared" ca="1" si="37"/>
        <v>116.13997129814182</v>
      </c>
      <c r="Y155">
        <f t="shared" ca="1" si="36"/>
        <v>0.86704483498478169</v>
      </c>
      <c r="Z155">
        <f t="shared" ca="1" si="38"/>
        <v>0.73567809276938934</v>
      </c>
      <c r="AA155">
        <f t="shared" ca="1" si="39"/>
        <v>0.13136674221539235</v>
      </c>
      <c r="AB155">
        <f t="shared" ca="1" si="40"/>
        <v>116.05150000000002</v>
      </c>
    </row>
    <row r="156" spans="1:28" x14ac:dyDescent="0.25">
      <c r="A156" s="20">
        <f t="shared" ca="1" si="41"/>
        <v>45516</v>
      </c>
      <c r="B156" vm="457">
        <f ca="1"/>
        <v>45517</v>
      </c>
      <c r="C156" vm="458">
        <f ca="1"/>
        <v>117.86</v>
      </c>
      <c r="D156" vm="459">
        <f ca="1"/>
        <v>11585067</v>
      </c>
      <c r="E156">
        <f t="shared" ca="1" si="42"/>
        <v>1365415996.6199999</v>
      </c>
      <c r="F156">
        <f ca="1">SUM($E$2:E156)/SUM($D$2:D156)</f>
        <v>111.26806083748542</v>
      </c>
      <c r="G156">
        <f ca="1">_xlfn.STDEV.P($C$2:C156)</f>
        <v>6.928072158508944</v>
      </c>
      <c r="H156">
        <f t="shared" ca="1" si="43"/>
        <v>118.19613299599436</v>
      </c>
      <c r="I156">
        <f t="shared" ca="1" si="44"/>
        <v>104.33998867897648</v>
      </c>
      <c r="J156">
        <f t="shared" ca="1" si="53"/>
        <v>116.79300000000003</v>
      </c>
      <c r="K156">
        <f t="shared" ca="1" si="54"/>
        <v>1.6583349290303535</v>
      </c>
      <c r="L156">
        <f t="shared" ca="1" si="55"/>
        <v>120.10966985806074</v>
      </c>
      <c r="M156">
        <f t="shared" ca="1" si="56"/>
        <v>113.47633014193933</v>
      </c>
      <c r="N156">
        <f t="shared" ca="1" si="45"/>
        <v>-1.1400000000000006</v>
      </c>
      <c r="O156">
        <f t="shared" ca="1" si="46"/>
        <v>0</v>
      </c>
      <c r="P156">
        <f t="shared" ca="1" si="47"/>
        <v>1.1400000000000006</v>
      </c>
      <c r="Q156">
        <f t="shared" ca="1" si="51"/>
        <v>0.65402842710258324</v>
      </c>
      <c r="R156">
        <f t="shared" ca="1" si="52"/>
        <v>0.52803087212394106</v>
      </c>
      <c r="S156">
        <f t="shared" ca="1" si="49"/>
        <v>1.2386177809487391</v>
      </c>
      <c r="T156">
        <f t="shared" ca="1" si="50"/>
        <v>55.329578434055222</v>
      </c>
      <c r="U156">
        <f>70</f>
        <v>70</v>
      </c>
      <c r="V156">
        <f>30</f>
        <v>30</v>
      </c>
      <c r="W156">
        <f t="shared" ca="1" si="48"/>
        <v>117.13442566659756</v>
      </c>
      <c r="X156">
        <f t="shared" ca="1" si="37"/>
        <v>116.26738083161278</v>
      </c>
      <c r="Y156">
        <f t="shared" ref="Y156:Y219" ca="1" si="57">W157-X157</f>
        <v>0.94765143220890025</v>
      </c>
      <c r="Z156">
        <f t="shared" ca="1" si="38"/>
        <v>0.77807276065729158</v>
      </c>
      <c r="AA156">
        <f t="shared" ca="1" si="39"/>
        <v>0.16957867155160866</v>
      </c>
      <c r="AB156">
        <f t="shared" ca="1" si="40"/>
        <v>116.10020000000003</v>
      </c>
    </row>
    <row r="157" spans="1:28" x14ac:dyDescent="0.25">
      <c r="A157" s="20">
        <f t="shared" ca="1" si="41"/>
        <v>45516</v>
      </c>
      <c r="B157" vm="460">
        <f ca="1"/>
        <v>45518</v>
      </c>
      <c r="C157" vm="461">
        <f ca="1"/>
        <v>118.95</v>
      </c>
      <c r="D157" vm="462">
        <f ca="1"/>
        <v>12194520</v>
      </c>
      <c r="E157">
        <f t="shared" ca="1" si="42"/>
        <v>1450538154</v>
      </c>
      <c r="F157">
        <f ca="1">SUM($E$2:E157)/SUM($D$2:D157)</f>
        <v>111.30276686112158</v>
      </c>
      <c r="G157">
        <f ca="1">_xlfn.STDEV.P($C$2:C157)</f>
        <v>6.930363191799537</v>
      </c>
      <c r="H157">
        <f t="shared" ca="1" si="43"/>
        <v>118.23313005292113</v>
      </c>
      <c r="I157">
        <f t="shared" ca="1" si="44"/>
        <v>104.37240366932204</v>
      </c>
      <c r="J157">
        <f t="shared" ca="1" si="53"/>
        <v>116.85850000000002</v>
      </c>
      <c r="K157">
        <f t="shared" ca="1" si="54"/>
        <v>1.7183354093271113</v>
      </c>
      <c r="L157">
        <f t="shared" ca="1" si="55"/>
        <v>120.29517081865424</v>
      </c>
      <c r="M157">
        <f t="shared" ca="1" si="56"/>
        <v>113.4218291813458</v>
      </c>
      <c r="N157">
        <f t="shared" ca="1" si="45"/>
        <v>1.0900000000000034</v>
      </c>
      <c r="O157">
        <f t="shared" ca="1" si="46"/>
        <v>1.0900000000000034</v>
      </c>
      <c r="P157">
        <f t="shared" ca="1" si="47"/>
        <v>0</v>
      </c>
      <c r="Q157">
        <f t="shared" ca="1" si="51"/>
        <v>0.68516925373811322</v>
      </c>
      <c r="R157">
        <f t="shared" ca="1" si="52"/>
        <v>0.4903143812579453</v>
      </c>
      <c r="S157">
        <f t="shared" ca="1" si="49"/>
        <v>1.3974080302932383</v>
      </c>
      <c r="T157">
        <f t="shared" ca="1" si="50"/>
        <v>58.288285207850699</v>
      </c>
      <c r="U157">
        <f>70</f>
        <v>70</v>
      </c>
      <c r="V157">
        <f>30</f>
        <v>30</v>
      </c>
      <c r="W157">
        <f t="shared" ca="1" si="48"/>
        <v>117.41374479481333</v>
      </c>
      <c r="X157">
        <f t="shared" ref="X157:X220" ca="1" si="58">C157*(2/(26+1)) + X156*(1-(2/(26+1)))</f>
        <v>116.46609336260443</v>
      </c>
      <c r="Y157">
        <f t="shared" ca="1" si="57"/>
        <v>0.98245544505162741</v>
      </c>
      <c r="Z157">
        <f t="shared" ca="1" si="38"/>
        <v>0.81894929753615886</v>
      </c>
      <c r="AA157">
        <f t="shared" ca="1" si="39"/>
        <v>0.16350614751546855</v>
      </c>
      <c r="AB157">
        <f t="shared" ca="1" si="40"/>
        <v>116.15480000000004</v>
      </c>
    </row>
    <row r="158" spans="1:28" x14ac:dyDescent="0.25">
      <c r="A158" s="20">
        <f t="shared" ca="1" si="41"/>
        <v>45516</v>
      </c>
      <c r="B158" vm="463">
        <f ca="1"/>
        <v>45519</v>
      </c>
      <c r="C158" vm="464">
        <f ca="1"/>
        <v>118.73</v>
      </c>
      <c r="D158" vm="465">
        <f ca="1"/>
        <v>11579432</v>
      </c>
      <c r="E158">
        <f t="shared" ca="1" si="42"/>
        <v>1374825961.3600001</v>
      </c>
      <c r="F158">
        <f ca="1">SUM($E$2:E158)/SUM($D$2:D158)</f>
        <v>111.33449352901764</v>
      </c>
      <c r="G158">
        <f ca="1">_xlfn.STDEV.P($C$2:C158)</f>
        <v>6.9308795278854811</v>
      </c>
      <c r="H158">
        <f t="shared" ca="1" si="43"/>
        <v>118.26537305690312</v>
      </c>
      <c r="I158">
        <f t="shared" ca="1" si="44"/>
        <v>104.40361400113215</v>
      </c>
      <c r="J158">
        <f t="shared" ca="1" si="53"/>
        <v>116.85499999999999</v>
      </c>
      <c r="K158">
        <f t="shared" ca="1" si="54"/>
        <v>1.7142391284396958</v>
      </c>
      <c r="L158">
        <f t="shared" ca="1" si="55"/>
        <v>120.28347825687938</v>
      </c>
      <c r="M158">
        <f t="shared" ca="1" si="56"/>
        <v>113.4265217431206</v>
      </c>
      <c r="N158">
        <f t="shared" ca="1" si="45"/>
        <v>-0.21999999999999886</v>
      </c>
      <c r="O158">
        <f t="shared" ca="1" si="46"/>
        <v>0</v>
      </c>
      <c r="P158">
        <f t="shared" ca="1" si="47"/>
        <v>0.21999999999999886</v>
      </c>
      <c r="Q158">
        <f t="shared" ca="1" si="51"/>
        <v>0.63622859275681942</v>
      </c>
      <c r="R158">
        <f t="shared" ca="1" si="52"/>
        <v>0.47100621116809199</v>
      </c>
      <c r="S158">
        <f t="shared" ca="1" si="49"/>
        <v>1.3507859932016122</v>
      </c>
      <c r="T158">
        <f t="shared" ca="1" si="50"/>
        <v>57.461036313302714</v>
      </c>
      <c r="U158">
        <f>70</f>
        <v>70</v>
      </c>
      <c r="V158">
        <f>30</f>
        <v>30</v>
      </c>
      <c r="W158">
        <f t="shared" ca="1" si="48"/>
        <v>117.61624559561128</v>
      </c>
      <c r="X158">
        <f t="shared" ca="1" si="58"/>
        <v>116.63379015055965</v>
      </c>
      <c r="Y158">
        <f t="shared" ca="1" si="57"/>
        <v>0.95385510816143437</v>
      </c>
      <c r="Z158">
        <f t="shared" ca="1" si="38"/>
        <v>0.84593045966121405</v>
      </c>
      <c r="AA158">
        <f t="shared" ca="1" si="39"/>
        <v>0.10792464850022032</v>
      </c>
      <c r="AB158">
        <f t="shared" ca="1" si="40"/>
        <v>116.20720000000003</v>
      </c>
    </row>
    <row r="159" spans="1:28" x14ac:dyDescent="0.25">
      <c r="A159" s="20">
        <f t="shared" ca="1" si="41"/>
        <v>45516</v>
      </c>
      <c r="B159" vm="466">
        <f ca="1"/>
        <v>45520</v>
      </c>
      <c r="C159" vm="428">
        <f ca="1"/>
        <v>118.17</v>
      </c>
      <c r="D159" vm="467">
        <f ca="1"/>
        <v>10056024</v>
      </c>
      <c r="E159">
        <f t="shared" ca="1" si="42"/>
        <v>1188320356.0799999</v>
      </c>
      <c r="F159">
        <f ca="1">SUM($E$2:E159)/SUM($D$2:D159)</f>
        <v>111.35975735008219</v>
      </c>
      <c r="G159">
        <f ca="1">_xlfn.STDEV.P($C$2:C159)</f>
        <v>6.9276955685771071</v>
      </c>
      <c r="H159">
        <f t="shared" ca="1" si="43"/>
        <v>118.2874529186593</v>
      </c>
      <c r="I159">
        <f t="shared" ca="1" si="44"/>
        <v>104.43206178150508</v>
      </c>
      <c r="J159">
        <f t="shared" ca="1" si="53"/>
        <v>116.96</v>
      </c>
      <c r="K159">
        <f t="shared" ca="1" si="54"/>
        <v>1.7278858393088978</v>
      </c>
      <c r="L159">
        <f t="shared" ca="1" si="55"/>
        <v>120.41577167861779</v>
      </c>
      <c r="M159">
        <f t="shared" ca="1" si="56"/>
        <v>113.5042283213822</v>
      </c>
      <c r="N159">
        <f t="shared" ca="1" si="45"/>
        <v>-0.56000000000000227</v>
      </c>
      <c r="O159">
        <f t="shared" ca="1" si="46"/>
        <v>0</v>
      </c>
      <c r="P159">
        <f t="shared" ca="1" si="47"/>
        <v>0.56000000000000227</v>
      </c>
      <c r="Q159">
        <f t="shared" ca="1" si="51"/>
        <v>0.59078369327418945</v>
      </c>
      <c r="R159">
        <f t="shared" ca="1" si="52"/>
        <v>0.47736291037037132</v>
      </c>
      <c r="S159">
        <f t="shared" ca="1" si="49"/>
        <v>1.237598649664295</v>
      </c>
      <c r="T159">
        <f t="shared" ca="1" si="50"/>
        <v>55.309232951582757</v>
      </c>
      <c r="U159">
        <f>70</f>
        <v>70</v>
      </c>
      <c r="V159">
        <f>30</f>
        <v>30</v>
      </c>
      <c r="W159">
        <f t="shared" ca="1" si="48"/>
        <v>117.70143858090185</v>
      </c>
      <c r="X159">
        <f t="shared" ca="1" si="58"/>
        <v>116.74758347274042</v>
      </c>
      <c r="Y159">
        <f t="shared" ca="1" si="57"/>
        <v>0.94929524184391312</v>
      </c>
      <c r="Z159">
        <f t="shared" ca="1" si="38"/>
        <v>0.86660341609775393</v>
      </c>
      <c r="AA159">
        <f t="shared" ca="1" si="39"/>
        <v>8.2691825746159187E-2</v>
      </c>
      <c r="AB159">
        <f t="shared" ca="1" si="40"/>
        <v>116.24240000000002</v>
      </c>
    </row>
    <row r="160" spans="1:28" x14ac:dyDescent="0.25">
      <c r="A160" s="20">
        <f t="shared" ca="1" si="41"/>
        <v>45523</v>
      </c>
      <c r="B160" vm="468">
        <f ca="1"/>
        <v>45523</v>
      </c>
      <c r="C160" vm="469">
        <f ca="1"/>
        <v>118.53</v>
      </c>
      <c r="D160" vm="470">
        <f ca="1"/>
        <v>12417467</v>
      </c>
      <c r="E160">
        <f t="shared" ca="1" si="42"/>
        <v>1471842363.51</v>
      </c>
      <c r="F160">
        <f ca="1">SUM($E$2:E160)/SUM($D$2:D160)</f>
        <v>111.39233286893912</v>
      </c>
      <c r="G160">
        <f ca="1">_xlfn.STDEV.P($C$2:C160)</f>
        <v>6.9264494156140808</v>
      </c>
      <c r="H160">
        <f t="shared" ca="1" si="43"/>
        <v>118.31878228455321</v>
      </c>
      <c r="I160">
        <f t="shared" ca="1" si="44"/>
        <v>104.46588345332503</v>
      </c>
      <c r="J160">
        <f t="shared" ca="1" si="53"/>
        <v>117.123</v>
      </c>
      <c r="K160">
        <f t="shared" ca="1" si="54"/>
        <v>1.7137772992950251</v>
      </c>
      <c r="L160">
        <f t="shared" ca="1" si="55"/>
        <v>120.55055459859005</v>
      </c>
      <c r="M160">
        <f t="shared" ca="1" si="56"/>
        <v>113.69544540140996</v>
      </c>
      <c r="N160">
        <f t="shared" ca="1" si="45"/>
        <v>0.35999999999999943</v>
      </c>
      <c r="O160">
        <f t="shared" ca="1" si="46"/>
        <v>0.35999999999999943</v>
      </c>
      <c r="P160">
        <f t="shared" ca="1" si="47"/>
        <v>0</v>
      </c>
      <c r="Q160">
        <f t="shared" ca="1" si="51"/>
        <v>0.57429914375460445</v>
      </c>
      <c r="R160">
        <f t="shared" ca="1" si="52"/>
        <v>0.44326555962963049</v>
      </c>
      <c r="S160">
        <f t="shared" ca="1" si="49"/>
        <v>1.2956096662110603</v>
      </c>
      <c r="T160">
        <f t="shared" ca="1" si="50"/>
        <v>56.438587329590938</v>
      </c>
      <c r="U160">
        <f>70</f>
        <v>70</v>
      </c>
      <c r="V160">
        <f>30</f>
        <v>30</v>
      </c>
      <c r="W160">
        <f t="shared" ca="1" si="48"/>
        <v>117.82890956845542</v>
      </c>
      <c r="X160">
        <f t="shared" ca="1" si="58"/>
        <v>116.8796143266115</v>
      </c>
      <c r="Y160">
        <f t="shared" ca="1" si="57"/>
        <v>0.61980480251430947</v>
      </c>
      <c r="Z160">
        <f t="shared" ca="1" si="38"/>
        <v>0.81724369338106506</v>
      </c>
      <c r="AA160">
        <f t="shared" ca="1" si="39"/>
        <v>-0.19743889086675559</v>
      </c>
      <c r="AB160">
        <f t="shared" ca="1" si="40"/>
        <v>116.28980000000003</v>
      </c>
    </row>
    <row r="161" spans="1:28" x14ac:dyDescent="0.25">
      <c r="A161" s="20">
        <f t="shared" ca="1" si="41"/>
        <v>45523</v>
      </c>
      <c r="B161" vm="471">
        <f ca="1"/>
        <v>45524</v>
      </c>
      <c r="C161" vm="472">
        <f ca="1"/>
        <v>114.58</v>
      </c>
      <c r="D161" vm="473">
        <f ca="1"/>
        <v>15631967</v>
      </c>
      <c r="E161">
        <f t="shared" ca="1" si="42"/>
        <v>1791110778.8599999</v>
      </c>
      <c r="F161">
        <f ca="1">SUM($E$2:E161)/SUM($D$2:D161)</f>
        <v>111.41046021855487</v>
      </c>
      <c r="G161">
        <f ca="1">_xlfn.STDEV.P($C$2:C161)</f>
        <v>6.9081843263986524</v>
      </c>
      <c r="H161">
        <f t="shared" ca="1" si="43"/>
        <v>118.31864454495353</v>
      </c>
      <c r="I161">
        <f t="shared" ca="1" si="44"/>
        <v>104.50227589215622</v>
      </c>
      <c r="J161">
        <f t="shared" ca="1" si="53"/>
        <v>117.1815</v>
      </c>
      <c r="K161">
        <f t="shared" ca="1" si="54"/>
        <v>1.5963058505252232</v>
      </c>
      <c r="L161">
        <f t="shared" ca="1" si="55"/>
        <v>120.37411170105045</v>
      </c>
      <c r="M161">
        <f t="shared" ca="1" si="56"/>
        <v>113.98888829894955</v>
      </c>
      <c r="N161">
        <f t="shared" ca="1" si="45"/>
        <v>-3.9500000000000028</v>
      </c>
      <c r="O161">
        <f t="shared" ca="1" si="46"/>
        <v>0</v>
      </c>
      <c r="P161">
        <f t="shared" ca="1" si="47"/>
        <v>3.9500000000000028</v>
      </c>
      <c r="Q161">
        <f t="shared" ca="1" si="51"/>
        <v>0.53327777634356122</v>
      </c>
      <c r="R161">
        <f t="shared" ca="1" si="52"/>
        <v>0.69374659108465708</v>
      </c>
      <c r="S161">
        <f t="shared" ca="1" si="49"/>
        <v>0.76869246378536216</v>
      </c>
      <c r="T161">
        <f t="shared" ca="1" si="50"/>
        <v>43.461058353819396</v>
      </c>
      <c r="U161">
        <f>70</f>
        <v>70</v>
      </c>
      <c r="V161">
        <f>30</f>
        <v>30</v>
      </c>
      <c r="W161">
        <f t="shared" ca="1" si="48"/>
        <v>117.32907732715458</v>
      </c>
      <c r="X161">
        <f t="shared" ca="1" si="58"/>
        <v>116.70927252464027</v>
      </c>
      <c r="Y161">
        <f t="shared" ca="1" si="57"/>
        <v>0.29636010158638726</v>
      </c>
      <c r="Z161">
        <f t="shared" ca="1" si="38"/>
        <v>0.71306697502212946</v>
      </c>
      <c r="AA161">
        <f t="shared" ca="1" si="39"/>
        <v>-0.4167068734357422</v>
      </c>
      <c r="AB161">
        <f t="shared" ca="1" si="40"/>
        <v>116.28590000000003</v>
      </c>
    </row>
    <row r="162" spans="1:28" x14ac:dyDescent="0.25">
      <c r="A162" s="20">
        <f t="shared" ca="1" si="41"/>
        <v>45523</v>
      </c>
      <c r="B162" vm="474">
        <f ca="1"/>
        <v>45525</v>
      </c>
      <c r="C162" vm="475">
        <f ca="1"/>
        <v>113.85</v>
      </c>
      <c r="D162" vm="476">
        <f ca="1"/>
        <v>11752358</v>
      </c>
      <c r="E162">
        <f t="shared" ca="1" si="42"/>
        <v>1338005958.3</v>
      </c>
      <c r="F162">
        <f ca="1">SUM($E$2:E162)/SUM($D$2:D162)</f>
        <v>111.42084572851255</v>
      </c>
      <c r="G162">
        <f ca="1">_xlfn.STDEV.P($C$2:C162)</f>
        <v>6.8885041187096796</v>
      </c>
      <c r="H162">
        <f t="shared" ca="1" si="43"/>
        <v>118.30934984722222</v>
      </c>
      <c r="I162">
        <f t="shared" ca="1" si="44"/>
        <v>104.53234160980287</v>
      </c>
      <c r="J162">
        <f t="shared" ca="1" si="53"/>
        <v>117.12350000000001</v>
      </c>
      <c r="K162">
        <f t="shared" ca="1" si="54"/>
        <v>1.6972400971484343</v>
      </c>
      <c r="L162">
        <f t="shared" ca="1" si="55"/>
        <v>120.51798019429688</v>
      </c>
      <c r="M162">
        <f t="shared" ca="1" si="56"/>
        <v>113.72901980570313</v>
      </c>
      <c r="N162">
        <f t="shared" ca="1" si="45"/>
        <v>-0.73000000000000398</v>
      </c>
      <c r="O162">
        <f t="shared" ca="1" si="46"/>
        <v>0</v>
      </c>
      <c r="P162">
        <f t="shared" ca="1" si="47"/>
        <v>0.73000000000000398</v>
      </c>
      <c r="Q162">
        <f t="shared" ca="1" si="51"/>
        <v>0.4951865066047354</v>
      </c>
      <c r="R162">
        <f t="shared" ca="1" si="52"/>
        <v>0.69633612029289615</v>
      </c>
      <c r="S162">
        <f t="shared" ca="1" si="49"/>
        <v>0.71113143807109669</v>
      </c>
      <c r="T162">
        <f t="shared" ca="1" si="50"/>
        <v>41.559135800387857</v>
      </c>
      <c r="U162">
        <f>70</f>
        <v>70</v>
      </c>
      <c r="V162">
        <f>30</f>
        <v>30</v>
      </c>
      <c r="W162">
        <f t="shared" ca="1" si="48"/>
        <v>116.7938346614385</v>
      </c>
      <c r="X162">
        <f t="shared" ca="1" si="58"/>
        <v>116.49747455985211</v>
      </c>
      <c r="Y162">
        <f t="shared" ca="1" si="57"/>
        <v>0.10977111822020902</v>
      </c>
      <c r="Z162">
        <f t="shared" ca="1" si="38"/>
        <v>0.59240780366174539</v>
      </c>
      <c r="AA162">
        <f t="shared" ca="1" si="39"/>
        <v>-0.48263668544153637</v>
      </c>
      <c r="AB162">
        <f t="shared" ca="1" si="40"/>
        <v>116.262</v>
      </c>
    </row>
    <row r="163" spans="1:28" x14ac:dyDescent="0.25">
      <c r="A163" s="20">
        <f t="shared" ca="1" si="41"/>
        <v>45523</v>
      </c>
      <c r="B163" vm="477">
        <f ca="1"/>
        <v>45526</v>
      </c>
      <c r="C163" vm="478">
        <f ca="1"/>
        <v>114.73</v>
      </c>
      <c r="D163" vm="479">
        <f ca="1"/>
        <v>10609501</v>
      </c>
      <c r="E163">
        <f t="shared" ca="1" si="42"/>
        <v>1217228049.73</v>
      </c>
      <c r="F163">
        <f ca="1">SUM($E$2:E163)/SUM($D$2:D163)</f>
        <v>111.43351468989532</v>
      </c>
      <c r="G163">
        <f ca="1">_xlfn.STDEV.P($C$2:C163)</f>
        <v>6.8709033890825726</v>
      </c>
      <c r="H163">
        <f t="shared" ca="1" si="43"/>
        <v>118.30441807897789</v>
      </c>
      <c r="I163">
        <f t="shared" ca="1" si="44"/>
        <v>104.56261130081275</v>
      </c>
      <c r="J163">
        <f t="shared" ca="1" si="53"/>
        <v>116.9885</v>
      </c>
      <c r="K163">
        <f t="shared" ca="1" si="54"/>
        <v>1.7770800266315065</v>
      </c>
      <c r="L163">
        <f t="shared" ca="1" si="55"/>
        <v>120.54266005326302</v>
      </c>
      <c r="M163">
        <f t="shared" ca="1" si="56"/>
        <v>113.43433994673698</v>
      </c>
      <c r="N163">
        <f t="shared" ca="1" si="45"/>
        <v>0.88000000000000966</v>
      </c>
      <c r="O163">
        <f t="shared" ca="1" si="46"/>
        <v>0.88000000000000966</v>
      </c>
      <c r="P163">
        <f t="shared" ca="1" si="47"/>
        <v>0</v>
      </c>
      <c r="Q163">
        <f t="shared" ca="1" si="51"/>
        <v>0.52267318470439783</v>
      </c>
      <c r="R163">
        <f t="shared" ca="1" si="52"/>
        <v>0.6465978259862607</v>
      </c>
      <c r="S163">
        <f t="shared" ca="1" si="49"/>
        <v>0.80834355405875413</v>
      </c>
      <c r="T163">
        <f t="shared" ca="1" si="50"/>
        <v>44.70077338149931</v>
      </c>
      <c r="U163">
        <f>70</f>
        <v>70</v>
      </c>
      <c r="V163">
        <f>30</f>
        <v>30</v>
      </c>
      <c r="W163">
        <f t="shared" ca="1" si="48"/>
        <v>116.4763216366018</v>
      </c>
      <c r="X163">
        <f t="shared" ca="1" si="58"/>
        <v>116.36655051838159</v>
      </c>
      <c r="Y163">
        <f t="shared" ca="1" si="57"/>
        <v>8.9169822212866734E-2</v>
      </c>
      <c r="Z163">
        <f t="shared" ca="1" si="38"/>
        <v>0.49176020737196968</v>
      </c>
      <c r="AA163">
        <f t="shared" ca="1" si="39"/>
        <v>-0.40259038515910295</v>
      </c>
      <c r="AB163">
        <f t="shared" ca="1" si="40"/>
        <v>116.2394</v>
      </c>
    </row>
    <row r="164" spans="1:28" x14ac:dyDescent="0.25">
      <c r="A164" s="20">
        <f t="shared" ca="1" si="41"/>
        <v>45523</v>
      </c>
      <c r="B164" vm="480">
        <f ca="1"/>
        <v>45527</v>
      </c>
      <c r="C164" vm="481">
        <f ca="1"/>
        <v>116.32</v>
      </c>
      <c r="D164" vm="482">
        <f ca="1"/>
        <v>10381431</v>
      </c>
      <c r="E164">
        <f t="shared" ca="1" si="42"/>
        <v>1207568053.9199998</v>
      </c>
      <c r="F164">
        <f ca="1">SUM($E$2:E164)/SUM($D$2:D164)</f>
        <v>111.45175192356639</v>
      </c>
      <c r="G164">
        <f ca="1">_xlfn.STDEV.P($C$2:C164)</f>
        <v>6.8585946760548273</v>
      </c>
      <c r="H164">
        <f t="shared" ca="1" si="43"/>
        <v>118.31034659962121</v>
      </c>
      <c r="I164">
        <f t="shared" ca="1" si="44"/>
        <v>104.59315724751157</v>
      </c>
      <c r="J164">
        <f t="shared" ca="1" si="53"/>
        <v>116.93800000000002</v>
      </c>
      <c r="K164">
        <f t="shared" ca="1" si="54"/>
        <v>1.7812107059377822</v>
      </c>
      <c r="L164">
        <f t="shared" ca="1" si="55"/>
        <v>120.50042141187558</v>
      </c>
      <c r="M164">
        <f t="shared" ca="1" si="56"/>
        <v>113.37557858812445</v>
      </c>
      <c r="N164">
        <f t="shared" ca="1" si="45"/>
        <v>1.5899999999999892</v>
      </c>
      <c r="O164">
        <f t="shared" ca="1" si="46"/>
        <v>1.5899999999999892</v>
      </c>
      <c r="P164">
        <f t="shared" ca="1" si="47"/>
        <v>0</v>
      </c>
      <c r="Q164">
        <f t="shared" ca="1" si="51"/>
        <v>0.59891081436836857</v>
      </c>
      <c r="R164">
        <f t="shared" ca="1" si="52"/>
        <v>0.60041226698724215</v>
      </c>
      <c r="S164">
        <f t="shared" ca="1" si="49"/>
        <v>0.99749929723053865</v>
      </c>
      <c r="T164">
        <f t="shared" ca="1" si="50"/>
        <v>49.937404163973213</v>
      </c>
      <c r="U164">
        <f>70</f>
        <v>70</v>
      </c>
      <c r="V164">
        <f>30</f>
        <v>30</v>
      </c>
      <c r="W164">
        <f t="shared" ca="1" si="48"/>
        <v>116.45227215404768</v>
      </c>
      <c r="X164">
        <f t="shared" ca="1" si="58"/>
        <v>116.36310233183481</v>
      </c>
      <c r="Y164">
        <f t="shared" ca="1" si="57"/>
        <v>0.27064550400525889</v>
      </c>
      <c r="Z164">
        <f t="shared" ca="1" si="38"/>
        <v>0.44753726669862753</v>
      </c>
      <c r="AA164">
        <f t="shared" ca="1" si="39"/>
        <v>-0.17689176269336865</v>
      </c>
      <c r="AB164">
        <f t="shared" ca="1" si="40"/>
        <v>116.20980000000002</v>
      </c>
    </row>
    <row r="165" spans="1:28" x14ac:dyDescent="0.25">
      <c r="A165" s="20">
        <f t="shared" ca="1" si="41"/>
        <v>45530</v>
      </c>
      <c r="B165" vm="483">
        <f ca="1"/>
        <v>45530</v>
      </c>
      <c r="C165" vm="484">
        <f ca="1"/>
        <v>118.81</v>
      </c>
      <c r="D165" vm="485">
        <f ca="1"/>
        <v>13671016</v>
      </c>
      <c r="E165">
        <f t="shared" ca="1" si="42"/>
        <v>1624253410.96</v>
      </c>
      <c r="F165">
        <f ca="1">SUM($E$2:E165)/SUM($D$2:D165)</f>
        <v>111.4877393771505</v>
      </c>
      <c r="G165">
        <f ca="1">_xlfn.STDEV.P($C$2:C165)</f>
        <v>6.8587843699277196</v>
      </c>
      <c r="H165">
        <f t="shared" ca="1" si="43"/>
        <v>118.34652374707822</v>
      </c>
      <c r="I165">
        <f t="shared" ca="1" si="44"/>
        <v>104.62895500722279</v>
      </c>
      <c r="J165">
        <f t="shared" ca="1" si="53"/>
        <v>117.0735</v>
      </c>
      <c r="K165">
        <f t="shared" ca="1" si="54"/>
        <v>1.8168285699623901</v>
      </c>
      <c r="L165">
        <f t="shared" ca="1" si="55"/>
        <v>120.70715713992477</v>
      </c>
      <c r="M165">
        <f t="shared" ca="1" si="56"/>
        <v>113.43984286007522</v>
      </c>
      <c r="N165">
        <f t="shared" ca="1" si="45"/>
        <v>2.4900000000000091</v>
      </c>
      <c r="O165">
        <f t="shared" ca="1" si="46"/>
        <v>2.4900000000000091</v>
      </c>
      <c r="P165">
        <f t="shared" ca="1" si="47"/>
        <v>0</v>
      </c>
      <c r="Q165">
        <f t="shared" ca="1" si="51"/>
        <v>0.73398861334205712</v>
      </c>
      <c r="R165">
        <f t="shared" ca="1" si="52"/>
        <v>0.55752567648815343</v>
      </c>
      <c r="S165">
        <f t="shared" ca="1" si="49"/>
        <v>1.3165108698947128</v>
      </c>
      <c r="T165">
        <f t="shared" ca="1" si="50"/>
        <v>56.831629283679952</v>
      </c>
      <c r="U165">
        <f>70</f>
        <v>70</v>
      </c>
      <c r="V165">
        <f>30</f>
        <v>30</v>
      </c>
      <c r="W165">
        <f t="shared" ca="1" si="48"/>
        <v>116.81499951496342</v>
      </c>
      <c r="X165">
        <f t="shared" ca="1" si="58"/>
        <v>116.54435401095816</v>
      </c>
      <c r="Y165">
        <f t="shared" ca="1" si="57"/>
        <v>0.31960057658899643</v>
      </c>
      <c r="Z165">
        <f t="shared" ca="1" si="38"/>
        <v>0.42194992867670134</v>
      </c>
      <c r="AA165">
        <f t="shared" ca="1" si="39"/>
        <v>-0.1023493520877049</v>
      </c>
      <c r="AB165">
        <f t="shared" ca="1" si="40"/>
        <v>116.20489999999999</v>
      </c>
    </row>
    <row r="166" spans="1:28" x14ac:dyDescent="0.25">
      <c r="A166" s="20">
        <f t="shared" ca="1" si="41"/>
        <v>45530</v>
      </c>
      <c r="B166" vm="486">
        <f ca="1"/>
        <v>45531</v>
      </c>
      <c r="C166" vm="487">
        <f ca="1"/>
        <v>117.68</v>
      </c>
      <c r="D166" vm="488">
        <f ca="1"/>
        <v>9991631</v>
      </c>
      <c r="E166">
        <f t="shared" ca="1" si="42"/>
        <v>1175815136.0800002</v>
      </c>
      <c r="F166">
        <f ca="1">SUM($E$2:E166)/SUM($D$2:D166)</f>
        <v>111.50979462320392</v>
      </c>
      <c r="G166">
        <f ca="1">_xlfn.STDEV.P($C$2:C166)</f>
        <v>6.8524586583146814</v>
      </c>
      <c r="H166">
        <f t="shared" ca="1" si="43"/>
        <v>118.3622532815186</v>
      </c>
      <c r="I166">
        <f t="shared" ca="1" si="44"/>
        <v>104.65733596488923</v>
      </c>
      <c r="J166">
        <f t="shared" ca="1" si="53"/>
        <v>117.04899999999998</v>
      </c>
      <c r="K166">
        <f t="shared" ca="1" si="54"/>
        <v>1.8045261807028765</v>
      </c>
      <c r="L166">
        <f t="shared" ca="1" si="55"/>
        <v>120.65805236140574</v>
      </c>
      <c r="M166">
        <f t="shared" ca="1" si="56"/>
        <v>113.43994763859422</v>
      </c>
      <c r="N166">
        <f t="shared" ca="1" si="45"/>
        <v>-1.1299999999999955</v>
      </c>
      <c r="O166">
        <f t="shared" ca="1" si="46"/>
        <v>0</v>
      </c>
      <c r="P166">
        <f t="shared" ca="1" si="47"/>
        <v>1.1299999999999955</v>
      </c>
      <c r="Q166">
        <f t="shared" ca="1" si="51"/>
        <v>0.68156085524619592</v>
      </c>
      <c r="R166">
        <f t="shared" ca="1" si="52"/>
        <v>0.59841669959614208</v>
      </c>
      <c r="S166">
        <f t="shared" ca="1" si="49"/>
        <v>1.1389402329616902</v>
      </c>
      <c r="T166">
        <f t="shared" ca="1" si="50"/>
        <v>53.247875532485217</v>
      </c>
      <c r="U166">
        <f>70</f>
        <v>70</v>
      </c>
      <c r="V166">
        <f>30</f>
        <v>30</v>
      </c>
      <c r="W166">
        <f t="shared" ca="1" si="48"/>
        <v>116.94807651266136</v>
      </c>
      <c r="X166">
        <f t="shared" ca="1" si="58"/>
        <v>116.62847593607236</v>
      </c>
      <c r="Y166">
        <f t="shared" ca="1" si="57"/>
        <v>0.26177790608805651</v>
      </c>
      <c r="Z166">
        <f t="shared" ref="Z166:Z229" ca="1" si="59">Y166*(2/(9+1)) + Z165*(1-(2/(9+1)))</f>
        <v>0.3899155241589724</v>
      </c>
      <c r="AA166">
        <f t="shared" ref="AA166:AA229" ca="1" si="60">Y166-Z166</f>
        <v>-0.12813761807091589</v>
      </c>
      <c r="AB166">
        <f t="shared" ref="AB166:AB229" ca="1" si="61">AVERAGE(C67:C166)</f>
        <v>116.18450000000001</v>
      </c>
    </row>
    <row r="167" spans="1:28" x14ac:dyDescent="0.25">
      <c r="A167" s="20">
        <f t="shared" ca="1" si="41"/>
        <v>45530</v>
      </c>
      <c r="B167" vm="489">
        <f ca="1"/>
        <v>45532</v>
      </c>
      <c r="C167" vm="490">
        <f ca="1"/>
        <v>116.52</v>
      </c>
      <c r="D167" vm="491">
        <f ca="1"/>
        <v>10742867</v>
      </c>
      <c r="E167">
        <f t="shared" ca="1" si="42"/>
        <v>1251758862.8399999</v>
      </c>
      <c r="F167">
        <f ca="1">SUM($E$2:E167)/SUM($D$2:D167)</f>
        <v>111.52890820371144</v>
      </c>
      <c r="G167">
        <f ca="1">_xlfn.STDEV.P($C$2:C167)</f>
        <v>6.8408294092234661</v>
      </c>
      <c r="H167">
        <f t="shared" ca="1" si="43"/>
        <v>118.3697376129349</v>
      </c>
      <c r="I167">
        <f t="shared" ca="1" si="44"/>
        <v>104.68807879448798</v>
      </c>
      <c r="J167">
        <f t="shared" ca="1" si="53"/>
        <v>116.9455</v>
      </c>
      <c r="K167">
        <f t="shared" ca="1" si="54"/>
        <v>1.7705321085392451</v>
      </c>
      <c r="L167">
        <f t="shared" ca="1" si="55"/>
        <v>120.48656421707848</v>
      </c>
      <c r="M167">
        <f t="shared" ca="1" si="56"/>
        <v>113.40443578292151</v>
      </c>
      <c r="N167">
        <f t="shared" ca="1" si="45"/>
        <v>-1.1600000000000108</v>
      </c>
      <c r="O167">
        <f t="shared" ca="1" si="46"/>
        <v>0</v>
      </c>
      <c r="P167">
        <f t="shared" ca="1" si="47"/>
        <v>1.1600000000000108</v>
      </c>
      <c r="Q167">
        <f t="shared" ca="1" si="51"/>
        <v>0.63287793701432471</v>
      </c>
      <c r="R167">
        <f t="shared" ca="1" si="52"/>
        <v>0.6385297924821326</v>
      </c>
      <c r="S167">
        <f t="shared" ca="1" si="49"/>
        <v>0.99114864249976864</v>
      </c>
      <c r="T167">
        <f t="shared" ca="1" si="50"/>
        <v>49.777732377400035</v>
      </c>
      <c r="U167">
        <f>70</f>
        <v>70</v>
      </c>
      <c r="V167">
        <f>30</f>
        <v>30</v>
      </c>
      <c r="W167">
        <f t="shared" ca="1" si="48"/>
        <v>116.88221858763654</v>
      </c>
      <c r="X167">
        <f t="shared" ca="1" si="58"/>
        <v>116.62044068154849</v>
      </c>
      <c r="Y167">
        <f t="shared" ca="1" si="57"/>
        <v>0.341925068446713</v>
      </c>
      <c r="Z167">
        <f t="shared" ca="1" si="59"/>
        <v>0.38031743301652055</v>
      </c>
      <c r="AA167">
        <f t="shared" ca="1" si="60"/>
        <v>-3.8392364569807547E-2</v>
      </c>
      <c r="AB167">
        <f t="shared" ca="1" si="61"/>
        <v>116.13600000000002</v>
      </c>
    </row>
    <row r="168" spans="1:28" x14ac:dyDescent="0.25">
      <c r="A168" s="20">
        <f t="shared" ca="1" si="41"/>
        <v>45530</v>
      </c>
      <c r="B168" vm="492">
        <f ca="1"/>
        <v>45533</v>
      </c>
      <c r="C168" vm="493">
        <f ca="1"/>
        <v>118.13</v>
      </c>
      <c r="D168" vm="494">
        <f ca="1"/>
        <v>10753895</v>
      </c>
      <c r="E168">
        <f t="shared" ca="1" si="42"/>
        <v>1270357616.3499999</v>
      </c>
      <c r="F168">
        <f ca="1">SUM($E$2:E168)/SUM($D$2:D168)</f>
        <v>111.55402085357386</v>
      </c>
      <c r="G168">
        <f ca="1">_xlfn.STDEV.P($C$2:C168)</f>
        <v>6.8366753968249689</v>
      </c>
      <c r="H168">
        <f t="shared" ca="1" si="43"/>
        <v>118.39069625039883</v>
      </c>
      <c r="I168">
        <f t="shared" ca="1" si="44"/>
        <v>104.71734545674889</v>
      </c>
      <c r="J168">
        <f t="shared" ca="1" si="53"/>
        <v>117.00449999999998</v>
      </c>
      <c r="K168">
        <f t="shared" ca="1" si="54"/>
        <v>1.7902410158235249</v>
      </c>
      <c r="L168">
        <f t="shared" ca="1" si="55"/>
        <v>120.58498203164703</v>
      </c>
      <c r="M168">
        <f t="shared" ca="1" si="56"/>
        <v>113.42401796835293</v>
      </c>
      <c r="N168">
        <f t="shared" ca="1" si="45"/>
        <v>1.6099999999999994</v>
      </c>
      <c r="O168">
        <f t="shared" ca="1" si="46"/>
        <v>1.6099999999999994</v>
      </c>
      <c r="P168">
        <f t="shared" ca="1" si="47"/>
        <v>0</v>
      </c>
      <c r="Q168">
        <f t="shared" ca="1" si="51"/>
        <v>0.70267237008473005</v>
      </c>
      <c r="R168">
        <f t="shared" ca="1" si="52"/>
        <v>0.59292052159055164</v>
      </c>
      <c r="S168">
        <f t="shared" ca="1" si="49"/>
        <v>1.1851038115526196</v>
      </c>
      <c r="T168">
        <f t="shared" ca="1" si="50"/>
        <v>54.23558392452518</v>
      </c>
      <c r="U168">
        <f>70</f>
        <v>70</v>
      </c>
      <c r="V168">
        <f>30</f>
        <v>30</v>
      </c>
      <c r="W168">
        <f t="shared" ca="1" si="48"/>
        <v>117.07418495876938</v>
      </c>
      <c r="X168">
        <f t="shared" ca="1" si="58"/>
        <v>116.73225989032267</v>
      </c>
      <c r="Y168">
        <f t="shared" ca="1" si="57"/>
        <v>0.38566515213571506</v>
      </c>
      <c r="Z168">
        <f t="shared" ca="1" si="59"/>
        <v>0.38138697684035949</v>
      </c>
      <c r="AA168">
        <f t="shared" ca="1" si="60"/>
        <v>4.2781752953555685E-3</v>
      </c>
      <c r="AB168">
        <f t="shared" ca="1" si="61"/>
        <v>116.11180000000002</v>
      </c>
    </row>
    <row r="169" spans="1:28" x14ac:dyDescent="0.25">
      <c r="A169" s="20">
        <f t="shared" ca="1" si="41"/>
        <v>45530</v>
      </c>
      <c r="B169" vm="495">
        <f ca="1"/>
        <v>45534</v>
      </c>
      <c r="C169" vm="496">
        <f ca="1"/>
        <v>117.94</v>
      </c>
      <c r="D169" vm="497">
        <f ca="1"/>
        <v>13284689</v>
      </c>
      <c r="E169">
        <f t="shared" ca="1" si="42"/>
        <v>1566796220.6600001</v>
      </c>
      <c r="F169">
        <f ca="1">SUM($E$2:E169)/SUM($D$2:D169)</f>
        <v>111.58389211956865</v>
      </c>
      <c r="G169">
        <f ca="1">_xlfn.STDEV.P($C$2:C169)</f>
        <v>6.8313884188788316</v>
      </c>
      <c r="H169">
        <f t="shared" ca="1" si="43"/>
        <v>118.41528053844748</v>
      </c>
      <c r="I169">
        <f t="shared" ca="1" si="44"/>
        <v>104.75250370068981</v>
      </c>
      <c r="J169">
        <f t="shared" ca="1" si="53"/>
        <v>117.0575</v>
      </c>
      <c r="K169">
        <f t="shared" ca="1" si="54"/>
        <v>1.8020131286395995</v>
      </c>
      <c r="L169">
        <f t="shared" ca="1" si="55"/>
        <v>120.66152625727921</v>
      </c>
      <c r="M169">
        <f t="shared" ca="1" si="56"/>
        <v>113.4534737427208</v>
      </c>
      <c r="N169">
        <f t="shared" ca="1" si="45"/>
        <v>-0.18999999999999773</v>
      </c>
      <c r="O169">
        <f t="shared" ca="1" si="46"/>
        <v>0</v>
      </c>
      <c r="P169">
        <f t="shared" ca="1" si="47"/>
        <v>0.18999999999999773</v>
      </c>
      <c r="Q169">
        <f t="shared" ca="1" si="51"/>
        <v>0.65248148650724935</v>
      </c>
      <c r="R169">
        <f t="shared" ca="1" si="52"/>
        <v>0.56414048433408348</v>
      </c>
      <c r="S169">
        <f t="shared" ca="1" si="49"/>
        <v>1.1565939772562934</v>
      </c>
      <c r="T169">
        <f t="shared" ca="1" si="50"/>
        <v>53.630585518362594</v>
      </c>
      <c r="U169">
        <f>70</f>
        <v>70</v>
      </c>
      <c r="V169">
        <f>30</f>
        <v>30</v>
      </c>
      <c r="W169">
        <f t="shared" ca="1" si="48"/>
        <v>117.20738727280485</v>
      </c>
      <c r="X169">
        <f t="shared" ca="1" si="58"/>
        <v>116.82172212066914</v>
      </c>
      <c r="Y169">
        <f t="shared" ca="1" si="57"/>
        <v>0.21850236696744219</v>
      </c>
      <c r="Z169">
        <f t="shared" ca="1" si="59"/>
        <v>0.34881005486577604</v>
      </c>
      <c r="AA169">
        <f t="shared" ca="1" si="60"/>
        <v>-0.13030768789833386</v>
      </c>
      <c r="AB169">
        <f t="shared" ca="1" si="61"/>
        <v>116.07940000000002</v>
      </c>
    </row>
    <row r="170" spans="1:28" x14ac:dyDescent="0.25">
      <c r="A170" s="20">
        <f t="shared" ca="1" si="41"/>
        <v>45537</v>
      </c>
      <c r="B170" vm="498">
        <f ca="1"/>
        <v>45538</v>
      </c>
      <c r="C170" vm="499">
        <f ca="1"/>
        <v>115.47</v>
      </c>
      <c r="D170" vm="500">
        <f ca="1"/>
        <v>15725139</v>
      </c>
      <c r="E170">
        <f t="shared" ca="1" si="42"/>
        <v>1815781800.3299999</v>
      </c>
      <c r="F170">
        <f ca="1">SUM($E$2:E170)/SUM($D$2:D170)</f>
        <v>111.6052907540501</v>
      </c>
      <c r="G170">
        <f ca="1">_xlfn.STDEV.P($C$2:C170)</f>
        <v>6.8161213318245544</v>
      </c>
      <c r="H170">
        <f t="shared" ca="1" si="43"/>
        <v>118.42141208587466</v>
      </c>
      <c r="I170">
        <f t="shared" ca="1" si="44"/>
        <v>104.78916942222554</v>
      </c>
      <c r="J170">
        <f t="shared" ca="1" si="53"/>
        <v>117.0925</v>
      </c>
      <c r="K170">
        <f t="shared" ca="1" si="54"/>
        <v>1.7615898172419509</v>
      </c>
      <c r="L170">
        <f t="shared" ca="1" si="55"/>
        <v>120.6156796344839</v>
      </c>
      <c r="M170">
        <f t="shared" ca="1" si="56"/>
        <v>113.56932036551611</v>
      </c>
      <c r="N170">
        <f t="shared" ca="1" si="45"/>
        <v>-2.4699999999999989</v>
      </c>
      <c r="O170">
        <f t="shared" ca="1" si="46"/>
        <v>0</v>
      </c>
      <c r="P170">
        <f t="shared" ca="1" si="47"/>
        <v>2.4699999999999989</v>
      </c>
      <c r="Q170">
        <f t="shared" ca="1" si="51"/>
        <v>0.60587566604244592</v>
      </c>
      <c r="R170">
        <f t="shared" ca="1" si="52"/>
        <v>0.7002733068816489</v>
      </c>
      <c r="S170">
        <f t="shared" ca="1" si="49"/>
        <v>0.86519885891472825</v>
      </c>
      <c r="T170">
        <f t="shared" ca="1" si="50"/>
        <v>46.386413694148771</v>
      </c>
      <c r="U170">
        <f>70</f>
        <v>70</v>
      </c>
      <c r="V170">
        <f>30</f>
        <v>30</v>
      </c>
      <c r="W170">
        <f t="shared" ca="1" si="48"/>
        <v>116.94009692314256</v>
      </c>
      <c r="X170">
        <f t="shared" ca="1" si="58"/>
        <v>116.72159455617512</v>
      </c>
      <c r="Y170">
        <f t="shared" ca="1" si="57"/>
        <v>-2.7434315052929037E-2</v>
      </c>
      <c r="Z170">
        <f t="shared" ca="1" si="59"/>
        <v>0.27356118088203502</v>
      </c>
      <c r="AA170">
        <f t="shared" ca="1" si="60"/>
        <v>-0.30099549593496405</v>
      </c>
      <c r="AB170">
        <f t="shared" ca="1" si="61"/>
        <v>116.01210000000003</v>
      </c>
    </row>
    <row r="171" spans="1:28" x14ac:dyDescent="0.25">
      <c r="A171" s="20">
        <f t="shared" ca="1" si="41"/>
        <v>45537</v>
      </c>
      <c r="B171" vm="501">
        <f ca="1"/>
        <v>45539</v>
      </c>
      <c r="C171" vm="502">
        <f ca="1"/>
        <v>114.06</v>
      </c>
      <c r="D171" vm="503">
        <f ca="1"/>
        <v>12620584</v>
      </c>
      <c r="E171">
        <f t="shared" ca="1" si="42"/>
        <v>1439503811.04</v>
      </c>
      <c r="F171">
        <f ca="1">SUM($E$2:E171)/SUM($D$2:D171)</f>
        <v>111.61609118697243</v>
      </c>
      <c r="G171">
        <f ca="1">_xlfn.STDEV.P($C$2:C171)</f>
        <v>6.7977046169147073</v>
      </c>
      <c r="H171">
        <f t="shared" ca="1" si="43"/>
        <v>118.41379580388713</v>
      </c>
      <c r="I171">
        <f t="shared" ca="1" si="44"/>
        <v>104.81838657005773</v>
      </c>
      <c r="J171">
        <f t="shared" ca="1" si="53"/>
        <v>117.08749999999998</v>
      </c>
      <c r="K171">
        <f t="shared" ca="1" si="54"/>
        <v>1.7704708710575161</v>
      </c>
      <c r="L171">
        <f t="shared" ca="1" si="55"/>
        <v>120.62844174211502</v>
      </c>
      <c r="M171">
        <f t="shared" ca="1" si="56"/>
        <v>113.54655825788494</v>
      </c>
      <c r="N171">
        <f t="shared" ca="1" si="45"/>
        <v>-1.4099999999999966</v>
      </c>
      <c r="O171">
        <f t="shared" ca="1" si="46"/>
        <v>0</v>
      </c>
      <c r="P171">
        <f t="shared" ca="1" si="47"/>
        <v>1.4099999999999966</v>
      </c>
      <c r="Q171">
        <f t="shared" ca="1" si="51"/>
        <v>0.56259883275369982</v>
      </c>
      <c r="R171">
        <f t="shared" ca="1" si="52"/>
        <v>0.75096807067581661</v>
      </c>
      <c r="S171">
        <f t="shared" ca="1" si="49"/>
        <v>0.74916478439276624</v>
      </c>
      <c r="T171">
        <f t="shared" ca="1" si="50"/>
        <v>42.829857488403732</v>
      </c>
      <c r="U171">
        <f>70</f>
        <v>70</v>
      </c>
      <c r="V171">
        <f>30</f>
        <v>30</v>
      </c>
      <c r="W171">
        <f t="shared" ca="1" si="48"/>
        <v>116.49700508881293</v>
      </c>
      <c r="X171">
        <f t="shared" ca="1" si="58"/>
        <v>116.52443940386586</v>
      </c>
      <c r="Y171">
        <f t="shared" ca="1" si="57"/>
        <v>-0.2908042589144344</v>
      </c>
      <c r="Z171">
        <f t="shared" ca="1" si="59"/>
        <v>0.16068809292274114</v>
      </c>
      <c r="AA171">
        <f t="shared" ca="1" si="60"/>
        <v>-0.45149235183717551</v>
      </c>
      <c r="AB171">
        <f t="shared" ca="1" si="61"/>
        <v>115.93480000000001</v>
      </c>
    </row>
    <row r="172" spans="1:28" x14ac:dyDescent="0.25">
      <c r="A172" s="20">
        <f t="shared" ca="1" si="41"/>
        <v>45537</v>
      </c>
      <c r="B172" vm="504">
        <f ca="1"/>
        <v>45540</v>
      </c>
      <c r="C172" vm="505">
        <f ca="1"/>
        <v>113.17</v>
      </c>
      <c r="D172" vm="506">
        <f ca="1"/>
        <v>17200770</v>
      </c>
      <c r="E172">
        <f t="shared" ca="1" si="42"/>
        <v>1946611140.9000001</v>
      </c>
      <c r="F172">
        <f ca="1">SUM($E$2:E172)/SUM($D$2:D172)</f>
        <v>111.62535390690302</v>
      </c>
      <c r="G172">
        <f ca="1">_xlfn.STDEV.P($C$2:C172)</f>
        <v>6.7782837496381836</v>
      </c>
      <c r="H172">
        <f t="shared" ca="1" si="43"/>
        <v>118.40363765654119</v>
      </c>
      <c r="I172">
        <f t="shared" ca="1" si="44"/>
        <v>104.84707015726484</v>
      </c>
      <c r="J172">
        <f t="shared" ca="1" si="53"/>
        <v>116.96199999999999</v>
      </c>
      <c r="K172">
        <f t="shared" ca="1" si="54"/>
        <v>1.9548525317917547</v>
      </c>
      <c r="L172">
        <f t="shared" ca="1" si="55"/>
        <v>120.87170506358351</v>
      </c>
      <c r="M172">
        <f t="shared" ca="1" si="56"/>
        <v>113.05229493641647</v>
      </c>
      <c r="N172">
        <f t="shared" ca="1" si="45"/>
        <v>-0.89000000000000057</v>
      </c>
      <c r="O172">
        <f t="shared" ca="1" si="46"/>
        <v>0</v>
      </c>
      <c r="P172">
        <f t="shared" ca="1" si="47"/>
        <v>0.89000000000000057</v>
      </c>
      <c r="Q172">
        <f t="shared" ca="1" si="51"/>
        <v>0.52241320184272122</v>
      </c>
      <c r="R172">
        <f t="shared" ca="1" si="52"/>
        <v>0.76089892277040128</v>
      </c>
      <c r="S172">
        <f t="shared" ca="1" si="49"/>
        <v>0.68657371722992655</v>
      </c>
      <c r="T172">
        <f t="shared" ca="1" si="50"/>
        <v>40.708194976355585</v>
      </c>
      <c r="U172">
        <f>70</f>
        <v>70</v>
      </c>
      <c r="V172">
        <f>30</f>
        <v>30</v>
      </c>
      <c r="W172">
        <f t="shared" ca="1" si="48"/>
        <v>115.98515815207247</v>
      </c>
      <c r="X172">
        <f t="shared" ca="1" si="58"/>
        <v>116.27596241098691</v>
      </c>
      <c r="Y172">
        <f t="shared" ca="1" si="57"/>
        <v>-0.53611342565588416</v>
      </c>
      <c r="Z172">
        <f t="shared" ca="1" si="59"/>
        <v>2.1327789207016085E-2</v>
      </c>
      <c r="AA172">
        <f t="shared" ca="1" si="60"/>
        <v>-0.55744121486290021</v>
      </c>
      <c r="AB172">
        <f t="shared" ca="1" si="61"/>
        <v>115.86280000000002</v>
      </c>
    </row>
    <row r="173" spans="1:28" x14ac:dyDescent="0.25">
      <c r="A173" s="20">
        <f t="shared" ca="1" si="41"/>
        <v>45537</v>
      </c>
      <c r="B173" vm="507">
        <f ca="1"/>
        <v>45541</v>
      </c>
      <c r="C173" vm="508">
        <f ca="1"/>
        <v>112.64</v>
      </c>
      <c r="D173" vm="509">
        <f ca="1"/>
        <v>13467747</v>
      </c>
      <c r="E173">
        <f t="shared" ca="1" si="42"/>
        <v>1517007022.0799999</v>
      </c>
      <c r="F173">
        <f ca="1">SUM($E$2:E173)/SUM($D$2:D173)</f>
        <v>111.63006750348556</v>
      </c>
      <c r="G173">
        <f ca="1">_xlfn.STDEV.P($C$2:C173)</f>
        <v>6.7586693761474645</v>
      </c>
      <c r="H173">
        <f t="shared" ca="1" si="43"/>
        <v>118.38873687963303</v>
      </c>
      <c r="I173">
        <f t="shared" ca="1" si="44"/>
        <v>104.8713981273381</v>
      </c>
      <c r="J173">
        <f t="shared" ca="1" si="53"/>
        <v>116.69950000000001</v>
      </c>
      <c r="K173">
        <f t="shared" ca="1" si="54"/>
        <v>2.164885982168455</v>
      </c>
      <c r="L173">
        <f t="shared" ca="1" si="55"/>
        <v>121.02927196433693</v>
      </c>
      <c r="M173">
        <f t="shared" ca="1" si="56"/>
        <v>112.3697280356631</v>
      </c>
      <c r="N173">
        <f t="shared" ca="1" si="45"/>
        <v>-0.53000000000000114</v>
      </c>
      <c r="O173">
        <f t="shared" ca="1" si="46"/>
        <v>0</v>
      </c>
      <c r="P173">
        <f t="shared" ca="1" si="47"/>
        <v>0.53000000000000114</v>
      </c>
      <c r="Q173">
        <f t="shared" ca="1" si="51"/>
        <v>0.48509797313966974</v>
      </c>
      <c r="R173">
        <f t="shared" ca="1" si="52"/>
        <v>0.74440614257251547</v>
      </c>
      <c r="S173">
        <f t="shared" ca="1" si="49"/>
        <v>0.65165767099028804</v>
      </c>
      <c r="T173">
        <f t="shared" ca="1" si="50"/>
        <v>39.454766107771725</v>
      </c>
      <c r="U173">
        <f>70</f>
        <v>70</v>
      </c>
      <c r="V173">
        <f>30</f>
        <v>30</v>
      </c>
      <c r="W173">
        <f t="shared" ca="1" si="48"/>
        <v>115.47051843636902</v>
      </c>
      <c r="X173">
        <f t="shared" ca="1" si="58"/>
        <v>116.0066318620249</v>
      </c>
      <c r="Y173">
        <f t="shared" ca="1" si="57"/>
        <v>-0.533137833494294</v>
      </c>
      <c r="Z173">
        <f t="shared" ca="1" si="59"/>
        <v>-8.9565335333245941E-2</v>
      </c>
      <c r="AA173">
        <f t="shared" ca="1" si="60"/>
        <v>-0.44357249816104805</v>
      </c>
      <c r="AB173">
        <f t="shared" ca="1" si="61"/>
        <v>115.79240000000001</v>
      </c>
    </row>
    <row r="174" spans="1:28" x14ac:dyDescent="0.25">
      <c r="A174" s="20">
        <f t="shared" ca="1" si="41"/>
        <v>45544</v>
      </c>
      <c r="B174" vm="510">
        <f ca="1"/>
        <v>45544</v>
      </c>
      <c r="C174" vm="416">
        <f ca="1"/>
        <v>115.01</v>
      </c>
      <c r="D174" vm="511">
        <f ca="1"/>
        <v>21645325</v>
      </c>
      <c r="E174">
        <f t="shared" ca="1" si="42"/>
        <v>2489428828.25</v>
      </c>
      <c r="F174">
        <f ca="1">SUM($E$2:E174)/SUM($D$2:D174)</f>
        <v>111.65511616199419</v>
      </c>
      <c r="G174">
        <f ca="1">_xlfn.STDEV.P($C$2:C174)</f>
        <v>6.7426767968848864</v>
      </c>
      <c r="H174">
        <f t="shared" ca="1" si="43"/>
        <v>118.39779295887908</v>
      </c>
      <c r="I174">
        <f t="shared" ca="1" si="44"/>
        <v>104.91243936510929</v>
      </c>
      <c r="J174">
        <f t="shared" ca="1" si="53"/>
        <v>116.50750000000001</v>
      </c>
      <c r="K174">
        <f t="shared" ca="1" si="54"/>
        <v>2.1341875688297338</v>
      </c>
      <c r="L174">
        <f t="shared" ca="1" si="55"/>
        <v>120.77587513765947</v>
      </c>
      <c r="M174">
        <f t="shared" ca="1" si="56"/>
        <v>112.23912486234055</v>
      </c>
      <c r="N174">
        <f t="shared" ca="1" si="45"/>
        <v>2.3700000000000045</v>
      </c>
      <c r="O174">
        <f t="shared" ca="1" si="46"/>
        <v>2.3700000000000045</v>
      </c>
      <c r="P174">
        <f t="shared" ca="1" si="47"/>
        <v>0</v>
      </c>
      <c r="Q174">
        <f t="shared" ca="1" si="51"/>
        <v>0.61973383220112221</v>
      </c>
      <c r="R174">
        <f t="shared" ca="1" si="52"/>
        <v>0.6912342752459073</v>
      </c>
      <c r="S174">
        <f t="shared" ca="1" si="49"/>
        <v>0.89656120131000627</v>
      </c>
      <c r="T174">
        <f t="shared" ca="1" si="50"/>
        <v>47.272990752459087</v>
      </c>
      <c r="U174">
        <f>70</f>
        <v>70</v>
      </c>
      <c r="V174">
        <f>30</f>
        <v>30</v>
      </c>
      <c r="W174">
        <f t="shared" ca="1" si="48"/>
        <v>115.3996694461584</v>
      </c>
      <c r="X174">
        <f t="shared" ca="1" si="58"/>
        <v>115.93280727965269</v>
      </c>
      <c r="Y174">
        <f t="shared" ca="1" si="57"/>
        <v>-0.85897589851305156</v>
      </c>
      <c r="Z174">
        <f t="shared" ca="1" si="59"/>
        <v>-0.24344744796920709</v>
      </c>
      <c r="AA174">
        <f t="shared" ca="1" si="60"/>
        <v>-0.61552845054384453</v>
      </c>
      <c r="AB174">
        <f t="shared" ca="1" si="61"/>
        <v>115.75560000000002</v>
      </c>
    </row>
    <row r="175" spans="1:28" x14ac:dyDescent="0.25">
      <c r="A175" s="20">
        <f t="shared" ca="1" si="41"/>
        <v>45544</v>
      </c>
      <c r="B175" vm="512">
        <f ca="1"/>
        <v>45545</v>
      </c>
      <c r="C175" vm="513">
        <f ca="1"/>
        <v>110.82</v>
      </c>
      <c r="D175" vm="514">
        <f ca="1"/>
        <v>20913405</v>
      </c>
      <c r="E175">
        <f t="shared" ca="1" si="42"/>
        <v>2317623542.0999999</v>
      </c>
      <c r="F175">
        <f ca="1">SUM($E$2:E175)/SUM($D$2:D175)</f>
        <v>111.64917891207007</v>
      </c>
      <c r="G175">
        <f ca="1">_xlfn.STDEV.P($C$2:C175)</f>
        <v>6.7240059356825528</v>
      </c>
      <c r="H175">
        <f t="shared" ca="1" si="43"/>
        <v>118.37318484775263</v>
      </c>
      <c r="I175">
        <f t="shared" ca="1" si="44"/>
        <v>104.92517297638751</v>
      </c>
      <c r="J175">
        <f t="shared" ca="1" si="53"/>
        <v>116.09850000000003</v>
      </c>
      <c r="K175">
        <f t="shared" ca="1" si="54"/>
        <v>2.3987919657062484</v>
      </c>
      <c r="L175">
        <f t="shared" ca="1" si="55"/>
        <v>120.89608393141253</v>
      </c>
      <c r="M175">
        <f t="shared" ca="1" si="56"/>
        <v>111.30091606858753</v>
      </c>
      <c r="N175">
        <f t="shared" ca="1" si="45"/>
        <v>-4.1900000000000119</v>
      </c>
      <c r="O175">
        <f t="shared" ca="1" si="46"/>
        <v>0</v>
      </c>
      <c r="P175">
        <f t="shared" ca="1" si="47"/>
        <v>4.1900000000000119</v>
      </c>
      <c r="Q175">
        <f t="shared" ca="1" si="51"/>
        <v>0.57546712990104198</v>
      </c>
      <c r="R175">
        <f t="shared" ca="1" si="52"/>
        <v>0.94114611272834325</v>
      </c>
      <c r="S175">
        <f t="shared" ca="1" si="49"/>
        <v>0.61145354809232211</v>
      </c>
      <c r="T175">
        <f t="shared" ca="1" si="50"/>
        <v>37.94422425742124</v>
      </c>
      <c r="U175">
        <f>70</f>
        <v>70</v>
      </c>
      <c r="V175">
        <f>30</f>
        <v>30</v>
      </c>
      <c r="W175">
        <f t="shared" ca="1" si="48"/>
        <v>114.69510491598018</v>
      </c>
      <c r="X175">
        <f t="shared" ca="1" si="58"/>
        <v>115.55408081449323</v>
      </c>
      <c r="Y175">
        <f t="shared" ca="1" si="57"/>
        <v>-1.1922225204107804</v>
      </c>
      <c r="Z175">
        <f t="shared" ca="1" si="59"/>
        <v>-0.43320246245752181</v>
      </c>
      <c r="AA175">
        <f t="shared" ca="1" si="60"/>
        <v>-0.75902005795325855</v>
      </c>
      <c r="AB175">
        <f t="shared" ca="1" si="61"/>
        <v>115.67750000000002</v>
      </c>
    </row>
    <row r="176" spans="1:28" x14ac:dyDescent="0.25">
      <c r="A176" s="20">
        <f t="shared" ca="1" si="41"/>
        <v>45544</v>
      </c>
      <c r="B176" vm="515">
        <f ca="1"/>
        <v>45546</v>
      </c>
      <c r="C176" vm="516">
        <f ca="1"/>
        <v>109.72</v>
      </c>
      <c r="D176" vm="517">
        <f ca="1"/>
        <v>19571945</v>
      </c>
      <c r="E176">
        <f t="shared" ca="1" si="42"/>
        <v>2147433805.4000001</v>
      </c>
      <c r="F176">
        <f ca="1">SUM($E$2:E176)/SUM($D$2:D176)</f>
        <v>111.63642803099361</v>
      </c>
      <c r="G176">
        <f ca="1">_xlfn.STDEV.P($C$2:C176)</f>
        <v>6.7072181526277186</v>
      </c>
      <c r="H176">
        <f t="shared" ca="1" si="43"/>
        <v>118.34364618362133</v>
      </c>
      <c r="I176">
        <f t="shared" ca="1" si="44"/>
        <v>104.9292098783659</v>
      </c>
      <c r="J176">
        <f t="shared" ca="1" si="53"/>
        <v>115.69150000000002</v>
      </c>
      <c r="K176">
        <f t="shared" ca="1" si="54"/>
        <v>2.7491554205456983</v>
      </c>
      <c r="L176">
        <f t="shared" ca="1" si="55"/>
        <v>121.18981084109141</v>
      </c>
      <c r="M176">
        <f t="shared" ca="1" si="56"/>
        <v>110.19318915890862</v>
      </c>
      <c r="N176">
        <f t="shared" ca="1" si="45"/>
        <v>-1.0999999999999943</v>
      </c>
      <c r="O176">
        <f t="shared" ca="1" si="46"/>
        <v>0</v>
      </c>
      <c r="P176">
        <f t="shared" ca="1" si="47"/>
        <v>1.0999999999999943</v>
      </c>
      <c r="Q176">
        <f t="shared" ca="1" si="51"/>
        <v>0.53436233490811047</v>
      </c>
      <c r="R176">
        <f t="shared" ca="1" si="52"/>
        <v>0.95249281896203264</v>
      </c>
      <c r="S176">
        <f t="shared" ca="1" si="49"/>
        <v>0.56101455493430941</v>
      </c>
      <c r="T176">
        <f t="shared" ca="1" si="50"/>
        <v>35.93909827175942</v>
      </c>
      <c r="U176">
        <f>70</f>
        <v>70</v>
      </c>
      <c r="V176">
        <f>30</f>
        <v>30</v>
      </c>
      <c r="W176">
        <f t="shared" ca="1" si="48"/>
        <v>113.92970415967554</v>
      </c>
      <c r="X176">
        <f t="shared" ca="1" si="58"/>
        <v>115.12192668008632</v>
      </c>
      <c r="Y176">
        <f t="shared" ca="1" si="57"/>
        <v>-1.3192707567077377</v>
      </c>
      <c r="Z176">
        <f t="shared" ca="1" si="59"/>
        <v>-0.61041612130756495</v>
      </c>
      <c r="AA176">
        <f t="shared" ca="1" si="60"/>
        <v>-0.70885463540017279</v>
      </c>
      <c r="AB176">
        <f t="shared" ca="1" si="61"/>
        <v>115.5895</v>
      </c>
    </row>
    <row r="177" spans="1:28" x14ac:dyDescent="0.25">
      <c r="A177" s="20">
        <f t="shared" ca="1" si="41"/>
        <v>45544</v>
      </c>
      <c r="B177" vm="518">
        <f ca="1"/>
        <v>45547</v>
      </c>
      <c r="C177" vm="519">
        <f ca="1"/>
        <v>111.23</v>
      </c>
      <c r="D177" vm="520">
        <f ca="1"/>
        <v>15923318</v>
      </c>
      <c r="E177">
        <f t="shared" ca="1" si="42"/>
        <v>1771150661.1400001</v>
      </c>
      <c r="F177">
        <f ca="1">SUM($E$2:E177)/SUM($D$2:D177)</f>
        <v>111.63425421973932</v>
      </c>
      <c r="G177">
        <f ca="1">_xlfn.STDEV.P($C$2:C177)</f>
        <v>6.688464751412571</v>
      </c>
      <c r="H177">
        <f t="shared" ca="1" si="43"/>
        <v>118.32271897115189</v>
      </c>
      <c r="I177">
        <f t="shared" ca="1" si="44"/>
        <v>104.94578946832675</v>
      </c>
      <c r="J177">
        <f t="shared" ca="1" si="53"/>
        <v>115.30550000000001</v>
      </c>
      <c r="K177">
        <f t="shared" ca="1" si="54"/>
        <v>2.8088815436603571</v>
      </c>
      <c r="L177">
        <f t="shared" ca="1" si="55"/>
        <v>120.92326308732072</v>
      </c>
      <c r="M177">
        <f t="shared" ca="1" si="56"/>
        <v>109.6877369126793</v>
      </c>
      <c r="N177">
        <f t="shared" ca="1" si="45"/>
        <v>1.5100000000000051</v>
      </c>
      <c r="O177">
        <f t="shared" ca="1" si="46"/>
        <v>1.5100000000000051</v>
      </c>
      <c r="P177">
        <f t="shared" ca="1" si="47"/>
        <v>0</v>
      </c>
      <c r="Q177">
        <f t="shared" ca="1" si="51"/>
        <v>0.60405073955753152</v>
      </c>
      <c r="R177">
        <f t="shared" ca="1" si="52"/>
        <v>0.88445761760760178</v>
      </c>
      <c r="S177">
        <f t="shared" ca="1" si="49"/>
        <v>0.68296176948698573</v>
      </c>
      <c r="T177">
        <f t="shared" ca="1" si="50"/>
        <v>40.580943778370667</v>
      </c>
      <c r="U177">
        <f>70</f>
        <v>70</v>
      </c>
      <c r="V177">
        <f>30</f>
        <v>30</v>
      </c>
      <c r="W177">
        <f t="shared" ca="1" si="48"/>
        <v>113.514365058187</v>
      </c>
      <c r="X177">
        <f t="shared" ca="1" si="58"/>
        <v>114.83363581489473</v>
      </c>
      <c r="Y177">
        <f t="shared" ca="1" si="57"/>
        <v>-1.4101573149836071</v>
      </c>
      <c r="Z177">
        <f t="shared" ca="1" si="59"/>
        <v>-0.77036436004277342</v>
      </c>
      <c r="AA177">
        <f t="shared" ca="1" si="60"/>
        <v>-0.63979295494083366</v>
      </c>
      <c r="AB177">
        <f t="shared" ca="1" si="61"/>
        <v>115.50299999999999</v>
      </c>
    </row>
    <row r="178" spans="1:28" x14ac:dyDescent="0.25">
      <c r="A178" s="20">
        <f t="shared" ca="1" si="41"/>
        <v>45544</v>
      </c>
      <c r="B178" vm="521">
        <f ca="1"/>
        <v>45548</v>
      </c>
      <c r="C178" vm="522">
        <f ca="1"/>
        <v>111.15</v>
      </c>
      <c r="D178" vm="523">
        <f ca="1"/>
        <v>10035392</v>
      </c>
      <c r="E178">
        <f t="shared" ca="1" si="42"/>
        <v>1115433820.8</v>
      </c>
      <c r="F178">
        <f ca="1">SUM($E$2:E178)/SUM($D$2:D178)</f>
        <v>111.63262735709006</v>
      </c>
      <c r="G178">
        <f ca="1">_xlfn.STDEV.P($C$2:C178)</f>
        <v>6.6699294845161425</v>
      </c>
      <c r="H178">
        <f t="shared" ca="1" si="43"/>
        <v>118.3025568416062</v>
      </c>
      <c r="I178">
        <f t="shared" ca="1" si="44"/>
        <v>104.96269787257391</v>
      </c>
      <c r="J178">
        <f t="shared" ca="1" si="53"/>
        <v>114.9265</v>
      </c>
      <c r="K178">
        <f t="shared" ca="1" si="54"/>
        <v>2.8337686920424536</v>
      </c>
      <c r="L178">
        <f t="shared" ca="1" si="55"/>
        <v>120.59403738408491</v>
      </c>
      <c r="M178">
        <f t="shared" ca="1" si="56"/>
        <v>109.2589626159151</v>
      </c>
      <c r="N178">
        <f t="shared" ca="1" si="45"/>
        <v>-7.9999999999998295E-2</v>
      </c>
      <c r="O178">
        <f t="shared" ca="1" si="46"/>
        <v>0</v>
      </c>
      <c r="P178">
        <f t="shared" ca="1" si="47"/>
        <v>7.9999999999998295E-2</v>
      </c>
      <c r="Q178">
        <f t="shared" ca="1" si="51"/>
        <v>0.56090425816056499</v>
      </c>
      <c r="R178">
        <f t="shared" ca="1" si="52"/>
        <v>0.82699635920705872</v>
      </c>
      <c r="S178">
        <f t="shared" ca="1" si="49"/>
        <v>0.67824271765642552</v>
      </c>
      <c r="T178">
        <f t="shared" ca="1" si="50"/>
        <v>40.413863294074318</v>
      </c>
      <c r="U178">
        <f>70</f>
        <v>70</v>
      </c>
      <c r="V178">
        <f>30</f>
        <v>30</v>
      </c>
      <c r="W178">
        <f t="shared" ca="1" si="48"/>
        <v>113.1506165876967</v>
      </c>
      <c r="X178">
        <f t="shared" ca="1" si="58"/>
        <v>114.56077390268031</v>
      </c>
      <c r="Y178">
        <f t="shared" ca="1" si="57"/>
        <v>-1.3408501191600664</v>
      </c>
      <c r="Z178">
        <f t="shared" ca="1" si="59"/>
        <v>-0.88446151186623201</v>
      </c>
      <c r="AA178">
        <f t="shared" ca="1" si="60"/>
        <v>-0.45638860729383435</v>
      </c>
      <c r="AB178">
        <f t="shared" ca="1" si="61"/>
        <v>115.40889999999999</v>
      </c>
    </row>
    <row r="179" spans="1:28" x14ac:dyDescent="0.25">
      <c r="A179" s="20">
        <f t="shared" ca="1" si="41"/>
        <v>45551</v>
      </c>
      <c r="B179" vm="524">
        <f ca="1"/>
        <v>45551</v>
      </c>
      <c r="C179" vm="525">
        <f ca="1"/>
        <v>112.71</v>
      </c>
      <c r="D179" vm="526">
        <f ca="1"/>
        <v>11729034</v>
      </c>
      <c r="E179">
        <f t="shared" ca="1" si="42"/>
        <v>1321979422.1399999</v>
      </c>
      <c r="F179">
        <f ca="1">SUM($E$2:E179)/SUM($D$2:D179)</f>
        <v>111.63684111329091</v>
      </c>
      <c r="G179">
        <f ca="1">_xlfn.STDEV.P($C$2:C179)</f>
        <v>6.6513229384242205</v>
      </c>
      <c r="H179">
        <f t="shared" ca="1" si="43"/>
        <v>118.28816405171513</v>
      </c>
      <c r="I179">
        <f t="shared" ca="1" si="44"/>
        <v>104.9855181748667</v>
      </c>
      <c r="J179">
        <f t="shared" ca="1" si="53"/>
        <v>114.65350000000001</v>
      </c>
      <c r="K179">
        <f t="shared" ca="1" si="54"/>
        <v>2.7670681329941225</v>
      </c>
      <c r="L179">
        <f t="shared" ca="1" si="55"/>
        <v>120.18763626598826</v>
      </c>
      <c r="M179">
        <f t="shared" ca="1" si="56"/>
        <v>109.11936373401176</v>
      </c>
      <c r="N179">
        <f t="shared" ca="1" si="45"/>
        <v>1.5599999999999881</v>
      </c>
      <c r="O179">
        <f t="shared" ca="1" si="46"/>
        <v>1.5599999999999881</v>
      </c>
      <c r="P179">
        <f t="shared" ca="1" si="47"/>
        <v>0</v>
      </c>
      <c r="Q179">
        <f t="shared" ca="1" si="51"/>
        <v>0.63226823972052382</v>
      </c>
      <c r="R179">
        <f t="shared" ca="1" si="52"/>
        <v>0.76792519069226883</v>
      </c>
      <c r="S179">
        <f t="shared" ca="1" si="49"/>
        <v>0.8233461375977873</v>
      </c>
      <c r="T179">
        <f t="shared" ca="1" si="50"/>
        <v>45.155778193740282</v>
      </c>
      <c r="U179">
        <f>70</f>
        <v>70</v>
      </c>
      <c r="V179">
        <f>30</f>
        <v>30</v>
      </c>
      <c r="W179">
        <f t="shared" ca="1" si="48"/>
        <v>113.08282942035875</v>
      </c>
      <c r="X179">
        <f t="shared" ca="1" si="58"/>
        <v>114.42367953951882</v>
      </c>
      <c r="Y179">
        <f t="shared" ca="1" si="57"/>
        <v>-1.1540043091084442</v>
      </c>
      <c r="Z179">
        <f t="shared" ca="1" si="59"/>
        <v>-0.93837007131467454</v>
      </c>
      <c r="AA179">
        <f t="shared" ca="1" si="60"/>
        <v>-0.21563423779376967</v>
      </c>
      <c r="AB179">
        <f t="shared" ca="1" si="61"/>
        <v>115.3257</v>
      </c>
    </row>
    <row r="180" spans="1:28" x14ac:dyDescent="0.25">
      <c r="A180" s="20">
        <f t="shared" ca="1" si="41"/>
        <v>45551</v>
      </c>
      <c r="B180" vm="527">
        <f ca="1"/>
        <v>45552</v>
      </c>
      <c r="C180" vm="371">
        <f ca="1"/>
        <v>114.18</v>
      </c>
      <c r="D180" vm="528">
        <f ca="1"/>
        <v>12202556</v>
      </c>
      <c r="E180">
        <f t="shared" ca="1" si="42"/>
        <v>1393287844.0800002</v>
      </c>
      <c r="F180">
        <f ca="1">SUM($E$2:E180)/SUM($D$2:D180)</f>
        <v>111.64714739343007</v>
      </c>
      <c r="G180">
        <f ca="1">_xlfn.STDEV.P($C$2:C180)</f>
        <v>6.6345211825059245</v>
      </c>
      <c r="H180">
        <f t="shared" ca="1" si="43"/>
        <v>118.281668575936</v>
      </c>
      <c r="I180">
        <f t="shared" ca="1" si="44"/>
        <v>105.01262621092415</v>
      </c>
      <c r="J180">
        <f t="shared" ca="1" si="53"/>
        <v>114.43599999999999</v>
      </c>
      <c r="K180">
        <f t="shared" ca="1" si="54"/>
        <v>2.6129986806853074</v>
      </c>
      <c r="L180">
        <f t="shared" ca="1" si="55"/>
        <v>119.66199736137061</v>
      </c>
      <c r="M180">
        <f t="shared" ca="1" si="56"/>
        <v>109.21000263862938</v>
      </c>
      <c r="N180">
        <f t="shared" ca="1" si="45"/>
        <v>1.4700000000000131</v>
      </c>
      <c r="O180">
        <f t="shared" ca="1" si="46"/>
        <v>1.4700000000000131</v>
      </c>
      <c r="P180">
        <f t="shared" ca="1" si="47"/>
        <v>0</v>
      </c>
      <c r="Q180">
        <f t="shared" ca="1" si="51"/>
        <v>0.69210622259763022</v>
      </c>
      <c r="R180">
        <f t="shared" ca="1" si="52"/>
        <v>0.71307339135710668</v>
      </c>
      <c r="S180">
        <f t="shared" ca="1" si="49"/>
        <v>0.97059605783414216</v>
      </c>
      <c r="T180">
        <f t="shared" ca="1" si="50"/>
        <v>49.253932787266017</v>
      </c>
      <c r="U180">
        <f>70</f>
        <v>70</v>
      </c>
      <c r="V180">
        <f>30</f>
        <v>30</v>
      </c>
      <c r="W180">
        <f t="shared" ca="1" si="48"/>
        <v>113.25162489414971</v>
      </c>
      <c r="X180">
        <f t="shared" ca="1" si="58"/>
        <v>114.40562920325816</v>
      </c>
      <c r="Y180">
        <f t="shared" ca="1" si="57"/>
        <v>-0.9625552635226029</v>
      </c>
      <c r="Z180">
        <f t="shared" ca="1" si="59"/>
        <v>-0.94320710975626032</v>
      </c>
      <c r="AA180">
        <f t="shared" ca="1" si="60"/>
        <v>-1.934815376634258E-2</v>
      </c>
      <c r="AB180">
        <f t="shared" ca="1" si="61"/>
        <v>115.25699999999999</v>
      </c>
    </row>
    <row r="181" spans="1:28" x14ac:dyDescent="0.25">
      <c r="A181" s="20">
        <f t="shared" ca="1" si="41"/>
        <v>45551</v>
      </c>
      <c r="B181" vm="529">
        <f ca="1"/>
        <v>45553</v>
      </c>
      <c r="C181" vm="472">
        <f ca="1"/>
        <v>114.58</v>
      </c>
      <c r="D181" vm="530">
        <f ca="1"/>
        <v>12569929</v>
      </c>
      <c r="E181">
        <f t="shared" ca="1" si="42"/>
        <v>1440262464.8199999</v>
      </c>
      <c r="F181">
        <f ca="1">SUM($E$2:E181)/SUM($D$2:D181)</f>
        <v>111.65933985760462</v>
      </c>
      <c r="G181">
        <f ca="1">_xlfn.STDEV.P($C$2:C181)</f>
        <v>6.6186000533849052</v>
      </c>
      <c r="H181">
        <f t="shared" ca="1" si="43"/>
        <v>118.27793991098953</v>
      </c>
      <c r="I181">
        <f t="shared" ca="1" si="44"/>
        <v>105.04073980421971</v>
      </c>
      <c r="J181">
        <f t="shared" ca="1" si="53"/>
        <v>114.43599999999999</v>
      </c>
      <c r="K181">
        <f t="shared" ca="1" si="54"/>
        <v>2.6129986806853074</v>
      </c>
      <c r="L181">
        <f t="shared" ca="1" si="55"/>
        <v>119.66199736137061</v>
      </c>
      <c r="M181">
        <f t="shared" ca="1" si="56"/>
        <v>109.21000263862938</v>
      </c>
      <c r="N181">
        <f t="shared" ca="1" si="45"/>
        <v>0.39999999999999147</v>
      </c>
      <c r="O181">
        <f t="shared" ca="1" si="46"/>
        <v>0.39999999999999147</v>
      </c>
      <c r="P181">
        <f t="shared" ca="1" si="47"/>
        <v>0</v>
      </c>
      <c r="Q181">
        <f t="shared" ca="1" si="51"/>
        <v>0.67124149241208464</v>
      </c>
      <c r="R181">
        <f t="shared" ca="1" si="52"/>
        <v>0.66213957768874188</v>
      </c>
      <c r="S181">
        <f t="shared" ca="1" si="49"/>
        <v>1.0137462176103622</v>
      </c>
      <c r="T181">
        <f t="shared" ca="1" si="50"/>
        <v>50.341309582363216</v>
      </c>
      <c r="U181">
        <f>70</f>
        <v>70</v>
      </c>
      <c r="V181">
        <f>30</f>
        <v>30</v>
      </c>
      <c r="W181">
        <f t="shared" ca="1" si="48"/>
        <v>113.45599029504976</v>
      </c>
      <c r="X181">
        <f t="shared" ca="1" si="58"/>
        <v>114.41854555857236</v>
      </c>
      <c r="Y181">
        <f t="shared" ca="1" si="57"/>
        <v>-0.68831392850782436</v>
      </c>
      <c r="Z181">
        <f t="shared" ca="1" si="59"/>
        <v>-0.89222847350657319</v>
      </c>
      <c r="AA181">
        <f t="shared" ca="1" si="60"/>
        <v>0.20391454499874884</v>
      </c>
      <c r="AB181">
        <f t="shared" ca="1" si="61"/>
        <v>115.18950000000001</v>
      </c>
    </row>
    <row r="182" spans="1:28" x14ac:dyDescent="0.25">
      <c r="A182" s="20">
        <f t="shared" ca="1" si="41"/>
        <v>45551</v>
      </c>
      <c r="B182" vm="531">
        <f ca="1"/>
        <v>45554</v>
      </c>
      <c r="C182" vm="253">
        <f ca="1"/>
        <v>116</v>
      </c>
      <c r="D182" vm="532">
        <f ca="1"/>
        <v>12660642</v>
      </c>
      <c r="E182">
        <f t="shared" ca="1" si="42"/>
        <v>1468634472</v>
      </c>
      <c r="F182">
        <f ca="1">SUM($E$2:E182)/SUM($D$2:D182)</f>
        <v>111.67743930247821</v>
      </c>
      <c r="G182">
        <f ca="1">_xlfn.STDEV.P($C$2:C182)</f>
        <v>6.6065220389672419</v>
      </c>
      <c r="H182">
        <f t="shared" ca="1" si="43"/>
        <v>118.28396134144545</v>
      </c>
      <c r="I182">
        <f t="shared" ca="1" si="44"/>
        <v>105.07091726351096</v>
      </c>
      <c r="J182">
        <f t="shared" ca="1" si="53"/>
        <v>114.54350000000002</v>
      </c>
      <c r="K182">
        <f t="shared" ca="1" si="54"/>
        <v>2.6317800160027769</v>
      </c>
      <c r="L182">
        <f t="shared" ca="1" si="55"/>
        <v>119.80706003200558</v>
      </c>
      <c r="M182">
        <f t="shared" ca="1" si="56"/>
        <v>109.27993996799447</v>
      </c>
      <c r="N182">
        <f t="shared" ca="1" si="45"/>
        <v>1.4200000000000017</v>
      </c>
      <c r="O182">
        <f t="shared" ca="1" si="46"/>
        <v>1.4200000000000017</v>
      </c>
      <c r="P182">
        <f t="shared" ca="1" si="47"/>
        <v>0</v>
      </c>
      <c r="Q182">
        <f t="shared" ca="1" si="51"/>
        <v>0.72472424295407867</v>
      </c>
      <c r="R182">
        <f t="shared" ca="1" si="52"/>
        <v>0.61484389356811753</v>
      </c>
      <c r="S182">
        <f t="shared" ca="1" si="49"/>
        <v>1.178712597677914</v>
      </c>
      <c r="T182">
        <f t="shared" ca="1" si="50"/>
        <v>54.10133484031779</v>
      </c>
      <c r="U182">
        <f>70</f>
        <v>70</v>
      </c>
      <c r="V182">
        <f>30</f>
        <v>30</v>
      </c>
      <c r="W182">
        <f t="shared" ca="1" si="48"/>
        <v>113.84737640350363</v>
      </c>
      <c r="X182">
        <f t="shared" ca="1" si="58"/>
        <v>114.53569033201146</v>
      </c>
      <c r="Y182">
        <f t="shared" ca="1" si="57"/>
        <v>-0.5238420685559646</v>
      </c>
      <c r="Z182">
        <f t="shared" ca="1" si="59"/>
        <v>-0.81855119251645159</v>
      </c>
      <c r="AA182">
        <f t="shared" ca="1" si="60"/>
        <v>0.29470912396048699</v>
      </c>
      <c r="AB182">
        <f t="shared" ca="1" si="61"/>
        <v>115.1699</v>
      </c>
    </row>
    <row r="183" spans="1:28" x14ac:dyDescent="0.25">
      <c r="A183" s="20">
        <f t="shared" ca="1" si="41"/>
        <v>45551</v>
      </c>
      <c r="B183" vm="533">
        <f ca="1"/>
        <v>45555</v>
      </c>
      <c r="C183" vm="410">
        <f ca="1"/>
        <v>115.27</v>
      </c>
      <c r="D183" vm="534">
        <f ca="1"/>
        <v>36206195</v>
      </c>
      <c r="E183">
        <f t="shared" ca="1" si="42"/>
        <v>4173488097.6499996</v>
      </c>
      <c r="F183">
        <f ca="1">SUM($E$2:E183)/SUM($D$2:D183)</f>
        <v>111.71977363086064</v>
      </c>
      <c r="G183">
        <f ca="1">_xlfn.STDEV.P($C$2:C183)</f>
        <v>6.5923792581051748</v>
      </c>
      <c r="H183">
        <f t="shared" ca="1" si="43"/>
        <v>118.31215288896581</v>
      </c>
      <c r="I183">
        <f t="shared" ca="1" si="44"/>
        <v>105.12739437275548</v>
      </c>
      <c r="J183">
        <f t="shared" ca="1" si="53"/>
        <v>114.57050000000001</v>
      </c>
      <c r="K183">
        <f t="shared" ca="1" si="54"/>
        <v>2.6365597101645846</v>
      </c>
      <c r="L183">
        <f t="shared" ca="1" si="55"/>
        <v>119.84361942032918</v>
      </c>
      <c r="M183">
        <f t="shared" ca="1" si="56"/>
        <v>109.29738057967084</v>
      </c>
      <c r="N183">
        <f t="shared" ca="1" si="45"/>
        <v>-0.73000000000000398</v>
      </c>
      <c r="O183">
        <f t="shared" ca="1" si="46"/>
        <v>0</v>
      </c>
      <c r="P183">
        <f t="shared" ca="1" si="47"/>
        <v>0.73000000000000398</v>
      </c>
      <c r="Q183">
        <f t="shared" ca="1" si="51"/>
        <v>0.6729582256002159</v>
      </c>
      <c r="R183">
        <f t="shared" ca="1" si="52"/>
        <v>0.62306932974182361</v>
      </c>
      <c r="S183">
        <f t="shared" ca="1" si="49"/>
        <v>1.0800695740858635</v>
      </c>
      <c r="T183">
        <f t="shared" ca="1" si="50"/>
        <v>51.924684998122039</v>
      </c>
      <c r="U183">
        <f>70</f>
        <v>70</v>
      </c>
      <c r="V183">
        <f>30</f>
        <v>30</v>
      </c>
      <c r="W183">
        <f t="shared" ca="1" si="48"/>
        <v>114.06624157219538</v>
      </c>
      <c r="X183">
        <f t="shared" ca="1" si="58"/>
        <v>114.59008364075135</v>
      </c>
      <c r="Y183">
        <f t="shared" ca="1" si="57"/>
        <v>-0.22228899231382115</v>
      </c>
      <c r="Z183">
        <f t="shared" ca="1" si="59"/>
        <v>-0.69929875247592554</v>
      </c>
      <c r="AA183">
        <f t="shared" ca="1" si="60"/>
        <v>0.47700976016210439</v>
      </c>
      <c r="AB183">
        <f t="shared" ca="1" si="61"/>
        <v>115.12620000000001</v>
      </c>
    </row>
    <row r="184" spans="1:28" x14ac:dyDescent="0.25">
      <c r="A184" s="20">
        <f t="shared" ca="1" si="41"/>
        <v>45558</v>
      </c>
      <c r="B184" vm="535">
        <f ca="1"/>
        <v>45558</v>
      </c>
      <c r="C184" vm="536">
        <f ca="1"/>
        <v>117.36</v>
      </c>
      <c r="D184" vm="537">
        <f ca="1"/>
        <v>16066285</v>
      </c>
      <c r="E184">
        <f t="shared" ca="1" si="42"/>
        <v>1885539207.5999999</v>
      </c>
      <c r="F184">
        <f ca="1">SUM($E$2:E184)/SUM($D$2:D184)</f>
        <v>111.74911312711117</v>
      </c>
      <c r="G184">
        <f ca="1">_xlfn.STDEV.P($C$2:C184)</f>
        <v>6.5854728035989023</v>
      </c>
      <c r="H184">
        <f t="shared" ca="1" si="43"/>
        <v>118.33458593071008</v>
      </c>
      <c r="I184">
        <f t="shared" ca="1" si="44"/>
        <v>105.16364032351227</v>
      </c>
      <c r="J184">
        <f t="shared" ca="1" si="53"/>
        <v>114.62249999999999</v>
      </c>
      <c r="K184">
        <f t="shared" ca="1" si="54"/>
        <v>2.6827320618707851</v>
      </c>
      <c r="L184">
        <f t="shared" ca="1" si="55"/>
        <v>119.98796412374156</v>
      </c>
      <c r="M184">
        <f t="shared" ca="1" si="56"/>
        <v>109.25703587625841</v>
      </c>
      <c r="N184">
        <f t="shared" ca="1" si="45"/>
        <v>2.0900000000000034</v>
      </c>
      <c r="O184">
        <f t="shared" ca="1" si="46"/>
        <v>2.0900000000000034</v>
      </c>
      <c r="P184">
        <f t="shared" ca="1" si="47"/>
        <v>0</v>
      </c>
      <c r="Q184">
        <f t="shared" ca="1" si="51"/>
        <v>0.77417549520020068</v>
      </c>
      <c r="R184">
        <f t="shared" ca="1" si="52"/>
        <v>0.57856437761740764</v>
      </c>
      <c r="S184">
        <f t="shared" ca="1" si="49"/>
        <v>1.3380974099863205</v>
      </c>
      <c r="T184">
        <f t="shared" ca="1" si="50"/>
        <v>57.230182295704672</v>
      </c>
      <c r="U184">
        <f>70</f>
        <v>70</v>
      </c>
      <c r="V184">
        <f>30</f>
        <v>30</v>
      </c>
      <c r="W184">
        <f t="shared" ca="1" si="48"/>
        <v>114.57297363801149</v>
      </c>
      <c r="X184">
        <f t="shared" ca="1" si="58"/>
        <v>114.79526263032531</v>
      </c>
      <c r="Y184">
        <f t="shared" ca="1" si="57"/>
        <v>-8.2255964852180341E-3</v>
      </c>
      <c r="Z184">
        <f t="shared" ca="1" si="59"/>
        <v>-0.56108412127778406</v>
      </c>
      <c r="AA184">
        <f t="shared" ca="1" si="60"/>
        <v>0.55285852479256603</v>
      </c>
      <c r="AB184">
        <f t="shared" ca="1" si="61"/>
        <v>115.11710000000001</v>
      </c>
    </row>
    <row r="185" spans="1:28" x14ac:dyDescent="0.25">
      <c r="A185" s="20">
        <f t="shared" ca="1" si="41"/>
        <v>45558</v>
      </c>
      <c r="B185" vm="538">
        <f ca="1"/>
        <v>45559</v>
      </c>
      <c r="C185" vm="539">
        <f ca="1"/>
        <v>117.05</v>
      </c>
      <c r="D185" vm="540">
        <f ca="1"/>
        <v>11984863</v>
      </c>
      <c r="E185">
        <f t="shared" ca="1" si="42"/>
        <v>1402828214.1499999</v>
      </c>
      <c r="F185">
        <f ca="1">SUM($E$2:E185)/SUM($D$2:D185)</f>
        <v>111.76960304873435</v>
      </c>
      <c r="G185">
        <f ca="1">_xlfn.STDEV.P($C$2:C185)</f>
        <v>6.5772381888461844</v>
      </c>
      <c r="H185">
        <f t="shared" ca="1" si="43"/>
        <v>118.34684123758053</v>
      </c>
      <c r="I185">
        <f t="shared" ca="1" si="44"/>
        <v>105.19236485988817</v>
      </c>
      <c r="J185">
        <f t="shared" ca="1" si="53"/>
        <v>114.53450000000002</v>
      </c>
      <c r="K185">
        <f t="shared" ca="1" si="54"/>
        <v>2.5643989241351006</v>
      </c>
      <c r="L185">
        <f t="shared" ca="1" si="55"/>
        <v>119.66329784827022</v>
      </c>
      <c r="M185">
        <f t="shared" ca="1" si="56"/>
        <v>109.40570215172983</v>
      </c>
      <c r="N185">
        <f t="shared" ca="1" si="45"/>
        <v>-0.31000000000000227</v>
      </c>
      <c r="O185">
        <f t="shared" ca="1" si="46"/>
        <v>0</v>
      </c>
      <c r="P185">
        <f t="shared" ca="1" si="47"/>
        <v>0.31000000000000227</v>
      </c>
      <c r="Q185">
        <f t="shared" ca="1" si="51"/>
        <v>0.71887724554304355</v>
      </c>
      <c r="R185">
        <f t="shared" ca="1" si="52"/>
        <v>0.55938120778759293</v>
      </c>
      <c r="S185">
        <f t="shared" ca="1" si="49"/>
        <v>1.285129417175584</v>
      </c>
      <c r="T185">
        <f t="shared" ca="1" si="50"/>
        <v>56.23880238538095</v>
      </c>
      <c r="U185">
        <f>70</f>
        <v>70</v>
      </c>
      <c r="V185">
        <f>30</f>
        <v>30</v>
      </c>
      <c r="W185">
        <f t="shared" ca="1" si="48"/>
        <v>114.95405461677895</v>
      </c>
      <c r="X185">
        <f t="shared" ca="1" si="58"/>
        <v>114.96228021326417</v>
      </c>
      <c r="Y185">
        <f t="shared" ca="1" si="57"/>
        <v>-2.2298712613974203E-2</v>
      </c>
      <c r="Z185">
        <f t="shared" ca="1" si="59"/>
        <v>-0.45332703954502213</v>
      </c>
      <c r="AA185">
        <f t="shared" ca="1" si="60"/>
        <v>0.43102832693104792</v>
      </c>
      <c r="AB185">
        <f t="shared" ca="1" si="61"/>
        <v>115.12729999999999</v>
      </c>
    </row>
    <row r="186" spans="1:28" x14ac:dyDescent="0.25">
      <c r="A186" s="20">
        <f t="shared" ca="1" si="41"/>
        <v>45558</v>
      </c>
      <c r="B186" vm="541">
        <f ca="1"/>
        <v>45560</v>
      </c>
      <c r="C186" vm="440">
        <f ca="1"/>
        <v>114.77</v>
      </c>
      <c r="D186" vm="542">
        <f ca="1"/>
        <v>13816041</v>
      </c>
      <c r="E186">
        <f t="shared" ca="1" si="42"/>
        <v>1585667025.5699999</v>
      </c>
      <c r="F186">
        <f ca="1">SUM($E$2:E186)/SUM($D$2:D186)</f>
        <v>111.78291341822779</v>
      </c>
      <c r="G186">
        <f ca="1">_xlfn.STDEV.P($C$2:C186)</f>
        <v>6.5620951931219258</v>
      </c>
      <c r="H186">
        <f t="shared" ca="1" si="43"/>
        <v>118.34500861134971</v>
      </c>
      <c r="I186">
        <f t="shared" ca="1" si="44"/>
        <v>105.22081822510587</v>
      </c>
      <c r="J186">
        <f t="shared" ca="1" si="53"/>
        <v>114.38900000000001</v>
      </c>
      <c r="K186">
        <f t="shared" ca="1" si="54"/>
        <v>2.4568334347927996</v>
      </c>
      <c r="L186">
        <f t="shared" ca="1" si="55"/>
        <v>119.30266686958561</v>
      </c>
      <c r="M186">
        <f t="shared" ca="1" si="56"/>
        <v>109.47533313041441</v>
      </c>
      <c r="N186">
        <f t="shared" ca="1" si="45"/>
        <v>-2.2800000000000011</v>
      </c>
      <c r="O186">
        <f t="shared" ca="1" si="46"/>
        <v>0</v>
      </c>
      <c r="P186">
        <f t="shared" ca="1" si="47"/>
        <v>2.2800000000000011</v>
      </c>
      <c r="Q186">
        <f t="shared" ca="1" si="51"/>
        <v>0.66752887086139767</v>
      </c>
      <c r="R186">
        <f t="shared" ca="1" si="52"/>
        <v>0.68228255008847927</v>
      </c>
      <c r="S186">
        <f t="shared" ca="1" si="49"/>
        <v>0.97837599800087471</v>
      </c>
      <c r="T186">
        <f t="shared" ca="1" si="50"/>
        <v>49.453491095196867</v>
      </c>
      <c r="U186">
        <f>70</f>
        <v>70</v>
      </c>
      <c r="V186">
        <f>30</f>
        <v>30</v>
      </c>
      <c r="W186">
        <f t="shared" ca="1" si="48"/>
        <v>114.92573852188988</v>
      </c>
      <c r="X186">
        <f t="shared" ca="1" si="58"/>
        <v>114.94803723450386</v>
      </c>
      <c r="Y186">
        <f t="shared" ca="1" si="57"/>
        <v>-0.19022153906682604</v>
      </c>
      <c r="Z186">
        <f t="shared" ca="1" si="59"/>
        <v>-0.40070593944938293</v>
      </c>
      <c r="AA186">
        <f t="shared" ca="1" si="60"/>
        <v>0.21048440038255689</v>
      </c>
      <c r="AB186">
        <f t="shared" ca="1" si="61"/>
        <v>115.1126</v>
      </c>
    </row>
    <row r="187" spans="1:28" x14ac:dyDescent="0.25">
      <c r="A187" s="20">
        <f t="shared" ca="1" si="41"/>
        <v>45558</v>
      </c>
      <c r="B187" vm="543">
        <f ca="1"/>
        <v>45561</v>
      </c>
      <c r="C187" vm="544">
        <f ca="1"/>
        <v>112.8</v>
      </c>
      <c r="D187" vm="545">
        <f ca="1"/>
        <v>16887908</v>
      </c>
      <c r="E187">
        <f t="shared" ca="1" si="42"/>
        <v>1904956022.3999999</v>
      </c>
      <c r="F187">
        <f ca="1">SUM($E$2:E187)/SUM($D$2:D187)</f>
        <v>111.78839887680651</v>
      </c>
      <c r="G187">
        <f ca="1">_xlfn.STDEV.P($C$2:C187)</f>
        <v>6.5445608621839524</v>
      </c>
      <c r="H187">
        <f t="shared" ca="1" si="43"/>
        <v>118.33295973899047</v>
      </c>
      <c r="I187">
        <f t="shared" ca="1" si="44"/>
        <v>105.24383801462255</v>
      </c>
      <c r="J187">
        <f t="shared" ca="1" si="53"/>
        <v>114.20300000000002</v>
      </c>
      <c r="K187">
        <f t="shared" ca="1" si="54"/>
        <v>2.4276523205503873</v>
      </c>
      <c r="L187">
        <f t="shared" ca="1" si="55"/>
        <v>119.05830464110079</v>
      </c>
      <c r="M187">
        <f t="shared" ca="1" si="56"/>
        <v>109.34769535889924</v>
      </c>
      <c r="N187">
        <f t="shared" ca="1" si="45"/>
        <v>-1.9699999999999989</v>
      </c>
      <c r="O187">
        <f t="shared" ca="1" si="46"/>
        <v>0</v>
      </c>
      <c r="P187">
        <f t="shared" ca="1" si="47"/>
        <v>1.9699999999999989</v>
      </c>
      <c r="Q187">
        <f t="shared" ca="1" si="51"/>
        <v>0.61984823722844073</v>
      </c>
      <c r="R187">
        <f t="shared" ca="1" si="52"/>
        <v>0.77426236793930214</v>
      </c>
      <c r="S187">
        <f t="shared" ca="1" si="49"/>
        <v>0.80056614255729064</v>
      </c>
      <c r="T187">
        <f t="shared" ca="1" si="50"/>
        <v>44.461912486051212</v>
      </c>
      <c r="U187">
        <f>70</f>
        <v>70</v>
      </c>
      <c r="V187">
        <f>30</f>
        <v>30</v>
      </c>
      <c r="W187">
        <f t="shared" ca="1" si="48"/>
        <v>114.59870182621452</v>
      </c>
      <c r="X187">
        <f t="shared" ca="1" si="58"/>
        <v>114.78892336528135</v>
      </c>
      <c r="Y187">
        <f t="shared" ca="1" si="57"/>
        <v>-7.8705559346801124E-2</v>
      </c>
      <c r="Z187">
        <f t="shared" ca="1" si="59"/>
        <v>-0.33630586342886659</v>
      </c>
      <c r="AA187">
        <f t="shared" ca="1" si="60"/>
        <v>0.25760030408206547</v>
      </c>
      <c r="AB187">
        <f t="shared" ca="1" si="61"/>
        <v>115.08059999999998</v>
      </c>
    </row>
    <row r="188" spans="1:28" x14ac:dyDescent="0.25">
      <c r="A188" s="20">
        <f t="shared" ca="1" si="41"/>
        <v>45558</v>
      </c>
      <c r="B188" vm="546">
        <f ca="1"/>
        <v>45562</v>
      </c>
      <c r="C188" vm="547">
        <f ca="1"/>
        <v>115.82</v>
      </c>
      <c r="D188" vm="548">
        <f ca="1"/>
        <v>15963973</v>
      </c>
      <c r="E188">
        <f t="shared" ca="1" si="42"/>
        <v>1848947352.8599999</v>
      </c>
      <c r="F188">
        <f ca="1">SUM($E$2:E188)/SUM($D$2:D188)</f>
        <v>111.80884868274568</v>
      </c>
      <c r="G188">
        <f ca="1">_xlfn.STDEV.P($C$2:C188)</f>
        <v>6.5322584885207222</v>
      </c>
      <c r="H188">
        <f t="shared" ca="1" si="43"/>
        <v>118.3411071712664</v>
      </c>
      <c r="I188">
        <f t="shared" ca="1" si="44"/>
        <v>105.27659019422495</v>
      </c>
      <c r="J188">
        <f t="shared" ca="1" si="53"/>
        <v>114.08750000000002</v>
      </c>
      <c r="K188">
        <f t="shared" ca="1" si="54"/>
        <v>2.281538896631417</v>
      </c>
      <c r="L188">
        <f t="shared" ca="1" si="55"/>
        <v>118.65057779326285</v>
      </c>
      <c r="M188">
        <f t="shared" ca="1" si="56"/>
        <v>109.52442220673719</v>
      </c>
      <c r="N188">
        <f t="shared" ca="1" si="45"/>
        <v>3.019999999999996</v>
      </c>
      <c r="O188">
        <f t="shared" ca="1" si="46"/>
        <v>3.019999999999996</v>
      </c>
      <c r="P188">
        <f t="shared" ca="1" si="47"/>
        <v>0</v>
      </c>
      <c r="Q188">
        <f t="shared" ca="1" si="51"/>
        <v>0.79128764885498037</v>
      </c>
      <c r="R188">
        <f t="shared" ca="1" si="52"/>
        <v>0.71895791308649482</v>
      </c>
      <c r="S188">
        <f t="shared" ca="1" si="49"/>
        <v>1.1006035742175411</v>
      </c>
      <c r="T188">
        <f t="shared" ca="1" si="50"/>
        <v>52.394634938556059</v>
      </c>
      <c r="U188">
        <f>70</f>
        <v>70</v>
      </c>
      <c r="V188">
        <f>30</f>
        <v>30</v>
      </c>
      <c r="W188">
        <f t="shared" ca="1" si="48"/>
        <v>114.78659385295074</v>
      </c>
      <c r="X188">
        <f t="shared" ca="1" si="58"/>
        <v>114.86529941229755</v>
      </c>
      <c r="Y188">
        <f t="shared" ca="1" si="57"/>
        <v>0.12124235136657546</v>
      </c>
      <c r="Z188">
        <f t="shared" ca="1" si="59"/>
        <v>-0.2447962204697782</v>
      </c>
      <c r="AA188">
        <f t="shared" ca="1" si="60"/>
        <v>0.36603857183635369</v>
      </c>
      <c r="AB188">
        <f t="shared" ca="1" si="61"/>
        <v>115.07129999999998</v>
      </c>
    </row>
    <row r="189" spans="1:28" x14ac:dyDescent="0.25">
      <c r="A189" s="20">
        <f t="shared" ca="1" si="41"/>
        <v>45565</v>
      </c>
      <c r="B189" vm="549">
        <f ca="1"/>
        <v>45565</v>
      </c>
      <c r="C189" vm="550">
        <f ca="1"/>
        <v>117.22</v>
      </c>
      <c r="D189" vm="551">
        <f ca="1"/>
        <v>13250657</v>
      </c>
      <c r="E189">
        <f t="shared" ca="1" si="42"/>
        <v>1553242013.54</v>
      </c>
      <c r="F189">
        <f ca="1">SUM($E$2:E189)/SUM($D$2:D189)</f>
        <v>111.83153547473975</v>
      </c>
      <c r="G189">
        <f ca="1">_xlfn.STDEV.P($C$2:C189)</f>
        <v>6.5248476119966332</v>
      </c>
      <c r="H189">
        <f t="shared" ca="1" si="43"/>
        <v>118.35638308673639</v>
      </c>
      <c r="I189">
        <f t="shared" ca="1" si="44"/>
        <v>105.30668786274312</v>
      </c>
      <c r="J189">
        <f t="shared" ca="1" si="53"/>
        <v>114.05149999999999</v>
      </c>
      <c r="K189">
        <f t="shared" ca="1" si="54"/>
        <v>2.2224672752312196</v>
      </c>
      <c r="L189">
        <f t="shared" ca="1" si="55"/>
        <v>118.49643455046242</v>
      </c>
      <c r="M189">
        <f t="shared" ca="1" si="56"/>
        <v>109.60656544953756</v>
      </c>
      <c r="N189">
        <f t="shared" ca="1" si="45"/>
        <v>1.4000000000000057</v>
      </c>
      <c r="O189">
        <f t="shared" ca="1" si="46"/>
        <v>1.4000000000000057</v>
      </c>
      <c r="P189">
        <f t="shared" ca="1" si="47"/>
        <v>0</v>
      </c>
      <c r="Q189">
        <f t="shared" ca="1" si="51"/>
        <v>0.83476710250819652</v>
      </c>
      <c r="R189">
        <f t="shared" ca="1" si="52"/>
        <v>0.6676037764374595</v>
      </c>
      <c r="S189">
        <f t="shared" ca="1" si="49"/>
        <v>1.2503930204870504</v>
      </c>
      <c r="T189">
        <f t="shared" ca="1" si="50"/>
        <v>55.563317567365587</v>
      </c>
      <c r="U189">
        <f>70</f>
        <v>70</v>
      </c>
      <c r="V189">
        <f>30</f>
        <v>30</v>
      </c>
      <c r="W189">
        <f t="shared" ca="1" si="48"/>
        <v>115.16096402941986</v>
      </c>
      <c r="X189">
        <f t="shared" ca="1" si="58"/>
        <v>115.03972167805328</v>
      </c>
      <c r="Y189">
        <f t="shared" ca="1" si="57"/>
        <v>0.49269735433155404</v>
      </c>
      <c r="Z189">
        <f t="shared" ca="1" si="59"/>
        <v>-9.7297505509511745E-2</v>
      </c>
      <c r="AA189">
        <f t="shared" ca="1" si="60"/>
        <v>0.58999485984106581</v>
      </c>
      <c r="AB189">
        <f t="shared" ca="1" si="61"/>
        <v>115.08179999999997</v>
      </c>
    </row>
    <row r="190" spans="1:28" x14ac:dyDescent="0.25">
      <c r="A190" s="20">
        <f t="shared" ca="1" si="41"/>
        <v>45565</v>
      </c>
      <c r="B190" vm="552">
        <f ca="1"/>
        <v>45566</v>
      </c>
      <c r="C190" vm="553">
        <f ca="1"/>
        <v>119.93</v>
      </c>
      <c r="D190" vm="554">
        <f ca="1"/>
        <v>23235878</v>
      </c>
      <c r="E190">
        <f t="shared" ca="1" si="42"/>
        <v>2786678848.54</v>
      </c>
      <c r="F190">
        <f ca="1">SUM($E$2:E190)/SUM($D$2:D190)</f>
        <v>111.89064078752737</v>
      </c>
      <c r="G190">
        <f ca="1">_xlfn.STDEV.P($C$2:C190)</f>
        <v>6.531151046210014</v>
      </c>
      <c r="H190">
        <f t="shared" ca="1" si="43"/>
        <v>118.42179183373739</v>
      </c>
      <c r="I190">
        <f t="shared" ca="1" si="44"/>
        <v>105.35948974131736</v>
      </c>
      <c r="J190">
        <f t="shared" ca="1" si="53"/>
        <v>114.27449999999996</v>
      </c>
      <c r="K190">
        <f t="shared" ca="1" si="54"/>
        <v>2.5690249532704659</v>
      </c>
      <c r="L190">
        <f t="shared" ca="1" si="55"/>
        <v>119.41254990654089</v>
      </c>
      <c r="M190">
        <f t="shared" ca="1" si="56"/>
        <v>109.13645009345903</v>
      </c>
      <c r="N190">
        <f t="shared" ca="1" si="45"/>
        <v>2.710000000000008</v>
      </c>
      <c r="O190">
        <f t="shared" ca="1" si="46"/>
        <v>2.710000000000008</v>
      </c>
      <c r="P190">
        <f t="shared" ca="1" si="47"/>
        <v>0</v>
      </c>
      <c r="Q190">
        <f t="shared" ca="1" si="51"/>
        <v>0.96871230947189735</v>
      </c>
      <c r="R190">
        <f t="shared" ca="1" si="52"/>
        <v>0.61991779240621248</v>
      </c>
      <c r="S190">
        <f t="shared" ca="1" si="49"/>
        <v>1.5626464046334887</v>
      </c>
      <c r="T190">
        <f t="shared" ca="1" si="50"/>
        <v>60.977839229325099</v>
      </c>
      <c r="U190">
        <f>70</f>
        <v>70</v>
      </c>
      <c r="V190">
        <f>30</f>
        <v>30</v>
      </c>
      <c r="W190">
        <f t="shared" ca="1" si="48"/>
        <v>115.89466187104756</v>
      </c>
      <c r="X190">
        <f t="shared" ca="1" si="58"/>
        <v>115.40196451671601</v>
      </c>
      <c r="Y190">
        <f t="shared" ca="1" si="57"/>
        <v>0.90494617597840943</v>
      </c>
      <c r="Z190">
        <f t="shared" ca="1" si="59"/>
        <v>0.10315123078807248</v>
      </c>
      <c r="AA190">
        <f t="shared" ca="1" si="60"/>
        <v>0.80179494519033701</v>
      </c>
      <c r="AB190">
        <f t="shared" ca="1" si="61"/>
        <v>115.11959999999995</v>
      </c>
    </row>
    <row r="191" spans="1:28" x14ac:dyDescent="0.25">
      <c r="A191" s="20">
        <f t="shared" ca="1" si="41"/>
        <v>45565</v>
      </c>
      <c r="B191" vm="555">
        <f ca="1"/>
        <v>45567</v>
      </c>
      <c r="C191" vm="556">
        <f ca="1"/>
        <v>121.52</v>
      </c>
      <c r="D191" vm="557">
        <f ca="1"/>
        <v>17129676</v>
      </c>
      <c r="E191">
        <f t="shared" ca="1" si="42"/>
        <v>2081598227.52</v>
      </c>
      <c r="F191">
        <f ca="1">SUM($E$2:E191)/SUM($D$2:D191)</f>
        <v>111.94217324742301</v>
      </c>
      <c r="G191">
        <f ca="1">_xlfn.STDEV.P($C$2:C191)</f>
        <v>6.5478223323788276</v>
      </c>
      <c r="H191">
        <f t="shared" ca="1" si="43"/>
        <v>118.48999557980184</v>
      </c>
      <c r="I191">
        <f t="shared" ca="1" si="44"/>
        <v>105.39435091504419</v>
      </c>
      <c r="J191">
        <f t="shared" ca="1" si="53"/>
        <v>114.64749999999997</v>
      </c>
      <c r="K191">
        <f t="shared" ca="1" si="54"/>
        <v>3.0354621169037665</v>
      </c>
      <c r="L191">
        <f t="shared" ca="1" si="55"/>
        <v>120.7184242338075</v>
      </c>
      <c r="M191">
        <f t="shared" ca="1" si="56"/>
        <v>108.57657576619243</v>
      </c>
      <c r="N191">
        <f t="shared" ca="1" si="45"/>
        <v>1.5899999999999892</v>
      </c>
      <c r="O191">
        <f t="shared" ca="1" si="46"/>
        <v>1.5899999999999892</v>
      </c>
      <c r="P191">
        <f t="shared" ca="1" si="47"/>
        <v>0</v>
      </c>
      <c r="Q191">
        <f t="shared" ca="1" si="51"/>
        <v>1.0130900016524753</v>
      </c>
      <c r="R191">
        <f t="shared" ca="1" si="52"/>
        <v>0.575637950091483</v>
      </c>
      <c r="S191">
        <f t="shared" ca="1" si="49"/>
        <v>1.7599430362287101</v>
      </c>
      <c r="T191">
        <f t="shared" ca="1" si="50"/>
        <v>63.767368135016383</v>
      </c>
      <c r="U191">
        <f>70</f>
        <v>70</v>
      </c>
      <c r="V191">
        <f>30</f>
        <v>30</v>
      </c>
      <c r="W191">
        <f t="shared" ca="1" si="48"/>
        <v>116.76009850627101</v>
      </c>
      <c r="X191">
        <f t="shared" ca="1" si="58"/>
        <v>115.8551523302926</v>
      </c>
      <c r="Y191">
        <f t="shared" ca="1" si="57"/>
        <v>1.3021787721293236</v>
      </c>
      <c r="Z191">
        <f t="shared" ca="1" si="59"/>
        <v>0.34295673905632273</v>
      </c>
      <c r="AA191">
        <f t="shared" ca="1" si="60"/>
        <v>0.95922203307300091</v>
      </c>
      <c r="AB191">
        <f t="shared" ca="1" si="61"/>
        <v>115.15039999999998</v>
      </c>
    </row>
    <row r="192" spans="1:28" x14ac:dyDescent="0.25">
      <c r="A192" s="20">
        <f t="shared" ca="1" si="41"/>
        <v>45565</v>
      </c>
      <c r="B192" vm="558">
        <f ca="1"/>
        <v>45568</v>
      </c>
      <c r="C192" vm="559">
        <f ca="1"/>
        <v>122.58</v>
      </c>
      <c r="D192" vm="560">
        <f ca="1"/>
        <v>16524334</v>
      </c>
      <c r="E192">
        <f t="shared" ca="1" si="42"/>
        <v>2025552861.72</v>
      </c>
      <c r="F192">
        <f ca="1">SUM($E$2:E192)/SUM($D$2:D192)</f>
        <v>111.99680875051617</v>
      </c>
      <c r="G192">
        <f ca="1">_xlfn.STDEV.P($C$2:C192)</f>
        <v>6.5720589822724165</v>
      </c>
      <c r="H192">
        <f t="shared" ca="1" si="43"/>
        <v>118.56886773278859</v>
      </c>
      <c r="I192">
        <f t="shared" ca="1" si="44"/>
        <v>105.42474976824374</v>
      </c>
      <c r="J192">
        <f t="shared" ca="1" si="53"/>
        <v>115.11799999999998</v>
      </c>
      <c r="K192">
        <f t="shared" ca="1" si="54"/>
        <v>3.4896894749503065</v>
      </c>
      <c r="L192">
        <f t="shared" ca="1" si="55"/>
        <v>122.09737894990059</v>
      </c>
      <c r="M192">
        <f t="shared" ca="1" si="56"/>
        <v>108.13862105009937</v>
      </c>
      <c r="N192">
        <f t="shared" ca="1" si="45"/>
        <v>1.0600000000000023</v>
      </c>
      <c r="O192">
        <f t="shared" ca="1" si="46"/>
        <v>1.0600000000000023</v>
      </c>
      <c r="P192">
        <f t="shared" ca="1" si="47"/>
        <v>0</v>
      </c>
      <c r="Q192">
        <f t="shared" ca="1" si="51"/>
        <v>1.0164407158201558</v>
      </c>
      <c r="R192">
        <f t="shared" ca="1" si="52"/>
        <v>0.53452095365637708</v>
      </c>
      <c r="S192">
        <f t="shared" ca="1" si="49"/>
        <v>1.9015918999381012</v>
      </c>
      <c r="T192">
        <f t="shared" ca="1" si="50"/>
        <v>65.53615965011025</v>
      </c>
      <c r="U192">
        <f>70</f>
        <v>70</v>
      </c>
      <c r="V192">
        <f>30</f>
        <v>30</v>
      </c>
      <c r="W192">
        <f t="shared" ca="1" si="48"/>
        <v>117.6554679668447</v>
      </c>
      <c r="X192">
        <f t="shared" ca="1" si="58"/>
        <v>116.35328919471537</v>
      </c>
      <c r="Y192">
        <f t="shared" ca="1" si="57"/>
        <v>1.7780484269811438</v>
      </c>
      <c r="Z192">
        <f t="shared" ca="1" si="59"/>
        <v>0.62997507664128705</v>
      </c>
      <c r="AA192">
        <f t="shared" ca="1" si="60"/>
        <v>1.1480733503398568</v>
      </c>
      <c r="AB192">
        <f t="shared" ca="1" si="61"/>
        <v>115.19659999999998</v>
      </c>
    </row>
    <row r="193" spans="1:28" x14ac:dyDescent="0.25">
      <c r="A193" s="20">
        <f t="shared" ca="1" si="41"/>
        <v>45565</v>
      </c>
      <c r="B193" vm="561">
        <f ca="1"/>
        <v>45569</v>
      </c>
      <c r="C193" vm="562">
        <f ca="1"/>
        <v>124.83</v>
      </c>
      <c r="D193" vm="563">
        <f ca="1"/>
        <v>19759207</v>
      </c>
      <c r="E193">
        <f t="shared" ca="1" si="42"/>
        <v>2466541809.8099999</v>
      </c>
      <c r="F193">
        <f ca="1">SUM($E$2:E193)/SUM($D$2:D193)</f>
        <v>112.0751414738517</v>
      </c>
      <c r="G193">
        <f ca="1">_xlfn.STDEV.P($C$2:C193)</f>
        <v>6.615431907306129</v>
      </c>
      <c r="H193">
        <f t="shared" ca="1" si="43"/>
        <v>118.69057338115783</v>
      </c>
      <c r="I193">
        <f t="shared" ca="1" si="44"/>
        <v>105.45970956654557</v>
      </c>
      <c r="J193">
        <f t="shared" ca="1" si="53"/>
        <v>115.72749999999999</v>
      </c>
      <c r="K193">
        <f t="shared" ca="1" si="54"/>
        <v>4.0531558529645828</v>
      </c>
      <c r="L193">
        <f t="shared" ca="1" si="55"/>
        <v>123.83381170592915</v>
      </c>
      <c r="M193">
        <f t="shared" ca="1" si="56"/>
        <v>107.62118829407083</v>
      </c>
      <c r="N193">
        <f t="shared" ca="1" si="45"/>
        <v>2.25</v>
      </c>
      <c r="O193">
        <f t="shared" ca="1" si="46"/>
        <v>2.25</v>
      </c>
      <c r="P193">
        <f t="shared" ca="1" si="47"/>
        <v>0</v>
      </c>
      <c r="Q193">
        <f t="shared" ca="1" si="51"/>
        <v>1.1045520932615733</v>
      </c>
      <c r="R193">
        <f t="shared" ca="1" si="52"/>
        <v>0.49634088553806449</v>
      </c>
      <c r="S193">
        <f t="shared" ca="1" si="49"/>
        <v>2.22539010072517</v>
      </c>
      <c r="T193">
        <f t="shared" ca="1" si="50"/>
        <v>68.995998351481006</v>
      </c>
      <c r="U193">
        <f>70</f>
        <v>70</v>
      </c>
      <c r="V193">
        <f>30</f>
        <v>30</v>
      </c>
      <c r="W193">
        <f t="shared" ca="1" si="48"/>
        <v>118.75924212579167</v>
      </c>
      <c r="X193">
        <f t="shared" ca="1" si="58"/>
        <v>116.98119369881053</v>
      </c>
      <c r="Y193">
        <f t="shared" ca="1" si="57"/>
        <v>2.1736950405889104</v>
      </c>
      <c r="Z193">
        <f t="shared" ca="1" si="59"/>
        <v>0.93871906943081174</v>
      </c>
      <c r="AA193">
        <f t="shared" ca="1" si="60"/>
        <v>1.2349759711580988</v>
      </c>
      <c r="AB193">
        <f t="shared" ca="1" si="61"/>
        <v>115.26579999999998</v>
      </c>
    </row>
    <row r="194" spans="1:28" x14ac:dyDescent="0.25">
      <c r="A194" s="20">
        <f t="shared" ca="1" si="41"/>
        <v>45572</v>
      </c>
      <c r="B194" vm="564">
        <f ca="1"/>
        <v>45572</v>
      </c>
      <c r="C194" vm="565">
        <f ca="1"/>
        <v>125.37</v>
      </c>
      <c r="D194" vm="566">
        <f ca="1"/>
        <v>15714440</v>
      </c>
      <c r="E194">
        <f t="shared" ca="1" si="42"/>
        <v>1970119342.8</v>
      </c>
      <c r="F194">
        <f ca="1">SUM($E$2:E194)/SUM($D$2:D194)</f>
        <v>112.13936860554823</v>
      </c>
      <c r="G194">
        <f ca="1">_xlfn.STDEV.P($C$2:C194)</f>
        <v>6.6627292433930041</v>
      </c>
      <c r="H194">
        <f t="shared" ca="1" si="43"/>
        <v>118.80209784894123</v>
      </c>
      <c r="I194">
        <f t="shared" ca="1" si="44"/>
        <v>105.47663936215523</v>
      </c>
      <c r="J194">
        <f t="shared" ca="1" si="53"/>
        <v>116.24549999999999</v>
      </c>
      <c r="K194">
        <f t="shared" ca="1" si="54"/>
        <v>4.5838956943676319</v>
      </c>
      <c r="L194">
        <f t="shared" ca="1" si="55"/>
        <v>125.41329138873526</v>
      </c>
      <c r="M194">
        <f t="shared" ca="1" si="56"/>
        <v>107.07770861126473</v>
      </c>
      <c r="N194">
        <f t="shared" ca="1" si="45"/>
        <v>0.54000000000000625</v>
      </c>
      <c r="O194">
        <f t="shared" ca="1" si="46"/>
        <v>0.54000000000000625</v>
      </c>
      <c r="P194">
        <f t="shared" ca="1" si="47"/>
        <v>0</v>
      </c>
      <c r="Q194">
        <f t="shared" ca="1" si="51"/>
        <v>1.06422694374289</v>
      </c>
      <c r="R194">
        <f t="shared" ca="1" si="52"/>
        <v>0.46088796514248848</v>
      </c>
      <c r="S194">
        <f t="shared" ca="1" si="49"/>
        <v>2.3090794818516747</v>
      </c>
      <c r="T194">
        <f t="shared" ca="1" si="50"/>
        <v>69.780115422297868</v>
      </c>
      <c r="U194">
        <f>70</f>
        <v>70</v>
      </c>
      <c r="V194">
        <f>30</f>
        <v>30</v>
      </c>
      <c r="W194">
        <f t="shared" ca="1" si="48"/>
        <v>119.77628179874681</v>
      </c>
      <c r="X194">
        <f t="shared" ca="1" si="58"/>
        <v>117.6025867581579</v>
      </c>
      <c r="Y194">
        <f t="shared" ca="1" si="57"/>
        <v>2.1932621020697809</v>
      </c>
      <c r="Z194">
        <f t="shared" ca="1" si="59"/>
        <v>1.1896276759586055</v>
      </c>
      <c r="AA194">
        <f t="shared" ca="1" si="60"/>
        <v>1.0036344261111754</v>
      </c>
      <c r="AB194">
        <f t="shared" ca="1" si="61"/>
        <v>115.34279999999998</v>
      </c>
    </row>
    <row r="195" spans="1:28" x14ac:dyDescent="0.25">
      <c r="A195" s="20">
        <f t="shared" ref="A195:A258" ca="1" si="62">B195 - WEEKDAY(B195, 2) + 1</f>
        <v>45572</v>
      </c>
      <c r="B195" vm="567">
        <f ca="1"/>
        <v>45573</v>
      </c>
      <c r="C195" vm="568">
        <f ca="1"/>
        <v>122.04</v>
      </c>
      <c r="D195" vm="569">
        <f ca="1"/>
        <v>14818475</v>
      </c>
      <c r="E195">
        <f t="shared" ref="E195:E258" ca="1" si="63">C195*D195</f>
        <v>1808446689</v>
      </c>
      <c r="F195">
        <f ca="1">SUM($E$2:E195)/SUM($D$2:D195)</f>
        <v>112.18426674563189</v>
      </c>
      <c r="G195">
        <f ca="1">_xlfn.STDEV.P($C$2:C195)</f>
        <v>6.6801256453359281</v>
      </c>
      <c r="H195">
        <f t="shared" ref="H195:H258" ca="1" si="64">F195 + G195</f>
        <v>118.86439239096782</v>
      </c>
      <c r="I195">
        <f t="shared" ref="I195:I258" ca="1" si="65">F195 - G195</f>
        <v>105.50414110029595</v>
      </c>
      <c r="J195">
        <f t="shared" ca="1" si="53"/>
        <v>116.80649999999999</v>
      </c>
      <c r="K195">
        <f t="shared" ca="1" si="54"/>
        <v>4.5715116410450634</v>
      </c>
      <c r="L195">
        <f t="shared" ca="1" si="55"/>
        <v>125.94952328209011</v>
      </c>
      <c r="M195">
        <f t="shared" ca="1" si="56"/>
        <v>107.66347671790986</v>
      </c>
      <c r="N195">
        <f t="shared" ca="1" si="45"/>
        <v>-3.3299999999999983</v>
      </c>
      <c r="O195">
        <f t="shared" ca="1" si="46"/>
        <v>0</v>
      </c>
      <c r="P195">
        <f t="shared" ca="1" si="47"/>
        <v>3.3299999999999983</v>
      </c>
      <c r="Q195">
        <f t="shared" ca="1" si="51"/>
        <v>0.98821073347554067</v>
      </c>
      <c r="R195">
        <f t="shared" ca="1" si="52"/>
        <v>0.66582453906088201</v>
      </c>
      <c r="S195">
        <f t="shared" ca="1" si="49"/>
        <v>1.4841909174290437</v>
      </c>
      <c r="T195">
        <f t="shared" ca="1" si="50"/>
        <v>59.745444966245714</v>
      </c>
      <c r="U195">
        <f>70</f>
        <v>70</v>
      </c>
      <c r="V195">
        <f>30</f>
        <v>30</v>
      </c>
      <c r="W195">
        <f t="shared" ca="1" si="48"/>
        <v>120.12454613740115</v>
      </c>
      <c r="X195">
        <f t="shared" ca="1" si="58"/>
        <v>117.93128403533137</v>
      </c>
      <c r="Y195">
        <f t="shared" ca="1" si="57"/>
        <v>2.1875865849727774</v>
      </c>
      <c r="Z195">
        <f t="shared" ca="1" si="59"/>
        <v>1.3892194577614398</v>
      </c>
      <c r="AA195">
        <f t="shared" ca="1" si="60"/>
        <v>0.79836712721133751</v>
      </c>
      <c r="AB195">
        <f t="shared" ca="1" si="61"/>
        <v>115.37739999999999</v>
      </c>
    </row>
    <row r="196" spans="1:28" x14ac:dyDescent="0.25">
      <c r="A196" s="20">
        <f t="shared" ca="1" si="62"/>
        <v>45572</v>
      </c>
      <c r="B196" vm="570">
        <f ca="1"/>
        <v>45574</v>
      </c>
      <c r="C196" vm="571">
        <f ca="1"/>
        <v>122.09</v>
      </c>
      <c r="D196" vm="572">
        <f ca="1"/>
        <v>11144864</v>
      </c>
      <c r="E196">
        <f t="shared" ca="1" si="63"/>
        <v>1360676445.76</v>
      </c>
      <c r="F196">
        <f ca="1">SUM($E$2:E196)/SUM($D$2:D196)</f>
        <v>112.21793686409509</v>
      </c>
      <c r="G196">
        <f ca="1">_xlfn.STDEV.P($C$2:C196)</f>
        <v>6.6973081976281419</v>
      </c>
      <c r="H196">
        <f t="shared" ca="1" si="64"/>
        <v>118.91524506172324</v>
      </c>
      <c r="I196">
        <f t="shared" ca="1" si="65"/>
        <v>105.52062866646695</v>
      </c>
      <c r="J196">
        <f t="shared" ca="1" si="53"/>
        <v>117.425</v>
      </c>
      <c r="K196">
        <f t="shared" ca="1" si="54"/>
        <v>4.3957018480377066</v>
      </c>
      <c r="L196">
        <f t="shared" ca="1" si="55"/>
        <v>126.21640369607542</v>
      </c>
      <c r="M196">
        <f t="shared" ca="1" si="56"/>
        <v>108.63359630392458</v>
      </c>
      <c r="N196">
        <f t="shared" ref="N196:N259" ca="1" si="66">C196-C195</f>
        <v>4.9999999999997158E-2</v>
      </c>
      <c r="O196">
        <f t="shared" ref="O196:O259" ca="1" si="67">MAX(N196,0)</f>
        <v>4.9999999999997158E-2</v>
      </c>
      <c r="P196">
        <f t="shared" ref="P196:P259" ca="1" si="68">MAX(-N196,0)</f>
        <v>0</v>
      </c>
      <c r="Q196">
        <f t="shared" ca="1" si="51"/>
        <v>0.9211956810844304</v>
      </c>
      <c r="R196">
        <f t="shared" ca="1" si="52"/>
        <v>0.61826564341367618</v>
      </c>
      <c r="S196">
        <f t="shared" ca="1" si="49"/>
        <v>1.4899674450583476</v>
      </c>
      <c r="T196">
        <f t="shared" ca="1" si="50"/>
        <v>59.838832351618677</v>
      </c>
      <c r="U196">
        <f>70</f>
        <v>70</v>
      </c>
      <c r="V196">
        <f>30</f>
        <v>30</v>
      </c>
      <c r="W196">
        <f t="shared" ca="1" si="48"/>
        <v>120.42692365472405</v>
      </c>
      <c r="X196">
        <f t="shared" ca="1" si="58"/>
        <v>118.23933706975127</v>
      </c>
      <c r="Y196">
        <f t="shared" ca="1" si="57"/>
        <v>2.2419708768771613</v>
      </c>
      <c r="Z196">
        <f t="shared" ca="1" si="59"/>
        <v>1.5597697415845844</v>
      </c>
      <c r="AA196">
        <f t="shared" ca="1" si="60"/>
        <v>0.68220113529257698</v>
      </c>
      <c r="AB196">
        <f t="shared" ca="1" si="61"/>
        <v>115.4196</v>
      </c>
    </row>
    <row r="197" spans="1:28" x14ac:dyDescent="0.25">
      <c r="A197" s="20">
        <f t="shared" ca="1" si="62"/>
        <v>45572</v>
      </c>
      <c r="B197" vm="573">
        <f ca="1"/>
        <v>45575</v>
      </c>
      <c r="C197" vm="574">
        <f ca="1"/>
        <v>123.14</v>
      </c>
      <c r="D197" vm="575">
        <f ca="1"/>
        <v>10243320</v>
      </c>
      <c r="E197">
        <f t="shared" ca="1" si="63"/>
        <v>1261362424.8</v>
      </c>
      <c r="F197">
        <f ca="1">SUM($E$2:E197)/SUM($D$2:D197)</f>
        <v>112.25195214044787</v>
      </c>
      <c r="G197">
        <f ca="1">_xlfn.STDEV.P($C$2:C197)</f>
        <v>6.7218260454087586</v>
      </c>
      <c r="H197">
        <f t="shared" ca="1" si="64"/>
        <v>118.97377818585663</v>
      </c>
      <c r="I197">
        <f t="shared" ca="1" si="65"/>
        <v>105.53012609503911</v>
      </c>
      <c r="J197">
        <f t="shared" ca="1" si="53"/>
        <v>118.0205</v>
      </c>
      <c r="K197">
        <f t="shared" ca="1" si="54"/>
        <v>4.3183360282210073</v>
      </c>
      <c r="L197">
        <f t="shared" ca="1" si="55"/>
        <v>126.65717205644201</v>
      </c>
      <c r="M197">
        <f t="shared" ca="1" si="56"/>
        <v>109.38382794355799</v>
      </c>
      <c r="N197">
        <f t="shared" ca="1" si="66"/>
        <v>1.0499999999999972</v>
      </c>
      <c r="O197">
        <f t="shared" ca="1" si="67"/>
        <v>1.0499999999999972</v>
      </c>
      <c r="P197">
        <f t="shared" ca="1" si="68"/>
        <v>0</v>
      </c>
      <c r="Q197">
        <f t="shared" ca="1" si="51"/>
        <v>0.93039598957839942</v>
      </c>
      <c r="R197">
        <f t="shared" ca="1" si="52"/>
        <v>0.57410381174127068</v>
      </c>
      <c r="S197">
        <f t="shared" ca="1" si="49"/>
        <v>1.6206058391364551</v>
      </c>
      <c r="T197">
        <f t="shared" ca="1" si="50"/>
        <v>61.840884841746316</v>
      </c>
      <c r="U197">
        <f>70</f>
        <v>70</v>
      </c>
      <c r="V197">
        <f>30</f>
        <v>30</v>
      </c>
      <c r="W197">
        <f t="shared" ca="1" si="48"/>
        <v>120.84432001553574</v>
      </c>
      <c r="X197">
        <f t="shared" ca="1" si="58"/>
        <v>118.60234913865858</v>
      </c>
      <c r="Y197">
        <f t="shared" ca="1" si="57"/>
        <v>2.2965230044161871</v>
      </c>
      <c r="Z197">
        <f t="shared" ca="1" si="59"/>
        <v>1.707120394150905</v>
      </c>
      <c r="AA197">
        <f t="shared" ca="1" si="60"/>
        <v>0.58940261026528207</v>
      </c>
      <c r="AB197">
        <f t="shared" ca="1" si="61"/>
        <v>115.45460000000001</v>
      </c>
    </row>
    <row r="198" spans="1:28" x14ac:dyDescent="0.25">
      <c r="A198" s="20">
        <f t="shared" ca="1" si="62"/>
        <v>45572</v>
      </c>
      <c r="B198" vm="576">
        <f ca="1"/>
        <v>45576</v>
      </c>
      <c r="C198" vm="577">
        <f ca="1"/>
        <v>123.61</v>
      </c>
      <c r="D198" vm="578">
        <f ca="1"/>
        <v>8294839</v>
      </c>
      <c r="E198">
        <f t="shared" ca="1" si="63"/>
        <v>1025325048.79</v>
      </c>
      <c r="F198">
        <f ca="1">SUM($E$2:E198)/SUM($D$2:D198)</f>
        <v>112.28052451572896</v>
      </c>
      <c r="G198">
        <f ca="1">_xlfn.STDEV.P($C$2:C198)</f>
        <v>6.749341339997259</v>
      </c>
      <c r="H198">
        <f t="shared" ca="1" si="64"/>
        <v>119.02986585572621</v>
      </c>
      <c r="I198">
        <f t="shared" ca="1" si="65"/>
        <v>105.5311831757317</v>
      </c>
      <c r="J198">
        <f t="shared" ca="1" si="53"/>
        <v>118.64349999999999</v>
      </c>
      <c r="K198">
        <f t="shared" ca="1" si="54"/>
        <v>4.1712591497936042</v>
      </c>
      <c r="L198">
        <f t="shared" ca="1" si="55"/>
        <v>126.9860182995872</v>
      </c>
      <c r="M198">
        <f t="shared" ca="1" si="56"/>
        <v>110.30098170041278</v>
      </c>
      <c r="N198">
        <f t="shared" ca="1" si="66"/>
        <v>0.46999999999999886</v>
      </c>
      <c r="O198">
        <f t="shared" ca="1" si="67"/>
        <v>0.46999999999999886</v>
      </c>
      <c r="P198">
        <f t="shared" ca="1" si="68"/>
        <v>0</v>
      </c>
      <c r="Q198">
        <f t="shared" ca="1" si="51"/>
        <v>0.89751056175137089</v>
      </c>
      <c r="R198">
        <f t="shared" ca="1" si="52"/>
        <v>0.53309639661689423</v>
      </c>
      <c r="S198">
        <f t="shared" ca="1" si="49"/>
        <v>1.6835802444869277</v>
      </c>
      <c r="T198">
        <f t="shared" ca="1" si="50"/>
        <v>62.736348128423884</v>
      </c>
      <c r="U198">
        <f>70</f>
        <v>70</v>
      </c>
      <c r="V198">
        <f>30</f>
        <v>30</v>
      </c>
      <c r="W198">
        <f t="shared" ca="1" si="48"/>
        <v>121.26980924391486</v>
      </c>
      <c r="X198">
        <f t="shared" ca="1" si="58"/>
        <v>118.97328623949868</v>
      </c>
      <c r="Y198">
        <f t="shared" ca="1" si="57"/>
        <v>2.3505849504434195</v>
      </c>
      <c r="Z198">
        <f t="shared" ca="1" si="59"/>
        <v>1.8358133054094079</v>
      </c>
      <c r="AA198">
        <f t="shared" ca="1" si="60"/>
        <v>0.51477164503401163</v>
      </c>
      <c r="AB198">
        <f t="shared" ca="1" si="61"/>
        <v>115.50399999999999</v>
      </c>
    </row>
    <row r="199" spans="1:28" x14ac:dyDescent="0.25">
      <c r="A199" s="20">
        <f t="shared" ca="1" si="62"/>
        <v>45579</v>
      </c>
      <c r="B199" vm="579">
        <f ca="1"/>
        <v>45579</v>
      </c>
      <c r="C199" vm="580">
        <f ca="1"/>
        <v>124.08</v>
      </c>
      <c r="D199" vm="581">
        <f ca="1"/>
        <v>9808122</v>
      </c>
      <c r="E199">
        <f t="shared" ca="1" si="63"/>
        <v>1216991777.76</v>
      </c>
      <c r="F199">
        <f ca="1">SUM($E$2:E199)/SUM($D$2:D199)</f>
        <v>112.31551849586339</v>
      </c>
      <c r="G199">
        <f ca="1">_xlfn.STDEV.P($C$2:C199)</f>
        <v>6.779884326932355</v>
      </c>
      <c r="H199">
        <f t="shared" ca="1" si="64"/>
        <v>119.09540282279575</v>
      </c>
      <c r="I199">
        <f t="shared" ca="1" si="65"/>
        <v>105.53563416893103</v>
      </c>
      <c r="J199">
        <f t="shared" ca="1" si="53"/>
        <v>119.21199999999999</v>
      </c>
      <c r="K199">
        <f t="shared" ca="1" si="54"/>
        <v>4.0941159318170151</v>
      </c>
      <c r="L199">
        <f t="shared" ca="1" si="55"/>
        <v>127.40023186363402</v>
      </c>
      <c r="M199">
        <f t="shared" ca="1" si="56"/>
        <v>111.02376813636596</v>
      </c>
      <c r="N199">
        <f t="shared" ca="1" si="66"/>
        <v>0.46999999999999886</v>
      </c>
      <c r="O199">
        <f t="shared" ca="1" si="67"/>
        <v>0.46999999999999886</v>
      </c>
      <c r="P199">
        <f t="shared" ca="1" si="68"/>
        <v>0</v>
      </c>
      <c r="Q199">
        <f t="shared" ca="1" si="51"/>
        <v>0.86697409305484441</v>
      </c>
      <c r="R199">
        <f t="shared" ca="1" si="52"/>
        <v>0.49501808257283036</v>
      </c>
      <c r="S199">
        <f t="shared" ca="1" si="49"/>
        <v>1.7513988348643594</v>
      </c>
      <c r="T199">
        <f t="shared" ca="1" si="50"/>
        <v>63.654851222276584</v>
      </c>
      <c r="U199">
        <f>70</f>
        <v>70</v>
      </c>
      <c r="V199">
        <f>30</f>
        <v>30</v>
      </c>
      <c r="W199">
        <f t="shared" ca="1" si="48"/>
        <v>121.70214628331257</v>
      </c>
      <c r="X199">
        <f t="shared" ca="1" si="58"/>
        <v>119.35156133286915</v>
      </c>
      <c r="Y199">
        <f t="shared" ca="1" si="57"/>
        <v>2.0686040255309308</v>
      </c>
      <c r="Z199">
        <f t="shared" ca="1" si="59"/>
        <v>1.8823714494337127</v>
      </c>
      <c r="AA199">
        <f t="shared" ca="1" si="60"/>
        <v>0.18623257609721811</v>
      </c>
      <c r="AB199">
        <f t="shared" ca="1" si="61"/>
        <v>115.56630000000001</v>
      </c>
    </row>
    <row r="200" spans="1:28" x14ac:dyDescent="0.25">
      <c r="A200" s="20">
        <f t="shared" ca="1" si="62"/>
        <v>45579</v>
      </c>
      <c r="B200" vm="582">
        <f ca="1"/>
        <v>45580</v>
      </c>
      <c r="C200" vm="583">
        <f ca="1"/>
        <v>120.35</v>
      </c>
      <c r="D200" vm="584">
        <f ca="1"/>
        <v>15771317</v>
      </c>
      <c r="E200">
        <f t="shared" ca="1" si="63"/>
        <v>1898078000.9499998</v>
      </c>
      <c r="F200">
        <f ca="1">SUM($E$2:E200)/SUM($D$2:D200)</f>
        <v>112.35365180003488</v>
      </c>
      <c r="G200">
        <f ca="1">_xlfn.STDEV.P($C$2:C200)</f>
        <v>6.7837410037909782</v>
      </c>
      <c r="H200">
        <f t="shared" ca="1" si="64"/>
        <v>119.13739280382586</v>
      </c>
      <c r="I200">
        <f t="shared" ca="1" si="65"/>
        <v>105.5699107962439</v>
      </c>
      <c r="J200">
        <f t="shared" ca="1" si="53"/>
        <v>119.5205</v>
      </c>
      <c r="K200">
        <f t="shared" ca="1" si="54"/>
        <v>3.9239111463195164</v>
      </c>
      <c r="L200">
        <f t="shared" ca="1" si="55"/>
        <v>127.36832229263904</v>
      </c>
      <c r="M200">
        <f t="shared" ca="1" si="56"/>
        <v>111.67267770736096</v>
      </c>
      <c r="N200">
        <f t="shared" ca="1" si="66"/>
        <v>-3.730000000000004</v>
      </c>
      <c r="O200">
        <f t="shared" ca="1" si="67"/>
        <v>0</v>
      </c>
      <c r="P200">
        <f t="shared" ca="1" si="68"/>
        <v>3.730000000000004</v>
      </c>
      <c r="Q200">
        <f t="shared" ca="1" si="51"/>
        <v>0.80504737212235544</v>
      </c>
      <c r="R200">
        <f t="shared" ca="1" si="52"/>
        <v>0.72608821953191416</v>
      </c>
      <c r="S200">
        <f t="shared" ca="1" si="49"/>
        <v>1.1087459491373428</v>
      </c>
      <c r="T200">
        <f t="shared" ca="1" si="50"/>
        <v>52.578450694400367</v>
      </c>
      <c r="U200">
        <f>70</f>
        <v>70</v>
      </c>
      <c r="V200">
        <f>30</f>
        <v>30</v>
      </c>
      <c r="W200">
        <f t="shared" ca="1" si="48"/>
        <v>121.49412377818756</v>
      </c>
      <c r="X200">
        <f t="shared" ca="1" si="58"/>
        <v>119.42551975265663</v>
      </c>
      <c r="Y200">
        <f t="shared" ca="1" si="57"/>
        <v>1.8488343091404431</v>
      </c>
      <c r="Z200">
        <f t="shared" ca="1" si="59"/>
        <v>1.8756640213750591</v>
      </c>
      <c r="AA200">
        <f t="shared" ca="1" si="60"/>
        <v>-2.6829712234615943E-2</v>
      </c>
      <c r="AB200">
        <f t="shared" ca="1" si="61"/>
        <v>115.61499999999999</v>
      </c>
    </row>
    <row r="201" spans="1:28" x14ac:dyDescent="0.25">
      <c r="A201" s="20">
        <f t="shared" ca="1" si="62"/>
        <v>45579</v>
      </c>
      <c r="B201" vm="585">
        <f ca="1"/>
        <v>45581</v>
      </c>
      <c r="C201" vm="586">
        <f ca="1"/>
        <v>120.66</v>
      </c>
      <c r="D201" vm="587">
        <f ca="1"/>
        <v>8426770</v>
      </c>
      <c r="E201">
        <f t="shared" ca="1" si="63"/>
        <v>1016774068.1999999</v>
      </c>
      <c r="F201">
        <f ca="1">SUM($E$2:E201)/SUM($D$2:D201)</f>
        <v>112.37466295576922</v>
      </c>
      <c r="G201">
        <f ca="1">_xlfn.STDEV.P($C$2:C201)</f>
        <v>6.7890861091534251</v>
      </c>
      <c r="H201">
        <f t="shared" ca="1" si="64"/>
        <v>119.16374906492265</v>
      </c>
      <c r="I201">
        <f t="shared" ca="1" si="65"/>
        <v>105.58557684661579</v>
      </c>
      <c r="J201">
        <f t="shared" ca="1" si="53"/>
        <v>119.82449999999999</v>
      </c>
      <c r="K201">
        <f t="shared" ca="1" si="54"/>
        <v>3.7527961154598497</v>
      </c>
      <c r="L201">
        <f t="shared" ca="1" si="55"/>
        <v>127.33009223091969</v>
      </c>
      <c r="M201">
        <f t="shared" ca="1" si="56"/>
        <v>112.31890776908028</v>
      </c>
      <c r="N201">
        <f t="shared" ca="1" si="66"/>
        <v>0.31000000000000227</v>
      </c>
      <c r="O201">
        <f t="shared" ca="1" si="67"/>
        <v>0.31000000000000227</v>
      </c>
      <c r="P201">
        <f t="shared" ca="1" si="68"/>
        <v>0</v>
      </c>
      <c r="Q201">
        <f t="shared" ca="1" si="51"/>
        <v>0.76968684554218736</v>
      </c>
      <c r="R201">
        <f t="shared" ca="1" si="52"/>
        <v>0.67422477527963465</v>
      </c>
      <c r="S201">
        <f t="shared" ca="1" si="49"/>
        <v>1.141587900300697</v>
      </c>
      <c r="T201">
        <f t="shared" ca="1" si="50"/>
        <v>53.30567566899348</v>
      </c>
      <c r="U201">
        <f>70</f>
        <v>70</v>
      </c>
      <c r="V201">
        <f>30</f>
        <v>30</v>
      </c>
      <c r="W201">
        <f t="shared" ca="1" si="48"/>
        <v>121.36579704308177</v>
      </c>
      <c r="X201">
        <f t="shared" ca="1" si="58"/>
        <v>119.51696273394133</v>
      </c>
      <c r="Y201">
        <f t="shared" ca="1" si="57"/>
        <v>1.6308513768215249</v>
      </c>
      <c r="Z201">
        <f t="shared" ca="1" si="59"/>
        <v>1.8267014924643523</v>
      </c>
      <c r="AA201">
        <f t="shared" ca="1" si="60"/>
        <v>-0.19585011564282739</v>
      </c>
      <c r="AB201">
        <f t="shared" ca="1" si="61"/>
        <v>115.68650000000001</v>
      </c>
    </row>
    <row r="202" spans="1:28" x14ac:dyDescent="0.25">
      <c r="A202" s="20">
        <f t="shared" ca="1" si="62"/>
        <v>45579</v>
      </c>
      <c r="B202" vm="588">
        <f ca="1"/>
        <v>45582</v>
      </c>
      <c r="C202" vm="583">
        <f ca="1"/>
        <v>120.35</v>
      </c>
      <c r="D202" vm="589">
        <f ca="1"/>
        <v>11204857</v>
      </c>
      <c r="E202">
        <f t="shared" ca="1" si="63"/>
        <v>1348504539.95</v>
      </c>
      <c r="F202">
        <f ca="1">SUM($E$2:E202)/SUM($D$2:D202)</f>
        <v>112.40139768290643</v>
      </c>
      <c r="G202">
        <f ca="1">_xlfn.STDEV.P($C$2:C202)</f>
        <v>6.7924352721475154</v>
      </c>
      <c r="H202">
        <f t="shared" ca="1" si="64"/>
        <v>119.19383295505395</v>
      </c>
      <c r="I202">
        <f t="shared" ca="1" si="65"/>
        <v>105.60896241075892</v>
      </c>
      <c r="J202">
        <f t="shared" ca="1" si="53"/>
        <v>120.04199999999999</v>
      </c>
      <c r="K202">
        <f t="shared" ca="1" si="54"/>
        <v>3.6439518744294501</v>
      </c>
      <c r="L202">
        <f t="shared" ca="1" si="55"/>
        <v>127.32990374885888</v>
      </c>
      <c r="M202">
        <f t="shared" ca="1" si="56"/>
        <v>112.75409625114109</v>
      </c>
      <c r="N202">
        <f t="shared" ca="1" si="66"/>
        <v>-0.31000000000000227</v>
      </c>
      <c r="O202">
        <f t="shared" ca="1" si="67"/>
        <v>0</v>
      </c>
      <c r="P202">
        <f t="shared" ca="1" si="68"/>
        <v>0.31000000000000227</v>
      </c>
      <c r="Q202">
        <f t="shared" ca="1" si="51"/>
        <v>0.71470921371774543</v>
      </c>
      <c r="R202">
        <f t="shared" ca="1" si="52"/>
        <v>0.64820871990251805</v>
      </c>
      <c r="S202">
        <f t="shared" ca="1" si="49"/>
        <v>1.1025911743754824</v>
      </c>
      <c r="T202">
        <f t="shared" ca="1" si="50"/>
        <v>52.43963675929426</v>
      </c>
      <c r="U202">
        <f>70</f>
        <v>70</v>
      </c>
      <c r="V202">
        <f>30</f>
        <v>30</v>
      </c>
      <c r="W202">
        <f t="shared" ca="1" si="48"/>
        <v>121.20952057491535</v>
      </c>
      <c r="X202">
        <f t="shared" ca="1" si="58"/>
        <v>119.57866919809382</v>
      </c>
      <c r="Y202">
        <f t="shared" ca="1" si="57"/>
        <v>1.4143593201406617</v>
      </c>
      <c r="Z202">
        <f t="shared" ca="1" si="59"/>
        <v>1.7442330579996144</v>
      </c>
      <c r="AA202">
        <f t="shared" ca="1" si="60"/>
        <v>-0.32987373785895269</v>
      </c>
      <c r="AB202">
        <f t="shared" ca="1" si="61"/>
        <v>115.75580000000002</v>
      </c>
    </row>
    <row r="203" spans="1:28" x14ac:dyDescent="0.25">
      <c r="A203" s="20">
        <f t="shared" ca="1" si="62"/>
        <v>45579</v>
      </c>
      <c r="B203" vm="590">
        <f ca="1"/>
        <v>45583</v>
      </c>
      <c r="C203" vm="591">
        <f ca="1"/>
        <v>120.01</v>
      </c>
      <c r="D203" vm="592">
        <f ca="1"/>
        <v>12898640</v>
      </c>
      <c r="E203">
        <f t="shared" ca="1" si="63"/>
        <v>1547965786.4000001</v>
      </c>
      <c r="F203">
        <f ca="1">SUM($E$2:E203)/SUM($D$2:D203)</f>
        <v>112.43064570634674</v>
      </c>
      <c r="G203">
        <f ca="1">_xlfn.STDEV.P($C$2:C203)</f>
        <v>6.7937649866876946</v>
      </c>
      <c r="H203">
        <f t="shared" ca="1" si="64"/>
        <v>119.22441069303443</v>
      </c>
      <c r="I203">
        <f t="shared" ca="1" si="65"/>
        <v>105.63688071965905</v>
      </c>
      <c r="J203">
        <f t="shared" ca="1" si="53"/>
        <v>120.279</v>
      </c>
      <c r="K203">
        <f t="shared" ca="1" si="54"/>
        <v>3.4671008668702794</v>
      </c>
      <c r="L203">
        <f t="shared" ca="1" si="55"/>
        <v>127.21320173374056</v>
      </c>
      <c r="M203">
        <f t="shared" ca="1" si="56"/>
        <v>113.34479826625943</v>
      </c>
      <c r="N203">
        <f t="shared" ca="1" si="66"/>
        <v>-0.3399999999999892</v>
      </c>
      <c r="O203">
        <f t="shared" ca="1" si="67"/>
        <v>0</v>
      </c>
      <c r="P203">
        <f t="shared" ca="1" si="68"/>
        <v>0.3399999999999892</v>
      </c>
      <c r="Q203">
        <f t="shared" ca="1" si="51"/>
        <v>0.66365855559504927</v>
      </c>
      <c r="R203">
        <f t="shared" ca="1" si="52"/>
        <v>0.62619381133805174</v>
      </c>
      <c r="S203">
        <f t="shared" ca="1" si="49"/>
        <v>1.0598293109555694</v>
      </c>
      <c r="T203">
        <f t="shared" ca="1" si="50"/>
        <v>51.452288076428388</v>
      </c>
      <c r="U203">
        <f>70</f>
        <v>70</v>
      </c>
      <c r="V203">
        <f>30</f>
        <v>30</v>
      </c>
      <c r="W203">
        <f t="shared" ca="1" si="48"/>
        <v>121.0249789480053</v>
      </c>
      <c r="X203">
        <f t="shared" ca="1" si="58"/>
        <v>119.61061962786464</v>
      </c>
      <c r="Y203">
        <f t="shared" ca="1" si="57"/>
        <v>1.2342090270699941</v>
      </c>
      <c r="Z203">
        <f t="shared" ca="1" si="59"/>
        <v>1.6422282518136906</v>
      </c>
      <c r="AA203">
        <f t="shared" ca="1" si="60"/>
        <v>-0.40801922474369645</v>
      </c>
      <c r="AB203">
        <f t="shared" ca="1" si="61"/>
        <v>115.80730000000003</v>
      </c>
    </row>
    <row r="204" spans="1:28" x14ac:dyDescent="0.25">
      <c r="A204" s="20">
        <f t="shared" ca="1" si="62"/>
        <v>45586</v>
      </c>
      <c r="B204" vm="593">
        <f ca="1"/>
        <v>45586</v>
      </c>
      <c r="C204" vm="594">
        <f ca="1"/>
        <v>120.08</v>
      </c>
      <c r="D204" vm="595">
        <f ca="1"/>
        <v>10177777</v>
      </c>
      <c r="E204">
        <f t="shared" ca="1" si="63"/>
        <v>1222147462.1600001</v>
      </c>
      <c r="F204">
        <f ca="1">SUM($E$2:E204)/SUM($D$2:D204)</f>
        <v>112.45377754293678</v>
      </c>
      <c r="G204">
        <f ca="1">_xlfn.STDEV.P($C$2:C204)</f>
        <v>6.7952607311978896</v>
      </c>
      <c r="H204">
        <f t="shared" ca="1" si="64"/>
        <v>119.24903827413466</v>
      </c>
      <c r="I204">
        <f t="shared" ca="1" si="65"/>
        <v>105.65851681173889</v>
      </c>
      <c r="J204">
        <f t="shared" ca="1" si="53"/>
        <v>120.41499999999999</v>
      </c>
      <c r="K204">
        <f t="shared" ca="1" si="54"/>
        <v>3.3992576588983305</v>
      </c>
      <c r="L204">
        <f t="shared" ca="1" si="55"/>
        <v>127.21351531779665</v>
      </c>
      <c r="M204">
        <f t="shared" ca="1" si="56"/>
        <v>113.61648468220334</v>
      </c>
      <c r="N204">
        <f t="shared" ca="1" si="66"/>
        <v>6.9999999999993179E-2</v>
      </c>
      <c r="O204">
        <f t="shared" ca="1" si="67"/>
        <v>6.9999999999993179E-2</v>
      </c>
      <c r="P204">
        <f t="shared" ca="1" si="68"/>
        <v>0</v>
      </c>
      <c r="Q204">
        <f t="shared" ca="1" si="51"/>
        <v>0.62125437305254516</v>
      </c>
      <c r="R204">
        <f t="shared" ca="1" si="52"/>
        <v>0.5814656819567624</v>
      </c>
      <c r="S204">
        <f t="shared" ca="1" si="49"/>
        <v>1.068428270713905</v>
      </c>
      <c r="T204">
        <f t="shared" ca="1" si="50"/>
        <v>51.654112730974411</v>
      </c>
      <c r="U204">
        <f>70</f>
        <v>70</v>
      </c>
      <c r="V204">
        <f>30</f>
        <v>30</v>
      </c>
      <c r="W204">
        <f t="shared" ca="1" si="48"/>
        <v>120.8795975713891</v>
      </c>
      <c r="X204">
        <f t="shared" ca="1" si="58"/>
        <v>119.6453885443191</v>
      </c>
      <c r="Y204">
        <f t="shared" ca="1" si="57"/>
        <v>1.1284592643842046</v>
      </c>
      <c r="Z204">
        <f t="shared" ca="1" si="59"/>
        <v>1.5394744543277936</v>
      </c>
      <c r="AA204">
        <f t="shared" ca="1" si="60"/>
        <v>-0.41101518994358899</v>
      </c>
      <c r="AB204">
        <f t="shared" ca="1" si="61"/>
        <v>115.87180000000002</v>
      </c>
    </row>
    <row r="205" spans="1:28" x14ac:dyDescent="0.25">
      <c r="A205" s="20">
        <f t="shared" ca="1" si="62"/>
        <v>45586</v>
      </c>
      <c r="B205" vm="596">
        <f ca="1"/>
        <v>45587</v>
      </c>
      <c r="C205" vm="597">
        <f ca="1"/>
        <v>120.7</v>
      </c>
      <c r="D205" vm="598">
        <f ca="1"/>
        <v>9201408</v>
      </c>
      <c r="E205">
        <f t="shared" ca="1" si="63"/>
        <v>1110609945.6000001</v>
      </c>
      <c r="F205">
        <f ca="1">SUM($E$2:E205)/SUM($D$2:D205)</f>
        <v>112.47626063475475</v>
      </c>
      <c r="G205">
        <f ca="1">_xlfn.STDEV.P($C$2:C205)</f>
        <v>6.7998483942535639</v>
      </c>
      <c r="H205">
        <f t="shared" ca="1" si="64"/>
        <v>119.27610902900831</v>
      </c>
      <c r="I205">
        <f t="shared" ca="1" si="65"/>
        <v>105.67641224050119</v>
      </c>
      <c r="J205">
        <f t="shared" ca="1" si="53"/>
        <v>120.5975</v>
      </c>
      <c r="K205">
        <f t="shared" ca="1" si="54"/>
        <v>3.3057842050754505</v>
      </c>
      <c r="L205">
        <f t="shared" ca="1" si="55"/>
        <v>127.20906841015089</v>
      </c>
      <c r="M205">
        <f t="shared" ca="1" si="56"/>
        <v>113.9859315898491</v>
      </c>
      <c r="N205">
        <f t="shared" ca="1" si="66"/>
        <v>0.62000000000000455</v>
      </c>
      <c r="O205">
        <f t="shared" ca="1" si="67"/>
        <v>0.62000000000000455</v>
      </c>
      <c r="P205">
        <f t="shared" ca="1" si="68"/>
        <v>0</v>
      </c>
      <c r="Q205">
        <f t="shared" ca="1" si="51"/>
        <v>0.62116477497736367</v>
      </c>
      <c r="R205">
        <f t="shared" ca="1" si="52"/>
        <v>0.53993241895985078</v>
      </c>
      <c r="S205">
        <f t="shared" ca="1" si="49"/>
        <v>1.1504491176395788</v>
      </c>
      <c r="T205">
        <f t="shared" ca="1" si="50"/>
        <v>53.498085967379645</v>
      </c>
      <c r="U205">
        <f>70</f>
        <v>70</v>
      </c>
      <c r="V205">
        <f>30</f>
        <v>30</v>
      </c>
      <c r="W205">
        <f t="shared" ca="1" si="48"/>
        <v>120.85196717579078</v>
      </c>
      <c r="X205">
        <f t="shared" ca="1" si="58"/>
        <v>119.72350791140657</v>
      </c>
      <c r="Y205">
        <f t="shared" ca="1" si="57"/>
        <v>0.99844495727273852</v>
      </c>
      <c r="Z205">
        <f t="shared" ca="1" si="59"/>
        <v>1.4312685549167827</v>
      </c>
      <c r="AA205">
        <f t="shared" ca="1" si="60"/>
        <v>-0.43282359764404421</v>
      </c>
      <c r="AB205">
        <f t="shared" ca="1" si="61"/>
        <v>115.93890000000005</v>
      </c>
    </row>
    <row r="206" spans="1:28" x14ac:dyDescent="0.25">
      <c r="A206" s="20">
        <f t="shared" ca="1" si="62"/>
        <v>45586</v>
      </c>
      <c r="B206" vm="599">
        <f ca="1"/>
        <v>45588</v>
      </c>
      <c r="C206" vm="600">
        <f ca="1"/>
        <v>120.27</v>
      </c>
      <c r="D206" vm="601">
        <f ca="1"/>
        <v>8320330</v>
      </c>
      <c r="E206">
        <f t="shared" ca="1" si="63"/>
        <v>1000686089.1</v>
      </c>
      <c r="F206">
        <f ca="1">SUM($E$2:E206)/SUM($D$2:D206)</f>
        <v>112.49542805821001</v>
      </c>
      <c r="G206">
        <f ca="1">_xlfn.STDEV.P($C$2:C206)</f>
        <v>6.8018992868453925</v>
      </c>
      <c r="H206">
        <f t="shared" ca="1" si="64"/>
        <v>119.29732734505541</v>
      </c>
      <c r="I206">
        <f t="shared" ca="1" si="65"/>
        <v>105.69352877136461</v>
      </c>
      <c r="J206">
        <f t="shared" ca="1" si="53"/>
        <v>120.87249999999999</v>
      </c>
      <c r="K206">
        <f t="shared" ca="1" si="54"/>
        <v>3.0111282637995744</v>
      </c>
      <c r="L206">
        <f t="shared" ca="1" si="55"/>
        <v>126.89475652759914</v>
      </c>
      <c r="M206">
        <f t="shared" ca="1" si="56"/>
        <v>114.85024347240083</v>
      </c>
      <c r="N206">
        <f t="shared" ca="1" si="66"/>
        <v>-0.43000000000000682</v>
      </c>
      <c r="O206">
        <f t="shared" ca="1" si="67"/>
        <v>0</v>
      </c>
      <c r="P206">
        <f t="shared" ca="1" si="68"/>
        <v>0.43000000000000682</v>
      </c>
      <c r="Q206">
        <f t="shared" ca="1" si="51"/>
        <v>0.57679586247898051</v>
      </c>
      <c r="R206">
        <f t="shared" ca="1" si="52"/>
        <v>0.53208010331986189</v>
      </c>
      <c r="S206">
        <f t="shared" ca="1" si="49"/>
        <v>1.0840395250266248</v>
      </c>
      <c r="T206">
        <f t="shared" ca="1" si="50"/>
        <v>52.016265143185109</v>
      </c>
      <c r="U206">
        <f>70</f>
        <v>70</v>
      </c>
      <c r="V206">
        <f>30</f>
        <v>30</v>
      </c>
      <c r="W206">
        <f t="shared" ca="1" si="48"/>
        <v>120.76243376413066</v>
      </c>
      <c r="X206">
        <f t="shared" ca="1" si="58"/>
        <v>119.76398880685792</v>
      </c>
      <c r="Y206">
        <f t="shared" ca="1" si="57"/>
        <v>0.83095859178911269</v>
      </c>
      <c r="Z206">
        <f t="shared" ca="1" si="59"/>
        <v>1.3112065622912488</v>
      </c>
      <c r="AA206">
        <f t="shared" ca="1" si="60"/>
        <v>-0.48024797050213608</v>
      </c>
      <c r="AB206">
        <f t="shared" ca="1" si="61"/>
        <v>115.96900000000005</v>
      </c>
    </row>
    <row r="207" spans="1:28" x14ac:dyDescent="0.25">
      <c r="A207" s="20">
        <f t="shared" ca="1" si="62"/>
        <v>45586</v>
      </c>
      <c r="B207" vm="602">
        <f ca="1"/>
        <v>45589</v>
      </c>
      <c r="C207" vm="603">
        <f ca="1"/>
        <v>119.59</v>
      </c>
      <c r="D207" vm="604">
        <f ca="1"/>
        <v>9905556</v>
      </c>
      <c r="E207">
        <f t="shared" ca="1" si="63"/>
        <v>1184605442.04</v>
      </c>
      <c r="F207">
        <f ca="1">SUM($E$2:E207)/SUM($D$2:D207)</f>
        <v>112.51613961050025</v>
      </c>
      <c r="G207">
        <f ca="1">_xlfn.STDEV.P($C$2:C207)</f>
        <v>6.8004413917295796</v>
      </c>
      <c r="H207">
        <f t="shared" ca="1" si="64"/>
        <v>119.31658100222982</v>
      </c>
      <c r="I207">
        <f t="shared" ca="1" si="65"/>
        <v>105.71569821877067</v>
      </c>
      <c r="J207">
        <f t="shared" ca="1" si="53"/>
        <v>121.21199999999999</v>
      </c>
      <c r="K207">
        <f t="shared" ca="1" si="54"/>
        <v>2.3669358384117429</v>
      </c>
      <c r="L207">
        <f t="shared" ca="1" si="55"/>
        <v>125.94587167682347</v>
      </c>
      <c r="M207">
        <f t="shared" ca="1" si="56"/>
        <v>116.47812832317651</v>
      </c>
      <c r="N207">
        <f t="shared" ca="1" si="66"/>
        <v>-0.67999999999999261</v>
      </c>
      <c r="O207">
        <f t="shared" ca="1" si="67"/>
        <v>0</v>
      </c>
      <c r="P207">
        <f t="shared" ca="1" si="68"/>
        <v>0.67999999999999261</v>
      </c>
      <c r="Q207">
        <f t="shared" ca="1" si="51"/>
        <v>0.5355961580161962</v>
      </c>
      <c r="R207">
        <f t="shared" ca="1" si="52"/>
        <v>0.54264581022558545</v>
      </c>
      <c r="S207">
        <f t="shared" ca="1" si="49"/>
        <v>0.98700874110414927</v>
      </c>
      <c r="T207">
        <f t="shared" ca="1" si="50"/>
        <v>49.673095074341958</v>
      </c>
      <c r="U207">
        <f>70</f>
        <v>70</v>
      </c>
      <c r="V207">
        <f>30</f>
        <v>30</v>
      </c>
      <c r="W207">
        <f t="shared" ref="W207:W270" ca="1" si="69">C207*(2/(12+1)) + W206*(1-(2/(12+1)))</f>
        <v>120.58205933887979</v>
      </c>
      <c r="X207">
        <f t="shared" ca="1" si="58"/>
        <v>119.75110074709067</v>
      </c>
      <c r="Y207">
        <f t="shared" ca="1" si="57"/>
        <v>0.68229025881149141</v>
      </c>
      <c r="Z207">
        <f t="shared" ca="1" si="59"/>
        <v>1.1854233015952973</v>
      </c>
      <c r="AA207">
        <f t="shared" ca="1" si="60"/>
        <v>-0.50313304278380588</v>
      </c>
      <c r="AB207">
        <f t="shared" ca="1" si="61"/>
        <v>116.02040000000005</v>
      </c>
    </row>
    <row r="208" spans="1:28" x14ac:dyDescent="0.25">
      <c r="A208" s="20">
        <f t="shared" ca="1" si="62"/>
        <v>45586</v>
      </c>
      <c r="B208" vm="605">
        <f ca="1"/>
        <v>45590</v>
      </c>
      <c r="C208" vm="606">
        <f ca="1"/>
        <v>119.49</v>
      </c>
      <c r="D208" vm="607">
        <f ca="1"/>
        <v>10714583</v>
      </c>
      <c r="E208">
        <f t="shared" ca="1" si="63"/>
        <v>1280285522.6699998</v>
      </c>
      <c r="F208">
        <f ca="1">SUM($E$2:E208)/SUM($D$2:D208)</f>
        <v>112.53809225621983</v>
      </c>
      <c r="G208">
        <f ca="1">_xlfn.STDEV.P($C$2:C208)</f>
        <v>6.7983978742981472</v>
      </c>
      <c r="H208">
        <f t="shared" ca="1" si="64"/>
        <v>119.33649013051797</v>
      </c>
      <c r="I208">
        <f t="shared" ca="1" si="65"/>
        <v>105.73969438192168</v>
      </c>
      <c r="J208">
        <f t="shared" ca="1" si="53"/>
        <v>121.39549999999997</v>
      </c>
      <c r="K208">
        <f t="shared" ca="1" si="54"/>
        <v>2.0476365708581667</v>
      </c>
      <c r="L208">
        <f t="shared" ca="1" si="55"/>
        <v>125.4907731417163</v>
      </c>
      <c r="M208">
        <f t="shared" ca="1" si="56"/>
        <v>117.30022685828364</v>
      </c>
      <c r="N208">
        <f t="shared" ca="1" si="66"/>
        <v>-0.10000000000000853</v>
      </c>
      <c r="O208">
        <f t="shared" ca="1" si="67"/>
        <v>0</v>
      </c>
      <c r="P208">
        <f t="shared" ca="1" si="68"/>
        <v>0.10000000000000853</v>
      </c>
      <c r="Q208">
        <f t="shared" ca="1" si="51"/>
        <v>0.49733928958646789</v>
      </c>
      <c r="R208">
        <f t="shared" ca="1" si="52"/>
        <v>0.51102825235232996</v>
      </c>
      <c r="S208">
        <f t="shared" ref="S208:S271" ca="1" si="70">IF(R208=0,NA(),Q208/R208)</f>
        <v>0.97321290417339945</v>
      </c>
      <c r="T208">
        <f t="shared" ref="T208:T271" ca="1" si="71">100-(100/(1+S208))</f>
        <v>49.321231485716893</v>
      </c>
      <c r="U208">
        <f>70</f>
        <v>70</v>
      </c>
      <c r="V208">
        <f>30</f>
        <v>30</v>
      </c>
      <c r="W208">
        <f t="shared" ca="1" si="69"/>
        <v>120.41405020982137</v>
      </c>
      <c r="X208">
        <f t="shared" ca="1" si="58"/>
        <v>119.73175995100988</v>
      </c>
      <c r="Y208">
        <f t="shared" ca="1" si="57"/>
        <v>0.51097130552346925</v>
      </c>
      <c r="Z208">
        <f t="shared" ca="1" si="59"/>
        <v>1.0505329023809318</v>
      </c>
      <c r="AA208">
        <f t="shared" ca="1" si="60"/>
        <v>-0.53956159685746252</v>
      </c>
      <c r="AB208">
        <f t="shared" ca="1" si="61"/>
        <v>116.08860000000004</v>
      </c>
    </row>
    <row r="209" spans="1:28" x14ac:dyDescent="0.25">
      <c r="A209" s="20">
        <f t="shared" ca="1" si="62"/>
        <v>45593</v>
      </c>
      <c r="B209" vm="608">
        <f ca="1"/>
        <v>45593</v>
      </c>
      <c r="C209" vm="609">
        <f ca="1"/>
        <v>118.9</v>
      </c>
      <c r="D209" vm="610">
        <f ca="1"/>
        <v>11844545</v>
      </c>
      <c r="E209">
        <f t="shared" ca="1" si="63"/>
        <v>1408316400.5</v>
      </c>
      <c r="F209">
        <f ca="1">SUM($E$2:E209)/SUM($D$2:D209)</f>
        <v>112.56015377729497</v>
      </c>
      <c r="G209">
        <f ca="1">_xlfn.STDEV.P($C$2:C209)</f>
        <v>6.7937210013643234</v>
      </c>
      <c r="H209">
        <f t="shared" ca="1" si="64"/>
        <v>119.35387477865929</v>
      </c>
      <c r="I209">
        <f t="shared" ca="1" si="65"/>
        <v>105.76643277593065</v>
      </c>
      <c r="J209">
        <f t="shared" ca="1" si="53"/>
        <v>121.47949999999999</v>
      </c>
      <c r="K209">
        <f t="shared" ca="1" si="54"/>
        <v>1.8961886287470122</v>
      </c>
      <c r="L209">
        <f t="shared" ca="1" si="55"/>
        <v>125.27187725749401</v>
      </c>
      <c r="M209">
        <f t="shared" ca="1" si="56"/>
        <v>117.68712274250596</v>
      </c>
      <c r="N209">
        <f t="shared" ca="1" si="66"/>
        <v>-0.5899999999999892</v>
      </c>
      <c r="O209">
        <f t="shared" ca="1" si="67"/>
        <v>0</v>
      </c>
      <c r="P209">
        <f t="shared" ca="1" si="68"/>
        <v>0.5899999999999892</v>
      </c>
      <c r="Q209">
        <f t="shared" ref="Q209:Q272" ca="1" si="72">(Q208*13+O209)/14</f>
        <v>0.46181505461600592</v>
      </c>
      <c r="R209">
        <f t="shared" ref="R209:R272" ca="1" si="73">(R208*13+P209)/14</f>
        <v>0.51666909147001994</v>
      </c>
      <c r="S209">
        <f t="shared" ca="1" si="70"/>
        <v>0.89383139467866357</v>
      </c>
      <c r="T209">
        <f t="shared" ca="1" si="71"/>
        <v>47.196988981710525</v>
      </c>
      <c r="U209">
        <f>70</f>
        <v>70</v>
      </c>
      <c r="V209">
        <f>30</f>
        <v>30</v>
      </c>
      <c r="W209">
        <f t="shared" ca="1" si="69"/>
        <v>120.18111940831039</v>
      </c>
      <c r="X209">
        <f t="shared" ca="1" si="58"/>
        <v>119.67014810278692</v>
      </c>
      <c r="Y209">
        <f t="shared" ca="1" si="57"/>
        <v>0.24169325032033839</v>
      </c>
      <c r="Z209">
        <f t="shared" ca="1" si="59"/>
        <v>0.8887649719688131</v>
      </c>
      <c r="AA209">
        <f t="shared" ca="1" si="60"/>
        <v>-0.64707172164847471</v>
      </c>
      <c r="AB209">
        <f t="shared" ca="1" si="61"/>
        <v>116.14640000000004</v>
      </c>
    </row>
    <row r="210" spans="1:28" x14ac:dyDescent="0.25">
      <c r="A210" s="20">
        <f t="shared" ca="1" si="62"/>
        <v>45593</v>
      </c>
      <c r="B210" vm="611">
        <f ca="1"/>
        <v>45594</v>
      </c>
      <c r="C210" vm="612">
        <f ca="1"/>
        <v>117.28</v>
      </c>
      <c r="D210" vm="613">
        <f ca="1"/>
        <v>14731024</v>
      </c>
      <c r="E210">
        <f t="shared" ca="1" si="63"/>
        <v>1727654494.72</v>
      </c>
      <c r="F210">
        <f ca="1">SUM($E$2:E210)/SUM($D$2:D210)</f>
        <v>112.5804222711357</v>
      </c>
      <c r="G210">
        <f ca="1">_xlfn.STDEV.P($C$2:C210)</f>
        <v>6.7833812518087182</v>
      </c>
      <c r="H210">
        <f t="shared" ca="1" si="64"/>
        <v>119.36380352294442</v>
      </c>
      <c r="I210">
        <f t="shared" ca="1" si="65"/>
        <v>105.79704101932698</v>
      </c>
      <c r="J210">
        <f t="shared" ca="1" si="53"/>
        <v>121.34700000000001</v>
      </c>
      <c r="K210">
        <f t="shared" ca="1" si="54"/>
        <v>2.0925786157652224</v>
      </c>
      <c r="L210">
        <f t="shared" ca="1" si="55"/>
        <v>125.53215723153045</v>
      </c>
      <c r="M210">
        <f t="shared" ca="1" si="56"/>
        <v>117.16184276846957</v>
      </c>
      <c r="N210">
        <f t="shared" ca="1" si="66"/>
        <v>-1.6200000000000045</v>
      </c>
      <c r="O210">
        <f t="shared" ca="1" si="67"/>
        <v>0</v>
      </c>
      <c r="P210">
        <f t="shared" ca="1" si="68"/>
        <v>1.6200000000000045</v>
      </c>
      <c r="Q210">
        <f t="shared" ca="1" si="72"/>
        <v>0.42882826500057691</v>
      </c>
      <c r="R210">
        <f t="shared" ca="1" si="73"/>
        <v>0.59547844207930456</v>
      </c>
      <c r="S210">
        <f t="shared" ca="1" si="70"/>
        <v>0.72014070484766013</v>
      </c>
      <c r="T210">
        <f t="shared" ca="1" si="71"/>
        <v>41.865220840258964</v>
      </c>
      <c r="U210">
        <f>70</f>
        <v>70</v>
      </c>
      <c r="V210">
        <f>30</f>
        <v>30</v>
      </c>
      <c r="W210">
        <f t="shared" ca="1" si="69"/>
        <v>119.73479334549342</v>
      </c>
      <c r="X210">
        <f t="shared" ca="1" si="58"/>
        <v>119.49310009517308</v>
      </c>
      <c r="Y210">
        <f t="shared" ca="1" si="57"/>
        <v>-1.9099451053293137E-2</v>
      </c>
      <c r="Z210">
        <f t="shared" ca="1" si="59"/>
        <v>0.70719208736439187</v>
      </c>
      <c r="AA210">
        <f t="shared" ca="1" si="60"/>
        <v>-0.72629153841768501</v>
      </c>
      <c r="AB210">
        <f t="shared" ca="1" si="61"/>
        <v>116.17950000000005</v>
      </c>
    </row>
    <row r="211" spans="1:28" x14ac:dyDescent="0.25">
      <c r="A211" s="20">
        <f t="shared" ca="1" si="62"/>
        <v>45593</v>
      </c>
      <c r="B211" vm="614">
        <f ca="1"/>
        <v>45595</v>
      </c>
      <c r="C211" vm="615">
        <f ca="1"/>
        <v>116.69</v>
      </c>
      <c r="D211" vm="616">
        <f ca="1"/>
        <v>12303738</v>
      </c>
      <c r="E211">
        <f t="shared" ca="1" si="63"/>
        <v>1435723187.22</v>
      </c>
      <c r="F211">
        <f ca="1">SUM($E$2:E211)/SUM($D$2:D211)</f>
        <v>112.59510950661364</v>
      </c>
      <c r="G211">
        <f ca="1">_xlfn.STDEV.P($C$2:C211)</f>
        <v>6.7715009447944023</v>
      </c>
      <c r="H211">
        <f t="shared" ca="1" si="64"/>
        <v>119.36661045140804</v>
      </c>
      <c r="I211">
        <f t="shared" ca="1" si="65"/>
        <v>105.82360856181924</v>
      </c>
      <c r="J211">
        <f t="shared" ca="1" si="53"/>
        <v>121.10550000000001</v>
      </c>
      <c r="K211">
        <f t="shared" ca="1" si="54"/>
        <v>2.3361021854903168</v>
      </c>
      <c r="L211">
        <f t="shared" ca="1" si="55"/>
        <v>125.77770437098064</v>
      </c>
      <c r="M211">
        <f t="shared" ca="1" si="56"/>
        <v>116.43329562901937</v>
      </c>
      <c r="N211">
        <f t="shared" ca="1" si="66"/>
        <v>-0.59000000000000341</v>
      </c>
      <c r="O211">
        <f t="shared" ca="1" si="67"/>
        <v>0</v>
      </c>
      <c r="P211">
        <f t="shared" ca="1" si="68"/>
        <v>0.59000000000000341</v>
      </c>
      <c r="Q211">
        <f t="shared" ca="1" si="72"/>
        <v>0.39819767464339284</v>
      </c>
      <c r="R211">
        <f t="shared" ca="1" si="73"/>
        <v>0.59508712478792591</v>
      </c>
      <c r="S211">
        <f t="shared" ca="1" si="70"/>
        <v>0.66914180807608714</v>
      </c>
      <c r="T211">
        <f t="shared" ca="1" si="71"/>
        <v>40.088972958347021</v>
      </c>
      <c r="U211">
        <f>70</f>
        <v>70</v>
      </c>
      <c r="V211">
        <f>30</f>
        <v>30</v>
      </c>
      <c r="W211">
        <f t="shared" ca="1" si="69"/>
        <v>119.26636360003289</v>
      </c>
      <c r="X211">
        <f t="shared" ca="1" si="58"/>
        <v>119.28546305108618</v>
      </c>
      <c r="Y211">
        <f t="shared" ca="1" si="57"/>
        <v>-0.21602707234542606</v>
      </c>
      <c r="Z211">
        <f t="shared" ca="1" si="59"/>
        <v>0.52254825542242833</v>
      </c>
      <c r="AA211">
        <f t="shared" ca="1" si="60"/>
        <v>-0.73857532776785439</v>
      </c>
      <c r="AB211">
        <f t="shared" ca="1" si="61"/>
        <v>116.21890000000005</v>
      </c>
    </row>
    <row r="212" spans="1:28" x14ac:dyDescent="0.25">
      <c r="A212" s="20">
        <f t="shared" ca="1" si="62"/>
        <v>45593</v>
      </c>
      <c r="B212" vm="617">
        <f ca="1"/>
        <v>45596</v>
      </c>
      <c r="C212" vm="618">
        <f ca="1"/>
        <v>116.78</v>
      </c>
      <c r="D212" vm="619">
        <f ca="1"/>
        <v>20511977</v>
      </c>
      <c r="E212">
        <f t="shared" ca="1" si="63"/>
        <v>2395388674.0599999</v>
      </c>
      <c r="F212">
        <f ca="1">SUM($E$2:E212)/SUM($D$2:D212)</f>
        <v>112.61989613631528</v>
      </c>
      <c r="G212">
        <f ca="1">_xlfn.STDEV.P($C$2:C212)</f>
        <v>6.7598937624833333</v>
      </c>
      <c r="H212">
        <f t="shared" ca="1" si="64"/>
        <v>119.37978989879861</v>
      </c>
      <c r="I212">
        <f t="shared" ca="1" si="65"/>
        <v>105.86000237383195</v>
      </c>
      <c r="J212">
        <f t="shared" ca="1" si="53"/>
        <v>120.81550000000001</v>
      </c>
      <c r="K212">
        <f t="shared" ca="1" si="54"/>
        <v>2.4978295314975067</v>
      </c>
      <c r="L212">
        <f t="shared" ca="1" si="55"/>
        <v>125.81115906299503</v>
      </c>
      <c r="M212">
        <f t="shared" ca="1" si="56"/>
        <v>115.819840937005</v>
      </c>
      <c r="N212">
        <f t="shared" ca="1" si="66"/>
        <v>9.0000000000003411E-2</v>
      </c>
      <c r="O212">
        <f t="shared" ca="1" si="67"/>
        <v>9.0000000000003411E-2</v>
      </c>
      <c r="P212">
        <f t="shared" ca="1" si="68"/>
        <v>0</v>
      </c>
      <c r="Q212">
        <f t="shared" ca="1" si="72"/>
        <v>0.37618355502600792</v>
      </c>
      <c r="R212">
        <f t="shared" ca="1" si="73"/>
        <v>0.55258090158878836</v>
      </c>
      <c r="S212">
        <f t="shared" ca="1" si="70"/>
        <v>0.68077552797137886</v>
      </c>
      <c r="T212">
        <f t="shared" ca="1" si="71"/>
        <v>40.503655404421821</v>
      </c>
      <c r="U212">
        <f>70</f>
        <v>70</v>
      </c>
      <c r="V212">
        <f>30</f>
        <v>30</v>
      </c>
      <c r="W212">
        <f t="shared" ca="1" si="69"/>
        <v>118.88384612310475</v>
      </c>
      <c r="X212">
        <f t="shared" ca="1" si="58"/>
        <v>119.09987319545017</v>
      </c>
      <c r="Y212">
        <f t="shared" ca="1" si="57"/>
        <v>-0.51383615372989766</v>
      </c>
      <c r="Z212">
        <f t="shared" ca="1" si="59"/>
        <v>0.31527137359196317</v>
      </c>
      <c r="AA212">
        <f t="shared" ca="1" si="60"/>
        <v>-0.82910752732186088</v>
      </c>
      <c r="AB212">
        <f t="shared" ca="1" si="61"/>
        <v>116.25590000000005</v>
      </c>
    </row>
    <row r="213" spans="1:28" x14ac:dyDescent="0.25">
      <c r="A213" s="20">
        <f t="shared" ca="1" si="62"/>
        <v>45593</v>
      </c>
      <c r="B213" vm="620">
        <f ca="1"/>
        <v>45597</v>
      </c>
      <c r="C213" vm="621">
        <f ca="1"/>
        <v>114.95</v>
      </c>
      <c r="D213" vm="622">
        <f ca="1"/>
        <v>20939321</v>
      </c>
      <c r="E213">
        <f t="shared" ca="1" si="63"/>
        <v>2406974948.9500003</v>
      </c>
      <c r="F213">
        <f ca="1">SUM($E$2:E213)/SUM($D$2:D213)</f>
        <v>112.63389993225101</v>
      </c>
      <c r="G213">
        <f ca="1">_xlfn.STDEV.P($C$2:C213)</f>
        <v>6.7449699538116024</v>
      </c>
      <c r="H213">
        <f t="shared" ca="1" si="64"/>
        <v>119.37886988606262</v>
      </c>
      <c r="I213">
        <f t="shared" ca="1" si="65"/>
        <v>105.88892997843941</v>
      </c>
      <c r="J213">
        <f t="shared" ca="1" si="53"/>
        <v>120.32150000000001</v>
      </c>
      <c r="K213">
        <f t="shared" ca="1" si="54"/>
        <v>2.635297396579948</v>
      </c>
      <c r="L213">
        <f t="shared" ca="1" si="55"/>
        <v>125.59209479315992</v>
      </c>
      <c r="M213">
        <f t="shared" ca="1" si="56"/>
        <v>115.05090520684011</v>
      </c>
      <c r="N213">
        <f t="shared" ca="1" si="66"/>
        <v>-1.8299999999999983</v>
      </c>
      <c r="O213">
        <f t="shared" ca="1" si="67"/>
        <v>0</v>
      </c>
      <c r="P213">
        <f t="shared" ca="1" si="68"/>
        <v>1.8299999999999983</v>
      </c>
      <c r="Q213">
        <f t="shared" ca="1" si="72"/>
        <v>0.34931330109557879</v>
      </c>
      <c r="R213">
        <f t="shared" ca="1" si="73"/>
        <v>0.64382512290387484</v>
      </c>
      <c r="S213">
        <f t="shared" ca="1" si="70"/>
        <v>0.54255928926795294</v>
      </c>
      <c r="T213">
        <f t="shared" ca="1" si="71"/>
        <v>35.172670058305087</v>
      </c>
      <c r="U213">
        <f>70</f>
        <v>70</v>
      </c>
      <c r="V213">
        <f>30</f>
        <v>30</v>
      </c>
      <c r="W213">
        <f t="shared" ca="1" si="69"/>
        <v>118.27863902724248</v>
      </c>
      <c r="X213">
        <f t="shared" ca="1" si="58"/>
        <v>118.79247518097237</v>
      </c>
      <c r="Y213">
        <f t="shared" ca="1" si="57"/>
        <v>-0.44934086246441041</v>
      </c>
      <c r="Z213">
        <f t="shared" ca="1" si="59"/>
        <v>0.16234892638068843</v>
      </c>
      <c r="AA213">
        <f t="shared" ca="1" si="60"/>
        <v>-0.61168978884509884</v>
      </c>
      <c r="AB213">
        <f t="shared" ca="1" si="61"/>
        <v>116.28370000000007</v>
      </c>
    </row>
    <row r="214" spans="1:28" x14ac:dyDescent="0.25">
      <c r="A214" s="20">
        <f t="shared" ca="1" si="62"/>
        <v>45600</v>
      </c>
      <c r="B214" vm="623">
        <f ca="1"/>
        <v>45600</v>
      </c>
      <c r="C214" vm="624">
        <f ca="1"/>
        <v>118.61</v>
      </c>
      <c r="D214" vm="625">
        <f ca="1"/>
        <v>14825392</v>
      </c>
      <c r="E214">
        <f t="shared" ca="1" si="63"/>
        <v>1758439745.1199999</v>
      </c>
      <c r="F214">
        <f ca="1">SUM($E$2:E214)/SUM($D$2:D214)</f>
        <v>112.65922134200365</v>
      </c>
      <c r="G214">
        <f ca="1">_xlfn.STDEV.P($C$2:C214)</f>
        <v>6.7391563987576149</v>
      </c>
      <c r="H214">
        <f t="shared" ca="1" si="64"/>
        <v>119.39837774076126</v>
      </c>
      <c r="I214">
        <f t="shared" ca="1" si="65"/>
        <v>105.92006494324603</v>
      </c>
      <c r="J214">
        <f t="shared" ref="J214:J277" ca="1" si="74">AVERAGE(C195:C214)</f>
        <v>119.98350000000001</v>
      </c>
      <c r="K214">
        <f t="shared" ref="K214:K277" ca="1" si="75">_xlfn.STDEV.S(C195:C214)</f>
        <v>2.3742927478791613</v>
      </c>
      <c r="L214">
        <f t="shared" ref="L214:L277" ca="1" si="76">J214 + 2*K214</f>
        <v>124.73208549575833</v>
      </c>
      <c r="M214">
        <f t="shared" ref="M214:M277" ca="1" si="77">J214-2*K214</f>
        <v>115.23491450424169</v>
      </c>
      <c r="N214">
        <f t="shared" ca="1" si="66"/>
        <v>3.6599999999999966</v>
      </c>
      <c r="O214">
        <f t="shared" ca="1" si="67"/>
        <v>3.6599999999999966</v>
      </c>
      <c r="P214">
        <f t="shared" ca="1" si="68"/>
        <v>0</v>
      </c>
      <c r="Q214">
        <f t="shared" ca="1" si="72"/>
        <v>0.58579092244589426</v>
      </c>
      <c r="R214">
        <f t="shared" ca="1" si="73"/>
        <v>0.59783761412502667</v>
      </c>
      <c r="S214">
        <f t="shared" ca="1" si="70"/>
        <v>0.97984955881913938</v>
      </c>
      <c r="T214">
        <f t="shared" ca="1" si="71"/>
        <v>49.491111809705401</v>
      </c>
      <c r="U214">
        <f>70</f>
        <v>70</v>
      </c>
      <c r="V214">
        <f>30</f>
        <v>30</v>
      </c>
      <c r="W214">
        <f t="shared" ca="1" si="69"/>
        <v>118.32961763843593</v>
      </c>
      <c r="X214">
        <f t="shared" ca="1" si="58"/>
        <v>118.77895850090034</v>
      </c>
      <c r="Y214">
        <f t="shared" ca="1" si="57"/>
        <v>-0.36576944210011675</v>
      </c>
      <c r="Z214">
        <f t="shared" ca="1" si="59"/>
        <v>5.6725252684527411E-2</v>
      </c>
      <c r="AA214">
        <f t="shared" ca="1" si="60"/>
        <v>-0.42249469478464419</v>
      </c>
      <c r="AB214">
        <f t="shared" ca="1" si="61"/>
        <v>116.36050000000006</v>
      </c>
    </row>
    <row r="215" spans="1:28" x14ac:dyDescent="0.25">
      <c r="A215" s="20">
        <f t="shared" ca="1" si="62"/>
        <v>45600</v>
      </c>
      <c r="B215" vm="626">
        <f ca="1"/>
        <v>45601</v>
      </c>
      <c r="C215" vm="627">
        <f ca="1"/>
        <v>118.96</v>
      </c>
      <c r="D215" vm="628">
        <f ca="1"/>
        <v>10436744</v>
      </c>
      <c r="E215">
        <f t="shared" ca="1" si="63"/>
        <v>1241555066.24</v>
      </c>
      <c r="F215">
        <f ca="1">SUM($E$2:E215)/SUM($D$2:D215)</f>
        <v>112.67795961619234</v>
      </c>
      <c r="G215">
        <f ca="1">_xlfn.STDEV.P($C$2:C215)</f>
        <v>6.7346353498850284</v>
      </c>
      <c r="H215">
        <f t="shared" ca="1" si="64"/>
        <v>119.41259496607736</v>
      </c>
      <c r="I215">
        <f t="shared" ca="1" si="65"/>
        <v>105.94332426630731</v>
      </c>
      <c r="J215">
        <f t="shared" ca="1" si="74"/>
        <v>119.82950000000001</v>
      </c>
      <c r="K215">
        <f t="shared" ca="1" si="75"/>
        <v>2.3334196161991856</v>
      </c>
      <c r="L215">
        <f t="shared" ca="1" si="76"/>
        <v>124.49633923239838</v>
      </c>
      <c r="M215">
        <f t="shared" ca="1" si="77"/>
        <v>115.16266076760164</v>
      </c>
      <c r="N215">
        <f t="shared" ca="1" si="66"/>
        <v>0.34999999999999432</v>
      </c>
      <c r="O215">
        <f t="shared" ca="1" si="67"/>
        <v>0.34999999999999432</v>
      </c>
      <c r="P215">
        <f t="shared" ca="1" si="68"/>
        <v>0</v>
      </c>
      <c r="Q215">
        <f t="shared" ca="1" si="72"/>
        <v>0.56894871369975852</v>
      </c>
      <c r="R215">
        <f t="shared" ca="1" si="73"/>
        <v>0.55513492740181047</v>
      </c>
      <c r="S215">
        <f t="shared" ca="1" si="70"/>
        <v>1.0248836555152465</v>
      </c>
      <c r="T215">
        <f t="shared" ca="1" si="71"/>
        <v>50.614446549742993</v>
      </c>
      <c r="U215">
        <f>70</f>
        <v>70</v>
      </c>
      <c r="V215">
        <f>30</f>
        <v>30</v>
      </c>
      <c r="W215">
        <f t="shared" ca="1" si="69"/>
        <v>118.42659954021502</v>
      </c>
      <c r="X215">
        <f t="shared" ca="1" si="58"/>
        <v>118.79236898231514</v>
      </c>
      <c r="Y215">
        <f t="shared" ca="1" si="57"/>
        <v>-0.13338990258849037</v>
      </c>
      <c r="Z215">
        <f t="shared" ca="1" si="59"/>
        <v>1.8702221629923854E-2</v>
      </c>
      <c r="AA215">
        <f t="shared" ca="1" si="60"/>
        <v>-0.15209212421841423</v>
      </c>
      <c r="AB215">
        <f t="shared" ca="1" si="61"/>
        <v>116.44970000000006</v>
      </c>
    </row>
    <row r="216" spans="1:28" x14ac:dyDescent="0.25">
      <c r="A216" s="20">
        <f t="shared" ca="1" si="62"/>
        <v>45600</v>
      </c>
      <c r="B216" vm="629">
        <f ca="1"/>
        <v>45602</v>
      </c>
      <c r="C216" vm="630">
        <f ca="1"/>
        <v>121</v>
      </c>
      <c r="D216" vm="631">
        <f ca="1"/>
        <v>20807681</v>
      </c>
      <c r="E216">
        <f t="shared" ca="1" si="63"/>
        <v>2517729401</v>
      </c>
      <c r="F216">
        <f ca="1">SUM($E$2:E216)/SUM($D$2:D216)</f>
        <v>112.72701158376923</v>
      </c>
      <c r="G216">
        <f ca="1">_xlfn.STDEV.P($C$2:C216)</f>
        <v>6.7394406673241756</v>
      </c>
      <c r="H216">
        <f t="shared" ca="1" si="64"/>
        <v>119.4664522510934</v>
      </c>
      <c r="I216">
        <f t="shared" ca="1" si="65"/>
        <v>105.98757091644505</v>
      </c>
      <c r="J216">
        <f t="shared" ca="1" si="74"/>
        <v>119.77500000000001</v>
      </c>
      <c r="K216">
        <f t="shared" ca="1" si="75"/>
        <v>2.2901723676798231</v>
      </c>
      <c r="L216">
        <f t="shared" ca="1" si="76"/>
        <v>124.35534473535965</v>
      </c>
      <c r="M216">
        <f t="shared" ca="1" si="77"/>
        <v>115.19465526464036</v>
      </c>
      <c r="N216">
        <f t="shared" ca="1" si="66"/>
        <v>2.0400000000000063</v>
      </c>
      <c r="O216">
        <f t="shared" ca="1" si="67"/>
        <v>2.0400000000000063</v>
      </c>
      <c r="P216">
        <f t="shared" ca="1" si="68"/>
        <v>0</v>
      </c>
      <c r="Q216">
        <f t="shared" ca="1" si="72"/>
        <v>0.67402380557834773</v>
      </c>
      <c r="R216">
        <f t="shared" ca="1" si="73"/>
        <v>0.51548243258739546</v>
      </c>
      <c r="S216">
        <f t="shared" ca="1" si="70"/>
        <v>1.3075592163154328</v>
      </c>
      <c r="T216">
        <f t="shared" ca="1" si="71"/>
        <v>56.664167362225356</v>
      </c>
      <c r="U216">
        <f>70</f>
        <v>70</v>
      </c>
      <c r="V216">
        <f>30</f>
        <v>30</v>
      </c>
      <c r="W216">
        <f t="shared" ca="1" si="69"/>
        <v>118.82250730325886</v>
      </c>
      <c r="X216">
        <f t="shared" ca="1" si="58"/>
        <v>118.95589720584735</v>
      </c>
      <c r="Y216">
        <f t="shared" ca="1" si="57"/>
        <v>6.2159764009933838E-2</v>
      </c>
      <c r="Z216">
        <f t="shared" ca="1" si="59"/>
        <v>2.7393730105925853E-2</v>
      </c>
      <c r="AA216">
        <f t="shared" ca="1" si="60"/>
        <v>3.4766033904007981E-2</v>
      </c>
      <c r="AB216">
        <f t="shared" ca="1" si="61"/>
        <v>116.56860000000007</v>
      </c>
    </row>
    <row r="217" spans="1:28" x14ac:dyDescent="0.25">
      <c r="A217" s="20">
        <f t="shared" ca="1" si="62"/>
        <v>45600</v>
      </c>
      <c r="B217" vm="632">
        <f ca="1"/>
        <v>45603</v>
      </c>
      <c r="C217" vm="633">
        <f ca="1"/>
        <v>121.15</v>
      </c>
      <c r="D217" vm="634">
        <f ca="1"/>
        <v>12184431</v>
      </c>
      <c r="E217">
        <f t="shared" ca="1" si="63"/>
        <v>1476143815.6500001</v>
      </c>
      <c r="F217">
        <f ca="1">SUM($E$2:E217)/SUM($D$2:D217)</f>
        <v>112.75598355206243</v>
      </c>
      <c r="G217">
        <f ca="1">_xlfn.STDEV.P($C$2:C217)</f>
        <v>6.7448046529340955</v>
      </c>
      <c r="H217">
        <f t="shared" ca="1" si="64"/>
        <v>119.50078820499652</v>
      </c>
      <c r="I217">
        <f t="shared" ca="1" si="65"/>
        <v>106.01117889912834</v>
      </c>
      <c r="J217">
        <f t="shared" ca="1" si="74"/>
        <v>119.67550000000001</v>
      </c>
      <c r="K217">
        <f t="shared" ca="1" si="75"/>
        <v>2.1766983085204497</v>
      </c>
      <c r="L217">
        <f t="shared" ca="1" si="76"/>
        <v>124.02889661704091</v>
      </c>
      <c r="M217">
        <f t="shared" ca="1" si="77"/>
        <v>115.32210338295911</v>
      </c>
      <c r="N217">
        <f t="shared" ca="1" si="66"/>
        <v>0.15000000000000568</v>
      </c>
      <c r="O217">
        <f t="shared" ca="1" si="67"/>
        <v>0.15000000000000568</v>
      </c>
      <c r="P217">
        <f t="shared" ca="1" si="68"/>
        <v>0</v>
      </c>
      <c r="Q217">
        <f t="shared" ca="1" si="72"/>
        <v>0.63659353375132333</v>
      </c>
      <c r="R217">
        <f t="shared" ca="1" si="73"/>
        <v>0.47866225883115293</v>
      </c>
      <c r="S217">
        <f t="shared" ca="1" si="70"/>
        <v>1.329943027691014</v>
      </c>
      <c r="T217">
        <f t="shared" ca="1" si="71"/>
        <v>57.080495612332406</v>
      </c>
      <c r="U217">
        <f>70</f>
        <v>70</v>
      </c>
      <c r="V217">
        <f>30</f>
        <v>30</v>
      </c>
      <c r="W217">
        <f t="shared" ca="1" si="69"/>
        <v>119.1805831027575</v>
      </c>
      <c r="X217">
        <f t="shared" ca="1" si="58"/>
        <v>119.11842333874756</v>
      </c>
      <c r="Y217">
        <f t="shared" ca="1" si="57"/>
        <v>0.21146893568665348</v>
      </c>
      <c r="Z217">
        <f t="shared" ca="1" si="59"/>
        <v>6.4208771222071387E-2</v>
      </c>
      <c r="AA217">
        <f t="shared" ca="1" si="60"/>
        <v>0.14726016446458209</v>
      </c>
      <c r="AB217">
        <f t="shared" ca="1" si="61"/>
        <v>116.69650000000007</v>
      </c>
    </row>
    <row r="218" spans="1:28" x14ac:dyDescent="0.25">
      <c r="A218" s="20">
        <f t="shared" ca="1" si="62"/>
        <v>45600</v>
      </c>
      <c r="B218" vm="635">
        <f ca="1"/>
        <v>45604</v>
      </c>
      <c r="C218" vm="636">
        <f ca="1"/>
        <v>121.11</v>
      </c>
      <c r="D218" vm="637">
        <f ca="1"/>
        <v>12835969</v>
      </c>
      <c r="E218">
        <f t="shared" ca="1" si="63"/>
        <v>1554564205.5899999</v>
      </c>
      <c r="F218">
        <f ca="1">SUM($E$2:E218)/SUM($D$2:D218)</f>
        <v>112.78614552066905</v>
      </c>
      <c r="G218">
        <f ca="1">_xlfn.STDEV.P($C$2:C218)</f>
        <v>6.749711600151012</v>
      </c>
      <c r="H218">
        <f t="shared" ca="1" si="64"/>
        <v>119.53585712082007</v>
      </c>
      <c r="I218">
        <f t="shared" ca="1" si="65"/>
        <v>106.03643392051804</v>
      </c>
      <c r="J218">
        <f t="shared" ca="1" si="74"/>
        <v>119.55050000000001</v>
      </c>
      <c r="K218">
        <f t="shared" ca="1" si="75"/>
        <v>2.0037766316318</v>
      </c>
      <c r="L218">
        <f t="shared" ca="1" si="76"/>
        <v>123.55805326326362</v>
      </c>
      <c r="M218">
        <f t="shared" ca="1" si="77"/>
        <v>115.54294673673641</v>
      </c>
      <c r="N218">
        <f t="shared" ca="1" si="66"/>
        <v>-4.0000000000006253E-2</v>
      </c>
      <c r="O218">
        <f t="shared" ca="1" si="67"/>
        <v>0</v>
      </c>
      <c r="P218">
        <f t="shared" ca="1" si="68"/>
        <v>4.0000000000006253E-2</v>
      </c>
      <c r="Q218">
        <f t="shared" ca="1" si="72"/>
        <v>0.59112256705480015</v>
      </c>
      <c r="R218">
        <f t="shared" ca="1" si="73"/>
        <v>0.44732924034321392</v>
      </c>
      <c r="S218">
        <f t="shared" ca="1" si="70"/>
        <v>1.3214485299491279</v>
      </c>
      <c r="T218">
        <f t="shared" ca="1" si="71"/>
        <v>56.923447274451789</v>
      </c>
      <c r="U218">
        <f>70</f>
        <v>70</v>
      </c>
      <c r="V218">
        <f>30</f>
        <v>30</v>
      </c>
      <c r="W218">
        <f t="shared" ca="1" si="69"/>
        <v>119.47741647156403</v>
      </c>
      <c r="X218">
        <f t="shared" ca="1" si="58"/>
        <v>119.26594753587737</v>
      </c>
      <c r="Y218">
        <f t="shared" ca="1" si="57"/>
        <v>0.27498502249108014</v>
      </c>
      <c r="Z218">
        <f t="shared" ca="1" si="59"/>
        <v>0.10636402147587315</v>
      </c>
      <c r="AA218">
        <f t="shared" ca="1" si="60"/>
        <v>0.16862100101520699</v>
      </c>
      <c r="AB218">
        <f t="shared" ca="1" si="61"/>
        <v>116.81380000000007</v>
      </c>
    </row>
    <row r="219" spans="1:28" x14ac:dyDescent="0.25">
      <c r="A219" s="20">
        <f t="shared" ca="1" si="62"/>
        <v>45607</v>
      </c>
      <c r="B219" vm="638">
        <f ca="1"/>
        <v>45607</v>
      </c>
      <c r="C219" vm="639">
        <f ca="1"/>
        <v>120.47</v>
      </c>
      <c r="D219" vm="640">
        <f ca="1"/>
        <v>11969663</v>
      </c>
      <c r="E219">
        <f t="shared" ca="1" si="63"/>
        <v>1441985301.6099999</v>
      </c>
      <c r="F219">
        <f ca="1">SUM($E$2:E219)/SUM($D$2:D219)</f>
        <v>112.81192873298451</v>
      </c>
      <c r="G219">
        <f ca="1">_xlfn.STDEV.P($C$2:C219)</f>
        <v>6.7511814874989406</v>
      </c>
      <c r="H219">
        <f t="shared" ca="1" si="64"/>
        <v>119.56311022048345</v>
      </c>
      <c r="I219">
        <f t="shared" ca="1" si="65"/>
        <v>106.06074724548557</v>
      </c>
      <c r="J219">
        <f t="shared" ca="1" si="74"/>
        <v>119.37</v>
      </c>
      <c r="K219">
        <f t="shared" ca="1" si="75"/>
        <v>1.7162505031240873</v>
      </c>
      <c r="L219">
        <f t="shared" ca="1" si="76"/>
        <v>122.80250100624818</v>
      </c>
      <c r="M219">
        <f t="shared" ca="1" si="77"/>
        <v>115.93749899375183</v>
      </c>
      <c r="N219">
        <f t="shared" ca="1" si="66"/>
        <v>-0.64000000000000057</v>
      </c>
      <c r="O219">
        <f t="shared" ca="1" si="67"/>
        <v>0</v>
      </c>
      <c r="P219">
        <f t="shared" ca="1" si="68"/>
        <v>0.64000000000000057</v>
      </c>
      <c r="Q219">
        <f t="shared" ca="1" si="72"/>
        <v>0.54889952655088581</v>
      </c>
      <c r="R219">
        <f t="shared" ca="1" si="73"/>
        <v>0.46109143746155584</v>
      </c>
      <c r="S219">
        <f t="shared" ca="1" si="70"/>
        <v>1.1904353062219923</v>
      </c>
      <c r="T219">
        <f t="shared" ca="1" si="71"/>
        <v>54.346973993732107</v>
      </c>
      <c r="U219">
        <f>70</f>
        <v>70</v>
      </c>
      <c r="V219">
        <f>30</f>
        <v>30</v>
      </c>
      <c r="W219">
        <f t="shared" ca="1" si="69"/>
        <v>119.63012162978495</v>
      </c>
      <c r="X219">
        <f t="shared" ca="1" si="58"/>
        <v>119.35513660729387</v>
      </c>
      <c r="Y219">
        <f t="shared" ca="1" si="57"/>
        <v>0.31204195634080634</v>
      </c>
      <c r="Z219">
        <f t="shared" ca="1" si="59"/>
        <v>0.14749960844885979</v>
      </c>
      <c r="AA219">
        <f t="shared" ca="1" si="60"/>
        <v>0.16454234789194655</v>
      </c>
      <c r="AB219">
        <f t="shared" ca="1" si="61"/>
        <v>116.90110000000006</v>
      </c>
    </row>
    <row r="220" spans="1:28" x14ac:dyDescent="0.25">
      <c r="A220" s="20">
        <f t="shared" ca="1" si="62"/>
        <v>45607</v>
      </c>
      <c r="B220" vm="641">
        <f ca="1"/>
        <v>45608</v>
      </c>
      <c r="C220" vm="583">
        <f ca="1"/>
        <v>120.35</v>
      </c>
      <c r="D220" vm="642">
        <f ca="1"/>
        <v>11972802</v>
      </c>
      <c r="E220">
        <f t="shared" ca="1" si="63"/>
        <v>1440926720.7</v>
      </c>
      <c r="F220">
        <f ca="1">SUM($E$2:E220)/SUM($D$2:D220)</f>
        <v>112.83714476754623</v>
      </c>
      <c r="G220">
        <f ca="1">_xlfn.STDEV.P($C$2:C220)</f>
        <v>6.7519192177604239</v>
      </c>
      <c r="H220">
        <f t="shared" ca="1" si="64"/>
        <v>119.58906398530667</v>
      </c>
      <c r="I220">
        <f t="shared" ca="1" si="65"/>
        <v>106.0852255497858</v>
      </c>
      <c r="J220">
        <f t="shared" ca="1" si="74"/>
        <v>119.36999999999998</v>
      </c>
      <c r="K220">
        <f t="shared" ca="1" si="75"/>
        <v>1.7162505031240871</v>
      </c>
      <c r="L220">
        <f t="shared" ca="1" si="76"/>
        <v>122.80250100624815</v>
      </c>
      <c r="M220">
        <f t="shared" ca="1" si="77"/>
        <v>115.9374989937518</v>
      </c>
      <c r="N220">
        <f t="shared" ca="1" si="66"/>
        <v>-0.12000000000000455</v>
      </c>
      <c r="O220">
        <f t="shared" ca="1" si="67"/>
        <v>0</v>
      </c>
      <c r="P220">
        <f t="shared" ca="1" si="68"/>
        <v>0.12000000000000455</v>
      </c>
      <c r="Q220">
        <f t="shared" ca="1" si="72"/>
        <v>0.50969241751153682</v>
      </c>
      <c r="R220">
        <f t="shared" ca="1" si="73"/>
        <v>0.43672776335715929</v>
      </c>
      <c r="S220">
        <f t="shared" ca="1" si="70"/>
        <v>1.167071251878957</v>
      </c>
      <c r="T220">
        <f t="shared" ca="1" si="71"/>
        <v>53.854770620349882</v>
      </c>
      <c r="U220">
        <f>70</f>
        <v>70</v>
      </c>
      <c r="V220">
        <f>30</f>
        <v>30</v>
      </c>
      <c r="W220">
        <f t="shared" ca="1" si="69"/>
        <v>119.74087214827958</v>
      </c>
      <c r="X220">
        <f t="shared" ca="1" si="58"/>
        <v>119.42883019193877</v>
      </c>
      <c r="Y220">
        <f t="shared" ref="Y220:Y283" ca="1" si="78">W221-X221</f>
        <v>0.42686386227617845</v>
      </c>
      <c r="Z220">
        <f t="shared" ca="1" si="59"/>
        <v>0.20337245921432354</v>
      </c>
      <c r="AA220">
        <f t="shared" ca="1" si="60"/>
        <v>0.22349140306185492</v>
      </c>
      <c r="AB220">
        <f t="shared" ca="1" si="61"/>
        <v>116.99700000000006</v>
      </c>
    </row>
    <row r="221" spans="1:28" x14ac:dyDescent="0.25">
      <c r="A221" s="20">
        <f t="shared" ca="1" si="62"/>
        <v>45607</v>
      </c>
      <c r="B221" vm="643">
        <f ca="1"/>
        <v>45609</v>
      </c>
      <c r="C221" vm="644">
        <f ca="1"/>
        <v>121.47</v>
      </c>
      <c r="D221" vm="645">
        <f ca="1"/>
        <v>15127877</v>
      </c>
      <c r="E221">
        <f t="shared" ca="1" si="63"/>
        <v>1837583219.1900001</v>
      </c>
      <c r="F221">
        <f ca="1">SUM($E$2:E221)/SUM($D$2:D221)</f>
        <v>112.87347945607871</v>
      </c>
      <c r="G221">
        <f ca="1">_xlfn.STDEV.P($C$2:C221)</f>
        <v>6.7580967569915309</v>
      </c>
      <c r="H221">
        <f t="shared" ca="1" si="64"/>
        <v>119.63157621307025</v>
      </c>
      <c r="I221">
        <f t="shared" ca="1" si="65"/>
        <v>106.11538269908718</v>
      </c>
      <c r="J221">
        <f t="shared" ca="1" si="74"/>
        <v>119.41049999999998</v>
      </c>
      <c r="K221">
        <f t="shared" ca="1" si="75"/>
        <v>1.7573588885477813</v>
      </c>
      <c r="L221">
        <f t="shared" ca="1" si="76"/>
        <v>122.92521777709555</v>
      </c>
      <c r="M221">
        <f t="shared" ca="1" si="77"/>
        <v>115.89578222290442</v>
      </c>
      <c r="N221">
        <f t="shared" ca="1" si="66"/>
        <v>1.1200000000000045</v>
      </c>
      <c r="O221">
        <f t="shared" ca="1" si="67"/>
        <v>1.1200000000000045</v>
      </c>
      <c r="P221">
        <f t="shared" ca="1" si="68"/>
        <v>0</v>
      </c>
      <c r="Q221">
        <f t="shared" ca="1" si="72"/>
        <v>0.55328581626071316</v>
      </c>
      <c r="R221">
        <f t="shared" ca="1" si="73"/>
        <v>0.40553292311736217</v>
      </c>
      <c r="S221">
        <f t="shared" ca="1" si="70"/>
        <v>1.3643425347751383</v>
      </c>
      <c r="T221">
        <f t="shared" ca="1" si="71"/>
        <v>57.70494396256737</v>
      </c>
      <c r="U221">
        <f>70</f>
        <v>70</v>
      </c>
      <c r="V221">
        <f>30</f>
        <v>30</v>
      </c>
      <c r="W221">
        <f t="shared" ca="1" si="69"/>
        <v>120.00689181777503</v>
      </c>
      <c r="X221">
        <f t="shared" ref="X221:X284" ca="1" si="79">C221*(2/(26+1)) + X220*(1-(2/(26+1)))</f>
        <v>119.58002795549885</v>
      </c>
      <c r="Y221">
        <f t="shared" ca="1" si="78"/>
        <v>0.43936690695741731</v>
      </c>
      <c r="Z221">
        <f t="shared" ca="1" si="59"/>
        <v>0.25057134876294229</v>
      </c>
      <c r="AA221">
        <f t="shared" ca="1" si="60"/>
        <v>0.18879555819447502</v>
      </c>
      <c r="AB221">
        <f t="shared" ca="1" si="61"/>
        <v>117.07120000000006</v>
      </c>
    </row>
    <row r="222" spans="1:28" x14ac:dyDescent="0.25">
      <c r="A222" s="20">
        <f t="shared" ca="1" si="62"/>
        <v>45607</v>
      </c>
      <c r="B222" vm="646">
        <f ca="1"/>
        <v>45610</v>
      </c>
      <c r="C222" vm="227">
        <f ca="1"/>
        <v>120.56</v>
      </c>
      <c r="D222" vm="647">
        <f ca="1"/>
        <v>13041845</v>
      </c>
      <c r="E222">
        <f t="shared" ca="1" si="63"/>
        <v>1572324833.2</v>
      </c>
      <c r="F222">
        <f ca="1">SUM($E$2:E222)/SUM($D$2:D222)</f>
        <v>112.90126921867925</v>
      </c>
      <c r="G222">
        <f ca="1">_xlfn.STDEV.P($C$2:C222)</f>
        <v>6.7594583714888827</v>
      </c>
      <c r="H222">
        <f t="shared" ca="1" si="64"/>
        <v>119.66072759016814</v>
      </c>
      <c r="I222">
        <f t="shared" ca="1" si="65"/>
        <v>106.14181084719036</v>
      </c>
      <c r="J222">
        <f t="shared" ca="1" si="74"/>
        <v>119.42099999999998</v>
      </c>
      <c r="K222">
        <f t="shared" ca="1" si="75"/>
        <v>1.7638829773810778</v>
      </c>
      <c r="L222">
        <f t="shared" ca="1" si="76"/>
        <v>122.94876595476214</v>
      </c>
      <c r="M222">
        <f t="shared" ca="1" si="77"/>
        <v>115.89323404523782</v>
      </c>
      <c r="N222">
        <f t="shared" ca="1" si="66"/>
        <v>-0.90999999999999659</v>
      </c>
      <c r="O222">
        <f t="shared" ca="1" si="67"/>
        <v>0</v>
      </c>
      <c r="P222">
        <f t="shared" ca="1" si="68"/>
        <v>0.90999999999999659</v>
      </c>
      <c r="Q222">
        <f t="shared" ca="1" si="72"/>
        <v>0.5137654008135194</v>
      </c>
      <c r="R222">
        <f t="shared" ca="1" si="73"/>
        <v>0.44156628575183604</v>
      </c>
      <c r="S222">
        <f t="shared" ca="1" si="70"/>
        <v>1.1635068559157613</v>
      </c>
      <c r="T222">
        <f t="shared" ca="1" si="71"/>
        <v>53.778745962109575</v>
      </c>
      <c r="U222">
        <f>70</f>
        <v>70</v>
      </c>
      <c r="V222">
        <f>30</f>
        <v>30</v>
      </c>
      <c r="W222">
        <f t="shared" ca="1" si="69"/>
        <v>120.09198538427117</v>
      </c>
      <c r="X222">
        <f t="shared" ca="1" si="79"/>
        <v>119.65261847731375</v>
      </c>
      <c r="Y222">
        <f t="shared" ca="1" si="78"/>
        <v>0.34444060969107682</v>
      </c>
      <c r="Z222">
        <f t="shared" ca="1" si="59"/>
        <v>0.26934520094856917</v>
      </c>
      <c r="AA222">
        <f t="shared" ca="1" si="60"/>
        <v>7.5095408742507641E-2</v>
      </c>
      <c r="AB222">
        <f t="shared" ca="1" si="61"/>
        <v>117.13310000000007</v>
      </c>
    </row>
    <row r="223" spans="1:28" x14ac:dyDescent="0.25">
      <c r="A223" s="20">
        <f t="shared" ca="1" si="62"/>
        <v>45607</v>
      </c>
      <c r="B223" vm="648">
        <f ca="1"/>
        <v>45611</v>
      </c>
      <c r="C223" vm="649">
        <f ca="1"/>
        <v>119.31</v>
      </c>
      <c r="D223" vm="650">
        <f ca="1"/>
        <v>19051713</v>
      </c>
      <c r="E223">
        <f t="shared" ca="1" si="63"/>
        <v>2273059878.0300002</v>
      </c>
      <c r="F223">
        <f ca="1">SUM($E$2:E223)/SUM($D$2:D223)</f>
        <v>112.93493854419249</v>
      </c>
      <c r="G223">
        <f ca="1">_xlfn.STDEV.P($C$2:C223)</f>
        <v>6.7553401711727838</v>
      </c>
      <c r="H223">
        <f t="shared" ca="1" si="64"/>
        <v>119.69027871536528</v>
      </c>
      <c r="I223">
        <f t="shared" ca="1" si="65"/>
        <v>106.1795983730197</v>
      </c>
      <c r="J223">
        <f t="shared" ca="1" si="74"/>
        <v>119.386</v>
      </c>
      <c r="K223">
        <f t="shared" ca="1" si="75"/>
        <v>1.7585173180536879</v>
      </c>
      <c r="L223">
        <f t="shared" ca="1" si="76"/>
        <v>122.90303463610738</v>
      </c>
      <c r="M223">
        <f t="shared" ca="1" si="77"/>
        <v>115.86896536389261</v>
      </c>
      <c r="N223">
        <f t="shared" ca="1" si="66"/>
        <v>-1.25</v>
      </c>
      <c r="O223">
        <f t="shared" ca="1" si="67"/>
        <v>0</v>
      </c>
      <c r="P223">
        <f t="shared" ca="1" si="68"/>
        <v>1.25</v>
      </c>
      <c r="Q223">
        <f t="shared" ca="1" si="72"/>
        <v>0.47706787218398228</v>
      </c>
      <c r="R223">
        <f t="shared" ca="1" si="73"/>
        <v>0.4993115510552763</v>
      </c>
      <c r="S223">
        <f t="shared" ca="1" si="70"/>
        <v>0.95545130325088046</v>
      </c>
      <c r="T223">
        <f t="shared" ca="1" si="71"/>
        <v>48.860910095918555</v>
      </c>
      <c r="U223">
        <f>70</f>
        <v>70</v>
      </c>
      <c r="V223">
        <f>30</f>
        <v>30</v>
      </c>
      <c r="W223">
        <f t="shared" ca="1" si="69"/>
        <v>119.97167994053714</v>
      </c>
      <c r="X223">
        <f t="shared" ca="1" si="79"/>
        <v>119.62723933084607</v>
      </c>
      <c r="Y223">
        <f t="shared" ca="1" si="78"/>
        <v>0.34591498522667052</v>
      </c>
      <c r="Z223">
        <f t="shared" ca="1" si="59"/>
        <v>0.28465915780418943</v>
      </c>
      <c r="AA223">
        <f t="shared" ca="1" si="60"/>
        <v>6.1255827422481091E-2</v>
      </c>
      <c r="AB223">
        <f t="shared" ca="1" si="61"/>
        <v>117.18210000000005</v>
      </c>
    </row>
    <row r="224" spans="1:28" x14ac:dyDescent="0.25">
      <c r="A224" s="20">
        <f t="shared" ca="1" si="62"/>
        <v>45614</v>
      </c>
      <c r="B224" vm="651">
        <f ca="1"/>
        <v>45614</v>
      </c>
      <c r="C224" vm="652">
        <f ca="1"/>
        <v>120.31</v>
      </c>
      <c r="D224" vm="653">
        <f ca="1"/>
        <v>14243701</v>
      </c>
      <c r="E224">
        <f t="shared" ca="1" si="63"/>
        <v>1713659667.3099999</v>
      </c>
      <c r="F224">
        <f ca="1">SUM($E$2:E224)/SUM($D$2:D224)</f>
        <v>112.96379309794239</v>
      </c>
      <c r="G224">
        <f ca="1">_xlfn.STDEV.P($C$2:C224)</f>
        <v>6.7552956751388269</v>
      </c>
      <c r="H224">
        <f t="shared" ca="1" si="64"/>
        <v>119.71908877308121</v>
      </c>
      <c r="I224">
        <f t="shared" ca="1" si="65"/>
        <v>106.20849742280356</v>
      </c>
      <c r="J224">
        <f t="shared" ca="1" si="74"/>
        <v>119.39749999999999</v>
      </c>
      <c r="K224">
        <f t="shared" ca="1" si="75"/>
        <v>1.7640380560401452</v>
      </c>
      <c r="L224">
        <f t="shared" ca="1" si="76"/>
        <v>122.92557611208028</v>
      </c>
      <c r="M224">
        <f t="shared" ca="1" si="77"/>
        <v>115.86942388791971</v>
      </c>
      <c r="N224">
        <f t="shared" ca="1" si="66"/>
        <v>1</v>
      </c>
      <c r="O224">
        <f t="shared" ca="1" si="67"/>
        <v>1</v>
      </c>
      <c r="P224">
        <f t="shared" ca="1" si="68"/>
        <v>0</v>
      </c>
      <c r="Q224">
        <f t="shared" ca="1" si="72"/>
        <v>0.51442016702798354</v>
      </c>
      <c r="R224">
        <f t="shared" ca="1" si="73"/>
        <v>0.46364644026561369</v>
      </c>
      <c r="S224">
        <f t="shared" ca="1" si="70"/>
        <v>1.1095095796126087</v>
      </c>
      <c r="T224">
        <f t="shared" ca="1" si="71"/>
        <v>52.595617025657667</v>
      </c>
      <c r="U224">
        <f>70</f>
        <v>70</v>
      </c>
      <c r="V224">
        <f>30</f>
        <v>30</v>
      </c>
      <c r="W224">
        <f t="shared" ca="1" si="69"/>
        <v>120.02372918045451</v>
      </c>
      <c r="X224">
        <f t="shared" ca="1" si="79"/>
        <v>119.67781419522784</v>
      </c>
      <c r="Y224">
        <f t="shared" ca="1" si="78"/>
        <v>0.20911097762376585</v>
      </c>
      <c r="Z224">
        <f t="shared" ca="1" si="59"/>
        <v>0.26954952176810476</v>
      </c>
      <c r="AA224">
        <f t="shared" ca="1" si="60"/>
        <v>-6.0438544144338913E-2</v>
      </c>
      <c r="AB224">
        <f t="shared" ca="1" si="61"/>
        <v>117.23620000000004</v>
      </c>
    </row>
    <row r="225" spans="1:28" x14ac:dyDescent="0.25">
      <c r="A225" s="20">
        <f t="shared" ca="1" si="62"/>
        <v>45614</v>
      </c>
      <c r="B225" vm="654">
        <f ca="1"/>
        <v>45615</v>
      </c>
      <c r="C225" vm="218">
        <f ca="1"/>
        <v>118.63</v>
      </c>
      <c r="D225" vm="655">
        <f ca="1"/>
        <v>11584382</v>
      </c>
      <c r="E225">
        <f t="shared" ca="1" si="63"/>
        <v>1374255236.6599998</v>
      </c>
      <c r="F225">
        <f ca="1">SUM($E$2:E225)/SUM($D$2:D225)</f>
        <v>112.98176572002887</v>
      </c>
      <c r="G225">
        <f ca="1">_xlfn.STDEV.P($C$2:C225)</f>
        <v>6.7486036051777605</v>
      </c>
      <c r="H225">
        <f t="shared" ca="1" si="64"/>
        <v>119.73036932520664</v>
      </c>
      <c r="I225">
        <f t="shared" ca="1" si="65"/>
        <v>106.23316211485111</v>
      </c>
      <c r="J225">
        <f t="shared" ca="1" si="74"/>
        <v>119.29400000000001</v>
      </c>
      <c r="K225">
        <f t="shared" ca="1" si="75"/>
        <v>1.7442096687098865</v>
      </c>
      <c r="L225">
        <f t="shared" ca="1" si="76"/>
        <v>122.78241933741978</v>
      </c>
      <c r="M225">
        <f t="shared" ca="1" si="77"/>
        <v>115.80558066258024</v>
      </c>
      <c r="N225">
        <f t="shared" ca="1" si="66"/>
        <v>-1.6800000000000068</v>
      </c>
      <c r="O225">
        <f t="shared" ca="1" si="67"/>
        <v>0</v>
      </c>
      <c r="P225">
        <f t="shared" ca="1" si="68"/>
        <v>1.6800000000000068</v>
      </c>
      <c r="Q225">
        <f t="shared" ca="1" si="72"/>
        <v>0.47767586938312762</v>
      </c>
      <c r="R225">
        <f t="shared" ca="1" si="73"/>
        <v>0.55052883738949887</v>
      </c>
      <c r="S225">
        <f t="shared" ca="1" si="70"/>
        <v>0.8676672990431783</v>
      </c>
      <c r="T225">
        <f t="shared" ca="1" si="71"/>
        <v>46.457273171067001</v>
      </c>
      <c r="U225">
        <f>70</f>
        <v>70</v>
      </c>
      <c r="V225">
        <f>30</f>
        <v>30</v>
      </c>
      <c r="W225">
        <f t="shared" ca="1" si="69"/>
        <v>119.80930930653844</v>
      </c>
      <c r="X225">
        <f t="shared" ca="1" si="79"/>
        <v>119.60019832891467</v>
      </c>
      <c r="Y225">
        <f t="shared" ca="1" si="78"/>
        <v>0.23436013431523861</v>
      </c>
      <c r="Z225">
        <f t="shared" ca="1" si="59"/>
        <v>0.26251164427753154</v>
      </c>
      <c r="AA225">
        <f t="shared" ca="1" si="60"/>
        <v>-2.8151509962292931E-2</v>
      </c>
      <c r="AB225">
        <f t="shared" ca="1" si="61"/>
        <v>117.27130000000002</v>
      </c>
    </row>
    <row r="226" spans="1:28" x14ac:dyDescent="0.25">
      <c r="A226" s="20">
        <f t="shared" ca="1" si="62"/>
        <v>45614</v>
      </c>
      <c r="B226" vm="656">
        <f ca="1"/>
        <v>45616</v>
      </c>
      <c r="C226" vm="657">
        <f ca="1"/>
        <v>120.32</v>
      </c>
      <c r="D226" vm="658">
        <f ca="1"/>
        <v>11360932</v>
      </c>
      <c r="E226">
        <f t="shared" ca="1" si="63"/>
        <v>1366947338.24</v>
      </c>
      <c r="F226">
        <f ca="1">SUM($E$2:E226)/SUM($D$2:D226)</f>
        <v>113.00452208066459</v>
      </c>
      <c r="G226">
        <f ca="1">_xlfn.STDEV.P($C$2:C226)</f>
        <v>6.7484006256626801</v>
      </c>
      <c r="H226">
        <f t="shared" ca="1" si="64"/>
        <v>119.75292270632727</v>
      </c>
      <c r="I226">
        <f t="shared" ca="1" si="65"/>
        <v>106.2561214550019</v>
      </c>
      <c r="J226">
        <f t="shared" ca="1" si="74"/>
        <v>119.29650000000001</v>
      </c>
      <c r="K226">
        <f t="shared" ca="1" si="75"/>
        <v>1.745717391368464</v>
      </c>
      <c r="L226">
        <f t="shared" ca="1" si="76"/>
        <v>122.78793478273694</v>
      </c>
      <c r="M226">
        <f t="shared" ca="1" si="77"/>
        <v>115.80506521726308</v>
      </c>
      <c r="N226">
        <f t="shared" ca="1" si="66"/>
        <v>1.6899999999999977</v>
      </c>
      <c r="O226">
        <f t="shared" ca="1" si="67"/>
        <v>1.6899999999999977</v>
      </c>
      <c r="P226">
        <f t="shared" ca="1" si="68"/>
        <v>0</v>
      </c>
      <c r="Q226">
        <f t="shared" ca="1" si="72"/>
        <v>0.56427045014147548</v>
      </c>
      <c r="R226">
        <f t="shared" ca="1" si="73"/>
        <v>0.51120534900453463</v>
      </c>
      <c r="S226">
        <f t="shared" ca="1" si="70"/>
        <v>1.1038038847603493</v>
      </c>
      <c r="T226">
        <f t="shared" ca="1" si="71"/>
        <v>52.467052312059359</v>
      </c>
      <c r="U226">
        <f>70</f>
        <v>70</v>
      </c>
      <c r="V226">
        <f>30</f>
        <v>30</v>
      </c>
      <c r="W226">
        <f t="shared" ca="1" si="69"/>
        <v>119.88787710553252</v>
      </c>
      <c r="X226">
        <f t="shared" ca="1" si="79"/>
        <v>119.65351697121729</v>
      </c>
      <c r="Y226">
        <f t="shared" ca="1" si="78"/>
        <v>0.37990451480780507</v>
      </c>
      <c r="Z226">
        <f t="shared" ca="1" si="59"/>
        <v>0.28599021838358629</v>
      </c>
      <c r="AA226">
        <f t="shared" ca="1" si="60"/>
        <v>9.3914296424218779E-2</v>
      </c>
      <c r="AB226">
        <f t="shared" ca="1" si="61"/>
        <v>117.32490000000003</v>
      </c>
    </row>
    <row r="227" spans="1:28" x14ac:dyDescent="0.25">
      <c r="A227" s="20">
        <f t="shared" ca="1" si="62"/>
        <v>45614</v>
      </c>
      <c r="B227" vm="659">
        <f ca="1"/>
        <v>45617</v>
      </c>
      <c r="C227" vm="660">
        <f ca="1"/>
        <v>121.93</v>
      </c>
      <c r="D227" vm="661">
        <f ca="1"/>
        <v>14675422</v>
      </c>
      <c r="E227">
        <f t="shared" ca="1" si="63"/>
        <v>1789374204.46</v>
      </c>
      <c r="F227">
        <f ca="1">SUM($E$2:E227)/SUM($D$2:D227)</f>
        <v>113.040132995988</v>
      </c>
      <c r="G227">
        <f ca="1">_xlfn.STDEV.P($C$2:C227)</f>
        <v>6.7559396682013011</v>
      </c>
      <c r="H227">
        <f t="shared" ca="1" si="64"/>
        <v>119.79607266418931</v>
      </c>
      <c r="I227">
        <f t="shared" ca="1" si="65"/>
        <v>106.2841933277867</v>
      </c>
      <c r="J227">
        <f t="shared" ca="1" si="74"/>
        <v>119.4135</v>
      </c>
      <c r="K227">
        <f t="shared" ca="1" si="75"/>
        <v>1.8421734160324981</v>
      </c>
      <c r="L227">
        <f t="shared" ca="1" si="76"/>
        <v>123.09784683206499</v>
      </c>
      <c r="M227">
        <f t="shared" ca="1" si="77"/>
        <v>115.72915316793501</v>
      </c>
      <c r="N227">
        <f t="shared" ca="1" si="66"/>
        <v>1.6100000000000136</v>
      </c>
      <c r="O227">
        <f t="shared" ca="1" si="67"/>
        <v>1.6100000000000136</v>
      </c>
      <c r="P227">
        <f t="shared" ca="1" si="68"/>
        <v>0</v>
      </c>
      <c r="Q227">
        <f t="shared" ca="1" si="72"/>
        <v>0.63896541798851392</v>
      </c>
      <c r="R227">
        <f t="shared" ca="1" si="73"/>
        <v>0.47469068121849645</v>
      </c>
      <c r="S227">
        <f t="shared" ca="1" si="70"/>
        <v>1.3460669089781501</v>
      </c>
      <c r="T227">
        <f t="shared" ca="1" si="71"/>
        <v>57.375469720274999</v>
      </c>
      <c r="U227">
        <f>70</f>
        <v>70</v>
      </c>
      <c r="V227">
        <f>30</f>
        <v>30</v>
      </c>
      <c r="W227">
        <f t="shared" ca="1" si="69"/>
        <v>120.20204985852752</v>
      </c>
      <c r="X227">
        <f t="shared" ca="1" si="79"/>
        <v>119.82214534371971</v>
      </c>
      <c r="Y227">
        <f t="shared" ca="1" si="78"/>
        <v>0.47843752499647962</v>
      </c>
      <c r="Z227">
        <f t="shared" ca="1" si="59"/>
        <v>0.32447967970616498</v>
      </c>
      <c r="AA227">
        <f t="shared" ca="1" si="60"/>
        <v>0.15395784529031464</v>
      </c>
      <c r="AB227">
        <f t="shared" ca="1" si="61"/>
        <v>117.40240000000003</v>
      </c>
    </row>
    <row r="228" spans="1:28" x14ac:dyDescent="0.25">
      <c r="A228" s="20">
        <f t="shared" ca="1" si="62"/>
        <v>45614</v>
      </c>
      <c r="B228" vm="662">
        <f ca="1"/>
        <v>45618</v>
      </c>
      <c r="C228" vm="206">
        <f ca="1"/>
        <v>121.79</v>
      </c>
      <c r="D228" vm="663">
        <f ca="1"/>
        <v>13323431</v>
      </c>
      <c r="E228">
        <f t="shared" ca="1" si="63"/>
        <v>1622660661.49</v>
      </c>
      <c r="F228">
        <f ca="1">SUM($E$2:E228)/SUM($D$2:D228)</f>
        <v>113.07171271860342</v>
      </c>
      <c r="G228">
        <f ca="1">_xlfn.STDEV.P($C$2:C228)</f>
        <v>6.7624635929941865</v>
      </c>
      <c r="H228">
        <f t="shared" ca="1" si="64"/>
        <v>119.8341763115976</v>
      </c>
      <c r="I228">
        <f t="shared" ca="1" si="65"/>
        <v>106.30924912560924</v>
      </c>
      <c r="J228">
        <f t="shared" ca="1" si="74"/>
        <v>119.52849999999998</v>
      </c>
      <c r="K228">
        <f t="shared" ca="1" si="75"/>
        <v>1.9174524628705722</v>
      </c>
      <c r="L228">
        <f t="shared" ca="1" si="76"/>
        <v>123.36340492574112</v>
      </c>
      <c r="M228">
        <f t="shared" ca="1" si="77"/>
        <v>115.69359507425884</v>
      </c>
      <c r="N228">
        <f t="shared" ca="1" si="66"/>
        <v>-0.14000000000000057</v>
      </c>
      <c r="O228">
        <f t="shared" ca="1" si="67"/>
        <v>0</v>
      </c>
      <c r="P228">
        <f t="shared" ca="1" si="68"/>
        <v>0.14000000000000057</v>
      </c>
      <c r="Q228">
        <f t="shared" ca="1" si="72"/>
        <v>0.59332503098933442</v>
      </c>
      <c r="R228">
        <f t="shared" ca="1" si="73"/>
        <v>0.45078420398860386</v>
      </c>
      <c r="S228">
        <f t="shared" ca="1" si="70"/>
        <v>1.3162063482693243</v>
      </c>
      <c r="T228">
        <f t="shared" ca="1" si="71"/>
        <v>56.82595375203929</v>
      </c>
      <c r="U228">
        <f>70</f>
        <v>70</v>
      </c>
      <c r="V228">
        <f>30</f>
        <v>30</v>
      </c>
      <c r="W228">
        <f t="shared" ca="1" si="69"/>
        <v>120.44634988029252</v>
      </c>
      <c r="X228">
        <f t="shared" ca="1" si="79"/>
        <v>119.96791235529604</v>
      </c>
      <c r="Y228">
        <f t="shared" ca="1" si="78"/>
        <v>0.40499828767995893</v>
      </c>
      <c r="Z228">
        <f t="shared" ca="1" si="59"/>
        <v>0.34058340130092379</v>
      </c>
      <c r="AA228">
        <f t="shared" ca="1" si="60"/>
        <v>6.4414886379035141E-2</v>
      </c>
      <c r="AB228">
        <f t="shared" ca="1" si="61"/>
        <v>117.47270000000005</v>
      </c>
    </row>
    <row r="229" spans="1:28" x14ac:dyDescent="0.25">
      <c r="A229" s="20">
        <f t="shared" ca="1" si="62"/>
        <v>45621</v>
      </c>
      <c r="B229" vm="664">
        <f ca="1"/>
        <v>45621</v>
      </c>
      <c r="C229" vm="665">
        <f ca="1"/>
        <v>119.97</v>
      </c>
      <c r="D229" vm="666">
        <f ca="1"/>
        <v>26580295</v>
      </c>
      <c r="E229">
        <f t="shared" ca="1" si="63"/>
        <v>3188837991.1500001</v>
      </c>
      <c r="F229">
        <f ca="1">SUM($E$2:E229)/SUM($D$2:D229)</f>
        <v>113.12102737471638</v>
      </c>
      <c r="G229">
        <f ca="1">_xlfn.STDEV.P($C$2:C229)</f>
        <v>6.7603073315486046</v>
      </c>
      <c r="H229">
        <f t="shared" ca="1" si="64"/>
        <v>119.88133470626498</v>
      </c>
      <c r="I229">
        <f t="shared" ca="1" si="65"/>
        <v>106.36072004316777</v>
      </c>
      <c r="J229">
        <f t="shared" ca="1" si="74"/>
        <v>119.58199999999997</v>
      </c>
      <c r="K229">
        <f t="shared" ca="1" si="75"/>
        <v>1.9139174485854928</v>
      </c>
      <c r="L229">
        <f t="shared" ca="1" si="76"/>
        <v>123.40983489717095</v>
      </c>
      <c r="M229">
        <f t="shared" ca="1" si="77"/>
        <v>115.75416510282898</v>
      </c>
      <c r="N229">
        <f t="shared" ca="1" si="66"/>
        <v>-1.8200000000000074</v>
      </c>
      <c r="O229">
        <f t="shared" ca="1" si="67"/>
        <v>0</v>
      </c>
      <c r="P229">
        <f t="shared" ca="1" si="68"/>
        <v>1.8200000000000074</v>
      </c>
      <c r="Q229">
        <f t="shared" ca="1" si="72"/>
        <v>0.55094467163295335</v>
      </c>
      <c r="R229">
        <f t="shared" ca="1" si="73"/>
        <v>0.54858533227513273</v>
      </c>
      <c r="S229">
        <f t="shared" ca="1" si="70"/>
        <v>1.0043007700334163</v>
      </c>
      <c r="T229">
        <f t="shared" ca="1" si="71"/>
        <v>50.107288539168316</v>
      </c>
      <c r="U229">
        <f>70</f>
        <v>70</v>
      </c>
      <c r="V229">
        <f>30</f>
        <v>30</v>
      </c>
      <c r="W229">
        <f t="shared" ca="1" si="69"/>
        <v>120.37306528332444</v>
      </c>
      <c r="X229">
        <f t="shared" ca="1" si="79"/>
        <v>119.96806699564448</v>
      </c>
      <c r="Y229">
        <f t="shared" ca="1" si="78"/>
        <v>0.18330089903960811</v>
      </c>
      <c r="Z229">
        <f t="shared" ca="1" si="59"/>
        <v>0.30912690084866068</v>
      </c>
      <c r="AA229">
        <f t="shared" ca="1" si="60"/>
        <v>-0.12582600180905257</v>
      </c>
      <c r="AB229">
        <f t="shared" ca="1" si="61"/>
        <v>117.53870000000002</v>
      </c>
    </row>
    <row r="230" spans="1:28" x14ac:dyDescent="0.25">
      <c r="A230" s="20">
        <f t="shared" ca="1" si="62"/>
        <v>45621</v>
      </c>
      <c r="B230" vm="667">
        <f ca="1"/>
        <v>45622</v>
      </c>
      <c r="C230" vm="668">
        <f ca="1"/>
        <v>117.97</v>
      </c>
      <c r="D230" vm="669">
        <f ca="1"/>
        <v>14827327</v>
      </c>
      <c r="E230">
        <f t="shared" ca="1" si="63"/>
        <v>1749179766.1900001</v>
      </c>
      <c r="F230">
        <f ca="1">SUM($E$2:E230)/SUM($D$2:D230)</f>
        <v>113.14028749878445</v>
      </c>
      <c r="G230">
        <f ca="1">_xlfn.STDEV.P($C$2:C230)</f>
        <v>6.7513160659148417</v>
      </c>
      <c r="H230">
        <f t="shared" ca="1" si="64"/>
        <v>119.89160356469928</v>
      </c>
      <c r="I230">
        <f t="shared" ca="1" si="65"/>
        <v>106.38897143286961</v>
      </c>
      <c r="J230">
        <f t="shared" ca="1" si="74"/>
        <v>119.61649999999997</v>
      </c>
      <c r="K230">
        <f t="shared" ca="1" si="75"/>
        <v>1.8760829153486691</v>
      </c>
      <c r="L230">
        <f t="shared" ca="1" si="76"/>
        <v>123.36866583069731</v>
      </c>
      <c r="M230">
        <f t="shared" ca="1" si="77"/>
        <v>115.86433416930264</v>
      </c>
      <c r="N230">
        <f t="shared" ca="1" si="66"/>
        <v>-2</v>
      </c>
      <c r="O230">
        <f t="shared" ca="1" si="67"/>
        <v>0</v>
      </c>
      <c r="P230">
        <f t="shared" ca="1" si="68"/>
        <v>2</v>
      </c>
      <c r="Q230">
        <f t="shared" ca="1" si="72"/>
        <v>0.5115914808020281</v>
      </c>
      <c r="R230">
        <f t="shared" ca="1" si="73"/>
        <v>0.65225780854119464</v>
      </c>
      <c r="S230">
        <f t="shared" ca="1" si="70"/>
        <v>0.7843393733318833</v>
      </c>
      <c r="T230">
        <f t="shared" ca="1" si="71"/>
        <v>43.956849523938509</v>
      </c>
      <c r="U230">
        <f>70</f>
        <v>70</v>
      </c>
      <c r="V230">
        <f>30</f>
        <v>30</v>
      </c>
      <c r="W230">
        <f t="shared" ca="1" si="69"/>
        <v>120.00336293204376</v>
      </c>
      <c r="X230">
        <f t="shared" ca="1" si="79"/>
        <v>119.82006203300415</v>
      </c>
      <c r="Y230">
        <f t="shared" ca="1" si="78"/>
        <v>-1.7211880083635833E-2</v>
      </c>
      <c r="Z230">
        <f t="shared" ref="Z230:Z293" ca="1" si="80">Y230*(2/(9+1)) + Z229*(1-(2/(9+1)))</f>
        <v>0.24385914466220138</v>
      </c>
      <c r="AA230">
        <f t="shared" ref="AA230:AA293" ca="1" si="81">Y230-Z230</f>
        <v>-0.26107102474583721</v>
      </c>
      <c r="AB230">
        <f t="shared" ref="AB230:AB293" ca="1" si="82">AVERAGE(C131:C230)</f>
        <v>117.59660000000002</v>
      </c>
    </row>
    <row r="231" spans="1:28" x14ac:dyDescent="0.25">
      <c r="A231" s="20">
        <f t="shared" ca="1" si="62"/>
        <v>45621</v>
      </c>
      <c r="B231" vm="670">
        <f ca="1"/>
        <v>45623</v>
      </c>
      <c r="C231" vm="671">
        <f ca="1"/>
        <v>117.66</v>
      </c>
      <c r="D231" vm="672">
        <f ca="1"/>
        <v>11079122</v>
      </c>
      <c r="E231">
        <f t="shared" ca="1" si="63"/>
        <v>1303569494.52</v>
      </c>
      <c r="F231">
        <f ca="1">SUM($E$2:E231)/SUM($D$2:D231)</f>
        <v>113.15366193846049</v>
      </c>
      <c r="G231">
        <f ca="1">_xlfn.STDEV.P($C$2:C231)</f>
        <v>6.7415320103727776</v>
      </c>
      <c r="H231">
        <f t="shared" ca="1" si="64"/>
        <v>119.89519394883327</v>
      </c>
      <c r="I231">
        <f t="shared" ca="1" si="65"/>
        <v>106.41212992808771</v>
      </c>
      <c r="J231">
        <f t="shared" ca="1" si="74"/>
        <v>119.66499999999996</v>
      </c>
      <c r="K231">
        <f t="shared" ca="1" si="75"/>
        <v>1.807739210348545</v>
      </c>
      <c r="L231">
        <f t="shared" ca="1" si="76"/>
        <v>123.28047842069705</v>
      </c>
      <c r="M231">
        <f t="shared" ca="1" si="77"/>
        <v>116.04952157930288</v>
      </c>
      <c r="N231">
        <f t="shared" ca="1" si="66"/>
        <v>-0.31000000000000227</v>
      </c>
      <c r="O231">
        <f t="shared" ca="1" si="67"/>
        <v>0</v>
      </c>
      <c r="P231">
        <f t="shared" ca="1" si="68"/>
        <v>0.31000000000000227</v>
      </c>
      <c r="Q231">
        <f t="shared" ca="1" si="72"/>
        <v>0.47504923217331185</v>
      </c>
      <c r="R231">
        <f t="shared" ca="1" si="73"/>
        <v>0.62781082221682372</v>
      </c>
      <c r="S231">
        <f t="shared" ca="1" si="70"/>
        <v>0.75667576180973606</v>
      </c>
      <c r="T231">
        <f t="shared" ca="1" si="71"/>
        <v>43.074298527931248</v>
      </c>
      <c r="U231">
        <f>70</f>
        <v>70</v>
      </c>
      <c r="V231">
        <f>30</f>
        <v>30</v>
      </c>
      <c r="W231">
        <f t="shared" ca="1" si="69"/>
        <v>119.64284555788316</v>
      </c>
      <c r="X231">
        <f t="shared" ca="1" si="79"/>
        <v>119.6600574379668</v>
      </c>
      <c r="Y231">
        <f t="shared" ca="1" si="78"/>
        <v>-0.15018101609091161</v>
      </c>
      <c r="Z231">
        <f t="shared" ca="1" si="80"/>
        <v>0.16505111251157881</v>
      </c>
      <c r="AA231">
        <f t="shared" ca="1" si="81"/>
        <v>-0.31523212860249039</v>
      </c>
      <c r="AB231">
        <f t="shared" ca="1" si="82"/>
        <v>117.66380000000001</v>
      </c>
    </row>
    <row r="232" spans="1:28" x14ac:dyDescent="0.25">
      <c r="A232" s="20">
        <f t="shared" ca="1" si="62"/>
        <v>45621</v>
      </c>
      <c r="B232" vm="673">
        <f ca="1"/>
        <v>45625</v>
      </c>
      <c r="C232" vm="239">
        <f ca="1"/>
        <v>117.96</v>
      </c>
      <c r="D232" vm="674">
        <f ca="1"/>
        <v>9426499</v>
      </c>
      <c r="E232">
        <f t="shared" ca="1" si="63"/>
        <v>1111949822.04</v>
      </c>
      <c r="F232">
        <f ca="1">SUM($E$2:E232)/SUM($D$2:D232)</f>
        <v>113.16573262904659</v>
      </c>
      <c r="G232">
        <f ca="1">_xlfn.STDEV.P($C$2:C232)</f>
        <v>6.7325527093755833</v>
      </c>
      <c r="H232">
        <f t="shared" ca="1" si="64"/>
        <v>119.89828533842217</v>
      </c>
      <c r="I232">
        <f t="shared" ca="1" si="65"/>
        <v>106.43317991967101</v>
      </c>
      <c r="J232">
        <f t="shared" ca="1" si="74"/>
        <v>119.72399999999998</v>
      </c>
      <c r="K232">
        <f t="shared" ca="1" si="75"/>
        <v>1.7260340912654453</v>
      </c>
      <c r="L232">
        <f t="shared" ca="1" si="76"/>
        <v>123.17606818253087</v>
      </c>
      <c r="M232">
        <f t="shared" ca="1" si="77"/>
        <v>116.27193181746908</v>
      </c>
      <c r="N232">
        <f t="shared" ca="1" si="66"/>
        <v>0.29999999999999716</v>
      </c>
      <c r="O232">
        <f t="shared" ca="1" si="67"/>
        <v>0.29999999999999716</v>
      </c>
      <c r="P232">
        <f t="shared" ca="1" si="68"/>
        <v>0</v>
      </c>
      <c r="Q232">
        <f t="shared" ca="1" si="72"/>
        <v>0.46254571558950364</v>
      </c>
      <c r="R232">
        <f t="shared" ca="1" si="73"/>
        <v>0.58296719205847913</v>
      </c>
      <c r="S232">
        <f t="shared" ca="1" si="70"/>
        <v>0.79343352746187534</v>
      </c>
      <c r="T232">
        <f t="shared" ca="1" si="71"/>
        <v>44.241033487578875</v>
      </c>
      <c r="U232">
        <f>70</f>
        <v>70</v>
      </c>
      <c r="V232">
        <f>30</f>
        <v>30</v>
      </c>
      <c r="W232">
        <f t="shared" ca="1" si="69"/>
        <v>119.38394624128576</v>
      </c>
      <c r="X232">
        <f t="shared" ca="1" si="79"/>
        <v>119.53412725737667</v>
      </c>
      <c r="Y232">
        <f t="shared" ca="1" si="78"/>
        <v>-0.26142257830639437</v>
      </c>
      <c r="Z232">
        <f t="shared" ca="1" si="80"/>
        <v>7.9756374347984188E-2</v>
      </c>
      <c r="AA232">
        <f t="shared" ca="1" si="81"/>
        <v>-0.34117895265437859</v>
      </c>
      <c r="AB232">
        <f t="shared" ca="1" si="82"/>
        <v>117.7242</v>
      </c>
    </row>
    <row r="233" spans="1:28" x14ac:dyDescent="0.25">
      <c r="A233" s="20">
        <f t="shared" ca="1" si="62"/>
        <v>45628</v>
      </c>
      <c r="B233" vm="675">
        <f ca="1"/>
        <v>45628</v>
      </c>
      <c r="C233" vm="287">
        <f ca="1"/>
        <v>117.85</v>
      </c>
      <c r="D233" vm="676">
        <f ca="1"/>
        <v>12687317</v>
      </c>
      <c r="E233">
        <f t="shared" ca="1" si="63"/>
        <v>1495200308.4499998</v>
      </c>
      <c r="F233">
        <f ca="1">SUM($E$2:E233)/SUM($D$2:D233)</f>
        <v>113.18151285928593</v>
      </c>
      <c r="G233">
        <f ca="1">_xlfn.STDEV.P($C$2:C233)</f>
        <v>6.7233013847444791</v>
      </c>
      <c r="H233">
        <f t="shared" ca="1" si="64"/>
        <v>119.9048142440304</v>
      </c>
      <c r="I233">
        <f t="shared" ca="1" si="65"/>
        <v>106.45821147454146</v>
      </c>
      <c r="J233">
        <f t="shared" ca="1" si="74"/>
        <v>119.86899999999999</v>
      </c>
      <c r="K233">
        <f t="shared" ca="1" si="75"/>
        <v>1.3936884043505062</v>
      </c>
      <c r="L233">
        <f t="shared" ca="1" si="76"/>
        <v>122.656376808701</v>
      </c>
      <c r="M233">
        <f t="shared" ca="1" si="77"/>
        <v>117.08162319129897</v>
      </c>
      <c r="N233">
        <f t="shared" ca="1" si="66"/>
        <v>-0.10999999999999943</v>
      </c>
      <c r="O233">
        <f t="shared" ca="1" si="67"/>
        <v>0</v>
      </c>
      <c r="P233">
        <f t="shared" ca="1" si="68"/>
        <v>0.10999999999999943</v>
      </c>
      <c r="Q233">
        <f t="shared" ca="1" si="72"/>
        <v>0.42950673590453908</v>
      </c>
      <c r="R233">
        <f t="shared" ca="1" si="73"/>
        <v>0.54918382119715914</v>
      </c>
      <c r="S233">
        <f t="shared" ca="1" si="70"/>
        <v>0.78208191743205868</v>
      </c>
      <c r="T233">
        <f t="shared" ca="1" si="71"/>
        <v>43.88585674888737</v>
      </c>
      <c r="U233">
        <f>70</f>
        <v>70</v>
      </c>
      <c r="V233">
        <f>30</f>
        <v>30</v>
      </c>
      <c r="W233">
        <f t="shared" ca="1" si="69"/>
        <v>119.14795451185718</v>
      </c>
      <c r="X233">
        <f t="shared" ca="1" si="79"/>
        <v>119.40937709016357</v>
      </c>
      <c r="Y233">
        <f t="shared" ca="1" si="78"/>
        <v>-0.35995744809565622</v>
      </c>
      <c r="Z233">
        <f t="shared" ca="1" si="80"/>
        <v>-8.1863901407439044E-3</v>
      </c>
      <c r="AA233">
        <f t="shared" ca="1" si="81"/>
        <v>-0.35177105795491231</v>
      </c>
      <c r="AB233">
        <f t="shared" ca="1" si="82"/>
        <v>117.7702</v>
      </c>
    </row>
    <row r="234" spans="1:28" x14ac:dyDescent="0.25">
      <c r="A234" s="20">
        <f t="shared" ca="1" si="62"/>
        <v>45628</v>
      </c>
      <c r="B234" vm="677">
        <f ca="1"/>
        <v>45629</v>
      </c>
      <c r="C234" vm="273">
        <f ca="1"/>
        <v>117.67</v>
      </c>
      <c r="D234" vm="678">
        <f ca="1"/>
        <v>11756566</v>
      </c>
      <c r="E234">
        <f t="shared" ca="1" si="63"/>
        <v>1383395121.22</v>
      </c>
      <c r="F234">
        <f ca="1">SUM($E$2:E234)/SUM($D$2:D234)</f>
        <v>113.19548068289477</v>
      </c>
      <c r="G234">
        <f ca="1">_xlfn.STDEV.P($C$2:C234)</f>
        <v>6.7136184368498988</v>
      </c>
      <c r="H234">
        <f t="shared" ca="1" si="64"/>
        <v>119.90909911974467</v>
      </c>
      <c r="I234">
        <f t="shared" ca="1" si="65"/>
        <v>106.48186224604487</v>
      </c>
      <c r="J234">
        <f t="shared" ca="1" si="74"/>
        <v>119.822</v>
      </c>
      <c r="K234">
        <f t="shared" ca="1" si="75"/>
        <v>1.4529700978558246</v>
      </c>
      <c r="L234">
        <f t="shared" ca="1" si="76"/>
        <v>122.72794019571165</v>
      </c>
      <c r="M234">
        <f t="shared" ca="1" si="77"/>
        <v>116.91605980428835</v>
      </c>
      <c r="N234">
        <f t="shared" ca="1" si="66"/>
        <v>-0.17999999999999261</v>
      </c>
      <c r="O234">
        <f t="shared" ca="1" si="67"/>
        <v>0</v>
      </c>
      <c r="P234">
        <f t="shared" ca="1" si="68"/>
        <v>0.17999999999999261</v>
      </c>
      <c r="Q234">
        <f t="shared" ca="1" si="72"/>
        <v>0.39882768333992918</v>
      </c>
      <c r="R234">
        <f t="shared" ca="1" si="73"/>
        <v>0.52281354825450443</v>
      </c>
      <c r="S234">
        <f t="shared" ca="1" si="70"/>
        <v>0.76284879125928995</v>
      </c>
      <c r="T234">
        <f t="shared" ca="1" si="71"/>
        <v>43.273637253615462</v>
      </c>
      <c r="U234">
        <f>70</f>
        <v>70</v>
      </c>
      <c r="V234">
        <f>30</f>
        <v>30</v>
      </c>
      <c r="W234">
        <f t="shared" ca="1" si="69"/>
        <v>118.92057689464839</v>
      </c>
      <c r="X234">
        <f t="shared" ca="1" si="79"/>
        <v>119.28053434274405</v>
      </c>
      <c r="Y234">
        <f t="shared" ca="1" si="78"/>
        <v>-0.70348240365024139</v>
      </c>
      <c r="Z234">
        <f t="shared" ca="1" si="80"/>
        <v>-0.14724559284264341</v>
      </c>
      <c r="AA234">
        <f t="shared" ca="1" si="81"/>
        <v>-0.55623681080759801</v>
      </c>
      <c r="AB234">
        <f t="shared" ca="1" si="82"/>
        <v>117.81420000000001</v>
      </c>
    </row>
    <row r="235" spans="1:28" x14ac:dyDescent="0.25">
      <c r="A235" s="20">
        <f t="shared" ca="1" si="62"/>
        <v>45628</v>
      </c>
      <c r="B235" vm="679">
        <f ca="1"/>
        <v>45630</v>
      </c>
      <c r="C235" vm="680">
        <f ca="1"/>
        <v>114.28</v>
      </c>
      <c r="D235" vm="681">
        <f ca="1"/>
        <v>19520583</v>
      </c>
      <c r="E235">
        <f t="shared" ca="1" si="63"/>
        <v>2230812225.2400002</v>
      </c>
      <c r="F235">
        <f ca="1">SUM($E$2:E235)/SUM($D$2:D235)</f>
        <v>113.20105562178225</v>
      </c>
      <c r="G235">
        <f ca="1">_xlfn.STDEV.P($C$2:C235)</f>
        <v>6.6993249786982032</v>
      </c>
      <c r="H235">
        <f t="shared" ca="1" si="64"/>
        <v>119.90038060048045</v>
      </c>
      <c r="I235">
        <f t="shared" ca="1" si="65"/>
        <v>106.50173064308404</v>
      </c>
      <c r="J235">
        <f t="shared" ca="1" si="74"/>
        <v>119.58800000000004</v>
      </c>
      <c r="K235">
        <f t="shared" ca="1" si="75"/>
        <v>1.9054895765434652</v>
      </c>
      <c r="L235">
        <f t="shared" ca="1" si="76"/>
        <v>123.39897915308697</v>
      </c>
      <c r="M235">
        <f t="shared" ca="1" si="77"/>
        <v>115.7770208469131</v>
      </c>
      <c r="N235">
        <f t="shared" ca="1" si="66"/>
        <v>-3.3900000000000006</v>
      </c>
      <c r="O235">
        <f t="shared" ca="1" si="67"/>
        <v>0</v>
      </c>
      <c r="P235">
        <f t="shared" ca="1" si="68"/>
        <v>3.3900000000000006</v>
      </c>
      <c r="Q235">
        <f t="shared" ca="1" si="72"/>
        <v>0.37033999167279141</v>
      </c>
      <c r="R235">
        <f t="shared" ca="1" si="73"/>
        <v>0.72761258052203992</v>
      </c>
      <c r="S235">
        <f t="shared" ca="1" si="70"/>
        <v>0.5089796432698892</v>
      </c>
      <c r="T235">
        <f t="shared" ca="1" si="71"/>
        <v>33.730053651814274</v>
      </c>
      <c r="U235">
        <f>70</f>
        <v>70</v>
      </c>
      <c r="V235">
        <f>30</f>
        <v>30</v>
      </c>
      <c r="W235">
        <f t="shared" ca="1" si="69"/>
        <v>118.20664198777942</v>
      </c>
      <c r="X235">
        <f t="shared" ca="1" si="79"/>
        <v>118.91012439142966</v>
      </c>
      <c r="Y235">
        <f t="shared" ca="1" si="78"/>
        <v>-0.92472295397195126</v>
      </c>
      <c r="Z235">
        <f t="shared" ca="1" si="80"/>
        <v>-0.30274106506850501</v>
      </c>
      <c r="AA235">
        <f t="shared" ca="1" si="81"/>
        <v>-0.6219818889034463</v>
      </c>
      <c r="AB235">
        <f t="shared" ca="1" si="82"/>
        <v>117.80490000000002</v>
      </c>
    </row>
    <row r="236" spans="1:28" x14ac:dyDescent="0.25">
      <c r="A236" s="20">
        <f t="shared" ca="1" si="62"/>
        <v>45628</v>
      </c>
      <c r="B236" vm="682">
        <f ca="1"/>
        <v>45631</v>
      </c>
      <c r="C236" vm="683">
        <f ca="1"/>
        <v>114.78</v>
      </c>
      <c r="D236" vm="684">
        <f ca="1"/>
        <v>15751204</v>
      </c>
      <c r="E236">
        <f t="shared" ca="1" si="63"/>
        <v>1807923195.1200001</v>
      </c>
      <c r="F236">
        <f ca="1">SUM($E$2:E236)/SUM($D$2:D236)</f>
        <v>113.20757780443053</v>
      </c>
      <c r="G236">
        <f ca="1">_xlfn.STDEV.P($C$2:C236)</f>
        <v>6.6853468467119974</v>
      </c>
      <c r="H236">
        <f t="shared" ca="1" si="64"/>
        <v>119.89292465114252</v>
      </c>
      <c r="I236">
        <f t="shared" ca="1" si="65"/>
        <v>106.52223095771853</v>
      </c>
      <c r="J236">
        <f t="shared" ca="1" si="74"/>
        <v>119.27700000000002</v>
      </c>
      <c r="K236">
        <f t="shared" ca="1" si="75"/>
        <v>2.1542567407955726</v>
      </c>
      <c r="L236">
        <f t="shared" ca="1" si="76"/>
        <v>123.58551348159116</v>
      </c>
      <c r="M236">
        <f t="shared" ca="1" si="77"/>
        <v>114.96848651840887</v>
      </c>
      <c r="N236">
        <f t="shared" ca="1" si="66"/>
        <v>0.5</v>
      </c>
      <c r="O236">
        <f t="shared" ca="1" si="67"/>
        <v>0.5</v>
      </c>
      <c r="P236">
        <f t="shared" ca="1" si="68"/>
        <v>0</v>
      </c>
      <c r="Q236">
        <f t="shared" ca="1" si="72"/>
        <v>0.3796014208390206</v>
      </c>
      <c r="R236">
        <f t="shared" ca="1" si="73"/>
        <v>0.67564025334189426</v>
      </c>
      <c r="S236">
        <f t="shared" ca="1" si="70"/>
        <v>0.56183955731087987</v>
      </c>
      <c r="T236">
        <f t="shared" ca="1" si="71"/>
        <v>35.972936828302352</v>
      </c>
      <c r="U236">
        <f>70</f>
        <v>70</v>
      </c>
      <c r="V236">
        <f>30</f>
        <v>30</v>
      </c>
      <c r="W236">
        <f t="shared" ca="1" si="69"/>
        <v>117.67946629735181</v>
      </c>
      <c r="X236">
        <f t="shared" ca="1" si="79"/>
        <v>118.60418925132376</v>
      </c>
      <c r="Y236">
        <f t="shared" ca="1" si="78"/>
        <v>-1.1840456306744613</v>
      </c>
      <c r="Z236">
        <f t="shared" ca="1" si="80"/>
        <v>-0.47900197818969625</v>
      </c>
      <c r="AA236">
        <f t="shared" ca="1" si="81"/>
        <v>-0.70504365248476508</v>
      </c>
      <c r="AB236">
        <f t="shared" ca="1" si="82"/>
        <v>117.79230000000001</v>
      </c>
    </row>
    <row r="237" spans="1:28" x14ac:dyDescent="0.25">
      <c r="A237" s="20">
        <f t="shared" ca="1" si="62"/>
        <v>45628</v>
      </c>
      <c r="B237" vm="685">
        <f ca="1"/>
        <v>45632</v>
      </c>
      <c r="C237" vm="686">
        <f ca="1"/>
        <v>113.57</v>
      </c>
      <c r="D237" vm="687">
        <f ca="1"/>
        <v>16171066</v>
      </c>
      <c r="E237">
        <f t="shared" ca="1" si="63"/>
        <v>1836547965.6199999</v>
      </c>
      <c r="F237">
        <f ca="1">SUM($E$2:E237)/SUM($D$2:D237)</f>
        <v>113.2091082853879</v>
      </c>
      <c r="G237">
        <f ca="1">_xlfn.STDEV.P($C$2:C237)</f>
        <v>6.6711886513664203</v>
      </c>
      <c r="H237">
        <f t="shared" ca="1" si="64"/>
        <v>119.88029693675432</v>
      </c>
      <c r="I237">
        <f t="shared" ca="1" si="65"/>
        <v>106.53791963402148</v>
      </c>
      <c r="J237">
        <f t="shared" ca="1" si="74"/>
        <v>118.89800000000002</v>
      </c>
      <c r="K237">
        <f t="shared" ca="1" si="75"/>
        <v>2.4534027926856816</v>
      </c>
      <c r="L237">
        <f t="shared" ca="1" si="76"/>
        <v>123.80480558537138</v>
      </c>
      <c r="M237">
        <f t="shared" ca="1" si="77"/>
        <v>113.99119441462867</v>
      </c>
      <c r="N237">
        <f t="shared" ca="1" si="66"/>
        <v>-1.210000000000008</v>
      </c>
      <c r="O237">
        <f t="shared" ca="1" si="67"/>
        <v>0</v>
      </c>
      <c r="P237">
        <f t="shared" ca="1" si="68"/>
        <v>1.210000000000008</v>
      </c>
      <c r="Q237">
        <f t="shared" ca="1" si="72"/>
        <v>0.3524870336362334</v>
      </c>
      <c r="R237">
        <f t="shared" ca="1" si="73"/>
        <v>0.71380880667461677</v>
      </c>
      <c r="S237">
        <f t="shared" ca="1" si="70"/>
        <v>0.49381155057240894</v>
      </c>
      <c r="T237">
        <f t="shared" ca="1" si="71"/>
        <v>33.057151712556177</v>
      </c>
      <c r="U237">
        <f>70</f>
        <v>70</v>
      </c>
      <c r="V237">
        <f>30</f>
        <v>30</v>
      </c>
      <c r="W237">
        <f t="shared" ca="1" si="69"/>
        <v>117.04724071314384</v>
      </c>
      <c r="X237">
        <f t="shared" ca="1" si="79"/>
        <v>118.2312863438183</v>
      </c>
      <c r="Y237">
        <f t="shared" ca="1" si="78"/>
        <v>-1.4271725639237332</v>
      </c>
      <c r="Z237">
        <f t="shared" ca="1" si="80"/>
        <v>-0.66863609533650359</v>
      </c>
      <c r="AA237">
        <f t="shared" ca="1" si="81"/>
        <v>-0.75853646858722956</v>
      </c>
      <c r="AB237">
        <f t="shared" ca="1" si="82"/>
        <v>117.75160000000001</v>
      </c>
    </row>
    <row r="238" spans="1:28" x14ac:dyDescent="0.25">
      <c r="A238" s="20">
        <f t="shared" ca="1" si="62"/>
        <v>45635</v>
      </c>
      <c r="B238" vm="688">
        <f ca="1"/>
        <v>45635</v>
      </c>
      <c r="C238" vm="689">
        <f ca="1"/>
        <v>112.9</v>
      </c>
      <c r="D238" vm="690">
        <f ca="1"/>
        <v>17412565</v>
      </c>
      <c r="E238">
        <f t="shared" ca="1" si="63"/>
        <v>1965878588.5</v>
      </c>
      <c r="F238">
        <f ca="1">SUM($E$2:E238)/SUM($D$2:D238)</f>
        <v>113.20770909254874</v>
      </c>
      <c r="G238">
        <f ca="1">_xlfn.STDEV.P($C$2:C238)</f>
        <v>6.6573694440586673</v>
      </c>
      <c r="H238">
        <f t="shared" ca="1" si="64"/>
        <v>119.86507853660741</v>
      </c>
      <c r="I238">
        <f t="shared" ca="1" si="65"/>
        <v>106.55033964849007</v>
      </c>
      <c r="J238">
        <f t="shared" ca="1" si="74"/>
        <v>118.48750000000003</v>
      </c>
      <c r="K238">
        <f t="shared" ca="1" si="75"/>
        <v>2.7345486974905695</v>
      </c>
      <c r="L238">
        <f t="shared" ca="1" si="76"/>
        <v>123.95659739498116</v>
      </c>
      <c r="M238">
        <f t="shared" ca="1" si="77"/>
        <v>113.01840260501889</v>
      </c>
      <c r="N238">
        <f t="shared" ca="1" si="66"/>
        <v>-0.66999999999998749</v>
      </c>
      <c r="O238">
        <f t="shared" ca="1" si="67"/>
        <v>0</v>
      </c>
      <c r="P238">
        <f t="shared" ca="1" si="68"/>
        <v>0.66999999999998749</v>
      </c>
      <c r="Q238">
        <f t="shared" ca="1" si="72"/>
        <v>0.32730938837650247</v>
      </c>
      <c r="R238">
        <f t="shared" ca="1" si="73"/>
        <v>0.71067960619785764</v>
      </c>
      <c r="S238">
        <f t="shared" ca="1" si="70"/>
        <v>0.46055829592129521</v>
      </c>
      <c r="T238">
        <f t="shared" ca="1" si="71"/>
        <v>31.533030705274442</v>
      </c>
      <c r="U238">
        <f>70</f>
        <v>70</v>
      </c>
      <c r="V238">
        <f>30</f>
        <v>30</v>
      </c>
      <c r="W238">
        <f t="shared" ca="1" si="69"/>
        <v>116.40920368035248</v>
      </c>
      <c r="X238">
        <f t="shared" ca="1" si="79"/>
        <v>117.83637624427621</v>
      </c>
      <c r="Y238">
        <f t="shared" ca="1" si="78"/>
        <v>-1.6197401319802935</v>
      </c>
      <c r="Z238">
        <f t="shared" ca="1" si="80"/>
        <v>-0.85885690266526171</v>
      </c>
      <c r="AA238">
        <f t="shared" ca="1" si="81"/>
        <v>-0.76088322931503183</v>
      </c>
      <c r="AB238">
        <f t="shared" ca="1" si="82"/>
        <v>117.6926</v>
      </c>
    </row>
    <row r="239" spans="1:28" x14ac:dyDescent="0.25">
      <c r="A239" s="20">
        <f t="shared" ca="1" si="62"/>
        <v>45635</v>
      </c>
      <c r="B239" vm="691">
        <f ca="1"/>
        <v>45636</v>
      </c>
      <c r="C239" vm="314">
        <f ca="1"/>
        <v>112.67</v>
      </c>
      <c r="D239" vm="692">
        <f ca="1"/>
        <v>20990943</v>
      </c>
      <c r="E239">
        <f t="shared" ca="1" si="63"/>
        <v>2365049547.8099999</v>
      </c>
      <c r="F239">
        <f ca="1">SUM($E$2:E239)/SUM($D$2:D239)</f>
        <v>113.2047908586264</v>
      </c>
      <c r="G239">
        <f ca="1">_xlfn.STDEV.P($C$2:C239)</f>
        <v>6.6437857696346514</v>
      </c>
      <c r="H239">
        <f t="shared" ca="1" si="64"/>
        <v>119.84857662826104</v>
      </c>
      <c r="I239">
        <f t="shared" ca="1" si="65"/>
        <v>106.56100508899175</v>
      </c>
      <c r="J239">
        <f t="shared" ca="1" si="74"/>
        <v>118.09750000000001</v>
      </c>
      <c r="K239">
        <f t="shared" ca="1" si="75"/>
        <v>2.9819489829375194</v>
      </c>
      <c r="L239">
        <f t="shared" ca="1" si="76"/>
        <v>124.06139796587505</v>
      </c>
      <c r="M239">
        <f t="shared" ca="1" si="77"/>
        <v>112.13360203412498</v>
      </c>
      <c r="N239">
        <f t="shared" ca="1" si="66"/>
        <v>-0.23000000000000398</v>
      </c>
      <c r="O239">
        <f t="shared" ca="1" si="67"/>
        <v>0</v>
      </c>
      <c r="P239">
        <f t="shared" ca="1" si="68"/>
        <v>0.23000000000000398</v>
      </c>
      <c r="Q239">
        <f t="shared" ca="1" si="72"/>
        <v>0.30393014634960946</v>
      </c>
      <c r="R239">
        <f t="shared" ca="1" si="73"/>
        <v>0.67634534861229667</v>
      </c>
      <c r="S239">
        <f t="shared" ca="1" si="70"/>
        <v>0.44937123759807535</v>
      </c>
      <c r="T239">
        <f t="shared" ca="1" si="71"/>
        <v>31.004564320096605</v>
      </c>
      <c r="U239">
        <f>70</f>
        <v>70</v>
      </c>
      <c r="V239">
        <f>30</f>
        <v>30</v>
      </c>
      <c r="W239">
        <f t="shared" ca="1" si="69"/>
        <v>115.83394157568286</v>
      </c>
      <c r="X239">
        <f t="shared" ca="1" si="79"/>
        <v>117.45368170766315</v>
      </c>
      <c r="Y239">
        <f t="shared" ca="1" si="78"/>
        <v>-1.81198264106186</v>
      </c>
      <c r="Z239">
        <f t="shared" ca="1" si="80"/>
        <v>-1.0494820503445814</v>
      </c>
      <c r="AA239">
        <f t="shared" ca="1" si="81"/>
        <v>-0.7625005907172786</v>
      </c>
      <c r="AB239">
        <f t="shared" ca="1" si="82"/>
        <v>117.65860000000001</v>
      </c>
    </row>
    <row r="240" spans="1:28" x14ac:dyDescent="0.25">
      <c r="A240" s="20">
        <f t="shared" ca="1" si="62"/>
        <v>45635</v>
      </c>
      <c r="B240" vm="693">
        <f ca="1"/>
        <v>45637</v>
      </c>
      <c r="C240" vm="386">
        <f ca="1"/>
        <v>111.92</v>
      </c>
      <c r="D240" vm="694">
        <f ca="1"/>
        <v>32392238</v>
      </c>
      <c r="E240">
        <f t="shared" ca="1" si="63"/>
        <v>3625339276.96</v>
      </c>
      <c r="F240">
        <f ca="1">SUM($E$2:E240)/SUM($D$2:D240)</f>
        <v>113.19412017803697</v>
      </c>
      <c r="G240">
        <f ca="1">_xlfn.STDEV.P($C$2:C240)</f>
        <v>6.6310016755828283</v>
      </c>
      <c r="H240">
        <f t="shared" ca="1" si="64"/>
        <v>119.82512185361979</v>
      </c>
      <c r="I240">
        <f t="shared" ca="1" si="65"/>
        <v>106.56311850245415</v>
      </c>
      <c r="J240">
        <f t="shared" ca="1" si="74"/>
        <v>117.676</v>
      </c>
      <c r="K240">
        <f t="shared" ca="1" si="75"/>
        <v>3.2320995294732269</v>
      </c>
      <c r="L240">
        <f t="shared" ca="1" si="76"/>
        <v>124.14019905894645</v>
      </c>
      <c r="M240">
        <f t="shared" ca="1" si="77"/>
        <v>111.21180094105355</v>
      </c>
      <c r="N240">
        <f t="shared" ca="1" si="66"/>
        <v>-0.75</v>
      </c>
      <c r="O240">
        <f t="shared" ca="1" si="67"/>
        <v>0</v>
      </c>
      <c r="P240">
        <f t="shared" ca="1" si="68"/>
        <v>0.75</v>
      </c>
      <c r="Q240">
        <f t="shared" ca="1" si="72"/>
        <v>0.28222085018178023</v>
      </c>
      <c r="R240">
        <f t="shared" ca="1" si="73"/>
        <v>0.68160639513998977</v>
      </c>
      <c r="S240">
        <f t="shared" ca="1" si="70"/>
        <v>0.41405252678683729</v>
      </c>
      <c r="T240">
        <f t="shared" ca="1" si="71"/>
        <v>29.281269185077036</v>
      </c>
      <c r="U240">
        <f>70</f>
        <v>70</v>
      </c>
      <c r="V240">
        <f>30</f>
        <v>30</v>
      </c>
      <c r="W240">
        <f t="shared" ca="1" si="69"/>
        <v>115.2317967178855</v>
      </c>
      <c r="X240">
        <f t="shared" ca="1" si="79"/>
        <v>117.04377935894736</v>
      </c>
      <c r="Y240">
        <f t="shared" ca="1" si="78"/>
        <v>-1.949927824632212</v>
      </c>
      <c r="Z240">
        <f t="shared" ca="1" si="80"/>
        <v>-1.2295712052021077</v>
      </c>
      <c r="AA240">
        <f t="shared" ca="1" si="81"/>
        <v>-0.72035661943010432</v>
      </c>
      <c r="AB240">
        <f t="shared" ca="1" si="82"/>
        <v>117.6251</v>
      </c>
    </row>
    <row r="241" spans="1:28" x14ac:dyDescent="0.25">
      <c r="A241" s="20">
        <f t="shared" ca="1" si="62"/>
        <v>45635</v>
      </c>
      <c r="B241" vm="695">
        <f ca="1"/>
        <v>45638</v>
      </c>
      <c r="C241" vm="696">
        <f ca="1"/>
        <v>111.82</v>
      </c>
      <c r="D241" vm="697">
        <f ca="1"/>
        <v>14543256</v>
      </c>
      <c r="E241">
        <f t="shared" ca="1" si="63"/>
        <v>1626226885.9199998</v>
      </c>
      <c r="F241">
        <f ca="1">SUM($E$2:E241)/SUM($D$2:D241)</f>
        <v>113.189015261265</v>
      </c>
      <c r="G241">
        <f ca="1">_xlfn.STDEV.P($C$2:C241)</f>
        <v>6.6184118488532953</v>
      </c>
      <c r="H241">
        <f t="shared" ca="1" si="64"/>
        <v>119.8074271101183</v>
      </c>
      <c r="I241">
        <f t="shared" ca="1" si="65"/>
        <v>106.5706034124117</v>
      </c>
      <c r="J241">
        <f t="shared" ca="1" si="74"/>
        <v>117.19350000000001</v>
      </c>
      <c r="K241">
        <f t="shared" ca="1" si="75"/>
        <v>3.3539062457473618</v>
      </c>
      <c r="L241">
        <f t="shared" ca="1" si="76"/>
        <v>123.90131249149474</v>
      </c>
      <c r="M241">
        <f t="shared" ca="1" si="77"/>
        <v>110.48568750850529</v>
      </c>
      <c r="N241">
        <f t="shared" ca="1" si="66"/>
        <v>-0.10000000000000853</v>
      </c>
      <c r="O241">
        <f t="shared" ca="1" si="67"/>
        <v>0</v>
      </c>
      <c r="P241">
        <f t="shared" ca="1" si="68"/>
        <v>0.10000000000000853</v>
      </c>
      <c r="Q241">
        <f t="shared" ca="1" si="72"/>
        <v>0.26206221802593876</v>
      </c>
      <c r="R241">
        <f t="shared" ca="1" si="73"/>
        <v>0.64006308120141964</v>
      </c>
      <c r="S241">
        <f t="shared" ca="1" si="70"/>
        <v>0.40943186026920858</v>
      </c>
      <c r="T241">
        <f t="shared" ca="1" si="71"/>
        <v>29.049425645238713</v>
      </c>
      <c r="U241">
        <f>70</f>
        <v>70</v>
      </c>
      <c r="V241">
        <f>30</f>
        <v>30</v>
      </c>
      <c r="W241">
        <f t="shared" ca="1" si="69"/>
        <v>114.70690491513388</v>
      </c>
      <c r="X241">
        <f t="shared" ca="1" si="79"/>
        <v>116.65683273976609</v>
      </c>
      <c r="Y241">
        <f t="shared" ca="1" si="78"/>
        <v>-2.1139597738724092</v>
      </c>
      <c r="Z241">
        <f t="shared" ca="1" si="80"/>
        <v>-1.4064489189361682</v>
      </c>
      <c r="AA241">
        <f t="shared" ca="1" si="81"/>
        <v>-0.707510854936241</v>
      </c>
      <c r="AB241">
        <f t="shared" ca="1" si="82"/>
        <v>117.60919999999999</v>
      </c>
    </row>
    <row r="242" spans="1:28" x14ac:dyDescent="0.25">
      <c r="A242" s="20">
        <f t="shared" ca="1" si="62"/>
        <v>45635</v>
      </c>
      <c r="B242" vm="698">
        <f ca="1"/>
        <v>45639</v>
      </c>
      <c r="C242" vm="699">
        <f ca="1"/>
        <v>110.84</v>
      </c>
      <c r="D242" vm="700">
        <f ca="1"/>
        <v>13106079</v>
      </c>
      <c r="E242">
        <f t="shared" ca="1" si="63"/>
        <v>1452677796.3600001</v>
      </c>
      <c r="F242">
        <f ca="1">SUM($E$2:E242)/SUM($D$2:D242)</f>
        <v>113.18117718716152</v>
      </c>
      <c r="G242">
        <f ca="1">_xlfn.STDEV.P($C$2:C242)</f>
        <v>6.6074064453633987</v>
      </c>
      <c r="H242">
        <f t="shared" ca="1" si="64"/>
        <v>119.78858363252492</v>
      </c>
      <c r="I242">
        <f t="shared" ca="1" si="65"/>
        <v>106.57377074179813</v>
      </c>
      <c r="J242">
        <f t="shared" ca="1" si="74"/>
        <v>116.70750000000002</v>
      </c>
      <c r="K242">
        <f t="shared" ca="1" si="75"/>
        <v>3.539512120706974</v>
      </c>
      <c r="L242">
        <f t="shared" ca="1" si="76"/>
        <v>123.78652424141397</v>
      </c>
      <c r="M242">
        <f t="shared" ca="1" si="77"/>
        <v>109.62847575858608</v>
      </c>
      <c r="N242">
        <f t="shared" ca="1" si="66"/>
        <v>-0.97999999999998977</v>
      </c>
      <c r="O242">
        <f t="shared" ca="1" si="67"/>
        <v>0</v>
      </c>
      <c r="P242">
        <f t="shared" ca="1" si="68"/>
        <v>0.97999999999998977</v>
      </c>
      <c r="Q242">
        <f t="shared" ca="1" si="72"/>
        <v>0.24334348816694315</v>
      </c>
      <c r="R242">
        <f t="shared" ca="1" si="73"/>
        <v>0.66434428968703174</v>
      </c>
      <c r="S242">
        <f t="shared" ca="1" si="70"/>
        <v>0.36629123173705713</v>
      </c>
      <c r="T242">
        <f t="shared" ca="1" si="71"/>
        <v>26.809162148494991</v>
      </c>
      <c r="U242">
        <f>70</f>
        <v>70</v>
      </c>
      <c r="V242">
        <f>30</f>
        <v>30</v>
      </c>
      <c r="W242">
        <f t="shared" ca="1" si="69"/>
        <v>114.11199646665175</v>
      </c>
      <c r="X242">
        <f t="shared" ca="1" si="79"/>
        <v>116.22595624052416</v>
      </c>
      <c r="Y242">
        <f t="shared" ca="1" si="78"/>
        <v>-2.407443953204492</v>
      </c>
      <c r="Z242">
        <f t="shared" ca="1" si="80"/>
        <v>-1.606647925789833</v>
      </c>
      <c r="AA242">
        <f t="shared" ca="1" si="81"/>
        <v>-0.80079602741465905</v>
      </c>
      <c r="AB242">
        <f t="shared" ca="1" si="82"/>
        <v>117.56749999999998</v>
      </c>
    </row>
    <row r="243" spans="1:28" x14ac:dyDescent="0.25">
      <c r="A243" s="20">
        <f t="shared" ca="1" si="62"/>
        <v>45642</v>
      </c>
      <c r="B243" vm="701">
        <f ca="1"/>
        <v>45642</v>
      </c>
      <c r="C243" vm="702">
        <f ca="1"/>
        <v>108.47</v>
      </c>
      <c r="D243" vm="703">
        <f ca="1"/>
        <v>20256088</v>
      </c>
      <c r="E243">
        <f t="shared" ca="1" si="63"/>
        <v>2197177865.3600001</v>
      </c>
      <c r="F243">
        <f ca="1">SUM($E$2:E243)/SUM($D$2:D243)</f>
        <v>113.15700578689467</v>
      </c>
      <c r="G243">
        <f ca="1">_xlfn.STDEV.P($C$2:C243)</f>
        <v>6.6025585314527504</v>
      </c>
      <c r="H243">
        <f t="shared" ca="1" si="64"/>
        <v>119.75956431834743</v>
      </c>
      <c r="I243">
        <f t="shared" ca="1" si="65"/>
        <v>106.55444725544191</v>
      </c>
      <c r="J243">
        <f t="shared" ca="1" si="74"/>
        <v>116.16549999999999</v>
      </c>
      <c r="K243">
        <f t="shared" ca="1" si="75"/>
        <v>3.9285921879150769</v>
      </c>
      <c r="L243">
        <f t="shared" ca="1" si="76"/>
        <v>124.02268437583015</v>
      </c>
      <c r="M243">
        <f t="shared" ca="1" si="77"/>
        <v>108.30831562416984</v>
      </c>
      <c r="N243">
        <f t="shared" ca="1" si="66"/>
        <v>-2.3700000000000045</v>
      </c>
      <c r="O243">
        <f t="shared" ca="1" si="67"/>
        <v>0</v>
      </c>
      <c r="P243">
        <f t="shared" ca="1" si="68"/>
        <v>2.3700000000000045</v>
      </c>
      <c r="Q243">
        <f t="shared" ca="1" si="72"/>
        <v>0.22596181044073291</v>
      </c>
      <c r="R243">
        <f t="shared" ca="1" si="73"/>
        <v>0.78617684042367275</v>
      </c>
      <c r="S243">
        <f t="shared" ca="1" si="70"/>
        <v>0.28741855371745817</v>
      </c>
      <c r="T243">
        <f t="shared" ca="1" si="71"/>
        <v>22.325183436849571</v>
      </c>
      <c r="U243">
        <f>70</f>
        <v>70</v>
      </c>
      <c r="V243">
        <f>30</f>
        <v>30</v>
      </c>
      <c r="W243">
        <f t="shared" ca="1" si="69"/>
        <v>113.24399701024379</v>
      </c>
      <c r="X243">
        <f t="shared" ca="1" si="79"/>
        <v>115.65144096344828</v>
      </c>
      <c r="Y243">
        <f t="shared" ca="1" si="78"/>
        <v>-2.6466415985136251</v>
      </c>
      <c r="Z243">
        <f t="shared" ca="1" si="80"/>
        <v>-1.8146466603345917</v>
      </c>
      <c r="AA243">
        <f t="shared" ca="1" si="81"/>
        <v>-0.83199493817903347</v>
      </c>
      <c r="AB243">
        <f t="shared" ca="1" si="82"/>
        <v>117.47789999999998</v>
      </c>
    </row>
    <row r="244" spans="1:28" x14ac:dyDescent="0.25">
      <c r="A244" s="20">
        <f t="shared" ca="1" si="62"/>
        <v>45642</v>
      </c>
      <c r="B244" vm="704">
        <f ca="1"/>
        <v>45643</v>
      </c>
      <c r="C244" vm="705">
        <f ca="1"/>
        <v>108.01</v>
      </c>
      <c r="D244" vm="706">
        <f ca="1"/>
        <v>17553995</v>
      </c>
      <c r="E244">
        <f t="shared" ca="1" si="63"/>
        <v>1896006999.95</v>
      </c>
      <c r="F244">
        <f ca="1">SUM($E$2:E244)/SUM($D$2:D244)</f>
        <v>113.13422227191099</v>
      </c>
      <c r="G244">
        <f ca="1">_xlfn.STDEV.P($C$2:C244)</f>
        <v>6.599253415482325</v>
      </c>
      <c r="H244">
        <f t="shared" ca="1" si="64"/>
        <v>119.73347568739331</v>
      </c>
      <c r="I244">
        <f t="shared" ca="1" si="65"/>
        <v>106.53496885642866</v>
      </c>
      <c r="J244">
        <f t="shared" ca="1" si="74"/>
        <v>115.55050000000001</v>
      </c>
      <c r="K244">
        <f t="shared" ca="1" si="75"/>
        <v>4.1990832019432647</v>
      </c>
      <c r="L244">
        <f t="shared" ca="1" si="76"/>
        <v>123.94866640388655</v>
      </c>
      <c r="M244">
        <f t="shared" ca="1" si="77"/>
        <v>107.15233359611348</v>
      </c>
      <c r="N244">
        <f t="shared" ca="1" si="66"/>
        <v>-0.45999999999999375</v>
      </c>
      <c r="O244">
        <f t="shared" ca="1" si="67"/>
        <v>0</v>
      </c>
      <c r="P244">
        <f t="shared" ca="1" si="68"/>
        <v>0.45999999999999375</v>
      </c>
      <c r="Q244">
        <f t="shared" ca="1" si="72"/>
        <v>0.20982168112353769</v>
      </c>
      <c r="R244">
        <f t="shared" ca="1" si="73"/>
        <v>0.76287849467912427</v>
      </c>
      <c r="S244">
        <f t="shared" ca="1" si="70"/>
        <v>0.27503944938412661</v>
      </c>
      <c r="T244">
        <f t="shared" ca="1" si="71"/>
        <v>21.571054096951826</v>
      </c>
      <c r="U244">
        <f>70</f>
        <v>70</v>
      </c>
      <c r="V244">
        <f>30</f>
        <v>30</v>
      </c>
      <c r="W244">
        <f t="shared" ca="1" si="69"/>
        <v>112.43876670097552</v>
      </c>
      <c r="X244">
        <f t="shared" ca="1" si="79"/>
        <v>115.08540829948915</v>
      </c>
      <c r="Y244">
        <f t="shared" ca="1" si="78"/>
        <v>-2.9307236100975587</v>
      </c>
      <c r="Z244">
        <f t="shared" ca="1" si="80"/>
        <v>-2.0378620502871851</v>
      </c>
      <c r="AA244">
        <f t="shared" ca="1" si="81"/>
        <v>-0.89286155981037352</v>
      </c>
      <c r="AB244">
        <f t="shared" ca="1" si="82"/>
        <v>117.38469999999995</v>
      </c>
    </row>
    <row r="245" spans="1:28" x14ac:dyDescent="0.25">
      <c r="A245" s="20">
        <f t="shared" ca="1" si="62"/>
        <v>45642</v>
      </c>
      <c r="B245" vm="707">
        <f ca="1"/>
        <v>45644</v>
      </c>
      <c r="C245" vm="708">
        <f ca="1"/>
        <v>106.42</v>
      </c>
      <c r="D245" vm="709">
        <f ca="1"/>
        <v>17114542</v>
      </c>
      <c r="E245">
        <f t="shared" ca="1" si="63"/>
        <v>1821329559.6400001</v>
      </c>
      <c r="F245">
        <f ca="1">SUM($E$2:E245)/SUM($D$2:D245)</f>
        <v>113.10536994620782</v>
      </c>
      <c r="G245">
        <f ca="1">_xlfn.STDEV.P($C$2:C245)</f>
        <v>6.6023084619960599</v>
      </c>
      <c r="H245">
        <f t="shared" ca="1" si="64"/>
        <v>119.70767840820388</v>
      </c>
      <c r="I245">
        <f t="shared" ca="1" si="65"/>
        <v>106.50306148421176</v>
      </c>
      <c r="J245">
        <f t="shared" ca="1" si="74"/>
        <v>114.94000000000001</v>
      </c>
      <c r="K245">
        <f t="shared" ca="1" si="75"/>
        <v>4.5965788193073838</v>
      </c>
      <c r="L245">
        <f t="shared" ca="1" si="76"/>
        <v>124.13315763861478</v>
      </c>
      <c r="M245">
        <f t="shared" ca="1" si="77"/>
        <v>105.74684236138525</v>
      </c>
      <c r="N245">
        <f t="shared" ca="1" si="66"/>
        <v>-1.5900000000000034</v>
      </c>
      <c r="O245">
        <f t="shared" ca="1" si="67"/>
        <v>0</v>
      </c>
      <c r="P245">
        <f t="shared" ca="1" si="68"/>
        <v>1.5900000000000034</v>
      </c>
      <c r="Q245">
        <f t="shared" ca="1" si="72"/>
        <v>0.19483441818614214</v>
      </c>
      <c r="R245">
        <f t="shared" ca="1" si="73"/>
        <v>0.8219586022020442</v>
      </c>
      <c r="S245">
        <f t="shared" ca="1" si="70"/>
        <v>0.23703677735615478</v>
      </c>
      <c r="T245">
        <f t="shared" ca="1" si="71"/>
        <v>19.161659676987085</v>
      </c>
      <c r="U245">
        <f>70</f>
        <v>70</v>
      </c>
      <c r="V245">
        <f>30</f>
        <v>30</v>
      </c>
      <c r="W245">
        <f t="shared" ca="1" si="69"/>
        <v>111.51280259313313</v>
      </c>
      <c r="X245">
        <f t="shared" ca="1" si="79"/>
        <v>114.44352620323069</v>
      </c>
      <c r="Y245">
        <f t="shared" ca="1" si="78"/>
        <v>-3.1924890196280273</v>
      </c>
      <c r="Z245">
        <f t="shared" ca="1" si="80"/>
        <v>-2.2687874441553539</v>
      </c>
      <c r="AA245">
        <f t="shared" ca="1" si="81"/>
        <v>-0.9237015754726734</v>
      </c>
      <c r="AB245">
        <f t="shared" ca="1" si="82"/>
        <v>117.28789999999995</v>
      </c>
    </row>
    <row r="246" spans="1:28" x14ac:dyDescent="0.25">
      <c r="A246" s="20">
        <f t="shared" ca="1" si="62"/>
        <v>45642</v>
      </c>
      <c r="B246" vm="710">
        <f ca="1"/>
        <v>45645</v>
      </c>
      <c r="C246" vm="711">
        <f ca="1"/>
        <v>105.51</v>
      </c>
      <c r="D246" vm="712">
        <f ca="1"/>
        <v>20565557</v>
      </c>
      <c r="E246">
        <f t="shared" ca="1" si="63"/>
        <v>2169871919.0700002</v>
      </c>
      <c r="F246">
        <f ca="1">SUM($E$2:E246)/SUM($D$2:D246)</f>
        <v>113.06635127764341</v>
      </c>
      <c r="G246">
        <f ca="1">_xlfn.STDEV.P($C$2:C246)</f>
        <v>6.6095396148949987</v>
      </c>
      <c r="H246">
        <f t="shared" ca="1" si="64"/>
        <v>119.6758908925384</v>
      </c>
      <c r="I246">
        <f t="shared" ca="1" si="65"/>
        <v>106.45681166274841</v>
      </c>
      <c r="J246">
        <f t="shared" ca="1" si="74"/>
        <v>114.19950000000003</v>
      </c>
      <c r="K246">
        <f t="shared" ca="1" si="75"/>
        <v>4.8691072076921857</v>
      </c>
      <c r="L246">
        <f t="shared" ca="1" si="76"/>
        <v>123.93771441538441</v>
      </c>
      <c r="M246">
        <f t="shared" ca="1" si="77"/>
        <v>104.46128558461565</v>
      </c>
      <c r="N246">
        <f t="shared" ca="1" si="66"/>
        <v>-0.90999999999999659</v>
      </c>
      <c r="O246">
        <f t="shared" ca="1" si="67"/>
        <v>0</v>
      </c>
      <c r="P246">
        <f t="shared" ca="1" si="68"/>
        <v>0.90999999999999659</v>
      </c>
      <c r="Q246">
        <f t="shared" ca="1" si="72"/>
        <v>0.18091767402998912</v>
      </c>
      <c r="R246">
        <f t="shared" ca="1" si="73"/>
        <v>0.82824727347332661</v>
      </c>
      <c r="S246">
        <f t="shared" ca="1" si="70"/>
        <v>0.21843437319303835</v>
      </c>
      <c r="T246">
        <f t="shared" ca="1" si="71"/>
        <v>17.927463144412741</v>
      </c>
      <c r="U246">
        <f>70</f>
        <v>70</v>
      </c>
      <c r="V246">
        <f>30</f>
        <v>30</v>
      </c>
      <c r="W246">
        <f t="shared" ca="1" si="69"/>
        <v>110.58929450188188</v>
      </c>
      <c r="X246">
        <f t="shared" ca="1" si="79"/>
        <v>113.78178352150991</v>
      </c>
      <c r="Y246">
        <f t="shared" ca="1" si="78"/>
        <v>-3.3324762889794783</v>
      </c>
      <c r="Z246">
        <f t="shared" ca="1" si="80"/>
        <v>-2.4815252131201788</v>
      </c>
      <c r="AA246">
        <f t="shared" ca="1" si="81"/>
        <v>-0.85095107585929952</v>
      </c>
      <c r="AB246">
        <f t="shared" ca="1" si="82"/>
        <v>117.16129999999995</v>
      </c>
    </row>
    <row r="247" spans="1:28" x14ac:dyDescent="0.25">
      <c r="A247" s="20">
        <f t="shared" ca="1" si="62"/>
        <v>45642</v>
      </c>
      <c r="B247" vm="713">
        <f ca="1"/>
        <v>45646</v>
      </c>
      <c r="C247" vm="714">
        <f ca="1"/>
        <v>105.87</v>
      </c>
      <c r="D247" vm="715">
        <f ca="1"/>
        <v>40141153</v>
      </c>
      <c r="E247">
        <f t="shared" ca="1" si="63"/>
        <v>4249743868.1100001</v>
      </c>
      <c r="F247">
        <f ca="1">SUM($E$2:E247)/SUM($D$2:D247)</f>
        <v>112.99490950318413</v>
      </c>
      <c r="G247">
        <f ca="1">_xlfn.STDEV.P($C$2:C247)</f>
        <v>6.6147769514616863</v>
      </c>
      <c r="H247">
        <f t="shared" ca="1" si="64"/>
        <v>119.60968645464582</v>
      </c>
      <c r="I247">
        <f t="shared" ca="1" si="65"/>
        <v>106.38013255172244</v>
      </c>
      <c r="J247">
        <f t="shared" ca="1" si="74"/>
        <v>113.39650000000002</v>
      </c>
      <c r="K247">
        <f t="shared" ca="1" si="75"/>
        <v>4.8513679839597268</v>
      </c>
      <c r="L247">
        <f t="shared" ca="1" si="76"/>
        <v>123.09923596791947</v>
      </c>
      <c r="M247">
        <f t="shared" ca="1" si="77"/>
        <v>103.69376403208057</v>
      </c>
      <c r="N247">
        <f t="shared" ca="1" si="66"/>
        <v>0.35999999999999943</v>
      </c>
      <c r="O247">
        <f t="shared" ca="1" si="67"/>
        <v>0.35999999999999943</v>
      </c>
      <c r="P247">
        <f t="shared" ca="1" si="68"/>
        <v>0</v>
      </c>
      <c r="Q247">
        <f t="shared" ca="1" si="72"/>
        <v>0.19370926874213271</v>
      </c>
      <c r="R247">
        <f t="shared" ca="1" si="73"/>
        <v>0.76908675393951753</v>
      </c>
      <c r="S247">
        <f t="shared" ca="1" si="70"/>
        <v>0.25186920428662901</v>
      </c>
      <c r="T247">
        <f t="shared" ca="1" si="71"/>
        <v>20.119450452505973</v>
      </c>
      <c r="U247">
        <f>70</f>
        <v>70</v>
      </c>
      <c r="V247">
        <f>30</f>
        <v>30</v>
      </c>
      <c r="W247">
        <f t="shared" ca="1" si="69"/>
        <v>109.86324919390006</v>
      </c>
      <c r="X247">
        <f t="shared" ca="1" si="79"/>
        <v>113.19572548287954</v>
      </c>
      <c r="Y247">
        <f t="shared" ca="1" si="78"/>
        <v>-3.3698739924431038</v>
      </c>
      <c r="Z247">
        <f t="shared" ca="1" si="80"/>
        <v>-2.6591949689847638</v>
      </c>
      <c r="AA247">
        <f t="shared" ca="1" si="81"/>
        <v>-0.71067902345834</v>
      </c>
      <c r="AB247">
        <f t="shared" ca="1" si="82"/>
        <v>117.03409999999998</v>
      </c>
    </row>
    <row r="248" spans="1:28" x14ac:dyDescent="0.25">
      <c r="A248" s="20">
        <f t="shared" ca="1" si="62"/>
        <v>45649</v>
      </c>
      <c r="B248" vm="716">
        <f ca="1"/>
        <v>45649</v>
      </c>
      <c r="C248" vm="717">
        <f ca="1"/>
        <v>106.3</v>
      </c>
      <c r="D248" vm="718">
        <f ca="1"/>
        <v>12285078</v>
      </c>
      <c r="E248">
        <f t="shared" ca="1" si="63"/>
        <v>1305903791.3999999</v>
      </c>
      <c r="F248">
        <f ca="1">SUM($E$2:E248)/SUM($D$2:D248)</f>
        <v>112.97463010061874</v>
      </c>
      <c r="G248">
        <f ca="1">_xlfn.STDEV.P($C$2:C248)</f>
        <v>6.6178365970604762</v>
      </c>
      <c r="H248">
        <f t="shared" ca="1" si="64"/>
        <v>119.59246669767921</v>
      </c>
      <c r="I248">
        <f t="shared" ca="1" si="65"/>
        <v>106.35679350355827</v>
      </c>
      <c r="J248">
        <f t="shared" ca="1" si="74"/>
        <v>112.622</v>
      </c>
      <c r="K248">
        <f t="shared" ca="1" si="75"/>
        <v>4.6740724945394794</v>
      </c>
      <c r="L248">
        <f t="shared" ca="1" si="76"/>
        <v>121.97014498907896</v>
      </c>
      <c r="M248">
        <f t="shared" ca="1" si="77"/>
        <v>103.27385501092104</v>
      </c>
      <c r="N248">
        <f t="shared" ca="1" si="66"/>
        <v>0.42999999999999261</v>
      </c>
      <c r="O248">
        <f t="shared" ca="1" si="67"/>
        <v>0.42999999999999261</v>
      </c>
      <c r="P248">
        <f t="shared" ca="1" si="68"/>
        <v>0</v>
      </c>
      <c r="Q248">
        <f t="shared" ca="1" si="72"/>
        <v>0.21058717811769415</v>
      </c>
      <c r="R248">
        <f t="shared" ca="1" si="73"/>
        <v>0.7141519858009806</v>
      </c>
      <c r="S248">
        <f t="shared" ca="1" si="70"/>
        <v>0.29487725624889666</v>
      </c>
      <c r="T248">
        <f t="shared" ca="1" si="71"/>
        <v>22.772602949496573</v>
      </c>
      <c r="U248">
        <f>70</f>
        <v>70</v>
      </c>
      <c r="V248">
        <f>30</f>
        <v>30</v>
      </c>
      <c r="W248">
        <f t="shared" ca="1" si="69"/>
        <v>109.31505701022313</v>
      </c>
      <c r="X248">
        <f t="shared" ca="1" si="79"/>
        <v>112.68493100266623</v>
      </c>
      <c r="Y248">
        <f t="shared" ca="1" si="78"/>
        <v>-3.3527938570662741</v>
      </c>
      <c r="Z248">
        <f t="shared" ca="1" si="80"/>
        <v>-2.7979147466010659</v>
      </c>
      <c r="AA248">
        <f t="shared" ca="1" si="81"/>
        <v>-0.55487911046520821</v>
      </c>
      <c r="AB248">
        <f t="shared" ca="1" si="82"/>
        <v>116.92759999999997</v>
      </c>
    </row>
    <row r="249" spans="1:28" x14ac:dyDescent="0.25">
      <c r="A249" s="20">
        <f t="shared" ca="1" si="62"/>
        <v>45649</v>
      </c>
      <c r="B249" vm="719">
        <f ca="1"/>
        <v>45650</v>
      </c>
      <c r="C249" vm="720">
        <f ca="1"/>
        <v>106.4</v>
      </c>
      <c r="D249" vm="721">
        <f ca="1"/>
        <v>7806997</v>
      </c>
      <c r="E249">
        <f t="shared" ca="1" si="63"/>
        <v>830664480.80000007</v>
      </c>
      <c r="F249">
        <f ca="1">SUM($E$2:E249)/SUM($D$2:D249)</f>
        <v>112.96199866602679</v>
      </c>
      <c r="G249">
        <f ca="1">_xlfn.STDEV.P($C$2:C249)</f>
        <v>6.6202973471797675</v>
      </c>
      <c r="H249">
        <f t="shared" ca="1" si="64"/>
        <v>119.58229601320656</v>
      </c>
      <c r="I249">
        <f t="shared" ca="1" si="65"/>
        <v>106.34170131884702</v>
      </c>
      <c r="J249">
        <f t="shared" ca="1" si="74"/>
        <v>111.94350000000001</v>
      </c>
      <c r="K249">
        <f t="shared" ca="1" si="75"/>
        <v>4.5341108047194503</v>
      </c>
      <c r="L249">
        <f t="shared" ca="1" si="76"/>
        <v>121.01172160943892</v>
      </c>
      <c r="M249">
        <f t="shared" ca="1" si="77"/>
        <v>102.87527839056111</v>
      </c>
      <c r="N249">
        <f t="shared" ca="1" si="66"/>
        <v>0.10000000000000853</v>
      </c>
      <c r="O249">
        <f t="shared" ca="1" si="67"/>
        <v>0.10000000000000853</v>
      </c>
      <c r="P249">
        <f t="shared" ca="1" si="68"/>
        <v>0</v>
      </c>
      <c r="Q249">
        <f t="shared" ca="1" si="72"/>
        <v>0.20268809396643089</v>
      </c>
      <c r="R249">
        <f t="shared" ca="1" si="73"/>
        <v>0.66314112967233918</v>
      </c>
      <c r="S249">
        <f t="shared" ca="1" si="70"/>
        <v>0.30564850360975188</v>
      </c>
      <c r="T249">
        <f t="shared" ca="1" si="71"/>
        <v>23.409708107865129</v>
      </c>
      <c r="U249">
        <f>70</f>
        <v>70</v>
      </c>
      <c r="V249">
        <f>30</f>
        <v>30</v>
      </c>
      <c r="W249">
        <f t="shared" ca="1" si="69"/>
        <v>108.86658670095802</v>
      </c>
      <c r="X249">
        <f t="shared" ca="1" si="79"/>
        <v>112.2193805580243</v>
      </c>
      <c r="Y249">
        <f t="shared" ca="1" si="78"/>
        <v>-3.2940240204369218</v>
      </c>
      <c r="Z249">
        <f t="shared" ca="1" si="80"/>
        <v>-2.8971366013682376</v>
      </c>
      <c r="AA249">
        <f t="shared" ca="1" si="81"/>
        <v>-0.39688741906868419</v>
      </c>
      <c r="AB249">
        <f t="shared" ca="1" si="82"/>
        <v>116.82279999999996</v>
      </c>
    </row>
    <row r="250" spans="1:28" x14ac:dyDescent="0.25">
      <c r="A250" s="20">
        <f t="shared" ca="1" si="62"/>
        <v>45649</v>
      </c>
      <c r="B250" vm="722">
        <f ca="1"/>
        <v>45652</v>
      </c>
      <c r="C250" vm="723">
        <f ca="1"/>
        <v>106.49</v>
      </c>
      <c r="D250" vm="724">
        <f ca="1"/>
        <v>9653408</v>
      </c>
      <c r="E250">
        <f t="shared" ca="1" si="63"/>
        <v>1027991417.92</v>
      </c>
      <c r="F250">
        <f ca="1">SUM($E$2:E250)/SUM($D$2:D250)</f>
        <v>112.94666005886448</v>
      </c>
      <c r="G250">
        <f ca="1">_xlfn.STDEV.P($C$2:C250)</f>
        <v>6.622222808730382</v>
      </c>
      <c r="H250">
        <f t="shared" ca="1" si="64"/>
        <v>119.56888286759487</v>
      </c>
      <c r="I250">
        <f t="shared" ca="1" si="65"/>
        <v>106.3244372501341</v>
      </c>
      <c r="J250">
        <f t="shared" ca="1" si="74"/>
        <v>111.36949999999997</v>
      </c>
      <c r="K250">
        <f t="shared" ca="1" si="75"/>
        <v>4.4570316709430564</v>
      </c>
      <c r="L250">
        <f t="shared" ca="1" si="76"/>
        <v>120.28356334188609</v>
      </c>
      <c r="M250">
        <f t="shared" ca="1" si="77"/>
        <v>102.45543665811385</v>
      </c>
      <c r="N250">
        <f t="shared" ca="1" si="66"/>
        <v>8.99999999999892E-2</v>
      </c>
      <c r="O250">
        <f t="shared" ca="1" si="67"/>
        <v>8.99999999999892E-2</v>
      </c>
      <c r="P250">
        <f t="shared" ca="1" si="68"/>
        <v>0</v>
      </c>
      <c r="Q250">
        <f t="shared" ca="1" si="72"/>
        <v>0.19463894439739934</v>
      </c>
      <c r="R250">
        <f t="shared" ca="1" si="73"/>
        <v>0.61577390612431493</v>
      </c>
      <c r="S250">
        <f t="shared" ca="1" si="70"/>
        <v>0.31608832797488634</v>
      </c>
      <c r="T250">
        <f t="shared" ca="1" si="71"/>
        <v>24.017257904054432</v>
      </c>
      <c r="U250">
        <f>70</f>
        <v>70</v>
      </c>
      <c r="V250">
        <f>30</f>
        <v>30</v>
      </c>
      <c r="W250">
        <f t="shared" ca="1" si="69"/>
        <v>108.50095797773372</v>
      </c>
      <c r="X250">
        <f t="shared" ca="1" si="79"/>
        <v>111.79498199817064</v>
      </c>
      <c r="Y250">
        <f t="shared" ca="1" si="78"/>
        <v>-3.2112382621611033</v>
      </c>
      <c r="Z250">
        <f t="shared" ca="1" si="80"/>
        <v>-2.9599569335268106</v>
      </c>
      <c r="AA250">
        <f t="shared" ca="1" si="81"/>
        <v>-0.25128132863429276</v>
      </c>
      <c r="AB250">
        <f t="shared" ca="1" si="82"/>
        <v>116.73999999999997</v>
      </c>
    </row>
    <row r="251" spans="1:28" x14ac:dyDescent="0.25">
      <c r="A251" s="20">
        <f t="shared" ca="1" si="62"/>
        <v>45649</v>
      </c>
      <c r="B251" vm="725">
        <f ca="1"/>
        <v>45653</v>
      </c>
      <c r="C251" vm="726">
        <f ca="1"/>
        <v>106.48</v>
      </c>
      <c r="D251" vm="727">
        <f ca="1"/>
        <v>11943906</v>
      </c>
      <c r="E251">
        <f t="shared" ca="1" si="63"/>
        <v>1271787110.8800001</v>
      </c>
      <c r="F251">
        <f ca="1">SUM($E$2:E251)/SUM($D$2:D251)</f>
        <v>112.9277531025964</v>
      </c>
      <c r="G251">
        <f ca="1">_xlfn.STDEV.P($C$2:C251)</f>
        <v>6.6240536621014812</v>
      </c>
      <c r="H251">
        <f t="shared" ca="1" si="64"/>
        <v>119.55180676469789</v>
      </c>
      <c r="I251">
        <f t="shared" ca="1" si="65"/>
        <v>106.30369944049491</v>
      </c>
      <c r="J251">
        <f t="shared" ca="1" si="74"/>
        <v>110.8105</v>
      </c>
      <c r="K251">
        <f t="shared" ca="1" si="75"/>
        <v>4.3257168252939957</v>
      </c>
      <c r="L251">
        <f t="shared" ca="1" si="76"/>
        <v>119.46193365058799</v>
      </c>
      <c r="M251">
        <f t="shared" ca="1" si="77"/>
        <v>102.15906634941202</v>
      </c>
      <c r="N251">
        <f t="shared" ca="1" si="66"/>
        <v>-9.9999999999909051E-3</v>
      </c>
      <c r="O251">
        <f t="shared" ca="1" si="67"/>
        <v>0</v>
      </c>
      <c r="P251">
        <f t="shared" ca="1" si="68"/>
        <v>9.9999999999909051E-3</v>
      </c>
      <c r="Q251">
        <f t="shared" ca="1" si="72"/>
        <v>0.18073616265472794</v>
      </c>
      <c r="R251">
        <f t="shared" ca="1" si="73"/>
        <v>0.57250434140114892</v>
      </c>
      <c r="S251">
        <f t="shared" ca="1" si="70"/>
        <v>0.31569396000106076</v>
      </c>
      <c r="T251">
        <f t="shared" ca="1" si="71"/>
        <v>23.994482729160381</v>
      </c>
      <c r="U251">
        <f>70</f>
        <v>70</v>
      </c>
      <c r="V251">
        <f>30</f>
        <v>30</v>
      </c>
      <c r="W251">
        <f t="shared" ca="1" si="69"/>
        <v>108.19004136577468</v>
      </c>
      <c r="X251">
        <f t="shared" ca="1" si="79"/>
        <v>111.40127962793578</v>
      </c>
      <c r="Y251">
        <f t="shared" ca="1" si="78"/>
        <v>-3.1672182149403056</v>
      </c>
      <c r="Z251">
        <f t="shared" ca="1" si="80"/>
        <v>-3.0014091898095097</v>
      </c>
      <c r="AA251">
        <f t="shared" ca="1" si="81"/>
        <v>-0.16580902513079598</v>
      </c>
      <c r="AB251">
        <f t="shared" ca="1" si="82"/>
        <v>116.66319999999996</v>
      </c>
    </row>
    <row r="252" spans="1:28" x14ac:dyDescent="0.25">
      <c r="A252" s="20">
        <f t="shared" ca="1" si="62"/>
        <v>45656</v>
      </c>
      <c r="B252" vm="728">
        <f ca="1"/>
        <v>45656</v>
      </c>
      <c r="C252" vm="729">
        <f ca="1"/>
        <v>105.76</v>
      </c>
      <c r="D252" vm="730">
        <f ca="1"/>
        <v>11080770</v>
      </c>
      <c r="E252">
        <f t="shared" ca="1" si="63"/>
        <v>1171902235.2</v>
      </c>
      <c r="F252">
        <f ca="1">SUM($E$2:E252)/SUM($D$2:D252)</f>
        <v>112.90836337209861</v>
      </c>
      <c r="G252">
        <f ca="1">_xlfn.STDEV.P($C$2:C252)</f>
        <v>6.628944799664386</v>
      </c>
      <c r="H252">
        <f t="shared" ca="1" si="64"/>
        <v>119.53730817176299</v>
      </c>
      <c r="I252">
        <f t="shared" ca="1" si="65"/>
        <v>106.27941857243422</v>
      </c>
      <c r="J252">
        <f t="shared" ca="1" si="74"/>
        <v>110.20050000000001</v>
      </c>
      <c r="K252">
        <f t="shared" ca="1" si="75"/>
        <v>4.1197527710697432</v>
      </c>
      <c r="L252">
        <f t="shared" ca="1" si="76"/>
        <v>118.44000554213949</v>
      </c>
      <c r="M252">
        <f t="shared" ca="1" si="77"/>
        <v>101.96099445786052</v>
      </c>
      <c r="N252">
        <f t="shared" ca="1" si="66"/>
        <v>-0.71999999999999886</v>
      </c>
      <c r="O252">
        <f t="shared" ca="1" si="67"/>
        <v>0</v>
      </c>
      <c r="P252">
        <f t="shared" ca="1" si="68"/>
        <v>0.71999999999999886</v>
      </c>
      <c r="Q252">
        <f t="shared" ca="1" si="72"/>
        <v>0.16782643675081882</v>
      </c>
      <c r="R252">
        <f t="shared" ca="1" si="73"/>
        <v>0.58303974558678107</v>
      </c>
      <c r="S252">
        <f t="shared" ca="1" si="70"/>
        <v>0.28784733463053269</v>
      </c>
      <c r="T252">
        <f t="shared" ca="1" si="71"/>
        <v>22.351044793140218</v>
      </c>
      <c r="U252">
        <f>70</f>
        <v>70</v>
      </c>
      <c r="V252">
        <f>30</f>
        <v>30</v>
      </c>
      <c r="W252">
        <f t="shared" ca="1" si="69"/>
        <v>107.81618884796319</v>
      </c>
      <c r="X252">
        <f t="shared" ca="1" si="79"/>
        <v>110.9834070629035</v>
      </c>
      <c r="Y252">
        <f t="shared" ca="1" si="78"/>
        <v>-2.952248454696786</v>
      </c>
      <c r="Z252">
        <f t="shared" ca="1" si="80"/>
        <v>-2.991577042786965</v>
      </c>
      <c r="AA252">
        <f t="shared" ca="1" si="81"/>
        <v>3.9328588090179029E-2</v>
      </c>
      <c r="AB252">
        <f t="shared" ca="1" si="82"/>
        <v>116.56399999999998</v>
      </c>
    </row>
    <row r="253" spans="1:28" x14ac:dyDescent="0.25">
      <c r="A253" s="20">
        <f t="shared" ca="1" si="62"/>
        <v>45656</v>
      </c>
      <c r="B253" vm="731">
        <f ca="1"/>
        <v>45657</v>
      </c>
      <c r="C253" vm="732">
        <f ca="1"/>
        <v>107.57</v>
      </c>
      <c r="D253" vm="733">
        <f ca="1"/>
        <v>12387756</v>
      </c>
      <c r="E253">
        <f t="shared" ca="1" si="63"/>
        <v>1332550912.9199998</v>
      </c>
      <c r="F253">
        <f ca="1">SUM($E$2:E253)/SUM($D$2:D253)</f>
        <v>112.89226773560512</v>
      </c>
      <c r="G253">
        <f ca="1">_xlfn.STDEV.P($C$2:C253)</f>
        <v>6.6262754077595085</v>
      </c>
      <c r="H253">
        <f t="shared" ca="1" si="64"/>
        <v>119.51854314336462</v>
      </c>
      <c r="I253">
        <f t="shared" ca="1" si="65"/>
        <v>106.26599232784561</v>
      </c>
      <c r="J253">
        <f t="shared" ca="1" si="74"/>
        <v>109.68650000000002</v>
      </c>
      <c r="K253">
        <f t="shared" ca="1" si="75"/>
        <v>3.738812469783757</v>
      </c>
      <c r="L253">
        <f t="shared" ca="1" si="76"/>
        <v>117.16412493956754</v>
      </c>
      <c r="M253">
        <f t="shared" ca="1" si="77"/>
        <v>102.2088750604325</v>
      </c>
      <c r="N253">
        <f t="shared" ca="1" si="66"/>
        <v>1.8099999999999881</v>
      </c>
      <c r="O253">
        <f t="shared" ca="1" si="67"/>
        <v>1.8099999999999881</v>
      </c>
      <c r="P253">
        <f t="shared" ca="1" si="68"/>
        <v>0</v>
      </c>
      <c r="Q253">
        <f t="shared" ca="1" si="72"/>
        <v>0.28512454841147378</v>
      </c>
      <c r="R253">
        <f t="shared" ca="1" si="73"/>
        <v>0.54139404947343961</v>
      </c>
      <c r="S253">
        <f t="shared" ca="1" si="70"/>
        <v>0.52664884050496341</v>
      </c>
      <c r="T253">
        <f t="shared" ca="1" si="71"/>
        <v>34.497051747064887</v>
      </c>
      <c r="U253">
        <f>70</f>
        <v>70</v>
      </c>
      <c r="V253">
        <f>30</f>
        <v>30</v>
      </c>
      <c r="W253">
        <f t="shared" ca="1" si="69"/>
        <v>107.77831364058423</v>
      </c>
      <c r="X253">
        <f t="shared" ca="1" si="79"/>
        <v>110.73056209528102</v>
      </c>
      <c r="Y253">
        <f t="shared" ca="1" si="78"/>
        <v>-2.7709217370735502</v>
      </c>
      <c r="Z253">
        <f t="shared" ca="1" si="80"/>
        <v>-2.9474459816442824</v>
      </c>
      <c r="AA253">
        <f t="shared" ca="1" si="81"/>
        <v>0.17652424457073224</v>
      </c>
      <c r="AB253">
        <f t="shared" ca="1" si="82"/>
        <v>116.46079999999998</v>
      </c>
    </row>
    <row r="254" spans="1:28" x14ac:dyDescent="0.25">
      <c r="A254" s="20">
        <f t="shared" ca="1" si="62"/>
        <v>45656</v>
      </c>
      <c r="B254" vm="734">
        <f ca="1"/>
        <v>45659</v>
      </c>
      <c r="C254" vm="735">
        <f ca="1"/>
        <v>107.31</v>
      </c>
      <c r="D254" vm="736">
        <f ca="1"/>
        <v>12685447</v>
      </c>
      <c r="E254">
        <f t="shared" ca="1" si="63"/>
        <v>1361275317.5699999</v>
      </c>
      <c r="F254">
        <f ca="1">SUM($E$2:E254)/SUM($D$2:D254)</f>
        <v>112.87508528988761</v>
      </c>
      <c r="G254">
        <f ca="1">_xlfn.STDEV.P($C$2:C254)</f>
        <v>6.6244762651802187</v>
      </c>
      <c r="H254">
        <f t="shared" ca="1" si="64"/>
        <v>119.49956155506783</v>
      </c>
      <c r="I254">
        <f t="shared" ca="1" si="65"/>
        <v>106.25060902470739</v>
      </c>
      <c r="J254">
        <f t="shared" ca="1" si="74"/>
        <v>109.16849999999999</v>
      </c>
      <c r="K254">
        <f t="shared" ca="1" si="75"/>
        <v>3.2617452141614707</v>
      </c>
      <c r="L254">
        <f t="shared" ca="1" si="76"/>
        <v>115.69199042832294</v>
      </c>
      <c r="M254">
        <f t="shared" ca="1" si="77"/>
        <v>102.64500957167705</v>
      </c>
      <c r="N254">
        <f t="shared" ca="1" si="66"/>
        <v>-0.25999999999999091</v>
      </c>
      <c r="O254">
        <f t="shared" ca="1" si="67"/>
        <v>0</v>
      </c>
      <c r="P254">
        <f t="shared" ca="1" si="68"/>
        <v>0.25999999999999091</v>
      </c>
      <c r="Q254">
        <f t="shared" ca="1" si="72"/>
        <v>0.26475850923922567</v>
      </c>
      <c r="R254">
        <f t="shared" ca="1" si="73"/>
        <v>0.52129447451105038</v>
      </c>
      <c r="S254">
        <f t="shared" ca="1" si="70"/>
        <v>0.50788665943094191</v>
      </c>
      <c r="T254">
        <f t="shared" ca="1" si="71"/>
        <v>33.682018224275041</v>
      </c>
      <c r="U254">
        <f>70</f>
        <v>70</v>
      </c>
      <c r="V254">
        <f>30</f>
        <v>30</v>
      </c>
      <c r="W254">
        <f t="shared" ca="1" si="69"/>
        <v>107.70626538818665</v>
      </c>
      <c r="X254">
        <f t="shared" ca="1" si="79"/>
        <v>110.4771871252602</v>
      </c>
      <c r="Y254">
        <f t="shared" ca="1" si="78"/>
        <v>-2.5534045453508014</v>
      </c>
      <c r="Z254">
        <f t="shared" ca="1" si="80"/>
        <v>-2.8686376943855865</v>
      </c>
      <c r="AA254">
        <f t="shared" ca="1" si="81"/>
        <v>0.31523314903478505</v>
      </c>
      <c r="AB254">
        <f t="shared" ca="1" si="82"/>
        <v>116.34539999999997</v>
      </c>
    </row>
    <row r="255" spans="1:28" x14ac:dyDescent="0.25">
      <c r="A255" s="20">
        <f t="shared" ca="1" si="62"/>
        <v>45656</v>
      </c>
      <c r="B255" vm="737">
        <f ca="1"/>
        <v>45660</v>
      </c>
      <c r="C255" vm="738">
        <f ca="1"/>
        <v>107.86</v>
      </c>
      <c r="D255" vm="739">
        <f ca="1"/>
        <v>14237885</v>
      </c>
      <c r="E255">
        <f t="shared" ca="1" si="63"/>
        <v>1535698276.0999999</v>
      </c>
      <c r="F255">
        <f ca="1">SUM($E$2:E255)/SUM($D$2:D255)</f>
        <v>112.85781917751115</v>
      </c>
      <c r="G255">
        <f ca="1">_xlfn.STDEV.P($C$2:C255)</f>
        <v>6.6206910794040796</v>
      </c>
      <c r="H255">
        <f t="shared" ca="1" si="64"/>
        <v>119.47851025691523</v>
      </c>
      <c r="I255">
        <f t="shared" ca="1" si="65"/>
        <v>106.23712809810706</v>
      </c>
      <c r="J255">
        <f t="shared" ca="1" si="74"/>
        <v>108.84750000000001</v>
      </c>
      <c r="K255">
        <f t="shared" ca="1" si="75"/>
        <v>3.040642028810431</v>
      </c>
      <c r="L255">
        <f t="shared" ca="1" si="76"/>
        <v>114.92878405762087</v>
      </c>
      <c r="M255">
        <f t="shared" ca="1" si="77"/>
        <v>102.76621594237915</v>
      </c>
      <c r="N255">
        <f t="shared" ca="1" si="66"/>
        <v>0.54999999999999716</v>
      </c>
      <c r="O255">
        <f t="shared" ca="1" si="67"/>
        <v>0.54999999999999716</v>
      </c>
      <c r="P255">
        <f t="shared" ca="1" si="68"/>
        <v>0</v>
      </c>
      <c r="Q255">
        <f t="shared" ca="1" si="72"/>
        <v>0.28513290143642361</v>
      </c>
      <c r="R255">
        <f t="shared" ca="1" si="73"/>
        <v>0.48405915490311818</v>
      </c>
      <c r="S255">
        <f t="shared" ca="1" si="70"/>
        <v>0.58904557128661561</v>
      </c>
      <c r="T255">
        <f t="shared" ca="1" si="71"/>
        <v>37.069142756533928</v>
      </c>
      <c r="U255">
        <f>70</f>
        <v>70</v>
      </c>
      <c r="V255">
        <f>30</f>
        <v>30</v>
      </c>
      <c r="W255">
        <f t="shared" ca="1" si="69"/>
        <v>107.72991686692717</v>
      </c>
      <c r="X255">
        <f t="shared" ca="1" si="79"/>
        <v>110.28332141227797</v>
      </c>
      <c r="Y255">
        <f t="shared" ca="1" si="78"/>
        <v>-2.3634591154215627</v>
      </c>
      <c r="Z255">
        <f t="shared" ca="1" si="80"/>
        <v>-2.7676019785927819</v>
      </c>
      <c r="AA255">
        <f t="shared" ca="1" si="81"/>
        <v>0.40414286317121917</v>
      </c>
      <c r="AB255">
        <f t="shared" ca="1" si="82"/>
        <v>116.23399999999999</v>
      </c>
    </row>
    <row r="256" spans="1:28" x14ac:dyDescent="0.25">
      <c r="A256" s="20">
        <f t="shared" ca="1" si="62"/>
        <v>45663</v>
      </c>
      <c r="B256" vm="740">
        <f ca="1"/>
        <v>45663</v>
      </c>
      <c r="C256" vm="741">
        <f ca="1"/>
        <v>107.74</v>
      </c>
      <c r="D256" vm="742">
        <f ca="1"/>
        <v>15623677</v>
      </c>
      <c r="E256">
        <f t="shared" ca="1" si="63"/>
        <v>1683294959.98</v>
      </c>
      <c r="F256">
        <f ca="1">SUM($E$2:E256)/SUM($D$2:D256)</f>
        <v>112.83855718076055</v>
      </c>
      <c r="G256">
        <f ca="1">_xlfn.STDEV.P($C$2:C256)</f>
        <v>6.6172598777076583</v>
      </c>
      <c r="H256">
        <f t="shared" ca="1" si="64"/>
        <v>119.4558170584682</v>
      </c>
      <c r="I256">
        <f t="shared" ca="1" si="65"/>
        <v>106.22129730305289</v>
      </c>
      <c r="J256">
        <f t="shared" ca="1" si="74"/>
        <v>108.49549999999999</v>
      </c>
      <c r="K256">
        <f t="shared" ca="1" si="75"/>
        <v>2.7068966013732978</v>
      </c>
      <c r="L256">
        <f t="shared" ca="1" si="76"/>
        <v>113.90929320274658</v>
      </c>
      <c r="M256">
        <f t="shared" ca="1" si="77"/>
        <v>103.0817067972534</v>
      </c>
      <c r="N256">
        <f t="shared" ca="1" si="66"/>
        <v>-0.12000000000000455</v>
      </c>
      <c r="O256">
        <f t="shared" ca="1" si="67"/>
        <v>0</v>
      </c>
      <c r="P256">
        <f t="shared" ca="1" si="68"/>
        <v>0.12000000000000455</v>
      </c>
      <c r="Q256">
        <f t="shared" ca="1" si="72"/>
        <v>0.2647662656195362</v>
      </c>
      <c r="R256">
        <f t="shared" ca="1" si="73"/>
        <v>0.45805492955289578</v>
      </c>
      <c r="S256">
        <f t="shared" ca="1" si="70"/>
        <v>0.57802295868308351</v>
      </c>
      <c r="T256">
        <f t="shared" ca="1" si="71"/>
        <v>36.629565843925633</v>
      </c>
      <c r="U256">
        <f>70</f>
        <v>70</v>
      </c>
      <c r="V256">
        <f>30</f>
        <v>30</v>
      </c>
      <c r="W256">
        <f t="shared" ca="1" si="69"/>
        <v>107.73146811816915</v>
      </c>
      <c r="X256">
        <f t="shared" ca="1" si="79"/>
        <v>110.09492723359071</v>
      </c>
      <c r="Y256">
        <f t="shared" ca="1" si="78"/>
        <v>-2.1071376633069718</v>
      </c>
      <c r="Z256">
        <f t="shared" ca="1" si="80"/>
        <v>-2.6355091155356201</v>
      </c>
      <c r="AA256">
        <f t="shared" ca="1" si="81"/>
        <v>0.52837145222864823</v>
      </c>
      <c r="AB256">
        <f t="shared" ca="1" si="82"/>
        <v>116.1328</v>
      </c>
    </row>
    <row r="257" spans="1:28" x14ac:dyDescent="0.25">
      <c r="A257" s="20">
        <f t="shared" ca="1" si="62"/>
        <v>45663</v>
      </c>
      <c r="B257" vm="743">
        <f ca="1"/>
        <v>45664</v>
      </c>
      <c r="C257" vm="744">
        <f ca="1"/>
        <v>108.75</v>
      </c>
      <c r="D257" vm="745">
        <f ca="1"/>
        <v>12625890</v>
      </c>
      <c r="E257">
        <f t="shared" ca="1" si="63"/>
        <v>1373065537.5</v>
      </c>
      <c r="F257">
        <f ca="1">SUM($E$2:E257)/SUM($D$2:D257)</f>
        <v>112.82615933385297</v>
      </c>
      <c r="G257">
        <f ca="1">_xlfn.STDEV.P($C$2:C257)</f>
        <v>6.6107108485607533</v>
      </c>
      <c r="H257">
        <f t="shared" ca="1" si="64"/>
        <v>119.43687018241373</v>
      </c>
      <c r="I257">
        <f t="shared" ca="1" si="65"/>
        <v>106.21544848529221</v>
      </c>
      <c r="J257">
        <f t="shared" ca="1" si="74"/>
        <v>108.25449999999998</v>
      </c>
      <c r="K257">
        <f t="shared" ca="1" si="75"/>
        <v>2.4319268405720464</v>
      </c>
      <c r="L257">
        <f t="shared" ca="1" si="76"/>
        <v>113.11835368114407</v>
      </c>
      <c r="M257">
        <f t="shared" ca="1" si="77"/>
        <v>103.39064631885589</v>
      </c>
      <c r="N257">
        <f t="shared" ca="1" si="66"/>
        <v>1.0100000000000051</v>
      </c>
      <c r="O257">
        <f t="shared" ca="1" si="67"/>
        <v>1.0100000000000051</v>
      </c>
      <c r="P257">
        <f t="shared" ca="1" si="68"/>
        <v>0</v>
      </c>
      <c r="Q257">
        <f t="shared" ca="1" si="72"/>
        <v>0.31799724664671253</v>
      </c>
      <c r="R257">
        <f t="shared" ca="1" si="73"/>
        <v>0.42533672029911751</v>
      </c>
      <c r="S257">
        <f t="shared" ca="1" si="70"/>
        <v>0.74763647592684068</v>
      </c>
      <c r="T257">
        <f t="shared" ca="1" si="71"/>
        <v>42.779862186747934</v>
      </c>
      <c r="U257">
        <f>70</f>
        <v>70</v>
      </c>
      <c r="V257">
        <f>30</f>
        <v>30</v>
      </c>
      <c r="W257">
        <f t="shared" ca="1" si="69"/>
        <v>107.8881653307585</v>
      </c>
      <c r="X257">
        <f t="shared" ca="1" si="79"/>
        <v>109.99530299406547</v>
      </c>
      <c r="Y257">
        <f t="shared" ca="1" si="78"/>
        <v>-2.02748823315099</v>
      </c>
      <c r="Z257">
        <f t="shared" ca="1" si="80"/>
        <v>-2.5139049390586941</v>
      </c>
      <c r="AA257">
        <f t="shared" ca="1" si="81"/>
        <v>0.48641670590770403</v>
      </c>
      <c r="AB257">
        <f t="shared" ca="1" si="82"/>
        <v>116.03079999999999</v>
      </c>
    </row>
    <row r="258" spans="1:28" x14ac:dyDescent="0.25">
      <c r="A258" s="20">
        <f t="shared" ca="1" si="62"/>
        <v>45663</v>
      </c>
      <c r="B258" vm="746">
        <f ca="1"/>
        <v>45665</v>
      </c>
      <c r="C258" vm="747">
        <f ca="1"/>
        <v>106.93</v>
      </c>
      <c r="D258" vm="748">
        <f ca="1"/>
        <v>17858110</v>
      </c>
      <c r="E258">
        <f t="shared" ca="1" si="63"/>
        <v>1909567702.3000002</v>
      </c>
      <c r="F258">
        <f ca="1">SUM($E$2:E258)/SUM($D$2:D258)</f>
        <v>112.80097907339268</v>
      </c>
      <c r="G258">
        <f ca="1">_xlfn.STDEV.P($C$2:C258)</f>
        <v>6.6100819600287117</v>
      </c>
      <c r="H258">
        <f t="shared" ca="1" si="64"/>
        <v>119.41106103342139</v>
      </c>
      <c r="I258">
        <f t="shared" ca="1" si="65"/>
        <v>106.19089711336397</v>
      </c>
      <c r="J258">
        <f t="shared" ca="1" si="74"/>
        <v>107.95599999999997</v>
      </c>
      <c r="K258">
        <f t="shared" ca="1" si="75"/>
        <v>2.1856310662814828</v>
      </c>
      <c r="L258">
        <f t="shared" ca="1" si="76"/>
        <v>112.32726213256294</v>
      </c>
      <c r="M258">
        <f t="shared" ca="1" si="77"/>
        <v>103.58473786743701</v>
      </c>
      <c r="N258">
        <f t="shared" ca="1" si="66"/>
        <v>-1.8199999999999932</v>
      </c>
      <c r="O258">
        <f t="shared" ca="1" si="67"/>
        <v>0</v>
      </c>
      <c r="P258">
        <f t="shared" ca="1" si="68"/>
        <v>1.8199999999999932</v>
      </c>
      <c r="Q258">
        <f t="shared" ca="1" si="72"/>
        <v>0.29528315760051876</v>
      </c>
      <c r="R258">
        <f t="shared" ca="1" si="73"/>
        <v>0.52495552599203721</v>
      </c>
      <c r="S258">
        <f t="shared" ca="1" si="70"/>
        <v>0.56249175974003895</v>
      </c>
      <c r="T258">
        <f t="shared" ca="1" si="71"/>
        <v>35.999662477171981</v>
      </c>
      <c r="U258">
        <f>70</f>
        <v>70</v>
      </c>
      <c r="V258">
        <f>30</f>
        <v>30</v>
      </c>
      <c r="W258">
        <f t="shared" ca="1" si="69"/>
        <v>107.74075527987259</v>
      </c>
      <c r="X258">
        <f t="shared" ca="1" si="79"/>
        <v>109.76824351302358</v>
      </c>
      <c r="Y258">
        <f t="shared" ca="1" si="78"/>
        <v>-1.9730906655569953</v>
      </c>
      <c r="Z258">
        <f t="shared" ca="1" si="80"/>
        <v>-2.4057420843583546</v>
      </c>
      <c r="AA258">
        <f t="shared" ca="1" si="81"/>
        <v>0.43265141880135927</v>
      </c>
      <c r="AB258">
        <f t="shared" ca="1" si="82"/>
        <v>115.91279999999999</v>
      </c>
    </row>
    <row r="259" spans="1:28" x14ac:dyDescent="0.25">
      <c r="A259" s="20">
        <f t="shared" ref="A259:A322" ca="1" si="83">B259 - WEEKDAY(B259, 2) + 1</f>
        <v>45663</v>
      </c>
      <c r="B259" vm="749">
        <f ca="1"/>
        <v>45667</v>
      </c>
      <c r="C259" vm="750">
        <f ca="1"/>
        <v>106.54</v>
      </c>
      <c r="D259" vm="751">
        <f ca="1"/>
        <v>19304499</v>
      </c>
      <c r="E259">
        <f t="shared" ref="E259:E322" ca="1" si="84">C259*D259</f>
        <v>2056701323.46</v>
      </c>
      <c r="F259">
        <f ca="1">SUM($E$2:E259)/SUM($D$2:D259)</f>
        <v>112.772208005083</v>
      </c>
      <c r="G259">
        <f ca="1">_xlfn.STDEV.P($C$2:C259)</f>
        <v>6.6108735982915441</v>
      </c>
      <c r="H259">
        <f t="shared" ref="H259:H322" ca="1" si="85">F259 + G259</f>
        <v>119.38308160337455</v>
      </c>
      <c r="I259">
        <f t="shared" ref="I259:I322" ca="1" si="86">F259 - G259</f>
        <v>106.16133440679145</v>
      </c>
      <c r="J259">
        <f t="shared" ca="1" si="74"/>
        <v>107.64949999999999</v>
      </c>
      <c r="K259">
        <f t="shared" ca="1" si="75"/>
        <v>1.9010674979018871</v>
      </c>
      <c r="L259">
        <f t="shared" ca="1" si="76"/>
        <v>111.45163499580376</v>
      </c>
      <c r="M259">
        <f t="shared" ca="1" si="77"/>
        <v>103.84736500419622</v>
      </c>
      <c r="N259">
        <f t="shared" ca="1" si="66"/>
        <v>-0.39000000000000057</v>
      </c>
      <c r="O259">
        <f t="shared" ca="1" si="67"/>
        <v>0</v>
      </c>
      <c r="P259">
        <f t="shared" ca="1" si="68"/>
        <v>0.39000000000000057</v>
      </c>
      <c r="Q259">
        <f t="shared" ca="1" si="72"/>
        <v>0.27419150348619598</v>
      </c>
      <c r="R259">
        <f t="shared" ca="1" si="73"/>
        <v>0.51531584556403465</v>
      </c>
      <c r="S259">
        <f t="shared" ca="1" si="70"/>
        <v>0.53208436310760432</v>
      </c>
      <c r="T259">
        <f t="shared" ca="1" si="71"/>
        <v>34.729442837491703</v>
      </c>
      <c r="U259">
        <f>70</f>
        <v>70</v>
      </c>
      <c r="V259">
        <f>30</f>
        <v>30</v>
      </c>
      <c r="W259">
        <f t="shared" ca="1" si="69"/>
        <v>107.55602369835373</v>
      </c>
      <c r="X259">
        <f t="shared" ca="1" si="79"/>
        <v>109.52911436391072</v>
      </c>
      <c r="Y259">
        <f t="shared" ca="1" si="78"/>
        <v>-1.6886129055838239</v>
      </c>
      <c r="Z259">
        <f t="shared" ca="1" si="80"/>
        <v>-2.2623162486034483</v>
      </c>
      <c r="AA259">
        <f t="shared" ca="1" si="81"/>
        <v>0.57370334301962433</v>
      </c>
      <c r="AB259">
        <f t="shared" ca="1" si="82"/>
        <v>115.79649999999999</v>
      </c>
    </row>
    <row r="260" spans="1:28" x14ac:dyDescent="0.25">
      <c r="A260" s="20">
        <f t="shared" ca="1" si="83"/>
        <v>45670</v>
      </c>
      <c r="B260" vm="752">
        <f ca="1"/>
        <v>45670</v>
      </c>
      <c r="C260" vm="753">
        <f ca="1"/>
        <v>109.29</v>
      </c>
      <c r="D260" vm="754">
        <f ca="1"/>
        <v>17073395</v>
      </c>
      <c r="E260">
        <f t="shared" ca="1" si="84"/>
        <v>1865951339.5500002</v>
      </c>
      <c r="F260">
        <f ca="1">SUM($E$2:E260)/SUM($D$2:D260)</f>
        <v>112.75811290007063</v>
      </c>
      <c r="G260">
        <f ca="1">_xlfn.STDEV.P($C$2:C260)</f>
        <v>6.6028732389705445</v>
      </c>
      <c r="H260">
        <f t="shared" ca="1" si="85"/>
        <v>119.36098613904117</v>
      </c>
      <c r="I260">
        <f t="shared" ca="1" si="86"/>
        <v>106.15523966110008</v>
      </c>
      <c r="J260">
        <f t="shared" ca="1" si="74"/>
        <v>107.51799999999999</v>
      </c>
      <c r="K260">
        <f t="shared" ca="1" si="75"/>
        <v>1.6666278591973154</v>
      </c>
      <c r="L260">
        <f t="shared" ca="1" si="76"/>
        <v>110.85125571839461</v>
      </c>
      <c r="M260">
        <f t="shared" ca="1" si="77"/>
        <v>104.18474428160536</v>
      </c>
      <c r="N260">
        <f t="shared" ref="N260:N323" ca="1" si="87">C260-C259</f>
        <v>2.75</v>
      </c>
      <c r="O260">
        <f t="shared" ref="O260:O323" ca="1" si="88">MAX(N260,0)</f>
        <v>2.75</v>
      </c>
      <c r="P260">
        <f t="shared" ref="P260:P323" ca="1" si="89">MAX(-N260,0)</f>
        <v>0</v>
      </c>
      <c r="Q260">
        <f t="shared" ca="1" si="72"/>
        <v>0.45103496752289629</v>
      </c>
      <c r="R260">
        <f t="shared" ca="1" si="73"/>
        <v>0.4785075708808893</v>
      </c>
      <c r="S260">
        <f t="shared" ca="1" si="70"/>
        <v>0.94258689928893202</v>
      </c>
      <c r="T260">
        <f t="shared" ca="1" si="71"/>
        <v>48.52225141814548</v>
      </c>
      <c r="U260">
        <f>70</f>
        <v>70</v>
      </c>
      <c r="V260">
        <f>30</f>
        <v>30</v>
      </c>
      <c r="W260">
        <f t="shared" ca="1" si="69"/>
        <v>107.82278928322239</v>
      </c>
      <c r="X260">
        <f t="shared" ca="1" si="79"/>
        <v>109.51140218880622</v>
      </c>
      <c r="Y260">
        <f t="shared" ca="1" si="78"/>
        <v>-1.4121860234899373</v>
      </c>
      <c r="Z260">
        <f t="shared" ca="1" si="80"/>
        <v>-2.0922902035807462</v>
      </c>
      <c r="AA260">
        <f t="shared" ca="1" si="81"/>
        <v>0.68010418009080897</v>
      </c>
      <c r="AB260">
        <f t="shared" ca="1" si="82"/>
        <v>115.70410000000001</v>
      </c>
    </row>
    <row r="261" spans="1:28" x14ac:dyDescent="0.25">
      <c r="A261" s="20">
        <f t="shared" ca="1" si="83"/>
        <v>45670</v>
      </c>
      <c r="B261" vm="755">
        <f ca="1"/>
        <v>45671</v>
      </c>
      <c r="C261" vm="516">
        <f ca="1"/>
        <v>109.72</v>
      </c>
      <c r="D261" vm="756">
        <f ca="1"/>
        <v>11191175</v>
      </c>
      <c r="E261">
        <f t="shared" ca="1" si="84"/>
        <v>1227895721</v>
      </c>
      <c r="F261">
        <f ca="1">SUM($E$2:E261)/SUM($D$2:D261)</f>
        <v>112.75007351980716</v>
      </c>
      <c r="G261">
        <f ca="1">_xlfn.STDEV.P($C$2:C261)</f>
        <v>6.5939345011625123</v>
      </c>
      <c r="H261">
        <f t="shared" ca="1" si="85"/>
        <v>119.34400802096967</v>
      </c>
      <c r="I261">
        <f t="shared" ca="1" si="86"/>
        <v>106.15613901864465</v>
      </c>
      <c r="J261">
        <f t="shared" ca="1" si="74"/>
        <v>107.41299999999998</v>
      </c>
      <c r="K261">
        <f t="shared" ca="1" si="75"/>
        <v>1.4307969807069061</v>
      </c>
      <c r="L261">
        <f t="shared" ca="1" si="76"/>
        <v>110.2745939614138</v>
      </c>
      <c r="M261">
        <f t="shared" ca="1" si="77"/>
        <v>104.55140603858617</v>
      </c>
      <c r="N261">
        <f t="shared" ca="1" si="87"/>
        <v>0.42999999999999261</v>
      </c>
      <c r="O261">
        <f t="shared" ca="1" si="88"/>
        <v>0.42999999999999261</v>
      </c>
      <c r="P261">
        <f t="shared" ca="1" si="89"/>
        <v>0</v>
      </c>
      <c r="Q261">
        <f t="shared" ca="1" si="72"/>
        <v>0.44953246984268885</v>
      </c>
      <c r="R261">
        <f t="shared" ca="1" si="73"/>
        <v>0.44432845867511145</v>
      </c>
      <c r="S261">
        <f t="shared" ca="1" si="70"/>
        <v>1.0117120816053391</v>
      </c>
      <c r="T261">
        <f t="shared" ca="1" si="71"/>
        <v>50.29109736210345</v>
      </c>
      <c r="U261">
        <f>70</f>
        <v>70</v>
      </c>
      <c r="V261">
        <f>30</f>
        <v>30</v>
      </c>
      <c r="W261">
        <f t="shared" ca="1" si="69"/>
        <v>108.11466785503433</v>
      </c>
      <c r="X261">
        <f t="shared" ca="1" si="79"/>
        <v>109.52685387852426</v>
      </c>
      <c r="Y261">
        <f t="shared" ca="1" si="78"/>
        <v>-1.0367269446586675</v>
      </c>
      <c r="Z261">
        <f t="shared" ca="1" si="80"/>
        <v>-1.8811775517963307</v>
      </c>
      <c r="AA261">
        <f t="shared" ca="1" si="81"/>
        <v>0.84445060713766318</v>
      </c>
      <c r="AB261">
        <f t="shared" ca="1" si="82"/>
        <v>115.65550000000002</v>
      </c>
    </row>
    <row r="262" spans="1:28" x14ac:dyDescent="0.25">
      <c r="A262" s="20">
        <f t="shared" ca="1" si="83"/>
        <v>45670</v>
      </c>
      <c r="B262" vm="757">
        <f ca="1"/>
        <v>45672</v>
      </c>
      <c r="C262" vm="758">
        <f ca="1"/>
        <v>111.51</v>
      </c>
      <c r="D262" vm="759">
        <f ca="1"/>
        <v>14521095</v>
      </c>
      <c r="E262">
        <f t="shared" ca="1" si="84"/>
        <v>1619247303.45</v>
      </c>
      <c r="F262">
        <f ca="1">SUM($E$2:E262)/SUM($D$2:D262)</f>
        <v>112.74583024497035</v>
      </c>
      <c r="G262">
        <f ca="1">_xlfn.STDEV.P($C$2:C262)</f>
        <v>6.5822282669901808</v>
      </c>
      <c r="H262">
        <f t="shared" ca="1" si="85"/>
        <v>119.32805851196053</v>
      </c>
      <c r="I262">
        <f t="shared" ca="1" si="86"/>
        <v>106.16360197798016</v>
      </c>
      <c r="J262">
        <f t="shared" ca="1" si="74"/>
        <v>107.44649999999999</v>
      </c>
      <c r="K262">
        <f t="shared" ca="1" si="75"/>
        <v>1.5203021687186153</v>
      </c>
      <c r="L262">
        <f t="shared" ca="1" si="76"/>
        <v>110.48710433743722</v>
      </c>
      <c r="M262">
        <f t="shared" ca="1" si="77"/>
        <v>104.40589566256276</v>
      </c>
      <c r="N262">
        <f t="shared" ca="1" si="87"/>
        <v>1.7900000000000063</v>
      </c>
      <c r="O262">
        <f t="shared" ca="1" si="88"/>
        <v>1.7900000000000063</v>
      </c>
      <c r="P262">
        <f t="shared" ca="1" si="89"/>
        <v>0</v>
      </c>
      <c r="Q262">
        <f t="shared" ca="1" si="72"/>
        <v>0.54528015056821155</v>
      </c>
      <c r="R262">
        <f t="shared" ca="1" si="73"/>
        <v>0.41259071162688921</v>
      </c>
      <c r="S262">
        <f t="shared" ca="1" si="70"/>
        <v>1.3216006449057318</v>
      </c>
      <c r="T262">
        <f t="shared" ca="1" si="71"/>
        <v>56.926269718511172</v>
      </c>
      <c r="U262">
        <f>70</f>
        <v>70</v>
      </c>
      <c r="V262">
        <f>30</f>
        <v>30</v>
      </c>
      <c r="W262">
        <f t="shared" ca="1" si="69"/>
        <v>108.63702664656751</v>
      </c>
      <c r="X262">
        <f t="shared" ca="1" si="79"/>
        <v>109.67375359122617</v>
      </c>
      <c r="Y262">
        <f t="shared" ca="1" si="78"/>
        <v>-0.74590599178904426</v>
      </c>
      <c r="Z262">
        <f t="shared" ca="1" si="80"/>
        <v>-1.6541232397948735</v>
      </c>
      <c r="AA262">
        <f t="shared" ca="1" si="81"/>
        <v>0.90821724800582926</v>
      </c>
      <c r="AB262">
        <f t="shared" ca="1" si="82"/>
        <v>115.63210000000002</v>
      </c>
    </row>
    <row r="263" spans="1:28" x14ac:dyDescent="0.25">
      <c r="A263" s="20">
        <f t="shared" ca="1" si="83"/>
        <v>45670</v>
      </c>
      <c r="B263" vm="760">
        <f ca="1"/>
        <v>45673</v>
      </c>
      <c r="C263" vm="761">
        <f ca="1"/>
        <v>111.32</v>
      </c>
      <c r="D263" vm="762">
        <f ca="1"/>
        <v>10366585</v>
      </c>
      <c r="E263">
        <f t="shared" ca="1" si="84"/>
        <v>1154008242.2</v>
      </c>
      <c r="F263">
        <f ca="1">SUM($E$2:E263)/SUM($D$2:D263)</f>
        <v>112.74235569716734</v>
      </c>
      <c r="G263">
        <f ca="1">_xlfn.STDEV.P($C$2:C263)</f>
        <v>6.5707910651400017</v>
      </c>
      <c r="H263">
        <f t="shared" ca="1" si="85"/>
        <v>119.31314676230734</v>
      </c>
      <c r="I263">
        <f t="shared" ca="1" si="86"/>
        <v>106.17156463202734</v>
      </c>
      <c r="J263">
        <f t="shared" ca="1" si="74"/>
        <v>107.58899999999998</v>
      </c>
      <c r="K263">
        <f t="shared" ca="1" si="75"/>
        <v>1.7391071514459717</v>
      </c>
      <c r="L263">
        <f t="shared" ca="1" si="76"/>
        <v>111.06721430289193</v>
      </c>
      <c r="M263">
        <f t="shared" ca="1" si="77"/>
        <v>104.11078569710804</v>
      </c>
      <c r="N263">
        <f t="shared" ca="1" si="87"/>
        <v>-0.19000000000001194</v>
      </c>
      <c r="O263">
        <f t="shared" ca="1" si="88"/>
        <v>0</v>
      </c>
      <c r="P263">
        <f t="shared" ca="1" si="89"/>
        <v>0.19000000000001194</v>
      </c>
      <c r="Q263">
        <f t="shared" ca="1" si="72"/>
        <v>0.50633156838476789</v>
      </c>
      <c r="R263">
        <f t="shared" ca="1" si="73"/>
        <v>0.39669137508211222</v>
      </c>
      <c r="S263">
        <f t="shared" ca="1" si="70"/>
        <v>1.2763866325048305</v>
      </c>
      <c r="T263">
        <f t="shared" ca="1" si="71"/>
        <v>56.070731319501455</v>
      </c>
      <c r="U263">
        <f>70</f>
        <v>70</v>
      </c>
      <c r="V263">
        <f>30</f>
        <v>30</v>
      </c>
      <c r="W263">
        <f t="shared" ca="1" si="69"/>
        <v>109.04979177786481</v>
      </c>
      <c r="X263">
        <f t="shared" ca="1" si="79"/>
        <v>109.79569776965386</v>
      </c>
      <c r="Y263">
        <f t="shared" ca="1" si="78"/>
        <v>-0.42978238493347476</v>
      </c>
      <c r="Z263">
        <f t="shared" ca="1" si="80"/>
        <v>-1.4092550688225938</v>
      </c>
      <c r="AA263">
        <f t="shared" ca="1" si="81"/>
        <v>0.97947268388911901</v>
      </c>
      <c r="AB263">
        <f t="shared" ca="1" si="82"/>
        <v>115.59800000000003</v>
      </c>
    </row>
    <row r="264" spans="1:28" x14ac:dyDescent="0.25">
      <c r="A264" s="20">
        <f t="shared" ca="1" si="83"/>
        <v>45670</v>
      </c>
      <c r="B264" vm="763">
        <f ca="1"/>
        <v>45674</v>
      </c>
      <c r="C264" vm="764">
        <f ca="1"/>
        <v>112.32</v>
      </c>
      <c r="D264" vm="765">
        <f ca="1"/>
        <v>19298504</v>
      </c>
      <c r="E264">
        <f t="shared" ca="1" si="84"/>
        <v>2167607969.2799997</v>
      </c>
      <c r="F264">
        <f ca="1">SUM($E$2:E264)/SUM($D$2:D264)</f>
        <v>112.74044834430187</v>
      </c>
      <c r="G264">
        <f ca="1">_xlfn.STDEV.P($C$2:C264)</f>
        <v>6.5585611928320962</v>
      </c>
      <c r="H264">
        <f t="shared" ca="1" si="85"/>
        <v>119.29900953713397</v>
      </c>
      <c r="I264">
        <f t="shared" ca="1" si="86"/>
        <v>106.18188715146977</v>
      </c>
      <c r="J264">
        <f t="shared" ca="1" si="74"/>
        <v>107.80449999999999</v>
      </c>
      <c r="K264">
        <f t="shared" ca="1" si="75"/>
        <v>2.0357553234222667</v>
      </c>
      <c r="L264">
        <f t="shared" ca="1" si="76"/>
        <v>111.87601064684452</v>
      </c>
      <c r="M264">
        <f t="shared" ca="1" si="77"/>
        <v>103.73298935315546</v>
      </c>
      <c r="N264">
        <f t="shared" ca="1" si="87"/>
        <v>1</v>
      </c>
      <c r="O264">
        <f t="shared" ca="1" si="88"/>
        <v>1</v>
      </c>
      <c r="P264">
        <f t="shared" ca="1" si="89"/>
        <v>0</v>
      </c>
      <c r="Q264">
        <f t="shared" ca="1" si="72"/>
        <v>0.54159359921442729</v>
      </c>
      <c r="R264">
        <f t="shared" ca="1" si="73"/>
        <v>0.36835627686196132</v>
      </c>
      <c r="S264">
        <f t="shared" ca="1" si="70"/>
        <v>1.4702982770601336</v>
      </c>
      <c r="T264">
        <f t="shared" ca="1" si="71"/>
        <v>59.519058516687075</v>
      </c>
      <c r="U264">
        <f>70</f>
        <v>70</v>
      </c>
      <c r="V264">
        <f>30</f>
        <v>30</v>
      </c>
      <c r="W264">
        <f t="shared" ca="1" si="69"/>
        <v>109.55290073511638</v>
      </c>
      <c r="X264">
        <f t="shared" ca="1" si="79"/>
        <v>109.98268312004986</v>
      </c>
      <c r="Y264">
        <f t="shared" ca="1" si="78"/>
        <v>-0.24501565722688667</v>
      </c>
      <c r="Z264">
        <f t="shared" ca="1" si="80"/>
        <v>-1.1764071865034524</v>
      </c>
      <c r="AA264">
        <f t="shared" ca="1" si="81"/>
        <v>0.93139152927656577</v>
      </c>
      <c r="AB264">
        <f t="shared" ca="1" si="82"/>
        <v>115.55800000000001</v>
      </c>
    </row>
    <row r="265" spans="1:28" x14ac:dyDescent="0.25">
      <c r="A265" s="20">
        <f t="shared" ca="1" si="83"/>
        <v>45677</v>
      </c>
      <c r="B265" vm="766">
        <f ca="1"/>
        <v>45678</v>
      </c>
      <c r="C265" vm="150">
        <f ca="1"/>
        <v>111.47</v>
      </c>
      <c r="D265" vm="767">
        <f ca="1"/>
        <v>20416286</v>
      </c>
      <c r="E265">
        <f t="shared" ca="1" si="84"/>
        <v>2275803400.4200001</v>
      </c>
      <c r="F265">
        <f ca="1">SUM($E$2:E265)/SUM($D$2:D265)</f>
        <v>112.73440756635158</v>
      </c>
      <c r="G265">
        <f ca="1">_xlfn.STDEV.P($C$2:C265)</f>
        <v>6.5470829798420951</v>
      </c>
      <c r="H265">
        <f t="shared" ca="1" si="85"/>
        <v>119.28149054619368</v>
      </c>
      <c r="I265">
        <f t="shared" ca="1" si="86"/>
        <v>106.18732458650948</v>
      </c>
      <c r="J265">
        <f t="shared" ca="1" si="74"/>
        <v>108.05699999999999</v>
      </c>
      <c r="K265">
        <f t="shared" ca="1" si="75"/>
        <v>2.1641288511108847</v>
      </c>
      <c r="L265">
        <f t="shared" ca="1" si="76"/>
        <v>112.38525770222176</v>
      </c>
      <c r="M265">
        <f t="shared" ca="1" si="77"/>
        <v>103.72874229777821</v>
      </c>
      <c r="N265">
        <f t="shared" ca="1" si="87"/>
        <v>-0.84999999999999432</v>
      </c>
      <c r="O265">
        <f t="shared" ca="1" si="88"/>
        <v>0</v>
      </c>
      <c r="P265">
        <f t="shared" ca="1" si="89"/>
        <v>0.84999999999999432</v>
      </c>
      <c r="Q265">
        <f t="shared" ca="1" si="72"/>
        <v>0.50290834212768254</v>
      </c>
      <c r="R265">
        <f t="shared" ca="1" si="73"/>
        <v>0.40275939994324939</v>
      </c>
      <c r="S265">
        <f t="shared" ca="1" si="70"/>
        <v>1.2486569952148716</v>
      </c>
      <c r="T265">
        <f t="shared" ca="1" si="71"/>
        <v>55.5290112218985</v>
      </c>
      <c r="U265">
        <f>70</f>
        <v>70</v>
      </c>
      <c r="V265">
        <f>30</f>
        <v>30</v>
      </c>
      <c r="W265">
        <f t="shared" ca="1" si="69"/>
        <v>109.84783908356002</v>
      </c>
      <c r="X265">
        <f t="shared" ca="1" si="79"/>
        <v>110.0928547407869</v>
      </c>
      <c r="Y265">
        <f t="shared" ca="1" si="78"/>
        <v>-0.25222103401257812</v>
      </c>
      <c r="Z265">
        <f t="shared" ca="1" si="80"/>
        <v>-0.99156995600527764</v>
      </c>
      <c r="AA265">
        <f t="shared" ca="1" si="81"/>
        <v>0.73934892199269953</v>
      </c>
      <c r="AB265">
        <f t="shared" ca="1" si="82"/>
        <v>115.48460000000001</v>
      </c>
    </row>
    <row r="266" spans="1:28" x14ac:dyDescent="0.25">
      <c r="A266" s="20">
        <f t="shared" ca="1" si="83"/>
        <v>45677</v>
      </c>
      <c r="B266" vm="768">
        <f ca="1"/>
        <v>45679</v>
      </c>
      <c r="C266" vm="147">
        <f ca="1"/>
        <v>109.53</v>
      </c>
      <c r="D266" vm="769">
        <f ca="1"/>
        <v>15718012</v>
      </c>
      <c r="E266">
        <f t="shared" ca="1" si="84"/>
        <v>1721593854.3600001</v>
      </c>
      <c r="F266">
        <f ca="1">SUM($E$2:E266)/SUM($D$2:D266)</f>
        <v>112.72272017485064</v>
      </c>
      <c r="G266">
        <f ca="1">_xlfn.STDEV.P($C$2:C266)</f>
        <v>6.5387696583584791</v>
      </c>
      <c r="H266">
        <f t="shared" ca="1" si="85"/>
        <v>119.26148983320911</v>
      </c>
      <c r="I266">
        <f t="shared" ca="1" si="86"/>
        <v>106.18395051649216</v>
      </c>
      <c r="J266">
        <f t="shared" ca="1" si="74"/>
        <v>108.258</v>
      </c>
      <c r="K266">
        <f t="shared" ca="1" si="75"/>
        <v>2.1008785129835048</v>
      </c>
      <c r="L266">
        <f t="shared" ca="1" si="76"/>
        <v>112.45975702596701</v>
      </c>
      <c r="M266">
        <f t="shared" ca="1" si="77"/>
        <v>104.05624297403298</v>
      </c>
      <c r="N266">
        <f t="shared" ca="1" si="87"/>
        <v>-1.9399999999999977</v>
      </c>
      <c r="O266">
        <f t="shared" ca="1" si="88"/>
        <v>0</v>
      </c>
      <c r="P266">
        <f t="shared" ca="1" si="89"/>
        <v>1.9399999999999977</v>
      </c>
      <c r="Q266">
        <f t="shared" ca="1" si="72"/>
        <v>0.46698631768999094</v>
      </c>
      <c r="R266">
        <f t="shared" ca="1" si="73"/>
        <v>0.51256229994730285</v>
      </c>
      <c r="S266">
        <f t="shared" ca="1" si="70"/>
        <v>0.91108206307409334</v>
      </c>
      <c r="T266">
        <f t="shared" ca="1" si="71"/>
        <v>47.673623267049123</v>
      </c>
      <c r="U266">
        <f>70</f>
        <v>70</v>
      </c>
      <c r="V266">
        <f>30</f>
        <v>30</v>
      </c>
      <c r="W266">
        <f t="shared" ca="1" si="69"/>
        <v>109.79894076301233</v>
      </c>
      <c r="X266">
        <f t="shared" ca="1" si="79"/>
        <v>110.0511617970249</v>
      </c>
      <c r="Y266">
        <f t="shared" ca="1" si="78"/>
        <v>-0.20553326899837998</v>
      </c>
      <c r="Z266">
        <f t="shared" ca="1" si="80"/>
        <v>-0.83436261860389815</v>
      </c>
      <c r="AA266">
        <f t="shared" ca="1" si="81"/>
        <v>0.62882934960551817</v>
      </c>
      <c r="AB266">
        <f t="shared" ca="1" si="82"/>
        <v>115.40309999999999</v>
      </c>
    </row>
    <row r="267" spans="1:28" x14ac:dyDescent="0.25">
      <c r="A267" s="20">
        <f t="shared" ca="1" si="83"/>
        <v>45677</v>
      </c>
      <c r="B267" vm="770">
        <f ca="1"/>
        <v>45680</v>
      </c>
      <c r="C267" vm="771">
        <f ca="1"/>
        <v>110.15</v>
      </c>
      <c r="D267" vm="772">
        <f ca="1"/>
        <v>13726784</v>
      </c>
      <c r="E267">
        <f t="shared" ca="1" si="84"/>
        <v>1512005257.6000001</v>
      </c>
      <c r="F267">
        <f ca="1">SUM($E$2:E267)/SUM($D$2:D267)</f>
        <v>112.71455148420085</v>
      </c>
      <c r="G267">
        <f ca="1">_xlfn.STDEV.P($C$2:C267)</f>
        <v>6.5292585008584894</v>
      </c>
      <c r="H267">
        <f t="shared" ca="1" si="85"/>
        <v>119.24380998505934</v>
      </c>
      <c r="I267">
        <f t="shared" ca="1" si="86"/>
        <v>106.18529298334236</v>
      </c>
      <c r="J267">
        <f t="shared" ca="1" si="74"/>
        <v>108.47200000000001</v>
      </c>
      <c r="K267">
        <f t="shared" ca="1" si="75"/>
        <v>2.0624630140224385</v>
      </c>
      <c r="L267">
        <f t="shared" ca="1" si="76"/>
        <v>112.59692602804489</v>
      </c>
      <c r="M267">
        <f t="shared" ca="1" si="77"/>
        <v>104.34707397195513</v>
      </c>
      <c r="N267">
        <f t="shared" ca="1" si="87"/>
        <v>0.62000000000000455</v>
      </c>
      <c r="O267">
        <f t="shared" ca="1" si="88"/>
        <v>0.62000000000000455</v>
      </c>
      <c r="P267">
        <f t="shared" ca="1" si="89"/>
        <v>0</v>
      </c>
      <c r="Q267">
        <f t="shared" ca="1" si="72"/>
        <v>0.47791586642642053</v>
      </c>
      <c r="R267">
        <f t="shared" ca="1" si="73"/>
        <v>0.47595070709392406</v>
      </c>
      <c r="S267">
        <f t="shared" ca="1" si="70"/>
        <v>1.0041289135685822</v>
      </c>
      <c r="T267">
        <f t="shared" ca="1" si="71"/>
        <v>50.103010179151354</v>
      </c>
      <c r="U267">
        <f>70</f>
        <v>70</v>
      </c>
      <c r="V267">
        <f>30</f>
        <v>30</v>
      </c>
      <c r="W267">
        <f t="shared" ca="1" si="69"/>
        <v>109.85294987639504</v>
      </c>
      <c r="X267">
        <f t="shared" ca="1" si="79"/>
        <v>110.05848314539342</v>
      </c>
      <c r="Y267">
        <f t="shared" ca="1" si="78"/>
        <v>-0.28547267510977292</v>
      </c>
      <c r="Z267">
        <f t="shared" ca="1" si="80"/>
        <v>-0.72458462990507322</v>
      </c>
      <c r="AA267">
        <f t="shared" ca="1" si="81"/>
        <v>0.4391119547953003</v>
      </c>
      <c r="AB267">
        <f t="shared" ca="1" si="82"/>
        <v>115.33939999999998</v>
      </c>
    </row>
    <row r="268" spans="1:28" x14ac:dyDescent="0.25">
      <c r="A268" s="20">
        <f t="shared" ca="1" si="83"/>
        <v>45677</v>
      </c>
      <c r="B268" vm="773">
        <f ca="1"/>
        <v>45681</v>
      </c>
      <c r="C268" vm="774">
        <f ca="1"/>
        <v>108.66</v>
      </c>
      <c r="D268" vm="775">
        <f ca="1"/>
        <v>14235885</v>
      </c>
      <c r="E268">
        <f t="shared" ca="1" si="84"/>
        <v>1546871264.0999999</v>
      </c>
      <c r="F268">
        <f ca="1">SUM($E$2:E268)/SUM($D$2:D268)</f>
        <v>112.70124416241173</v>
      </c>
      <c r="G268">
        <f ca="1">_xlfn.STDEV.P($C$2:C268)</f>
        <v>6.5230684441945428</v>
      </c>
      <c r="H268">
        <f t="shared" ca="1" si="85"/>
        <v>119.22431260660628</v>
      </c>
      <c r="I268">
        <f t="shared" ca="1" si="86"/>
        <v>106.17817571821718</v>
      </c>
      <c r="J268">
        <f t="shared" ca="1" si="74"/>
        <v>108.58999999999999</v>
      </c>
      <c r="K268">
        <f t="shared" ca="1" si="75"/>
        <v>1.9981649476193728</v>
      </c>
      <c r="L268">
        <f t="shared" ca="1" si="76"/>
        <v>112.58632989523873</v>
      </c>
      <c r="M268">
        <f t="shared" ca="1" si="77"/>
        <v>104.59367010476124</v>
      </c>
      <c r="N268">
        <f t="shared" ca="1" si="87"/>
        <v>-1.4900000000000091</v>
      </c>
      <c r="O268">
        <f t="shared" ca="1" si="88"/>
        <v>0</v>
      </c>
      <c r="P268">
        <f t="shared" ca="1" si="89"/>
        <v>1.4900000000000091</v>
      </c>
      <c r="Q268">
        <f t="shared" ca="1" si="72"/>
        <v>0.44377901882453336</v>
      </c>
      <c r="R268">
        <f t="shared" ca="1" si="73"/>
        <v>0.54838279944435875</v>
      </c>
      <c r="S268">
        <f t="shared" ca="1" si="70"/>
        <v>0.80925043468574553</v>
      </c>
      <c r="T268">
        <f t="shared" ca="1" si="71"/>
        <v>44.728491930765067</v>
      </c>
      <c r="U268">
        <f>70</f>
        <v>70</v>
      </c>
      <c r="V268">
        <f>30</f>
        <v>30</v>
      </c>
      <c r="W268">
        <f t="shared" ca="1" si="69"/>
        <v>109.66941912618043</v>
      </c>
      <c r="X268">
        <f t="shared" ca="1" si="79"/>
        <v>109.9548918012902</v>
      </c>
      <c r="Y268">
        <f t="shared" ca="1" si="78"/>
        <v>-0.22439417362885195</v>
      </c>
      <c r="Z268">
        <f t="shared" ca="1" si="80"/>
        <v>-0.62454653864982901</v>
      </c>
      <c r="AA268">
        <f t="shared" ca="1" si="81"/>
        <v>0.40015236502097706</v>
      </c>
      <c r="AB268">
        <f t="shared" ca="1" si="82"/>
        <v>115.24469999999999</v>
      </c>
    </row>
    <row r="269" spans="1:28" x14ac:dyDescent="0.25">
      <c r="A269" s="20">
        <f t="shared" ca="1" si="83"/>
        <v>45684</v>
      </c>
      <c r="B269" vm="776">
        <f ca="1"/>
        <v>45684</v>
      </c>
      <c r="C269" vm="777">
        <f ca="1"/>
        <v>110.17</v>
      </c>
      <c r="D269" vm="778">
        <f ca="1"/>
        <v>15926670</v>
      </c>
      <c r="E269">
        <f t="shared" ca="1" si="84"/>
        <v>1754641233.9000001</v>
      </c>
      <c r="F269">
        <f ca="1">SUM($E$2:E269)/SUM($D$2:D269)</f>
        <v>112.69198374350893</v>
      </c>
      <c r="G269">
        <f ca="1">_xlfn.STDEV.P($C$2:C269)</f>
        <v>6.5135779273687628</v>
      </c>
      <c r="H269">
        <f t="shared" ca="1" si="85"/>
        <v>119.20556167087769</v>
      </c>
      <c r="I269">
        <f t="shared" ca="1" si="86"/>
        <v>106.17840581614017</v>
      </c>
      <c r="J269">
        <f t="shared" ca="1" si="74"/>
        <v>108.77850000000001</v>
      </c>
      <c r="K269">
        <f t="shared" ca="1" si="75"/>
        <v>1.9581174498401308</v>
      </c>
      <c r="L269">
        <f t="shared" ca="1" si="76"/>
        <v>112.69473489968027</v>
      </c>
      <c r="M269">
        <f t="shared" ca="1" si="77"/>
        <v>104.86226510031975</v>
      </c>
      <c r="N269">
        <f t="shared" ca="1" si="87"/>
        <v>1.5100000000000051</v>
      </c>
      <c r="O269">
        <f t="shared" ca="1" si="88"/>
        <v>1.5100000000000051</v>
      </c>
      <c r="P269">
        <f t="shared" ca="1" si="89"/>
        <v>0</v>
      </c>
      <c r="Q269">
        <f t="shared" ca="1" si="72"/>
        <v>0.51993766033706701</v>
      </c>
      <c r="R269">
        <f t="shared" ca="1" si="73"/>
        <v>0.5092125994840474</v>
      </c>
      <c r="S269">
        <f t="shared" ca="1" si="70"/>
        <v>1.0210620492577887</v>
      </c>
      <c r="T269">
        <f t="shared" ca="1" si="71"/>
        <v>50.521063894736024</v>
      </c>
      <c r="U269">
        <f>70</f>
        <v>70</v>
      </c>
      <c r="V269">
        <f>30</f>
        <v>30</v>
      </c>
      <c r="W269">
        <f t="shared" ca="1" si="69"/>
        <v>109.74643156830652</v>
      </c>
      <c r="X269">
        <f t="shared" ca="1" si="79"/>
        <v>109.97082574193537</v>
      </c>
      <c r="Y269">
        <f t="shared" ca="1" si="78"/>
        <v>-0.34389797818222689</v>
      </c>
      <c r="Z269">
        <f t="shared" ca="1" si="80"/>
        <v>-0.56841682655630865</v>
      </c>
      <c r="AA269">
        <f t="shared" ca="1" si="81"/>
        <v>0.22451884837408176</v>
      </c>
      <c r="AB269">
        <f t="shared" ca="1" si="82"/>
        <v>115.16699999999997</v>
      </c>
    </row>
    <row r="270" spans="1:28" x14ac:dyDescent="0.25">
      <c r="A270" s="20">
        <f t="shared" ca="1" si="83"/>
        <v>45684</v>
      </c>
      <c r="B270" vm="779">
        <f ca="1"/>
        <v>45685</v>
      </c>
      <c r="C270" vm="780">
        <f ca="1"/>
        <v>108.04</v>
      </c>
      <c r="D270" vm="781">
        <f ca="1"/>
        <v>15862029</v>
      </c>
      <c r="E270">
        <f t="shared" ca="1" si="84"/>
        <v>1713733613.1600001</v>
      </c>
      <c r="F270">
        <f ca="1">SUM($E$2:E270)/SUM($D$2:D270)</f>
        <v>112.67509532347317</v>
      </c>
      <c r="G270">
        <f ca="1">_xlfn.STDEV.P($C$2:C270)</f>
        <v>6.5091242993636875</v>
      </c>
      <c r="H270">
        <f t="shared" ca="1" si="85"/>
        <v>119.18421962283686</v>
      </c>
      <c r="I270">
        <f t="shared" ca="1" si="86"/>
        <v>106.16597102410948</v>
      </c>
      <c r="J270">
        <f t="shared" ca="1" si="74"/>
        <v>108.85599999999999</v>
      </c>
      <c r="K270">
        <f t="shared" ca="1" si="75"/>
        <v>1.8923430199789759</v>
      </c>
      <c r="L270">
        <f t="shared" ca="1" si="76"/>
        <v>112.64068603995794</v>
      </c>
      <c r="M270">
        <f t="shared" ca="1" si="77"/>
        <v>105.07131396004205</v>
      </c>
      <c r="N270">
        <f t="shared" ca="1" si="87"/>
        <v>-2.1299999999999955</v>
      </c>
      <c r="O270">
        <f t="shared" ca="1" si="88"/>
        <v>0</v>
      </c>
      <c r="P270">
        <f t="shared" ca="1" si="89"/>
        <v>2.1299999999999955</v>
      </c>
      <c r="Q270">
        <f t="shared" ca="1" si="72"/>
        <v>0.48279925602727652</v>
      </c>
      <c r="R270">
        <f t="shared" ca="1" si="73"/>
        <v>0.62498312809232937</v>
      </c>
      <c r="S270">
        <f t="shared" ca="1" si="70"/>
        <v>0.77249966331243447</v>
      </c>
      <c r="T270">
        <f t="shared" ca="1" si="71"/>
        <v>43.582499861737226</v>
      </c>
      <c r="U270">
        <f>70</f>
        <v>70</v>
      </c>
      <c r="V270">
        <f>30</f>
        <v>30</v>
      </c>
      <c r="W270">
        <f t="shared" ca="1" si="69"/>
        <v>109.4839036347209</v>
      </c>
      <c r="X270">
        <f t="shared" ca="1" si="79"/>
        <v>109.82780161290313</v>
      </c>
      <c r="Y270">
        <f t="shared" ca="1" si="78"/>
        <v>-0.38335083954817151</v>
      </c>
      <c r="Z270">
        <f t="shared" ca="1" si="80"/>
        <v>-0.5314036291546812</v>
      </c>
      <c r="AA270">
        <f t="shared" ca="1" si="81"/>
        <v>0.14805278960650969</v>
      </c>
      <c r="AB270">
        <f t="shared" ca="1" si="82"/>
        <v>115.09269999999998</v>
      </c>
    </row>
    <row r="271" spans="1:28" x14ac:dyDescent="0.25">
      <c r="A271" s="20">
        <f t="shared" ca="1" si="83"/>
        <v>45684</v>
      </c>
      <c r="B271" vm="782">
        <f ca="1"/>
        <v>45686</v>
      </c>
      <c r="C271" vm="783">
        <f ca="1"/>
        <v>108.67</v>
      </c>
      <c r="D271" vm="784">
        <f ca="1"/>
        <v>12345523</v>
      </c>
      <c r="E271">
        <f t="shared" ca="1" si="84"/>
        <v>1341587984.4100001</v>
      </c>
      <c r="F271">
        <f ca="1">SUM($E$2:E271)/SUM($D$2:D271)</f>
        <v>112.66381064843308</v>
      </c>
      <c r="G271">
        <f ca="1">_xlfn.STDEV.P($C$2:C271)</f>
        <v>6.5029088374682393</v>
      </c>
      <c r="H271">
        <f t="shared" ca="1" si="85"/>
        <v>119.16671948590133</v>
      </c>
      <c r="I271">
        <f t="shared" ca="1" si="86"/>
        <v>106.16090181096484</v>
      </c>
      <c r="J271">
        <f t="shared" ca="1" si="74"/>
        <v>108.96550000000002</v>
      </c>
      <c r="K271">
        <f t="shared" ca="1" si="75"/>
        <v>1.8091535531699245</v>
      </c>
      <c r="L271">
        <f t="shared" ca="1" si="76"/>
        <v>112.58380710633988</v>
      </c>
      <c r="M271">
        <f t="shared" ca="1" si="77"/>
        <v>105.34719289366016</v>
      </c>
      <c r="N271">
        <f t="shared" ca="1" si="87"/>
        <v>0.62999999999999545</v>
      </c>
      <c r="O271">
        <f t="shared" ca="1" si="88"/>
        <v>0.62999999999999545</v>
      </c>
      <c r="P271">
        <f t="shared" ca="1" si="89"/>
        <v>0</v>
      </c>
      <c r="Q271">
        <f t="shared" ca="1" si="72"/>
        <v>0.49331359488247079</v>
      </c>
      <c r="R271">
        <f t="shared" ca="1" si="73"/>
        <v>0.58034147608573439</v>
      </c>
      <c r="S271">
        <f t="shared" ca="1" si="70"/>
        <v>0.8500402180622243</v>
      </c>
      <c r="T271">
        <f t="shared" ca="1" si="71"/>
        <v>45.947121028135072</v>
      </c>
      <c r="U271">
        <f>70</f>
        <v>70</v>
      </c>
      <c r="V271">
        <f>30</f>
        <v>30</v>
      </c>
      <c r="W271">
        <f t="shared" ref="W271:W334" ca="1" si="90">C271*(2/(12+1)) + W270*(1-(2/(12+1)))</f>
        <v>109.35868769091769</v>
      </c>
      <c r="X271">
        <f t="shared" ca="1" si="79"/>
        <v>109.74203853046586</v>
      </c>
      <c r="Y271">
        <f t="shared" ca="1" si="78"/>
        <v>-0.33809765868618058</v>
      </c>
      <c r="Z271">
        <f t="shared" ca="1" si="80"/>
        <v>-0.49274243506098109</v>
      </c>
      <c r="AA271">
        <f t="shared" ca="1" si="81"/>
        <v>0.15464477637480051</v>
      </c>
      <c r="AB271">
        <f t="shared" ca="1" si="82"/>
        <v>115.03879999999999</v>
      </c>
    </row>
    <row r="272" spans="1:28" x14ac:dyDescent="0.25">
      <c r="A272" s="20">
        <f t="shared" ca="1" si="83"/>
        <v>45684</v>
      </c>
      <c r="B272" vm="785">
        <f ca="1"/>
        <v>45687</v>
      </c>
      <c r="C272" vm="786">
        <f ca="1"/>
        <v>109.57</v>
      </c>
      <c r="D272" vm="787">
        <f ca="1"/>
        <v>14346335</v>
      </c>
      <c r="E272">
        <f t="shared" ca="1" si="84"/>
        <v>1571927925.9499998</v>
      </c>
      <c r="F272">
        <f ca="1">SUM($E$2:E272)/SUM($D$2:D272)</f>
        <v>112.65371389494807</v>
      </c>
      <c r="G272">
        <f ca="1">_xlfn.STDEV.P($C$2:C272)</f>
        <v>6.494615688664819</v>
      </c>
      <c r="H272">
        <f t="shared" ca="1" si="85"/>
        <v>119.14832958361289</v>
      </c>
      <c r="I272">
        <f t="shared" ca="1" si="86"/>
        <v>106.15909820628325</v>
      </c>
      <c r="J272">
        <f t="shared" ca="1" si="74"/>
        <v>109.15600000000002</v>
      </c>
      <c r="K272">
        <f t="shared" ca="1" si="75"/>
        <v>1.6471998568543675</v>
      </c>
      <c r="L272">
        <f t="shared" ca="1" si="76"/>
        <v>112.45039971370875</v>
      </c>
      <c r="M272">
        <f t="shared" ca="1" si="77"/>
        <v>105.86160028629129</v>
      </c>
      <c r="N272">
        <f t="shared" ca="1" si="87"/>
        <v>0.89999999999999147</v>
      </c>
      <c r="O272">
        <f t="shared" ca="1" si="88"/>
        <v>0.89999999999999147</v>
      </c>
      <c r="P272">
        <f t="shared" ca="1" si="89"/>
        <v>0</v>
      </c>
      <c r="Q272">
        <f t="shared" ca="1" si="72"/>
        <v>0.52236262381943654</v>
      </c>
      <c r="R272">
        <f t="shared" ca="1" si="73"/>
        <v>0.5388885135081819</v>
      </c>
      <c r="S272">
        <f t="shared" ref="S272:S335" ca="1" si="91">IF(R272=0,NA(),Q272/R272)</f>
        <v>0.96933337921574669</v>
      </c>
      <c r="T272">
        <f t="shared" ref="T272:T335" ca="1" si="92">100-(100/(1+S272))</f>
        <v>49.221395902087792</v>
      </c>
      <c r="U272">
        <f>70</f>
        <v>70</v>
      </c>
      <c r="V272">
        <f>30</f>
        <v>30</v>
      </c>
      <c r="W272">
        <f t="shared" ca="1" si="90"/>
        <v>109.39119727693036</v>
      </c>
      <c r="X272">
        <f t="shared" ca="1" si="79"/>
        <v>109.72929493561654</v>
      </c>
      <c r="Y272">
        <f t="shared" ca="1" si="78"/>
        <v>-0.51736542115969542</v>
      </c>
      <c r="Z272">
        <f t="shared" ca="1" si="80"/>
        <v>-0.49766703228072395</v>
      </c>
      <c r="AA272">
        <f t="shared" ca="1" si="81"/>
        <v>-1.9698388878971462E-2</v>
      </c>
      <c r="AB272">
        <f t="shared" ca="1" si="82"/>
        <v>115.00279999999997</v>
      </c>
    </row>
    <row r="273" spans="1:28" x14ac:dyDescent="0.25">
      <c r="A273" s="20">
        <f t="shared" ca="1" si="83"/>
        <v>45684</v>
      </c>
      <c r="B273" vm="788">
        <f ca="1"/>
        <v>45688</v>
      </c>
      <c r="C273" vm="789">
        <f ca="1"/>
        <v>106.83</v>
      </c>
      <c r="D273" vm="790">
        <f ca="1"/>
        <v>20381446</v>
      </c>
      <c r="E273">
        <f t="shared" ca="1" si="84"/>
        <v>2177349876.1799998</v>
      </c>
      <c r="F273">
        <f ca="1">SUM($E$2:E273)/SUM($D$2:D273)</f>
        <v>112.62683736696677</v>
      </c>
      <c r="G273">
        <f ca="1">_xlfn.STDEV.P($C$2:C273)</f>
        <v>6.4940460985800117</v>
      </c>
      <c r="H273">
        <f t="shared" ca="1" si="85"/>
        <v>119.12088346554678</v>
      </c>
      <c r="I273">
        <f t="shared" ca="1" si="86"/>
        <v>106.13279126838675</v>
      </c>
      <c r="J273">
        <f t="shared" ca="1" si="74"/>
        <v>109.119</v>
      </c>
      <c r="K273">
        <f t="shared" ca="1" si="75"/>
        <v>1.6923913321252346</v>
      </c>
      <c r="L273">
        <f t="shared" ca="1" si="76"/>
        <v>112.50378266425047</v>
      </c>
      <c r="M273">
        <f t="shared" ca="1" si="77"/>
        <v>105.73421733574953</v>
      </c>
      <c r="N273">
        <f t="shared" ca="1" si="87"/>
        <v>-2.7399999999999949</v>
      </c>
      <c r="O273">
        <f t="shared" ca="1" si="88"/>
        <v>0</v>
      </c>
      <c r="P273">
        <f t="shared" ca="1" si="89"/>
        <v>2.7399999999999949</v>
      </c>
      <c r="Q273">
        <f t="shared" ref="Q273:Q336" ca="1" si="93">(Q272*13+O273)/14</f>
        <v>0.4850510078323339</v>
      </c>
      <c r="R273">
        <f t="shared" ref="R273:R336" ca="1" si="94">(R272*13+P273)/14</f>
        <v>0.69611076254331139</v>
      </c>
      <c r="S273">
        <f t="shared" ca="1" si="91"/>
        <v>0.69680147748348376</v>
      </c>
      <c r="T273">
        <f t="shared" ca="1" si="92"/>
        <v>41.065586441903967</v>
      </c>
      <c r="U273">
        <f>70</f>
        <v>70</v>
      </c>
      <c r="V273">
        <f>30</f>
        <v>30</v>
      </c>
      <c r="W273">
        <f t="shared" ca="1" si="90"/>
        <v>108.99716692663338</v>
      </c>
      <c r="X273">
        <f t="shared" ca="1" si="79"/>
        <v>109.51453234779308</v>
      </c>
      <c r="Y273">
        <f t="shared" ca="1" si="78"/>
        <v>-0.63118072883942489</v>
      </c>
      <c r="Z273">
        <f t="shared" ca="1" si="80"/>
        <v>-0.52436977159246412</v>
      </c>
      <c r="AA273">
        <f t="shared" ca="1" si="81"/>
        <v>-0.10681095724696077</v>
      </c>
      <c r="AB273">
        <f t="shared" ca="1" si="82"/>
        <v>114.9447</v>
      </c>
    </row>
    <row r="274" spans="1:28" x14ac:dyDescent="0.25">
      <c r="A274" s="20">
        <f t="shared" ca="1" si="83"/>
        <v>45691</v>
      </c>
      <c r="B274" vm="791">
        <f ca="1"/>
        <v>45691</v>
      </c>
      <c r="C274" vm="792">
        <f ca="1"/>
        <v>107.09</v>
      </c>
      <c r="D274" vm="793">
        <f ca="1"/>
        <v>14623197</v>
      </c>
      <c r="E274">
        <f t="shared" ca="1" si="84"/>
        <v>1565998166.73</v>
      </c>
      <c r="F274">
        <f ca="1">SUM($E$2:E274)/SUM($D$2:D274)</f>
        <v>112.60856450412221</v>
      </c>
      <c r="G274">
        <f ca="1">_xlfn.STDEV.P($C$2:C274)</f>
        <v>6.4924921154333157</v>
      </c>
      <c r="H274">
        <f t="shared" ca="1" si="85"/>
        <v>119.10105661955554</v>
      </c>
      <c r="I274">
        <f t="shared" ca="1" si="86"/>
        <v>106.11607238868889</v>
      </c>
      <c r="J274">
        <f t="shared" ca="1" si="74"/>
        <v>109.10800000000002</v>
      </c>
      <c r="K274">
        <f t="shared" ca="1" si="75"/>
        <v>1.705432805076639</v>
      </c>
      <c r="L274">
        <f t="shared" ca="1" si="76"/>
        <v>112.5188656101533</v>
      </c>
      <c r="M274">
        <f t="shared" ca="1" si="77"/>
        <v>105.69713438984674</v>
      </c>
      <c r="N274">
        <f t="shared" ca="1" si="87"/>
        <v>0.26000000000000512</v>
      </c>
      <c r="O274">
        <f t="shared" ca="1" si="88"/>
        <v>0.26000000000000512</v>
      </c>
      <c r="P274">
        <f t="shared" ca="1" si="89"/>
        <v>0</v>
      </c>
      <c r="Q274">
        <f t="shared" ca="1" si="93"/>
        <v>0.46897593584431041</v>
      </c>
      <c r="R274">
        <f t="shared" ca="1" si="94"/>
        <v>0.64638856521878918</v>
      </c>
      <c r="S274">
        <f t="shared" ca="1" si="91"/>
        <v>0.72553253736097845</v>
      </c>
      <c r="T274">
        <f t="shared" ca="1" si="92"/>
        <v>42.04687663963756</v>
      </c>
      <c r="U274">
        <f>70</f>
        <v>70</v>
      </c>
      <c r="V274">
        <f>30</f>
        <v>30</v>
      </c>
      <c r="W274">
        <f t="shared" ca="1" si="90"/>
        <v>108.70375663022824</v>
      </c>
      <c r="X274">
        <f t="shared" ca="1" si="79"/>
        <v>109.33493735906767</v>
      </c>
      <c r="Y274">
        <f t="shared" ca="1" si="78"/>
        <v>-0.48421345447066244</v>
      </c>
      <c r="Z274">
        <f t="shared" ca="1" si="80"/>
        <v>-0.51633850816810378</v>
      </c>
      <c r="AA274">
        <f t="shared" ca="1" si="81"/>
        <v>3.2125053697441341E-2</v>
      </c>
      <c r="AB274">
        <f t="shared" ca="1" si="82"/>
        <v>114.8655</v>
      </c>
    </row>
    <row r="275" spans="1:28" x14ac:dyDescent="0.25">
      <c r="A275" s="20">
        <f t="shared" ca="1" si="83"/>
        <v>45691</v>
      </c>
      <c r="B275" vm="794">
        <f ca="1"/>
        <v>45692</v>
      </c>
      <c r="C275" vm="795">
        <f ca="1"/>
        <v>109.96</v>
      </c>
      <c r="D275" vm="796">
        <f ca="1"/>
        <v>14835692</v>
      </c>
      <c r="E275">
        <f t="shared" ca="1" si="84"/>
        <v>1631332692.3199999</v>
      </c>
      <c r="F275">
        <f ca="1">SUM($E$2:E275)/SUM($D$2:D275)</f>
        <v>112.59972619499969</v>
      </c>
      <c r="G275">
        <f ca="1">_xlfn.STDEV.P($C$2:C275)</f>
        <v>6.483459275666946</v>
      </c>
      <c r="H275">
        <f t="shared" ca="1" si="85"/>
        <v>119.08318547066663</v>
      </c>
      <c r="I275">
        <f t="shared" ca="1" si="86"/>
        <v>106.11626691933274</v>
      </c>
      <c r="J275">
        <f t="shared" ca="1" si="74"/>
        <v>109.21300000000001</v>
      </c>
      <c r="K275">
        <f t="shared" ca="1" si="75"/>
        <v>1.6891202942422563</v>
      </c>
      <c r="L275">
        <f t="shared" ca="1" si="76"/>
        <v>112.59124058848452</v>
      </c>
      <c r="M275">
        <f t="shared" ca="1" si="77"/>
        <v>105.83475941151549</v>
      </c>
      <c r="N275">
        <f t="shared" ca="1" si="87"/>
        <v>2.8699999999999903</v>
      </c>
      <c r="O275">
        <f t="shared" ca="1" si="88"/>
        <v>2.8699999999999903</v>
      </c>
      <c r="P275">
        <f t="shared" ca="1" si="89"/>
        <v>0</v>
      </c>
      <c r="Q275">
        <f t="shared" ca="1" si="93"/>
        <v>0.64047765471257334</v>
      </c>
      <c r="R275">
        <f t="shared" ca="1" si="94"/>
        <v>0.6002179534174471</v>
      </c>
      <c r="S275">
        <f t="shared" ca="1" si="91"/>
        <v>1.0670751367330826</v>
      </c>
      <c r="T275">
        <f t="shared" ca="1" si="92"/>
        <v>51.622464891118852</v>
      </c>
      <c r="U275">
        <f>70</f>
        <v>70</v>
      </c>
      <c r="V275">
        <f>30</f>
        <v>30</v>
      </c>
      <c r="W275">
        <f t="shared" ca="1" si="90"/>
        <v>108.89702484096236</v>
      </c>
      <c r="X275">
        <f t="shared" ca="1" si="79"/>
        <v>109.38123829543302</v>
      </c>
      <c r="Y275">
        <f t="shared" ca="1" si="78"/>
        <v>-0.36993181837583222</v>
      </c>
      <c r="Z275">
        <f t="shared" ca="1" si="80"/>
        <v>-0.48705717020964945</v>
      </c>
      <c r="AA275">
        <f t="shared" ca="1" si="81"/>
        <v>0.11712535183381723</v>
      </c>
      <c r="AB275">
        <f t="shared" ca="1" si="82"/>
        <v>114.85689999999998</v>
      </c>
    </row>
    <row r="276" spans="1:28" x14ac:dyDescent="0.25">
      <c r="A276" s="20">
        <f t="shared" ca="1" si="83"/>
        <v>45691</v>
      </c>
      <c r="B276" vm="797">
        <f ca="1"/>
        <v>45693</v>
      </c>
      <c r="C276" vm="798">
        <f ca="1"/>
        <v>109.88</v>
      </c>
      <c r="D276" vm="799">
        <f ca="1"/>
        <v>13364387</v>
      </c>
      <c r="E276">
        <f t="shared" ca="1" si="84"/>
        <v>1468478843.5599999</v>
      </c>
      <c r="F276">
        <f ca="1">SUM($E$2:E276)/SUM($D$2:D276)</f>
        <v>112.59157499614813</v>
      </c>
      <c r="G276">
        <f ca="1">_xlfn.STDEV.P($C$2:C276)</f>
        <v>6.4746025271284013</v>
      </c>
      <c r="H276">
        <f t="shared" ca="1" si="85"/>
        <v>119.06617752327652</v>
      </c>
      <c r="I276">
        <f t="shared" ca="1" si="86"/>
        <v>106.11697246901973</v>
      </c>
      <c r="J276">
        <f t="shared" ca="1" si="74"/>
        <v>109.32000000000001</v>
      </c>
      <c r="K276">
        <f t="shared" ca="1" si="75"/>
        <v>1.6584012592982731</v>
      </c>
      <c r="L276">
        <f t="shared" ca="1" si="76"/>
        <v>112.63680251859655</v>
      </c>
      <c r="M276">
        <f t="shared" ca="1" si="77"/>
        <v>106.00319748140346</v>
      </c>
      <c r="N276">
        <f t="shared" ca="1" si="87"/>
        <v>-7.9999999999998295E-2</v>
      </c>
      <c r="O276">
        <f t="shared" ca="1" si="88"/>
        <v>0</v>
      </c>
      <c r="P276">
        <f t="shared" ca="1" si="89"/>
        <v>7.9999999999998295E-2</v>
      </c>
      <c r="Q276">
        <f t="shared" ca="1" si="93"/>
        <v>0.59472925080453243</v>
      </c>
      <c r="R276">
        <f t="shared" ca="1" si="94"/>
        <v>0.56305952817334359</v>
      </c>
      <c r="S276">
        <f t="shared" ca="1" si="91"/>
        <v>1.0562457805019845</v>
      </c>
      <c r="T276">
        <f t="shared" ca="1" si="92"/>
        <v>51.367681359770458</v>
      </c>
      <c r="U276">
        <f>70</f>
        <v>70</v>
      </c>
      <c r="V276">
        <f>30</f>
        <v>30</v>
      </c>
      <c r="W276">
        <f t="shared" ca="1" si="90"/>
        <v>109.0482517885066</v>
      </c>
      <c r="X276">
        <f t="shared" ca="1" si="79"/>
        <v>109.41818360688244</v>
      </c>
      <c r="Y276">
        <f t="shared" ca="1" si="78"/>
        <v>-0.39184869245107734</v>
      </c>
      <c r="Z276">
        <f t="shared" ca="1" si="80"/>
        <v>-0.46801547465793503</v>
      </c>
      <c r="AA276">
        <f t="shared" ca="1" si="81"/>
        <v>7.6166782206857686E-2</v>
      </c>
      <c r="AB276">
        <f t="shared" ca="1" si="82"/>
        <v>114.85849999999999</v>
      </c>
    </row>
    <row r="277" spans="1:28" x14ac:dyDescent="0.25">
      <c r="A277" s="20">
        <f t="shared" ca="1" si="83"/>
        <v>45691</v>
      </c>
      <c r="B277" vm="800">
        <f ca="1"/>
        <v>45694</v>
      </c>
      <c r="C277" vm="801">
        <f ca="1"/>
        <v>108.43</v>
      </c>
      <c r="D277" vm="802">
        <f ca="1"/>
        <v>13411401</v>
      </c>
      <c r="E277">
        <f t="shared" ca="1" si="84"/>
        <v>1454198210.4300001</v>
      </c>
      <c r="F277">
        <f ca="1">SUM($E$2:E277)/SUM($D$2:D277)</f>
        <v>112.57909613632013</v>
      </c>
      <c r="G277">
        <f ca="1">_xlfn.STDEV.P($C$2:C277)</f>
        <v>6.4689782442861272</v>
      </c>
      <c r="H277">
        <f t="shared" ca="1" si="85"/>
        <v>119.04807438060627</v>
      </c>
      <c r="I277">
        <f t="shared" ca="1" si="86"/>
        <v>106.110117892034</v>
      </c>
      <c r="J277">
        <f t="shared" ca="1" si="74"/>
        <v>109.304</v>
      </c>
      <c r="K277">
        <f t="shared" ca="1" si="75"/>
        <v>1.6657174841017</v>
      </c>
      <c r="L277">
        <f t="shared" ca="1" si="76"/>
        <v>112.6354349682034</v>
      </c>
      <c r="M277">
        <f t="shared" ca="1" si="77"/>
        <v>105.97256503179661</v>
      </c>
      <c r="N277">
        <f t="shared" ca="1" si="87"/>
        <v>-1.4499999999999886</v>
      </c>
      <c r="O277">
        <f t="shared" ca="1" si="88"/>
        <v>0</v>
      </c>
      <c r="P277">
        <f t="shared" ca="1" si="89"/>
        <v>1.4499999999999886</v>
      </c>
      <c r="Q277">
        <f t="shared" ca="1" si="93"/>
        <v>0.55224859003278015</v>
      </c>
      <c r="R277">
        <f t="shared" ca="1" si="94"/>
        <v>0.62641241901810396</v>
      </c>
      <c r="S277">
        <f t="shared" ca="1" si="91"/>
        <v>0.88160543001114988</v>
      </c>
      <c r="T277">
        <f t="shared" ca="1" si="92"/>
        <v>46.853894868167217</v>
      </c>
      <c r="U277">
        <f>70</f>
        <v>70</v>
      </c>
      <c r="V277">
        <f>30</f>
        <v>30</v>
      </c>
      <c r="W277">
        <f t="shared" ca="1" si="90"/>
        <v>108.95313612873636</v>
      </c>
      <c r="X277">
        <f t="shared" ca="1" si="79"/>
        <v>109.34498482118744</v>
      </c>
      <c r="Y277">
        <f t="shared" ca="1" si="78"/>
        <v>-0.36785936367867578</v>
      </c>
      <c r="Z277">
        <f t="shared" ca="1" si="80"/>
        <v>-0.44798425246208323</v>
      </c>
      <c r="AA277">
        <f t="shared" ca="1" si="81"/>
        <v>8.0124888783407455E-2</v>
      </c>
      <c r="AB277">
        <f t="shared" ca="1" si="82"/>
        <v>114.83049999999999</v>
      </c>
    </row>
    <row r="278" spans="1:28" x14ac:dyDescent="0.25">
      <c r="A278" s="20">
        <f t="shared" ca="1" si="83"/>
        <v>45691</v>
      </c>
      <c r="B278" vm="803">
        <f ca="1"/>
        <v>45695</v>
      </c>
      <c r="C278" vm="804">
        <f ca="1"/>
        <v>108.89</v>
      </c>
      <c r="D278" vm="805">
        <f ca="1"/>
        <v>10051626</v>
      </c>
      <c r="E278">
        <f t="shared" ca="1" si="84"/>
        <v>1094521555.1400001</v>
      </c>
      <c r="F278">
        <f ca="1">SUM($E$2:E278)/SUM($D$2:D278)</f>
        <v>112.57082387222898</v>
      </c>
      <c r="G278">
        <f ca="1">_xlfn.STDEV.P($C$2:C278)</f>
        <v>6.4622105898741014</v>
      </c>
      <c r="H278">
        <f t="shared" ca="1" si="85"/>
        <v>119.03303446210309</v>
      </c>
      <c r="I278">
        <f t="shared" ca="1" si="86"/>
        <v>106.10861328235488</v>
      </c>
      <c r="J278">
        <f t="shared" ref="J278:J341" ca="1" si="95">AVERAGE(C259:C278)</f>
        <v>109.40199999999997</v>
      </c>
      <c r="K278">
        <f t="shared" ref="K278:K341" ca="1" si="96">_xlfn.STDEV.S(C259:C278)</f>
        <v>1.573817350467192</v>
      </c>
      <c r="L278">
        <f t="shared" ref="L278:L341" ca="1" si="97">J278 + 2*K278</f>
        <v>112.54963470093436</v>
      </c>
      <c r="M278">
        <f t="shared" ref="M278:M341" ca="1" si="98">J278-2*K278</f>
        <v>106.25436529906558</v>
      </c>
      <c r="N278">
        <f t="shared" ca="1" si="87"/>
        <v>0.45999999999999375</v>
      </c>
      <c r="O278">
        <f t="shared" ca="1" si="88"/>
        <v>0.45999999999999375</v>
      </c>
      <c r="P278">
        <f t="shared" ca="1" si="89"/>
        <v>0</v>
      </c>
      <c r="Q278">
        <f t="shared" ca="1" si="93"/>
        <v>0.5456594050304383</v>
      </c>
      <c r="R278">
        <f t="shared" ca="1" si="94"/>
        <v>0.58166867480252515</v>
      </c>
      <c r="S278">
        <f t="shared" ca="1" si="91"/>
        <v>0.93809315967666318</v>
      </c>
      <c r="T278">
        <f t="shared" ca="1" si="92"/>
        <v>48.402893070071393</v>
      </c>
      <c r="U278">
        <f>70</f>
        <v>70</v>
      </c>
      <c r="V278">
        <f>30</f>
        <v>30</v>
      </c>
      <c r="W278">
        <f t="shared" ca="1" si="90"/>
        <v>108.94342287816154</v>
      </c>
      <c r="X278">
        <f t="shared" ca="1" si="79"/>
        <v>109.31128224184022</v>
      </c>
      <c r="Y278">
        <f t="shared" ca="1" si="78"/>
        <v>-0.17894625009712684</v>
      </c>
      <c r="Z278">
        <f t="shared" ca="1" si="80"/>
        <v>-0.39417665198909196</v>
      </c>
      <c r="AA278">
        <f t="shared" ca="1" si="81"/>
        <v>0.21523040189196513</v>
      </c>
      <c r="AB278">
        <f t="shared" ca="1" si="82"/>
        <v>114.80789999999999</v>
      </c>
    </row>
    <row r="279" spans="1:28" x14ac:dyDescent="0.25">
      <c r="A279" s="20">
        <f t="shared" ca="1" si="83"/>
        <v>45698</v>
      </c>
      <c r="B279" vm="806">
        <f ca="1"/>
        <v>45698</v>
      </c>
      <c r="C279" vm="807">
        <f ca="1"/>
        <v>110.97</v>
      </c>
      <c r="D279" vm="808">
        <f ca="1"/>
        <v>12142197</v>
      </c>
      <c r="E279">
        <f t="shared" ca="1" si="84"/>
        <v>1347419601.0899999</v>
      </c>
      <c r="F279">
        <f ca="1">SUM($E$2:E279)/SUM($D$2:D279)</f>
        <v>112.56649938988302</v>
      </c>
      <c r="G279">
        <f ca="1">_xlfn.STDEV.P($C$2:C279)</f>
        <v>6.4518123352308381</v>
      </c>
      <c r="H279">
        <f t="shared" ca="1" si="85"/>
        <v>119.01831172511386</v>
      </c>
      <c r="I279">
        <f t="shared" ca="1" si="86"/>
        <v>106.11468705465218</v>
      </c>
      <c r="J279">
        <f t="shared" ca="1" si="95"/>
        <v>109.62349999999999</v>
      </c>
      <c r="K279">
        <f t="shared" ca="1" si="96"/>
        <v>1.4572406332373149</v>
      </c>
      <c r="L279">
        <f t="shared" ca="1" si="97"/>
        <v>112.53798126647462</v>
      </c>
      <c r="M279">
        <f t="shared" ca="1" si="98"/>
        <v>106.70901873352537</v>
      </c>
      <c r="N279">
        <f t="shared" ca="1" si="87"/>
        <v>2.0799999999999983</v>
      </c>
      <c r="O279">
        <f t="shared" ca="1" si="88"/>
        <v>2.0799999999999983</v>
      </c>
      <c r="P279">
        <f t="shared" ca="1" si="89"/>
        <v>0</v>
      </c>
      <c r="Q279">
        <f t="shared" ca="1" si="93"/>
        <v>0.65525516181397836</v>
      </c>
      <c r="R279">
        <f t="shared" ca="1" si="94"/>
        <v>0.54012091231663051</v>
      </c>
      <c r="S279">
        <f t="shared" ca="1" si="91"/>
        <v>1.2131638432652534</v>
      </c>
      <c r="T279">
        <f t="shared" ca="1" si="92"/>
        <v>54.815817046576093</v>
      </c>
      <c r="U279">
        <f>70</f>
        <v>70</v>
      </c>
      <c r="V279">
        <f>30</f>
        <v>30</v>
      </c>
      <c r="W279">
        <f t="shared" ca="1" si="90"/>
        <v>109.255203973829</v>
      </c>
      <c r="X279">
        <f t="shared" ca="1" si="79"/>
        <v>109.43415022392612</v>
      </c>
      <c r="Y279">
        <f t="shared" ca="1" si="78"/>
        <v>2.6942328920867453E-2</v>
      </c>
      <c r="Z279">
        <f t="shared" ca="1" si="80"/>
        <v>-0.30995285580710008</v>
      </c>
      <c r="AA279">
        <f t="shared" ca="1" si="81"/>
        <v>0.33689518472796753</v>
      </c>
      <c r="AB279">
        <f t="shared" ca="1" si="82"/>
        <v>114.79049999999999</v>
      </c>
    </row>
    <row r="280" spans="1:28" x14ac:dyDescent="0.25">
      <c r="A280" s="20">
        <f t="shared" ca="1" si="83"/>
        <v>45698</v>
      </c>
      <c r="B280" vm="809">
        <f ca="1"/>
        <v>45699</v>
      </c>
      <c r="C280" vm="810">
        <f ca="1"/>
        <v>111.67</v>
      </c>
      <c r="D280" vm="811">
        <f ca="1"/>
        <v>12713127</v>
      </c>
      <c r="E280">
        <f t="shared" ca="1" si="84"/>
        <v>1419674892.0899999</v>
      </c>
      <c r="F280">
        <f ca="1">SUM($E$2:E280)/SUM($D$2:D280)</f>
        <v>112.56397085443113</v>
      </c>
      <c r="G280">
        <f ca="1">_xlfn.STDEV.P($C$2:C280)</f>
        <v>6.4407836389437874</v>
      </c>
      <c r="H280">
        <f t="shared" ca="1" si="85"/>
        <v>119.00475449337492</v>
      </c>
      <c r="I280">
        <f t="shared" ca="1" si="86"/>
        <v>106.12318721548735</v>
      </c>
      <c r="J280">
        <f t="shared" ca="1" si="95"/>
        <v>109.74249999999999</v>
      </c>
      <c r="K280">
        <f t="shared" ca="1" si="96"/>
        <v>1.5242111851190769</v>
      </c>
      <c r="L280">
        <f t="shared" ca="1" si="97"/>
        <v>112.79092237023815</v>
      </c>
      <c r="M280">
        <f t="shared" ca="1" si="98"/>
        <v>106.69407762976184</v>
      </c>
      <c r="N280">
        <f t="shared" ca="1" si="87"/>
        <v>0.70000000000000284</v>
      </c>
      <c r="O280">
        <f t="shared" ca="1" si="88"/>
        <v>0.70000000000000284</v>
      </c>
      <c r="P280">
        <f t="shared" ca="1" si="89"/>
        <v>0</v>
      </c>
      <c r="Q280">
        <f t="shared" ca="1" si="93"/>
        <v>0.65845122168440873</v>
      </c>
      <c r="R280">
        <f t="shared" ca="1" si="94"/>
        <v>0.50154084715115688</v>
      </c>
      <c r="S280">
        <f t="shared" ca="1" si="91"/>
        <v>1.3128566206013554</v>
      </c>
      <c r="T280">
        <f t="shared" ca="1" si="92"/>
        <v>56.763424455598347</v>
      </c>
      <c r="U280">
        <f>70</f>
        <v>70</v>
      </c>
      <c r="V280">
        <f>30</f>
        <v>30</v>
      </c>
      <c r="W280">
        <f t="shared" ca="1" si="90"/>
        <v>109.62671105477838</v>
      </c>
      <c r="X280">
        <f t="shared" ca="1" si="79"/>
        <v>109.59976872585752</v>
      </c>
      <c r="Y280">
        <f t="shared" ca="1" si="78"/>
        <v>-0.15667137502711626</v>
      </c>
      <c r="Z280">
        <f t="shared" ca="1" si="80"/>
        <v>-0.27929655965110334</v>
      </c>
      <c r="AA280">
        <f t="shared" ca="1" si="81"/>
        <v>0.12262518462398708</v>
      </c>
      <c r="AB280">
        <f t="shared" ca="1" si="82"/>
        <v>114.76539999999999</v>
      </c>
    </row>
    <row r="281" spans="1:28" x14ac:dyDescent="0.25">
      <c r="A281" s="20">
        <f t="shared" ca="1" si="83"/>
        <v>45698</v>
      </c>
      <c r="B281" vm="812">
        <f ca="1"/>
        <v>45700</v>
      </c>
      <c r="C281" vm="813">
        <f ca="1"/>
        <v>107.35</v>
      </c>
      <c r="D281" vm="814">
        <f ca="1"/>
        <v>18244122</v>
      </c>
      <c r="E281">
        <f t="shared" ca="1" si="84"/>
        <v>1958506496.6999998</v>
      </c>
      <c r="F281">
        <f ca="1">SUM($E$2:E281)/SUM($D$2:D281)</f>
        <v>112.54295224597963</v>
      </c>
      <c r="G281">
        <f ca="1">_xlfn.STDEV.P($C$2:C281)</f>
        <v>6.4383073298992741</v>
      </c>
      <c r="H281">
        <f t="shared" ca="1" si="85"/>
        <v>118.98125957587891</v>
      </c>
      <c r="I281">
        <f t="shared" ca="1" si="86"/>
        <v>106.10464491608036</v>
      </c>
      <c r="J281">
        <f t="shared" ca="1" si="95"/>
        <v>109.62399999999998</v>
      </c>
      <c r="K281">
        <f t="shared" ca="1" si="96"/>
        <v>1.6154497499881695</v>
      </c>
      <c r="L281">
        <f t="shared" ca="1" si="97"/>
        <v>112.85489949997633</v>
      </c>
      <c r="M281">
        <f t="shared" ca="1" si="98"/>
        <v>106.39310050002364</v>
      </c>
      <c r="N281">
        <f t="shared" ca="1" si="87"/>
        <v>-4.3200000000000074</v>
      </c>
      <c r="O281">
        <f t="shared" ca="1" si="88"/>
        <v>0</v>
      </c>
      <c r="P281">
        <f t="shared" ca="1" si="89"/>
        <v>4.3200000000000074</v>
      </c>
      <c r="Q281">
        <f t="shared" ca="1" si="93"/>
        <v>0.61141899156409374</v>
      </c>
      <c r="R281">
        <f t="shared" ca="1" si="94"/>
        <v>0.77428792949750325</v>
      </c>
      <c r="S281">
        <f t="shared" ca="1" si="91"/>
        <v>0.78965326498230692</v>
      </c>
      <c r="T281">
        <f t="shared" ca="1" si="92"/>
        <v>44.123254511544374</v>
      </c>
      <c r="U281">
        <f>70</f>
        <v>70</v>
      </c>
      <c r="V281">
        <f>30</f>
        <v>30</v>
      </c>
      <c r="W281">
        <f t="shared" ca="1" si="90"/>
        <v>109.2764478155817</v>
      </c>
      <c r="X281">
        <f t="shared" ca="1" si="79"/>
        <v>109.43311919060882</v>
      </c>
      <c r="Y281">
        <f t="shared" ca="1" si="78"/>
        <v>-0.2365206145871781</v>
      </c>
      <c r="Z281">
        <f t="shared" ca="1" si="80"/>
        <v>-0.27074137063831832</v>
      </c>
      <c r="AA281">
        <f t="shared" ca="1" si="81"/>
        <v>3.4220756051140222E-2</v>
      </c>
      <c r="AB281">
        <f t="shared" ca="1" si="82"/>
        <v>114.6931</v>
      </c>
    </row>
    <row r="282" spans="1:28" x14ac:dyDescent="0.25">
      <c r="A282" s="20">
        <f t="shared" ca="1" si="83"/>
        <v>45698</v>
      </c>
      <c r="B282" vm="815">
        <f ca="1"/>
        <v>45701</v>
      </c>
      <c r="C282" vm="816">
        <f ca="1"/>
        <v>108.13</v>
      </c>
      <c r="D282" vm="817">
        <f ca="1"/>
        <v>15459952</v>
      </c>
      <c r="E282">
        <f t="shared" ca="1" si="84"/>
        <v>1671684609.76</v>
      </c>
      <c r="F282">
        <f ca="1">SUM($E$2:E282)/SUM($D$2:D282)</f>
        <v>112.52792882866291</v>
      </c>
      <c r="G282">
        <f ca="1">_xlfn.STDEV.P($C$2:C282)</f>
        <v>6.4335031277997503</v>
      </c>
      <c r="H282">
        <f t="shared" ca="1" si="85"/>
        <v>118.96143195646266</v>
      </c>
      <c r="I282">
        <f t="shared" ca="1" si="86"/>
        <v>106.09442570086316</v>
      </c>
      <c r="J282">
        <f t="shared" ca="1" si="95"/>
        <v>109.45500000000001</v>
      </c>
      <c r="K282">
        <f t="shared" ca="1" si="96"/>
        <v>1.5842597474430817</v>
      </c>
      <c r="L282">
        <f t="shared" ca="1" si="97"/>
        <v>112.62351949488618</v>
      </c>
      <c r="M282">
        <f t="shared" ca="1" si="98"/>
        <v>106.28648050511384</v>
      </c>
      <c r="N282">
        <f t="shared" ca="1" si="87"/>
        <v>0.78000000000000114</v>
      </c>
      <c r="O282">
        <f t="shared" ca="1" si="88"/>
        <v>0.78000000000000114</v>
      </c>
      <c r="P282">
        <f t="shared" ca="1" si="89"/>
        <v>0</v>
      </c>
      <c r="Q282">
        <f t="shared" ca="1" si="93"/>
        <v>0.62346049216665855</v>
      </c>
      <c r="R282">
        <f t="shared" ca="1" si="94"/>
        <v>0.71898164881911009</v>
      </c>
      <c r="S282">
        <f t="shared" ca="1" si="91"/>
        <v>0.86714381819154907</v>
      </c>
      <c r="T282">
        <f t="shared" ca="1" si="92"/>
        <v>46.442261690983969</v>
      </c>
      <c r="U282">
        <f>70</f>
        <v>70</v>
      </c>
      <c r="V282">
        <f>30</f>
        <v>30</v>
      </c>
      <c r="W282">
        <f t="shared" ca="1" si="90"/>
        <v>109.10007122856913</v>
      </c>
      <c r="X282">
        <f t="shared" ca="1" si="79"/>
        <v>109.33659184315631</v>
      </c>
      <c r="Y282">
        <f t="shared" ca="1" si="78"/>
        <v>-0.28761023971730992</v>
      </c>
      <c r="Z282">
        <f t="shared" ca="1" si="80"/>
        <v>-0.27411514445411667</v>
      </c>
      <c r="AA282">
        <f t="shared" ca="1" si="81"/>
        <v>-1.3495095263193257E-2</v>
      </c>
      <c r="AB282">
        <f t="shared" ca="1" si="82"/>
        <v>114.6144</v>
      </c>
    </row>
    <row r="283" spans="1:28" x14ac:dyDescent="0.25">
      <c r="A283" s="20">
        <f t="shared" ca="1" si="83"/>
        <v>45698</v>
      </c>
      <c r="B283" vm="818">
        <f ca="1"/>
        <v>45702</v>
      </c>
      <c r="C283" vm="819">
        <f ca="1"/>
        <v>108.24</v>
      </c>
      <c r="D283" vm="820">
        <f ca="1"/>
        <v>15733529</v>
      </c>
      <c r="E283">
        <f t="shared" ca="1" si="84"/>
        <v>1702997178.96</v>
      </c>
      <c r="F283">
        <f ca="1">SUM($E$2:E283)/SUM($D$2:D283)</f>
        <v>112.51312401300953</v>
      </c>
      <c r="G283">
        <f ca="1">_xlfn.STDEV.P($C$2:C283)</f>
        <v>6.4283895384259022</v>
      </c>
      <c r="H283">
        <f t="shared" ca="1" si="85"/>
        <v>118.94151355143543</v>
      </c>
      <c r="I283">
        <f t="shared" ca="1" si="86"/>
        <v>106.08473447458363</v>
      </c>
      <c r="J283">
        <f t="shared" ca="1" si="95"/>
        <v>109.30099999999997</v>
      </c>
      <c r="K283">
        <f t="shared" ca="1" si="96"/>
        <v>1.5425778151488734</v>
      </c>
      <c r="L283">
        <f t="shared" ca="1" si="97"/>
        <v>112.38615563029772</v>
      </c>
      <c r="M283">
        <f t="shared" ca="1" si="98"/>
        <v>106.21584436970222</v>
      </c>
      <c r="N283">
        <f t="shared" ca="1" si="87"/>
        <v>0.10999999999999943</v>
      </c>
      <c r="O283">
        <f t="shared" ca="1" si="88"/>
        <v>0.10999999999999943</v>
      </c>
      <c r="P283">
        <f t="shared" ca="1" si="89"/>
        <v>0</v>
      </c>
      <c r="Q283">
        <f t="shared" ca="1" si="93"/>
        <v>0.58678474272618286</v>
      </c>
      <c r="R283">
        <f t="shared" ca="1" si="94"/>
        <v>0.66762581676060229</v>
      </c>
      <c r="S283">
        <f t="shared" ca="1" si="91"/>
        <v>0.87891260043437258</v>
      </c>
      <c r="T283">
        <f t="shared" ca="1" si="92"/>
        <v>46.777726661217926</v>
      </c>
      <c r="U283">
        <f>70</f>
        <v>70</v>
      </c>
      <c r="V283">
        <f>30</f>
        <v>30</v>
      </c>
      <c r="W283">
        <f t="shared" ca="1" si="90"/>
        <v>108.96775257802003</v>
      </c>
      <c r="X283">
        <f t="shared" ca="1" si="79"/>
        <v>109.25536281773734</v>
      </c>
      <c r="Y283">
        <f t="shared" ca="1" si="78"/>
        <v>-0.17279316265721434</v>
      </c>
      <c r="Z283">
        <f t="shared" ca="1" si="80"/>
        <v>-0.25385074809473618</v>
      </c>
      <c r="AA283">
        <f t="shared" ca="1" si="81"/>
        <v>8.105758543752184E-2</v>
      </c>
      <c r="AB283">
        <f t="shared" ca="1" si="82"/>
        <v>114.5441</v>
      </c>
    </row>
    <row r="284" spans="1:28" x14ac:dyDescent="0.25">
      <c r="A284" s="20">
        <f t="shared" ca="1" si="83"/>
        <v>45705</v>
      </c>
      <c r="B284" vm="821">
        <f ca="1"/>
        <v>45706</v>
      </c>
      <c r="C284" vm="822">
        <f ca="1"/>
        <v>110.14</v>
      </c>
      <c r="D284" vm="823">
        <f ca="1"/>
        <v>20060298</v>
      </c>
      <c r="E284">
        <f t="shared" ca="1" si="84"/>
        <v>2209441221.7199998</v>
      </c>
      <c r="F284">
        <f ca="1">SUM($E$2:E284)/SUM($D$2:D284)</f>
        <v>112.50272290842797</v>
      </c>
      <c r="G284">
        <f ca="1">_xlfn.STDEV.P($C$2:C284)</f>
        <v>6.4192827965295898</v>
      </c>
      <c r="H284">
        <f t="shared" ca="1" si="85"/>
        <v>118.92200570495756</v>
      </c>
      <c r="I284">
        <f t="shared" ca="1" si="86"/>
        <v>106.08344011189838</v>
      </c>
      <c r="J284">
        <f t="shared" ca="1" si="95"/>
        <v>109.19199999999998</v>
      </c>
      <c r="K284">
        <f t="shared" ca="1" si="96"/>
        <v>1.3872221390815154</v>
      </c>
      <c r="L284">
        <f t="shared" ca="1" si="97"/>
        <v>111.96644427816301</v>
      </c>
      <c r="M284">
        <f t="shared" ca="1" si="98"/>
        <v>106.41755572183695</v>
      </c>
      <c r="N284">
        <f t="shared" ca="1" si="87"/>
        <v>1.9000000000000057</v>
      </c>
      <c r="O284">
        <f t="shared" ca="1" si="88"/>
        <v>1.9000000000000057</v>
      </c>
      <c r="P284">
        <f t="shared" ca="1" si="89"/>
        <v>0</v>
      </c>
      <c r="Q284">
        <f t="shared" ca="1" si="93"/>
        <v>0.68058583253145599</v>
      </c>
      <c r="R284">
        <f t="shared" ca="1" si="94"/>
        <v>0.61993825842055927</v>
      </c>
      <c r="S284">
        <f t="shared" ca="1" si="91"/>
        <v>1.097828409986199</v>
      </c>
      <c r="T284">
        <f t="shared" ca="1" si="92"/>
        <v>52.331659003198517</v>
      </c>
      <c r="U284">
        <f>70</f>
        <v>70</v>
      </c>
      <c r="V284">
        <f>30</f>
        <v>30</v>
      </c>
      <c r="W284">
        <f t="shared" ca="1" si="90"/>
        <v>109.14809833524772</v>
      </c>
      <c r="X284">
        <f t="shared" ca="1" si="79"/>
        <v>109.32089149790494</v>
      </c>
      <c r="Y284">
        <f t="shared" ref="Y284:Y347" ca="1" si="99">W285-X285</f>
        <v>-6.8104077636832017E-2</v>
      </c>
      <c r="Z284">
        <f t="shared" ca="1" si="80"/>
        <v>-0.21670141400315537</v>
      </c>
      <c r="AA284">
        <f t="shared" ca="1" si="81"/>
        <v>0.14859733636632336</v>
      </c>
      <c r="AB284">
        <f t="shared" ca="1" si="82"/>
        <v>114.47189999999999</v>
      </c>
    </row>
    <row r="285" spans="1:28" x14ac:dyDescent="0.25">
      <c r="A285" s="20">
        <f t="shared" ca="1" si="83"/>
        <v>45705</v>
      </c>
      <c r="B285" vm="824">
        <f ca="1"/>
        <v>45707</v>
      </c>
      <c r="C285" vm="825">
        <f ca="1"/>
        <v>110.3</v>
      </c>
      <c r="D285" vm="826">
        <f ca="1"/>
        <v>10964698</v>
      </c>
      <c r="E285">
        <f t="shared" ca="1" si="84"/>
        <v>1209406189.3999999</v>
      </c>
      <c r="F285">
        <f ca="1">SUM($E$2:E285)/SUM($D$2:D285)</f>
        <v>112.4974586278226</v>
      </c>
      <c r="G285">
        <f ca="1">_xlfn.STDEV.P($C$2:C285)</f>
        <v>6.4099679592215137</v>
      </c>
      <c r="H285">
        <f t="shared" ca="1" si="85"/>
        <v>118.90742658704411</v>
      </c>
      <c r="I285">
        <f t="shared" ca="1" si="86"/>
        <v>106.08749066860108</v>
      </c>
      <c r="J285">
        <f t="shared" ca="1" si="95"/>
        <v>109.13350000000003</v>
      </c>
      <c r="K285">
        <f t="shared" ca="1" si="96"/>
        <v>1.3085398652495721</v>
      </c>
      <c r="L285">
        <f t="shared" ca="1" si="97"/>
        <v>111.75057973049917</v>
      </c>
      <c r="M285">
        <f t="shared" ca="1" si="98"/>
        <v>106.51642026950088</v>
      </c>
      <c r="N285">
        <f t="shared" ca="1" si="87"/>
        <v>0.15999999999999659</v>
      </c>
      <c r="O285">
        <f t="shared" ca="1" si="88"/>
        <v>0.15999999999999659</v>
      </c>
      <c r="P285">
        <f t="shared" ca="1" si="89"/>
        <v>0</v>
      </c>
      <c r="Q285">
        <f t="shared" ca="1" si="93"/>
        <v>0.64340113020778034</v>
      </c>
      <c r="R285">
        <f t="shared" ca="1" si="94"/>
        <v>0.57565695424766228</v>
      </c>
      <c r="S285">
        <f t="shared" ca="1" si="91"/>
        <v>1.1176815036459593</v>
      </c>
      <c r="T285">
        <f t="shared" ca="1" si="92"/>
        <v>52.778545863562343</v>
      </c>
      <c r="U285">
        <f>70</f>
        <v>70</v>
      </c>
      <c r="V285">
        <f>30</f>
        <v>30</v>
      </c>
      <c r="W285">
        <f t="shared" ca="1" si="90"/>
        <v>109.32531397597884</v>
      </c>
      <c r="X285">
        <f t="shared" ref="X285:X348" ca="1" si="100">C285*(2/(26+1)) + X284*(1-(2/(26+1)))</f>
        <v>109.39341805361568</v>
      </c>
      <c r="Y285">
        <f t="shared" ca="1" si="99"/>
        <v>0.15030593572828366</v>
      </c>
      <c r="Z285">
        <f t="shared" ca="1" si="80"/>
        <v>-0.14329994405686758</v>
      </c>
      <c r="AA285">
        <f t="shared" ca="1" si="81"/>
        <v>0.29360587978515124</v>
      </c>
      <c r="AB285">
        <f t="shared" ca="1" si="82"/>
        <v>114.40439999999998</v>
      </c>
    </row>
    <row r="286" spans="1:28" x14ac:dyDescent="0.25">
      <c r="A286" s="20">
        <f t="shared" ca="1" si="83"/>
        <v>45705</v>
      </c>
      <c r="B286" vm="827">
        <f ca="1"/>
        <v>45708</v>
      </c>
      <c r="C286" vm="828">
        <f ca="1"/>
        <v>112</v>
      </c>
      <c r="D286" vm="829">
        <f ca="1"/>
        <v>16325803</v>
      </c>
      <c r="E286">
        <f t="shared" ca="1" si="84"/>
        <v>1828489936</v>
      </c>
      <c r="F286">
        <f ca="1">SUM($E$2:E286)/SUM($D$2:D286)</f>
        <v>112.4956947384301</v>
      </c>
      <c r="G286">
        <f ca="1">_xlfn.STDEV.P($C$2:C286)</f>
        <v>6.3989809790085923</v>
      </c>
      <c r="H286">
        <f t="shared" ca="1" si="85"/>
        <v>118.8946757174387</v>
      </c>
      <c r="I286">
        <f t="shared" ca="1" si="86"/>
        <v>106.0967137594215</v>
      </c>
      <c r="J286">
        <f t="shared" ca="1" si="95"/>
        <v>109.25700000000002</v>
      </c>
      <c r="K286">
        <f t="shared" ca="1" si="96"/>
        <v>1.4561633077877525</v>
      </c>
      <c r="L286">
        <f t="shared" ca="1" si="97"/>
        <v>112.16932661557553</v>
      </c>
      <c r="M286">
        <f t="shared" ca="1" si="98"/>
        <v>106.34467338442451</v>
      </c>
      <c r="N286">
        <f t="shared" ca="1" si="87"/>
        <v>1.7000000000000028</v>
      </c>
      <c r="O286">
        <f t="shared" ca="1" si="88"/>
        <v>1.7000000000000028</v>
      </c>
      <c r="P286">
        <f t="shared" ca="1" si="89"/>
        <v>0</v>
      </c>
      <c r="Q286">
        <f t="shared" ca="1" si="93"/>
        <v>0.71887247805008203</v>
      </c>
      <c r="R286">
        <f t="shared" ca="1" si="94"/>
        <v>0.5345386003728293</v>
      </c>
      <c r="S286">
        <f t="shared" ca="1" si="91"/>
        <v>1.3448467099451449</v>
      </c>
      <c r="T286">
        <f t="shared" ca="1" si="92"/>
        <v>57.353288990759062</v>
      </c>
      <c r="U286">
        <f>70</f>
        <v>70</v>
      </c>
      <c r="V286">
        <f>30</f>
        <v>30</v>
      </c>
      <c r="W286">
        <f t="shared" ca="1" si="90"/>
        <v>109.73680413352056</v>
      </c>
      <c r="X286">
        <f t="shared" ca="1" si="100"/>
        <v>109.58649819779228</v>
      </c>
      <c r="Y286">
        <f t="shared" ca="1" si="99"/>
        <v>0.21521057941058075</v>
      </c>
      <c r="Z286">
        <f t="shared" ca="1" si="80"/>
        <v>-7.1597839363377921E-2</v>
      </c>
      <c r="AA286">
        <f t="shared" ca="1" si="81"/>
        <v>0.28680841877395868</v>
      </c>
      <c r="AB286">
        <f t="shared" ca="1" si="82"/>
        <v>114.37669999999999</v>
      </c>
    </row>
    <row r="287" spans="1:28" x14ac:dyDescent="0.25">
      <c r="A287" s="20">
        <f t="shared" ca="1" si="83"/>
        <v>45705</v>
      </c>
      <c r="B287" vm="830">
        <f ca="1"/>
        <v>45709</v>
      </c>
      <c r="C287" vm="831">
        <f ca="1"/>
        <v>110.69</v>
      </c>
      <c r="D287" vm="832">
        <f ca="1"/>
        <v>14709985</v>
      </c>
      <c r="E287">
        <f t="shared" ca="1" si="84"/>
        <v>1628248239.6499999</v>
      </c>
      <c r="F287">
        <f ca="1">SUM($E$2:E287)/SUM($D$2:D287)</f>
        <v>112.48994416580426</v>
      </c>
      <c r="G287">
        <f ca="1">_xlfn.STDEV.P($C$2:C287)</f>
        <v>6.3892239597018161</v>
      </c>
      <c r="H287">
        <f t="shared" ca="1" si="85"/>
        <v>118.87916812550608</v>
      </c>
      <c r="I287">
        <f t="shared" ca="1" si="86"/>
        <v>106.10072020610244</v>
      </c>
      <c r="J287">
        <f t="shared" ca="1" si="95"/>
        <v>109.28400000000003</v>
      </c>
      <c r="K287">
        <f t="shared" ca="1" si="96"/>
        <v>1.4784287534228249</v>
      </c>
      <c r="L287">
        <f t="shared" ca="1" si="97"/>
        <v>112.24085750684569</v>
      </c>
      <c r="M287">
        <f t="shared" ca="1" si="98"/>
        <v>106.32714249315438</v>
      </c>
      <c r="N287">
        <f t="shared" ca="1" si="87"/>
        <v>-1.3100000000000023</v>
      </c>
      <c r="O287">
        <f t="shared" ca="1" si="88"/>
        <v>0</v>
      </c>
      <c r="P287">
        <f t="shared" ca="1" si="89"/>
        <v>1.3100000000000023</v>
      </c>
      <c r="Q287">
        <f t="shared" ca="1" si="93"/>
        <v>0.66752444390364762</v>
      </c>
      <c r="R287">
        <f t="shared" ca="1" si="94"/>
        <v>0.58992870034619871</v>
      </c>
      <c r="S287">
        <f t="shared" ca="1" si="91"/>
        <v>1.1315341049043925</v>
      </c>
      <c r="T287">
        <f t="shared" ca="1" si="92"/>
        <v>53.085432801702517</v>
      </c>
      <c r="U287">
        <f>70</f>
        <v>70</v>
      </c>
      <c r="V287">
        <f>30</f>
        <v>30</v>
      </c>
      <c r="W287">
        <f t="shared" ca="1" si="90"/>
        <v>109.88344965144047</v>
      </c>
      <c r="X287">
        <f t="shared" ca="1" si="100"/>
        <v>109.66823907202989</v>
      </c>
      <c r="Y287">
        <f t="shared" ca="1" si="99"/>
        <v>0.30987706002308357</v>
      </c>
      <c r="Z287">
        <f t="shared" ca="1" si="80"/>
        <v>4.6971405139143788E-3</v>
      </c>
      <c r="AA287">
        <f t="shared" ca="1" si="81"/>
        <v>0.30517991950916917</v>
      </c>
      <c r="AB287">
        <f t="shared" ca="1" si="82"/>
        <v>114.35559999999998</v>
      </c>
    </row>
    <row r="288" spans="1:28" x14ac:dyDescent="0.25">
      <c r="A288" s="20">
        <f t="shared" ca="1" si="83"/>
        <v>45712</v>
      </c>
      <c r="B288" vm="833">
        <f ca="1"/>
        <v>45712</v>
      </c>
      <c r="C288" vm="153">
        <f ca="1"/>
        <v>111.27</v>
      </c>
      <c r="D288" vm="834">
        <f ca="1"/>
        <v>13153471</v>
      </c>
      <c r="E288">
        <f t="shared" ca="1" si="84"/>
        <v>1463586718.1699998</v>
      </c>
      <c r="F288">
        <f ca="1">SUM($E$2:E288)/SUM($D$2:D288)</f>
        <v>112.48647999041827</v>
      </c>
      <c r="G288">
        <f ca="1">_xlfn.STDEV.P($C$2:C288)</f>
        <v>6.3788788460027748</v>
      </c>
      <c r="H288">
        <f t="shared" ca="1" si="85"/>
        <v>118.86535883642105</v>
      </c>
      <c r="I288">
        <f t="shared" ca="1" si="86"/>
        <v>106.1076011444155</v>
      </c>
      <c r="J288">
        <f t="shared" ca="1" si="95"/>
        <v>109.4145</v>
      </c>
      <c r="K288">
        <f t="shared" ca="1" si="96"/>
        <v>1.5345751169211899</v>
      </c>
      <c r="L288">
        <f t="shared" ca="1" si="97"/>
        <v>112.48365023384238</v>
      </c>
      <c r="M288">
        <f t="shared" ca="1" si="98"/>
        <v>106.34534976615763</v>
      </c>
      <c r="N288">
        <f t="shared" ca="1" si="87"/>
        <v>0.57999999999999829</v>
      </c>
      <c r="O288">
        <f t="shared" ca="1" si="88"/>
        <v>0.57999999999999829</v>
      </c>
      <c r="P288">
        <f t="shared" ca="1" si="89"/>
        <v>0</v>
      </c>
      <c r="Q288">
        <f t="shared" ca="1" si="93"/>
        <v>0.66127269791052978</v>
      </c>
      <c r="R288">
        <f t="shared" ca="1" si="94"/>
        <v>0.5477909360357559</v>
      </c>
      <c r="S288">
        <f t="shared" ca="1" si="91"/>
        <v>1.2071625403224391</v>
      </c>
      <c r="T288">
        <f t="shared" ca="1" si="92"/>
        <v>54.692960680008987</v>
      </c>
      <c r="U288">
        <f>70</f>
        <v>70</v>
      </c>
      <c r="V288">
        <f>30</f>
        <v>30</v>
      </c>
      <c r="W288">
        <f t="shared" ca="1" si="90"/>
        <v>110.09676508968039</v>
      </c>
      <c r="X288">
        <f t="shared" ca="1" si="100"/>
        <v>109.78688802965731</v>
      </c>
      <c r="Y288">
        <f t="shared" ca="1" si="99"/>
        <v>0.25766558973349163</v>
      </c>
      <c r="Z288">
        <f t="shared" ca="1" si="80"/>
        <v>5.5290830357829827E-2</v>
      </c>
      <c r="AA288">
        <f t="shared" ca="1" si="81"/>
        <v>0.20237475937566179</v>
      </c>
      <c r="AB288">
        <f t="shared" ca="1" si="82"/>
        <v>114.31009999999996</v>
      </c>
    </row>
    <row r="289" spans="1:28" x14ac:dyDescent="0.25">
      <c r="A289" s="20">
        <f t="shared" ca="1" si="83"/>
        <v>45712</v>
      </c>
      <c r="B289" vm="835">
        <f ca="1"/>
        <v>45713</v>
      </c>
      <c r="C289" vm="836">
        <f ca="1"/>
        <v>109.73</v>
      </c>
      <c r="D289" vm="837">
        <f ca="1"/>
        <v>14496964</v>
      </c>
      <c r="E289">
        <f t="shared" ca="1" si="84"/>
        <v>1590751859.72</v>
      </c>
      <c r="F289">
        <f ca="1">SUM($E$2:E289)/SUM($D$2:D289)</f>
        <v>112.47788007103073</v>
      </c>
      <c r="G289">
        <f ca="1">_xlfn.STDEV.P($C$2:C289)</f>
        <v>6.3706529431766601</v>
      </c>
      <c r="H289">
        <f t="shared" ca="1" si="85"/>
        <v>118.84853301420739</v>
      </c>
      <c r="I289">
        <f t="shared" ca="1" si="86"/>
        <v>106.10722712785406</v>
      </c>
      <c r="J289">
        <f t="shared" ca="1" si="95"/>
        <v>109.39250000000001</v>
      </c>
      <c r="K289">
        <f t="shared" ca="1" si="96"/>
        <v>1.5263057395313411</v>
      </c>
      <c r="L289">
        <f t="shared" ca="1" si="97"/>
        <v>112.44511147906269</v>
      </c>
      <c r="M289">
        <f t="shared" ca="1" si="98"/>
        <v>106.33988852093734</v>
      </c>
      <c r="N289">
        <f t="shared" ca="1" si="87"/>
        <v>-1.539999999999992</v>
      </c>
      <c r="O289">
        <f t="shared" ca="1" si="88"/>
        <v>0</v>
      </c>
      <c r="P289">
        <f t="shared" ca="1" si="89"/>
        <v>1.539999999999992</v>
      </c>
      <c r="Q289">
        <f t="shared" ca="1" si="93"/>
        <v>0.61403893377406338</v>
      </c>
      <c r="R289">
        <f t="shared" ca="1" si="94"/>
        <v>0.6186630120332014</v>
      </c>
      <c r="S289">
        <f t="shared" ca="1" si="91"/>
        <v>0.9925256914197258</v>
      </c>
      <c r="T289">
        <f t="shared" ca="1" si="92"/>
        <v>49.812441349879194</v>
      </c>
      <c r="U289">
        <f>70</f>
        <v>70</v>
      </c>
      <c r="V289">
        <f>30</f>
        <v>30</v>
      </c>
      <c r="W289">
        <f t="shared" ca="1" si="90"/>
        <v>110.04033969126803</v>
      </c>
      <c r="X289">
        <f t="shared" ca="1" si="100"/>
        <v>109.78267410153454</v>
      </c>
      <c r="Y289">
        <f t="shared" ca="1" si="99"/>
        <v>0.19228434560650953</v>
      </c>
      <c r="Z289">
        <f t="shared" ca="1" si="80"/>
        <v>8.2689533407565768E-2</v>
      </c>
      <c r="AA289">
        <f t="shared" ca="1" si="81"/>
        <v>0.10959481219894376</v>
      </c>
      <c r="AB289">
        <f t="shared" ca="1" si="82"/>
        <v>114.23519999999995</v>
      </c>
    </row>
    <row r="290" spans="1:28" x14ac:dyDescent="0.25">
      <c r="A290" s="20">
        <f t="shared" ca="1" si="83"/>
        <v>45712</v>
      </c>
      <c r="B290" vm="838">
        <f ca="1"/>
        <v>45714</v>
      </c>
      <c r="C290" vm="839">
        <f ca="1"/>
        <v>109.46</v>
      </c>
      <c r="D290" vm="840">
        <f ca="1"/>
        <v>10446405</v>
      </c>
      <c r="E290">
        <f t="shared" ca="1" si="84"/>
        <v>1143463491.3</v>
      </c>
      <c r="F290">
        <f ca="1">SUM($E$2:E290)/SUM($D$2:D290)</f>
        <v>112.47111057965036</v>
      </c>
      <c r="G290">
        <f ca="1">_xlfn.STDEV.P($C$2:C290)</f>
        <v>6.3629464650318734</v>
      </c>
      <c r="H290">
        <f t="shared" ca="1" si="85"/>
        <v>118.83405704468223</v>
      </c>
      <c r="I290">
        <f t="shared" ca="1" si="86"/>
        <v>106.10816411461849</v>
      </c>
      <c r="J290">
        <f t="shared" ca="1" si="95"/>
        <v>109.4635</v>
      </c>
      <c r="K290">
        <f t="shared" ca="1" si="96"/>
        <v>1.4927377708866276</v>
      </c>
      <c r="L290">
        <f t="shared" ca="1" si="97"/>
        <v>112.44897554177325</v>
      </c>
      <c r="M290">
        <f t="shared" ca="1" si="98"/>
        <v>106.47802445822674</v>
      </c>
      <c r="N290">
        <f t="shared" ca="1" si="87"/>
        <v>-0.27000000000001023</v>
      </c>
      <c r="O290">
        <f t="shared" ca="1" si="88"/>
        <v>0</v>
      </c>
      <c r="P290">
        <f t="shared" ca="1" si="89"/>
        <v>0.27000000000001023</v>
      </c>
      <c r="Q290">
        <f t="shared" ca="1" si="93"/>
        <v>0.57017900993305892</v>
      </c>
      <c r="R290">
        <f t="shared" ca="1" si="94"/>
        <v>0.59375851117368772</v>
      </c>
      <c r="S290">
        <f t="shared" ca="1" si="91"/>
        <v>0.96028772506516324</v>
      </c>
      <c r="T290">
        <f t="shared" ca="1" si="92"/>
        <v>48.987080456938614</v>
      </c>
      <c r="U290">
        <f>70</f>
        <v>70</v>
      </c>
      <c r="V290">
        <f>30</f>
        <v>30</v>
      </c>
      <c r="W290">
        <f t="shared" ca="1" si="90"/>
        <v>109.95105666184219</v>
      </c>
      <c r="X290">
        <f t="shared" ca="1" si="100"/>
        <v>109.75877231623568</v>
      </c>
      <c r="Y290">
        <f t="shared" ca="1" si="99"/>
        <v>0.19391118458841561</v>
      </c>
      <c r="Z290">
        <f t="shared" ca="1" si="80"/>
        <v>0.10493386364373573</v>
      </c>
      <c r="AA290">
        <f t="shared" ca="1" si="81"/>
        <v>8.8977320944679875E-2</v>
      </c>
      <c r="AB290">
        <f t="shared" ca="1" si="82"/>
        <v>114.13049999999994</v>
      </c>
    </row>
    <row r="291" spans="1:28" x14ac:dyDescent="0.25">
      <c r="A291" s="20">
        <f t="shared" ca="1" si="83"/>
        <v>45712</v>
      </c>
      <c r="B291" vm="841">
        <f ca="1"/>
        <v>45715</v>
      </c>
      <c r="C291" vm="771">
        <f ca="1"/>
        <v>110.15</v>
      </c>
      <c r="D291" vm="842">
        <f ca="1"/>
        <v>15293173</v>
      </c>
      <c r="E291">
        <f t="shared" ca="1" si="84"/>
        <v>1684543005.95</v>
      </c>
      <c r="F291">
        <f ca="1">SUM($E$2:E291)/SUM($D$2:D291)</f>
        <v>112.46351332279816</v>
      </c>
      <c r="G291">
        <f ca="1">_xlfn.STDEV.P($C$2:C291)</f>
        <v>6.3540873712159769</v>
      </c>
      <c r="H291">
        <f t="shared" ca="1" si="85"/>
        <v>118.81760069401415</v>
      </c>
      <c r="I291">
        <f t="shared" ca="1" si="86"/>
        <v>106.10942595158218</v>
      </c>
      <c r="J291">
        <f t="shared" ca="1" si="95"/>
        <v>109.53749999999999</v>
      </c>
      <c r="K291">
        <f t="shared" ca="1" si="96"/>
        <v>1.4880077638450542</v>
      </c>
      <c r="L291">
        <f t="shared" ca="1" si="97"/>
        <v>112.5135155276901</v>
      </c>
      <c r="M291">
        <f t="shared" ca="1" si="98"/>
        <v>106.56148447230989</v>
      </c>
      <c r="N291">
        <f t="shared" ca="1" si="87"/>
        <v>0.69000000000001194</v>
      </c>
      <c r="O291">
        <f t="shared" ca="1" si="88"/>
        <v>0.69000000000001194</v>
      </c>
      <c r="P291">
        <f t="shared" ca="1" si="89"/>
        <v>0</v>
      </c>
      <c r="Q291">
        <f t="shared" ca="1" si="93"/>
        <v>0.57873765208069838</v>
      </c>
      <c r="R291">
        <f t="shared" ca="1" si="94"/>
        <v>0.55134718894699575</v>
      </c>
      <c r="S291">
        <f t="shared" ca="1" si="91"/>
        <v>1.0496791562246195</v>
      </c>
      <c r="T291">
        <f t="shared" ca="1" si="92"/>
        <v>51.211876406942764</v>
      </c>
      <c r="U291">
        <f>70</f>
        <v>70</v>
      </c>
      <c r="V291">
        <f>30</f>
        <v>30</v>
      </c>
      <c r="W291">
        <f t="shared" ca="1" si="90"/>
        <v>109.98166332925108</v>
      </c>
      <c r="X291">
        <f t="shared" ca="1" si="100"/>
        <v>109.78775214466266</v>
      </c>
      <c r="Y291">
        <f t="shared" ca="1" si="99"/>
        <v>0.28710701359602808</v>
      </c>
      <c r="Z291">
        <f t="shared" ca="1" si="80"/>
        <v>0.14136849363419421</v>
      </c>
      <c r="AA291">
        <f t="shared" ca="1" si="81"/>
        <v>0.14573851996183387</v>
      </c>
      <c r="AB291">
        <f t="shared" ca="1" si="82"/>
        <v>114.01679999999995</v>
      </c>
    </row>
    <row r="292" spans="1:28" x14ac:dyDescent="0.25">
      <c r="A292" s="20">
        <f t="shared" ca="1" si="83"/>
        <v>45712</v>
      </c>
      <c r="B292" vm="843">
        <f ca="1"/>
        <v>45716</v>
      </c>
      <c r="C292" vm="844">
        <f ca="1"/>
        <v>111.33</v>
      </c>
      <c r="D292" vm="845">
        <f ca="1"/>
        <v>18821665</v>
      </c>
      <c r="E292">
        <f t="shared" ca="1" si="84"/>
        <v>2095415964.45</v>
      </c>
      <c r="F292">
        <f ca="1">SUM($E$2:E292)/SUM($D$2:D292)</f>
        <v>112.45896551509794</v>
      </c>
      <c r="G292">
        <f ca="1">_xlfn.STDEV.P($C$2:C292)</f>
        <v>6.3438606467539422</v>
      </c>
      <c r="H292">
        <f t="shared" ca="1" si="85"/>
        <v>118.80282616185188</v>
      </c>
      <c r="I292">
        <f t="shared" ca="1" si="86"/>
        <v>106.11510486834401</v>
      </c>
      <c r="J292">
        <f t="shared" ca="1" si="95"/>
        <v>109.62550000000002</v>
      </c>
      <c r="K292">
        <f t="shared" ca="1" si="96"/>
        <v>1.5411256139246852</v>
      </c>
      <c r="L292">
        <f t="shared" ca="1" si="97"/>
        <v>112.70775122784939</v>
      </c>
      <c r="M292">
        <f t="shared" ca="1" si="98"/>
        <v>106.54324877215065</v>
      </c>
      <c r="N292">
        <f t="shared" ca="1" si="87"/>
        <v>1.1799999999999926</v>
      </c>
      <c r="O292">
        <f t="shared" ca="1" si="88"/>
        <v>1.1799999999999926</v>
      </c>
      <c r="P292">
        <f t="shared" ca="1" si="89"/>
        <v>0</v>
      </c>
      <c r="Q292">
        <f t="shared" ca="1" si="93"/>
        <v>0.62168496264636219</v>
      </c>
      <c r="R292">
        <f t="shared" ca="1" si="94"/>
        <v>0.51196524687935319</v>
      </c>
      <c r="S292">
        <f t="shared" ca="1" si="91"/>
        <v>1.2143108666765909</v>
      </c>
      <c r="T292">
        <f t="shared" ca="1" si="92"/>
        <v>54.839222665204311</v>
      </c>
      <c r="U292">
        <f>70</f>
        <v>70</v>
      </c>
      <c r="V292">
        <f>30</f>
        <v>30</v>
      </c>
      <c r="W292">
        <f t="shared" ca="1" si="90"/>
        <v>110.18909974013553</v>
      </c>
      <c r="X292">
        <f t="shared" ca="1" si="100"/>
        <v>109.9019927265395</v>
      </c>
      <c r="Y292">
        <f t="shared" ca="1" si="99"/>
        <v>7.20654891593E-2</v>
      </c>
      <c r="Z292">
        <f t="shared" ca="1" si="80"/>
        <v>0.12750789273921537</v>
      </c>
      <c r="AA292">
        <f t="shared" ca="1" si="81"/>
        <v>-5.5442403579915367E-2</v>
      </c>
      <c r="AB292">
        <f t="shared" ca="1" si="82"/>
        <v>113.90429999999995</v>
      </c>
    </row>
    <row r="293" spans="1:28" x14ac:dyDescent="0.25">
      <c r="A293" s="20">
        <f t="shared" ca="1" si="83"/>
        <v>45719</v>
      </c>
      <c r="B293" vm="846">
        <f ca="1"/>
        <v>45719</v>
      </c>
      <c r="C293" vm="847">
        <f ca="1"/>
        <v>107.76</v>
      </c>
      <c r="D293" vm="848">
        <f ca="1"/>
        <v>18706879</v>
      </c>
      <c r="E293">
        <f t="shared" ca="1" si="84"/>
        <v>2015853281.0400002</v>
      </c>
      <c r="F293">
        <f ca="1">SUM($E$2:E293)/SUM($D$2:D293)</f>
        <v>112.44030203440236</v>
      </c>
      <c r="G293">
        <f ca="1">_xlfn.STDEV.P($C$2:C293)</f>
        <v>6.3402012832120604</v>
      </c>
      <c r="H293">
        <f t="shared" ca="1" si="85"/>
        <v>118.78050331761443</v>
      </c>
      <c r="I293">
        <f t="shared" ca="1" si="86"/>
        <v>106.1001007511903</v>
      </c>
      <c r="J293">
        <f t="shared" ca="1" si="95"/>
        <v>109.67200000000003</v>
      </c>
      <c r="K293">
        <f t="shared" ca="1" si="96"/>
        <v>1.4644618195953867</v>
      </c>
      <c r="L293">
        <f t="shared" ca="1" si="97"/>
        <v>112.6009236391908</v>
      </c>
      <c r="M293">
        <f t="shared" ca="1" si="98"/>
        <v>106.74307636080925</v>
      </c>
      <c r="N293">
        <f t="shared" ca="1" si="87"/>
        <v>-3.5699999999999932</v>
      </c>
      <c r="O293">
        <f t="shared" ca="1" si="88"/>
        <v>0</v>
      </c>
      <c r="P293">
        <f t="shared" ca="1" si="89"/>
        <v>3.5699999999999932</v>
      </c>
      <c r="Q293">
        <f t="shared" ca="1" si="93"/>
        <v>0.57727889388590781</v>
      </c>
      <c r="R293">
        <f t="shared" ca="1" si="94"/>
        <v>0.73039630067368466</v>
      </c>
      <c r="S293">
        <f t="shared" ca="1" si="91"/>
        <v>0.79036393441950858</v>
      </c>
      <c r="T293">
        <f t="shared" ca="1" si="92"/>
        <v>44.145434301086333</v>
      </c>
      <c r="U293">
        <f>70</f>
        <v>70</v>
      </c>
      <c r="V293">
        <f>30</f>
        <v>30</v>
      </c>
      <c r="W293">
        <f t="shared" ca="1" si="90"/>
        <v>109.81539208780698</v>
      </c>
      <c r="X293">
        <f t="shared" ca="1" si="100"/>
        <v>109.74332659864768</v>
      </c>
      <c r="Y293">
        <f t="shared" ca="1" si="99"/>
        <v>-0.11478545436416709</v>
      </c>
      <c r="Z293">
        <f t="shared" ca="1" si="80"/>
        <v>7.9049223318538878E-2</v>
      </c>
      <c r="AA293">
        <f t="shared" ca="1" si="81"/>
        <v>-0.19383467768270596</v>
      </c>
      <c r="AB293">
        <f t="shared" ca="1" si="82"/>
        <v>113.73359999999995</v>
      </c>
    </row>
    <row r="294" spans="1:28" x14ac:dyDescent="0.25">
      <c r="A294" s="20">
        <f t="shared" ca="1" si="83"/>
        <v>45719</v>
      </c>
      <c r="B294" vm="849">
        <f ca="1"/>
        <v>45720</v>
      </c>
      <c r="C294" vm="850">
        <f ca="1"/>
        <v>107.54</v>
      </c>
      <c r="D294" vm="851">
        <f ca="1"/>
        <v>19394905</v>
      </c>
      <c r="E294">
        <f t="shared" ca="1" si="84"/>
        <v>2085728083.7</v>
      </c>
      <c r="F294">
        <f ca="1">SUM($E$2:E294)/SUM($D$2:D294)</f>
        <v>112.42020579296617</v>
      </c>
      <c r="G294">
        <f ca="1">_xlfn.STDEV.P($C$2:C294)</f>
        <v>6.3371377586128164</v>
      </c>
      <c r="H294">
        <f t="shared" ca="1" si="85"/>
        <v>118.75734355157898</v>
      </c>
      <c r="I294">
        <f t="shared" ca="1" si="86"/>
        <v>106.08306803435336</v>
      </c>
      <c r="J294">
        <f t="shared" ca="1" si="95"/>
        <v>109.69450000000002</v>
      </c>
      <c r="K294">
        <f t="shared" ca="1" si="96"/>
        <v>1.4256465753807059</v>
      </c>
      <c r="L294">
        <f t="shared" ca="1" si="97"/>
        <v>112.54579315076143</v>
      </c>
      <c r="M294">
        <f t="shared" ca="1" si="98"/>
        <v>106.84320684923861</v>
      </c>
      <c r="N294">
        <f t="shared" ca="1" si="87"/>
        <v>-0.21999999999999886</v>
      </c>
      <c r="O294">
        <f t="shared" ca="1" si="88"/>
        <v>0</v>
      </c>
      <c r="P294">
        <f t="shared" ca="1" si="89"/>
        <v>0.21999999999999886</v>
      </c>
      <c r="Q294">
        <f t="shared" ca="1" si="93"/>
        <v>0.5360446871797715</v>
      </c>
      <c r="R294">
        <f t="shared" ca="1" si="94"/>
        <v>0.69393942205413572</v>
      </c>
      <c r="S294">
        <f t="shared" ca="1" si="91"/>
        <v>0.77246611180125957</v>
      </c>
      <c r="T294">
        <f t="shared" ca="1" si="92"/>
        <v>43.581431918957527</v>
      </c>
      <c r="U294">
        <f>70</f>
        <v>70</v>
      </c>
      <c r="V294">
        <f>30</f>
        <v>30</v>
      </c>
      <c r="W294">
        <f t="shared" ca="1" si="90"/>
        <v>109.46533176660591</v>
      </c>
      <c r="X294">
        <f t="shared" ca="1" si="100"/>
        <v>109.58011722097008</v>
      </c>
      <c r="Y294">
        <f t="shared" ca="1" si="99"/>
        <v>-0.42739191490974804</v>
      </c>
      <c r="Z294">
        <f t="shared" ref="Z294:Z357" ca="1" si="101">Y294*(2/(9+1)) + Z293*(1-(2/(9+1)))</f>
        <v>-2.2239004327118506E-2</v>
      </c>
      <c r="AA294">
        <f t="shared" ref="AA294:AA357" ca="1" si="102">Y294-Z294</f>
        <v>-0.40515291058262953</v>
      </c>
      <c r="AB294">
        <f t="shared" ref="AB294:AB357" ca="1" si="103">AVERAGE(C195:C294)</f>
        <v>113.55529999999995</v>
      </c>
    </row>
    <row r="295" spans="1:28" x14ac:dyDescent="0.25">
      <c r="A295" s="20">
        <f t="shared" ca="1" si="83"/>
        <v>45719</v>
      </c>
      <c r="B295" vm="852">
        <f ca="1"/>
        <v>45721</v>
      </c>
      <c r="C295" vm="853">
        <f ca="1"/>
        <v>105.44</v>
      </c>
      <c r="D295" vm="854">
        <f ca="1"/>
        <v>24822245</v>
      </c>
      <c r="E295">
        <f t="shared" ca="1" si="84"/>
        <v>2617257512.7999997</v>
      </c>
      <c r="F295">
        <f ca="1">SUM($E$2:E295)/SUM($D$2:D295)</f>
        <v>112.38376061025637</v>
      </c>
      <c r="G295">
        <f ca="1">_xlfn.STDEV.P($C$2:C295)</f>
        <v>6.341239848827092</v>
      </c>
      <c r="H295">
        <f t="shared" ca="1" si="85"/>
        <v>118.72500045908346</v>
      </c>
      <c r="I295">
        <f t="shared" ca="1" si="86"/>
        <v>106.04252076142929</v>
      </c>
      <c r="J295">
        <f t="shared" ca="1" si="95"/>
        <v>109.46850000000002</v>
      </c>
      <c r="K295">
        <f t="shared" ca="1" si="96"/>
        <v>1.7110423877366621</v>
      </c>
      <c r="L295">
        <f t="shared" ca="1" si="97"/>
        <v>112.89058477547334</v>
      </c>
      <c r="M295">
        <f t="shared" ca="1" si="98"/>
        <v>106.0464152245267</v>
      </c>
      <c r="N295">
        <f t="shared" ca="1" si="87"/>
        <v>-2.1000000000000085</v>
      </c>
      <c r="O295">
        <f t="shared" ca="1" si="88"/>
        <v>0</v>
      </c>
      <c r="P295">
        <f t="shared" ca="1" si="89"/>
        <v>2.1000000000000085</v>
      </c>
      <c r="Q295">
        <f t="shared" ca="1" si="93"/>
        <v>0.49775578095264494</v>
      </c>
      <c r="R295">
        <f t="shared" ca="1" si="94"/>
        <v>0.79437232047884088</v>
      </c>
      <c r="S295">
        <f t="shared" ca="1" si="91"/>
        <v>0.62660262463903826</v>
      </c>
      <c r="T295">
        <f t="shared" ca="1" si="92"/>
        <v>38.522169775675152</v>
      </c>
      <c r="U295">
        <f>70</f>
        <v>70</v>
      </c>
      <c r="V295">
        <f>30</f>
        <v>30</v>
      </c>
      <c r="W295">
        <f t="shared" ca="1" si="90"/>
        <v>108.84604995635884</v>
      </c>
      <c r="X295">
        <f t="shared" ca="1" si="100"/>
        <v>109.27344187126859</v>
      </c>
      <c r="Y295">
        <f t="shared" ca="1" si="99"/>
        <v>-0.49353780946928794</v>
      </c>
      <c r="Z295">
        <f t="shared" ca="1" si="101"/>
        <v>-0.1164987653555524</v>
      </c>
      <c r="AA295">
        <f t="shared" ca="1" si="102"/>
        <v>-0.37703904411373557</v>
      </c>
      <c r="AB295">
        <f t="shared" ca="1" si="103"/>
        <v>113.38929999999995</v>
      </c>
    </row>
    <row r="296" spans="1:28" x14ac:dyDescent="0.25">
      <c r="A296" s="20">
        <f t="shared" ca="1" si="83"/>
        <v>45719</v>
      </c>
      <c r="B296" vm="855">
        <f ca="1"/>
        <v>45722</v>
      </c>
      <c r="C296" vm="856">
        <f ca="1"/>
        <v>107.62</v>
      </c>
      <c r="D296" vm="857">
        <f ca="1"/>
        <v>17150233</v>
      </c>
      <c r="E296">
        <f t="shared" ca="1" si="84"/>
        <v>1845708075.46</v>
      </c>
      <c r="F296">
        <f ca="1">SUM($E$2:E296)/SUM($D$2:D296)</f>
        <v>112.36663733167478</v>
      </c>
      <c r="G296">
        <f ca="1">_xlfn.STDEV.P($C$2:C296)</f>
        <v>6.3378436956677433</v>
      </c>
      <c r="H296">
        <f t="shared" ca="1" si="85"/>
        <v>118.70448102734252</v>
      </c>
      <c r="I296">
        <f t="shared" ca="1" si="86"/>
        <v>106.02879363600704</v>
      </c>
      <c r="J296">
        <f t="shared" ca="1" si="95"/>
        <v>109.35549999999998</v>
      </c>
      <c r="K296">
        <f t="shared" ca="1" si="96"/>
        <v>1.7564601812796814</v>
      </c>
      <c r="L296">
        <f t="shared" ca="1" si="97"/>
        <v>112.86842036255933</v>
      </c>
      <c r="M296">
        <f t="shared" ca="1" si="98"/>
        <v>105.84257963744062</v>
      </c>
      <c r="N296">
        <f t="shared" ca="1" si="87"/>
        <v>2.1800000000000068</v>
      </c>
      <c r="O296">
        <f t="shared" ca="1" si="88"/>
        <v>2.1800000000000068</v>
      </c>
      <c r="P296">
        <f t="shared" ca="1" si="89"/>
        <v>0</v>
      </c>
      <c r="Q296">
        <f t="shared" ca="1" si="93"/>
        <v>0.61791608231317074</v>
      </c>
      <c r="R296">
        <f t="shared" ca="1" si="94"/>
        <v>0.73763144044463791</v>
      </c>
      <c r="S296">
        <f t="shared" ca="1" si="91"/>
        <v>0.83770301594071994</v>
      </c>
      <c r="T296">
        <f t="shared" ca="1" si="92"/>
        <v>45.584243410075693</v>
      </c>
      <c r="U296">
        <f>70</f>
        <v>70</v>
      </c>
      <c r="V296">
        <f>30</f>
        <v>30</v>
      </c>
      <c r="W296">
        <f t="shared" ca="1" si="90"/>
        <v>108.65742688614978</v>
      </c>
      <c r="X296">
        <f t="shared" ca="1" si="100"/>
        <v>109.15096469561907</v>
      </c>
      <c r="Y296">
        <f t="shared" ca="1" si="99"/>
        <v>-0.42805624185102431</v>
      </c>
      <c r="Z296">
        <f t="shared" ca="1" si="101"/>
        <v>-0.17881026065464678</v>
      </c>
      <c r="AA296">
        <f t="shared" ca="1" si="102"/>
        <v>-0.24924598119637753</v>
      </c>
      <c r="AB296">
        <f t="shared" ca="1" si="103"/>
        <v>113.24459999999995</v>
      </c>
    </row>
    <row r="297" spans="1:28" x14ac:dyDescent="0.25">
      <c r="A297" s="20">
        <f t="shared" ca="1" si="83"/>
        <v>45719</v>
      </c>
      <c r="B297" vm="858">
        <f ca="1"/>
        <v>45723</v>
      </c>
      <c r="C297" vm="141">
        <f ca="1"/>
        <v>109.02</v>
      </c>
      <c r="D297" vm="859">
        <f ca="1"/>
        <v>19624965</v>
      </c>
      <c r="E297">
        <f t="shared" ca="1" si="84"/>
        <v>2139513684.3</v>
      </c>
      <c r="F297">
        <f ca="1">SUM($E$2:E297)/SUM($D$2:D297)</f>
        <v>112.35292845559405</v>
      </c>
      <c r="G297">
        <f ca="1">_xlfn.STDEV.P($C$2:C297)</f>
        <v>6.3310427880198494</v>
      </c>
      <c r="H297">
        <f t="shared" ca="1" si="85"/>
        <v>118.6839712436139</v>
      </c>
      <c r="I297">
        <f t="shared" ca="1" si="86"/>
        <v>106.02188566757421</v>
      </c>
      <c r="J297">
        <f t="shared" ca="1" si="95"/>
        <v>109.38499999999999</v>
      </c>
      <c r="K297">
        <f t="shared" ca="1" si="96"/>
        <v>1.7450154576302241</v>
      </c>
      <c r="L297">
        <f t="shared" ca="1" si="97"/>
        <v>112.87503091526044</v>
      </c>
      <c r="M297">
        <f t="shared" ca="1" si="98"/>
        <v>105.89496908473954</v>
      </c>
      <c r="N297">
        <f t="shared" ca="1" si="87"/>
        <v>1.3999999999999915</v>
      </c>
      <c r="O297">
        <f t="shared" ca="1" si="88"/>
        <v>1.3999999999999915</v>
      </c>
      <c r="P297">
        <f t="shared" ca="1" si="89"/>
        <v>0</v>
      </c>
      <c r="Q297">
        <f t="shared" ca="1" si="93"/>
        <v>0.67377921929080087</v>
      </c>
      <c r="R297">
        <f t="shared" ca="1" si="94"/>
        <v>0.684943480412878</v>
      </c>
      <c r="S297">
        <f t="shared" ca="1" si="91"/>
        <v>0.98370046370052688</v>
      </c>
      <c r="T297">
        <f t="shared" ca="1" si="92"/>
        <v>49.589163369224934</v>
      </c>
      <c r="U297">
        <f>70</f>
        <v>70</v>
      </c>
      <c r="V297">
        <f>30</f>
        <v>30</v>
      </c>
      <c r="W297">
        <f t="shared" ca="1" si="90"/>
        <v>108.71320736520366</v>
      </c>
      <c r="X297">
        <f t="shared" ca="1" si="100"/>
        <v>109.14126360705468</v>
      </c>
      <c r="Y297">
        <f t="shared" ca="1" si="99"/>
        <v>-0.15010850378142493</v>
      </c>
      <c r="Z297">
        <f t="shared" ca="1" si="101"/>
        <v>-0.17306990928000243</v>
      </c>
      <c r="AA297">
        <f t="shared" ca="1" si="102"/>
        <v>2.2961405498577503E-2</v>
      </c>
      <c r="AB297">
        <f t="shared" ca="1" si="103"/>
        <v>113.10339999999995</v>
      </c>
    </row>
    <row r="298" spans="1:28" x14ac:dyDescent="0.25">
      <c r="A298" s="20">
        <f t="shared" ca="1" si="83"/>
        <v>45726</v>
      </c>
      <c r="B298" vm="860">
        <f ca="1"/>
        <v>45726</v>
      </c>
      <c r="C298" vm="861">
        <f ca="1"/>
        <v>111.8</v>
      </c>
      <c r="D298" vm="862">
        <f ca="1"/>
        <v>22749073</v>
      </c>
      <c r="E298">
        <f t="shared" ca="1" si="84"/>
        <v>2543346361.4000001</v>
      </c>
      <c r="F298">
        <f ca="1">SUM($E$2:E298)/SUM($D$2:D298)</f>
        <v>112.3503153339509</v>
      </c>
      <c r="G298">
        <f ca="1">_xlfn.STDEV.P($C$2:C298)</f>
        <v>6.3206642621342395</v>
      </c>
      <c r="H298">
        <f t="shared" ca="1" si="85"/>
        <v>118.67097959608515</v>
      </c>
      <c r="I298">
        <f t="shared" ca="1" si="86"/>
        <v>106.02965107181666</v>
      </c>
      <c r="J298">
        <f t="shared" ca="1" si="95"/>
        <v>109.5305</v>
      </c>
      <c r="K298">
        <f t="shared" ca="1" si="96"/>
        <v>1.8212242123305264</v>
      </c>
      <c r="L298">
        <f t="shared" ca="1" si="97"/>
        <v>113.17294842466106</v>
      </c>
      <c r="M298">
        <f t="shared" ca="1" si="98"/>
        <v>105.88805157533895</v>
      </c>
      <c r="N298">
        <f t="shared" ca="1" si="87"/>
        <v>2.7800000000000011</v>
      </c>
      <c r="O298">
        <f t="shared" ca="1" si="88"/>
        <v>2.7800000000000011</v>
      </c>
      <c r="P298">
        <f t="shared" ca="1" si="89"/>
        <v>0</v>
      </c>
      <c r="Q298">
        <f t="shared" ca="1" si="93"/>
        <v>0.82422356077002945</v>
      </c>
      <c r="R298">
        <f t="shared" ca="1" si="94"/>
        <v>0.6360189460976724</v>
      </c>
      <c r="S298">
        <f t="shared" ca="1" si="91"/>
        <v>1.2959103904484235</v>
      </c>
      <c r="T298">
        <f t="shared" ca="1" si="92"/>
        <v>56.444293115260216</v>
      </c>
      <c r="U298">
        <f>70</f>
        <v>70</v>
      </c>
      <c r="V298">
        <f>30</f>
        <v>30</v>
      </c>
      <c r="W298">
        <f t="shared" ca="1" si="90"/>
        <v>109.18809853978772</v>
      </c>
      <c r="X298">
        <f t="shared" ca="1" si="100"/>
        <v>109.33820704356914</v>
      </c>
      <c r="Y298">
        <f t="shared" ca="1" si="99"/>
        <v>-0.14123083431059058</v>
      </c>
      <c r="Z298">
        <f t="shared" ca="1" si="101"/>
        <v>-0.16670209428612007</v>
      </c>
      <c r="AA298">
        <f t="shared" ca="1" si="102"/>
        <v>2.5471259975529487E-2</v>
      </c>
      <c r="AB298">
        <f t="shared" ca="1" si="103"/>
        <v>112.98529999999995</v>
      </c>
    </row>
    <row r="299" spans="1:28" x14ac:dyDescent="0.25">
      <c r="A299" s="20">
        <f t="shared" ca="1" si="83"/>
        <v>45726</v>
      </c>
      <c r="B299" vm="863">
        <f ca="1"/>
        <v>45727</v>
      </c>
      <c r="C299" vm="864">
        <f ca="1"/>
        <v>109.16</v>
      </c>
      <c r="D299" vm="865">
        <f ca="1"/>
        <v>19904735</v>
      </c>
      <c r="E299">
        <f t="shared" ca="1" si="84"/>
        <v>2172800872.5999999</v>
      </c>
      <c r="F299">
        <f ca="1">SUM($E$2:E299)/SUM($D$2:D299)</f>
        <v>112.3371774671112</v>
      </c>
      <c r="G299">
        <f ca="1">_xlfn.STDEV.P($C$2:C299)</f>
        <v>6.3136370663069332</v>
      </c>
      <c r="H299">
        <f t="shared" ca="1" si="85"/>
        <v>118.65081453341814</v>
      </c>
      <c r="I299">
        <f t="shared" ca="1" si="86"/>
        <v>106.02354040080427</v>
      </c>
      <c r="J299">
        <f t="shared" ca="1" si="95"/>
        <v>109.44000000000001</v>
      </c>
      <c r="K299">
        <f t="shared" ca="1" si="96"/>
        <v>1.7906423428479512</v>
      </c>
      <c r="L299">
        <f t="shared" ca="1" si="97"/>
        <v>113.02128468569592</v>
      </c>
      <c r="M299">
        <f t="shared" ca="1" si="98"/>
        <v>105.85871531430411</v>
      </c>
      <c r="N299">
        <f t="shared" ca="1" si="87"/>
        <v>-2.6400000000000006</v>
      </c>
      <c r="O299">
        <f t="shared" ca="1" si="88"/>
        <v>0</v>
      </c>
      <c r="P299">
        <f t="shared" ca="1" si="89"/>
        <v>2.6400000000000006</v>
      </c>
      <c r="Q299">
        <f t="shared" ca="1" si="93"/>
        <v>0.7653504492864559</v>
      </c>
      <c r="R299">
        <f t="shared" ca="1" si="94"/>
        <v>0.77916044994783873</v>
      </c>
      <c r="S299">
        <f t="shared" ca="1" si="91"/>
        <v>0.98227579356433281</v>
      </c>
      <c r="T299">
        <f t="shared" ca="1" si="92"/>
        <v>49.552932884182653</v>
      </c>
      <c r="U299">
        <f>70</f>
        <v>70</v>
      </c>
      <c r="V299">
        <f>30</f>
        <v>30</v>
      </c>
      <c r="W299">
        <f t="shared" ca="1" si="90"/>
        <v>109.18377568751268</v>
      </c>
      <c r="X299">
        <f t="shared" ca="1" si="100"/>
        <v>109.32500652182327</v>
      </c>
      <c r="Y299">
        <f t="shared" ca="1" si="99"/>
        <v>-0.13505908946238776</v>
      </c>
      <c r="Z299">
        <f t="shared" ca="1" si="101"/>
        <v>-0.16037349332137363</v>
      </c>
      <c r="AA299">
        <f t="shared" ca="1" si="102"/>
        <v>2.5314403858985868E-2</v>
      </c>
      <c r="AB299">
        <f t="shared" ca="1" si="103"/>
        <v>112.83609999999993</v>
      </c>
    </row>
    <row r="300" spans="1:28" x14ac:dyDescent="0.25">
      <c r="A300" s="20">
        <f t="shared" ca="1" si="83"/>
        <v>45726</v>
      </c>
      <c r="B300" vm="866">
        <f ca="1"/>
        <v>45728</v>
      </c>
      <c r="C300" vm="867">
        <f ca="1"/>
        <v>109.13</v>
      </c>
      <c r="D300" vm="868">
        <f ca="1"/>
        <v>14051500</v>
      </c>
      <c r="E300">
        <f t="shared" ca="1" si="84"/>
        <v>1533440195</v>
      </c>
      <c r="F300">
        <f ca="1">SUM($E$2:E300)/SUM($D$2:D300)</f>
        <v>112.32788095958253</v>
      </c>
      <c r="G300">
        <f ca="1">_xlfn.STDEV.P($C$2:C300)</f>
        <v>6.3066835760691839</v>
      </c>
      <c r="H300">
        <f t="shared" ca="1" si="85"/>
        <v>118.63456453565172</v>
      </c>
      <c r="I300">
        <f t="shared" ca="1" si="86"/>
        <v>106.02119738351334</v>
      </c>
      <c r="J300">
        <f t="shared" ca="1" si="95"/>
        <v>109.31300000000002</v>
      </c>
      <c r="K300">
        <f t="shared" ca="1" si="96"/>
        <v>1.712526911044796</v>
      </c>
      <c r="L300">
        <f t="shared" ca="1" si="97"/>
        <v>112.73805382208961</v>
      </c>
      <c r="M300">
        <f t="shared" ca="1" si="98"/>
        <v>105.88794617791042</v>
      </c>
      <c r="N300">
        <f t="shared" ca="1" si="87"/>
        <v>-3.0000000000001137E-2</v>
      </c>
      <c r="O300">
        <f t="shared" ca="1" si="88"/>
        <v>0</v>
      </c>
      <c r="P300">
        <f t="shared" ca="1" si="89"/>
        <v>3.0000000000001137E-2</v>
      </c>
      <c r="Q300">
        <f t="shared" ca="1" si="93"/>
        <v>0.71068256005170904</v>
      </c>
      <c r="R300">
        <f t="shared" ca="1" si="94"/>
        <v>0.72564898923727894</v>
      </c>
      <c r="S300">
        <f t="shared" ca="1" si="91"/>
        <v>0.97937511192387805</v>
      </c>
      <c r="T300">
        <f t="shared" ca="1" si="92"/>
        <v>49.479005067006341</v>
      </c>
      <c r="U300">
        <f>70</f>
        <v>70</v>
      </c>
      <c r="V300">
        <f>30</f>
        <v>30</v>
      </c>
      <c r="W300">
        <f t="shared" ca="1" si="90"/>
        <v>109.17550250481843</v>
      </c>
      <c r="X300">
        <f t="shared" ca="1" si="100"/>
        <v>109.31056159428081</v>
      </c>
      <c r="Y300">
        <f t="shared" ca="1" si="99"/>
        <v>-0.16537969860453927</v>
      </c>
      <c r="Z300">
        <f t="shared" ca="1" si="101"/>
        <v>-0.16137473437800676</v>
      </c>
      <c r="AA300">
        <f t="shared" ca="1" si="102"/>
        <v>-4.0049642265325147E-3</v>
      </c>
      <c r="AB300">
        <f t="shared" ca="1" si="103"/>
        <v>112.72389999999994</v>
      </c>
    </row>
    <row r="301" spans="1:28" x14ac:dyDescent="0.25">
      <c r="A301" s="20">
        <f t="shared" ca="1" si="83"/>
        <v>45726</v>
      </c>
      <c r="B301" vm="869">
        <f ca="1"/>
        <v>45729</v>
      </c>
      <c r="C301" vm="783">
        <f ca="1"/>
        <v>108.67</v>
      </c>
      <c r="D301" vm="870">
        <f ca="1"/>
        <v>17767836</v>
      </c>
      <c r="E301">
        <f t="shared" ca="1" si="84"/>
        <v>1930830738.1200001</v>
      </c>
      <c r="F301">
        <f ca="1">SUM($E$2:E301)/SUM($D$2:D301)</f>
        <v>112.31452271643944</v>
      </c>
      <c r="G301">
        <f ca="1">_xlfn.STDEV.P($C$2:C301)</f>
        <v>6.3006944113768562</v>
      </c>
      <c r="H301">
        <f t="shared" ca="1" si="85"/>
        <v>118.61521712781629</v>
      </c>
      <c r="I301">
        <f t="shared" ca="1" si="86"/>
        <v>106.01382830506259</v>
      </c>
      <c r="J301">
        <f t="shared" ca="1" si="95"/>
        <v>109.37900000000002</v>
      </c>
      <c r="K301">
        <f t="shared" ca="1" si="96"/>
        <v>1.6574422273014835</v>
      </c>
      <c r="L301">
        <f t="shared" ca="1" si="97"/>
        <v>112.69388445460298</v>
      </c>
      <c r="M301">
        <f t="shared" ca="1" si="98"/>
        <v>106.06411554539706</v>
      </c>
      <c r="N301">
        <f t="shared" ca="1" si="87"/>
        <v>-0.45999999999999375</v>
      </c>
      <c r="O301">
        <f t="shared" ca="1" si="88"/>
        <v>0</v>
      </c>
      <c r="P301">
        <f t="shared" ca="1" si="89"/>
        <v>0.45999999999999375</v>
      </c>
      <c r="Q301">
        <f t="shared" ca="1" si="93"/>
        <v>0.65991952004801557</v>
      </c>
      <c r="R301">
        <f t="shared" ca="1" si="94"/>
        <v>0.70667406143461575</v>
      </c>
      <c r="S301">
        <f t="shared" ca="1" si="91"/>
        <v>0.93383860546447117</v>
      </c>
      <c r="T301">
        <f t="shared" ca="1" si="92"/>
        <v>48.289376519101033</v>
      </c>
      <c r="U301">
        <f>70</f>
        <v>70</v>
      </c>
      <c r="V301">
        <f>30</f>
        <v>30</v>
      </c>
      <c r="W301">
        <f t="shared" ca="1" si="90"/>
        <v>109.09773288869252</v>
      </c>
      <c r="X301">
        <f t="shared" ca="1" si="100"/>
        <v>109.26311258729706</v>
      </c>
      <c r="Y301">
        <f t="shared" ca="1" si="99"/>
        <v>7.0413324986134285E-2</v>
      </c>
      <c r="Z301">
        <f t="shared" ca="1" si="101"/>
        <v>-0.11501712250517857</v>
      </c>
      <c r="AA301">
        <f t="shared" ca="1" si="102"/>
        <v>0.18543044749131285</v>
      </c>
      <c r="AB301">
        <f t="shared" ca="1" si="103"/>
        <v>112.60399999999994</v>
      </c>
    </row>
    <row r="302" spans="1:28" x14ac:dyDescent="0.25">
      <c r="A302" s="20">
        <f t="shared" ca="1" si="83"/>
        <v>45726</v>
      </c>
      <c r="B302" vm="871">
        <f ca="1"/>
        <v>45730</v>
      </c>
      <c r="C302" vm="872">
        <f ca="1"/>
        <v>111.9</v>
      </c>
      <c r="D302" vm="873">
        <f ca="1"/>
        <v>15890063</v>
      </c>
      <c r="E302">
        <f t="shared" ca="1" si="84"/>
        <v>1778098049.7</v>
      </c>
      <c r="F302">
        <f ca="1">SUM($E$2:E302)/SUM($D$2:D302)</f>
        <v>112.31317330894881</v>
      </c>
      <c r="G302">
        <f ca="1">_xlfn.STDEV.P($C$2:C302)</f>
        <v>6.2904330840313101</v>
      </c>
      <c r="H302">
        <f t="shared" ca="1" si="85"/>
        <v>118.60360639298011</v>
      </c>
      <c r="I302">
        <f t="shared" ca="1" si="86"/>
        <v>106.0227402249175</v>
      </c>
      <c r="J302">
        <f t="shared" ca="1" si="95"/>
        <v>109.56750000000002</v>
      </c>
      <c r="K302">
        <f t="shared" ca="1" si="96"/>
        <v>1.7210763920780563</v>
      </c>
      <c r="L302">
        <f t="shared" ca="1" si="97"/>
        <v>113.00965278415613</v>
      </c>
      <c r="M302">
        <f t="shared" ca="1" si="98"/>
        <v>106.12534721584392</v>
      </c>
      <c r="N302">
        <f t="shared" ca="1" si="87"/>
        <v>3.230000000000004</v>
      </c>
      <c r="O302">
        <f t="shared" ca="1" si="88"/>
        <v>3.230000000000004</v>
      </c>
      <c r="P302">
        <f t="shared" ca="1" si="89"/>
        <v>0</v>
      </c>
      <c r="Q302">
        <f t="shared" ca="1" si="93"/>
        <v>0.84349669718744325</v>
      </c>
      <c r="R302">
        <f t="shared" ca="1" si="94"/>
        <v>0.65619734276071462</v>
      </c>
      <c r="S302">
        <f t="shared" ca="1" si="91"/>
        <v>1.2854314429844136</v>
      </c>
      <c r="T302">
        <f t="shared" ca="1" si="92"/>
        <v>56.244585543368672</v>
      </c>
      <c r="U302">
        <f>70</f>
        <v>70</v>
      </c>
      <c r="V302">
        <f>30</f>
        <v>30</v>
      </c>
      <c r="W302">
        <f t="shared" ca="1" si="90"/>
        <v>109.52885090581675</v>
      </c>
      <c r="X302">
        <f t="shared" ca="1" si="100"/>
        <v>109.45843758083062</v>
      </c>
      <c r="Y302">
        <f t="shared" ca="1" si="99"/>
        <v>0.40272508620407166</v>
      </c>
      <c r="Z302">
        <f t="shared" ca="1" si="101"/>
        <v>-1.146868076332852E-2</v>
      </c>
      <c r="AA302">
        <f t="shared" ca="1" si="102"/>
        <v>0.41419376696740018</v>
      </c>
      <c r="AB302">
        <f t="shared" ca="1" si="103"/>
        <v>112.51949999999994</v>
      </c>
    </row>
    <row r="303" spans="1:28" x14ac:dyDescent="0.25">
      <c r="A303" s="20">
        <f t="shared" ca="1" si="83"/>
        <v>45733</v>
      </c>
      <c r="B303" vm="874">
        <f ca="1"/>
        <v>45733</v>
      </c>
      <c r="C303" vm="875">
        <f ca="1"/>
        <v>113.76</v>
      </c>
      <c r="D303" vm="876">
        <f ca="1"/>
        <v>19908789</v>
      </c>
      <c r="E303">
        <f t="shared" ca="1" si="84"/>
        <v>2264823836.6399999</v>
      </c>
      <c r="F303">
        <f ca="1">SUM($E$2:E303)/SUM($D$2:D303)</f>
        <v>112.31905040508855</v>
      </c>
      <c r="G303">
        <f ca="1">_xlfn.STDEV.P($C$2:C303)</f>
        <v>6.280253004133673</v>
      </c>
      <c r="H303">
        <f t="shared" ca="1" si="85"/>
        <v>118.59930340922222</v>
      </c>
      <c r="I303">
        <f t="shared" ca="1" si="86"/>
        <v>106.03879740095488</v>
      </c>
      <c r="J303">
        <f t="shared" ca="1" si="95"/>
        <v>109.84350000000003</v>
      </c>
      <c r="K303">
        <f t="shared" ca="1" si="96"/>
        <v>1.9272458532702486</v>
      </c>
      <c r="L303">
        <f t="shared" ca="1" si="97"/>
        <v>113.69799170654053</v>
      </c>
      <c r="M303">
        <f t="shared" ca="1" si="98"/>
        <v>105.98900829345953</v>
      </c>
      <c r="N303">
        <f t="shared" ca="1" si="87"/>
        <v>1.8599999999999994</v>
      </c>
      <c r="O303">
        <f t="shared" ca="1" si="88"/>
        <v>1.8599999999999994</v>
      </c>
      <c r="P303">
        <f t="shared" ca="1" si="89"/>
        <v>0</v>
      </c>
      <c r="Q303">
        <f t="shared" ca="1" si="93"/>
        <v>0.91610407595976873</v>
      </c>
      <c r="R303">
        <f t="shared" ca="1" si="94"/>
        <v>0.60932610399209219</v>
      </c>
      <c r="S303">
        <f t="shared" ca="1" si="91"/>
        <v>1.5034709164071163</v>
      </c>
      <c r="T303">
        <f t="shared" ca="1" si="92"/>
        <v>60.055457666943425</v>
      </c>
      <c r="U303">
        <f>70</f>
        <v>70</v>
      </c>
      <c r="V303">
        <f>30</f>
        <v>30</v>
      </c>
      <c r="W303">
        <f t="shared" ca="1" si="90"/>
        <v>110.17979692030649</v>
      </c>
      <c r="X303">
        <f t="shared" ca="1" si="100"/>
        <v>109.77707183410241</v>
      </c>
      <c r="Y303">
        <f t="shared" ca="1" si="99"/>
        <v>0.64892119443801732</v>
      </c>
      <c r="Z303">
        <f t="shared" ca="1" si="101"/>
        <v>0.12060929427694064</v>
      </c>
      <c r="AA303">
        <f t="shared" ca="1" si="102"/>
        <v>0.52831190016107665</v>
      </c>
      <c r="AB303">
        <f t="shared" ca="1" si="103"/>
        <v>112.45699999999995</v>
      </c>
    </row>
    <row r="304" spans="1:28" x14ac:dyDescent="0.25">
      <c r="A304" s="20">
        <f t="shared" ca="1" si="83"/>
        <v>45733</v>
      </c>
      <c r="B304" vm="877">
        <f ca="1"/>
        <v>45734</v>
      </c>
      <c r="C304" vm="878">
        <f ca="1"/>
        <v>113.64</v>
      </c>
      <c r="D304" vm="879">
        <f ca="1"/>
        <v>15998713</v>
      </c>
      <c r="E304">
        <f t="shared" ca="1" si="84"/>
        <v>1818093745.3199999</v>
      </c>
      <c r="F304">
        <f ca="1">SUM($E$2:E304)/SUM($D$2:D304)</f>
        <v>112.32334831577168</v>
      </c>
      <c r="G304">
        <f ca="1">_xlfn.STDEV.P($C$2:C304)</f>
        <v>6.270065565793443</v>
      </c>
      <c r="H304">
        <f t="shared" ca="1" si="85"/>
        <v>118.59341388156513</v>
      </c>
      <c r="I304">
        <f t="shared" ca="1" si="86"/>
        <v>106.05328274997824</v>
      </c>
      <c r="J304">
        <f t="shared" ca="1" si="95"/>
        <v>110.01850000000002</v>
      </c>
      <c r="K304">
        <f t="shared" ca="1" si="96"/>
        <v>2.1061845648120752</v>
      </c>
      <c r="L304">
        <f t="shared" ca="1" si="97"/>
        <v>114.23086912962417</v>
      </c>
      <c r="M304">
        <f t="shared" ca="1" si="98"/>
        <v>105.80613087037587</v>
      </c>
      <c r="N304">
        <f t="shared" ca="1" si="87"/>
        <v>-0.12000000000000455</v>
      </c>
      <c r="O304">
        <f t="shared" ca="1" si="88"/>
        <v>0</v>
      </c>
      <c r="P304">
        <f t="shared" ca="1" si="89"/>
        <v>0.12000000000000455</v>
      </c>
      <c r="Q304">
        <f t="shared" ca="1" si="93"/>
        <v>0.8506680705340709</v>
      </c>
      <c r="R304">
        <f t="shared" ca="1" si="94"/>
        <v>0.57437423942122889</v>
      </c>
      <c r="S304">
        <f t="shared" ca="1" si="91"/>
        <v>1.4810345105157412</v>
      </c>
      <c r="T304">
        <f t="shared" ca="1" si="92"/>
        <v>59.694232556558568</v>
      </c>
      <c r="U304">
        <f>70</f>
        <v>70</v>
      </c>
      <c r="V304">
        <f>30</f>
        <v>30</v>
      </c>
      <c r="W304">
        <f t="shared" ca="1" si="90"/>
        <v>110.71213585564395</v>
      </c>
      <c r="X304">
        <f t="shared" ca="1" si="100"/>
        <v>110.06321466120593</v>
      </c>
      <c r="Y304">
        <f t="shared" ca="1" si="99"/>
        <v>0.97561135109494046</v>
      </c>
      <c r="Z304">
        <f t="shared" ca="1" si="101"/>
        <v>0.29160970564054062</v>
      </c>
      <c r="AA304">
        <f t="shared" ca="1" si="102"/>
        <v>0.68400164545439979</v>
      </c>
      <c r="AB304">
        <f t="shared" ca="1" si="103"/>
        <v>112.39259999999994</v>
      </c>
    </row>
    <row r="305" spans="1:28" x14ac:dyDescent="0.25">
      <c r="A305" s="20">
        <f t="shared" ca="1" si="83"/>
        <v>45733</v>
      </c>
      <c r="B305" vm="880">
        <f ca="1"/>
        <v>45735</v>
      </c>
      <c r="C305" vm="881">
        <f ca="1"/>
        <v>115.41</v>
      </c>
      <c r="D305" vm="882">
        <f ca="1"/>
        <v>17315001</v>
      </c>
      <c r="E305">
        <f t="shared" ca="1" si="84"/>
        <v>1998324265.4099998</v>
      </c>
      <c r="F305">
        <f ca="1">SUM($E$2:E305)/SUM($D$2:D305)</f>
        <v>112.33417934237656</v>
      </c>
      <c r="G305">
        <f ca="1">_xlfn.STDEV.P($C$2:C305)</f>
        <v>6.2615228253281376</v>
      </c>
      <c r="H305">
        <f t="shared" ca="1" si="85"/>
        <v>118.5957021677047</v>
      </c>
      <c r="I305">
        <f t="shared" ca="1" si="86"/>
        <v>106.07265651704842</v>
      </c>
      <c r="J305">
        <f t="shared" ca="1" si="95"/>
        <v>110.274</v>
      </c>
      <c r="K305">
        <f t="shared" ca="1" si="96"/>
        <v>2.4275575769636615</v>
      </c>
      <c r="L305">
        <f t="shared" ca="1" si="97"/>
        <v>115.12911515392733</v>
      </c>
      <c r="M305">
        <f t="shared" ca="1" si="98"/>
        <v>105.41888484607267</v>
      </c>
      <c r="N305">
        <f t="shared" ca="1" si="87"/>
        <v>1.769999999999996</v>
      </c>
      <c r="O305">
        <f t="shared" ca="1" si="88"/>
        <v>1.769999999999996</v>
      </c>
      <c r="P305">
        <f t="shared" ca="1" si="89"/>
        <v>0</v>
      </c>
      <c r="Q305">
        <f t="shared" ca="1" si="93"/>
        <v>0.91633463692449413</v>
      </c>
      <c r="R305">
        <f t="shared" ca="1" si="94"/>
        <v>0.53334750803399822</v>
      </c>
      <c r="S305">
        <f t="shared" ca="1" si="91"/>
        <v>1.7180817818053487</v>
      </c>
      <c r="T305">
        <f t="shared" ca="1" si="92"/>
        <v>63.209348346546051</v>
      </c>
      <c r="U305">
        <f>70</f>
        <v>70</v>
      </c>
      <c r="V305">
        <f>30</f>
        <v>30</v>
      </c>
      <c r="W305">
        <f t="shared" ca="1" si="90"/>
        <v>111.43488418554487</v>
      </c>
      <c r="X305">
        <f t="shared" ca="1" si="100"/>
        <v>110.45927283444993</v>
      </c>
      <c r="Y305">
        <f t="shared" ca="1" si="99"/>
        <v>1.2595354185487224</v>
      </c>
      <c r="Z305">
        <f t="shared" ca="1" si="101"/>
        <v>0.48519484822217701</v>
      </c>
      <c r="AA305">
        <f t="shared" ca="1" si="102"/>
        <v>0.77434057032654535</v>
      </c>
      <c r="AB305">
        <f t="shared" ca="1" si="103"/>
        <v>112.33969999999995</v>
      </c>
    </row>
    <row r="306" spans="1:28" x14ac:dyDescent="0.25">
      <c r="A306" s="20">
        <f t="shared" ca="1" si="83"/>
        <v>45733</v>
      </c>
      <c r="B306" vm="883">
        <f ca="1"/>
        <v>45736</v>
      </c>
      <c r="C306" vm="884">
        <f ca="1"/>
        <v>115.9</v>
      </c>
      <c r="D306" vm="885">
        <f ca="1"/>
        <v>16230772</v>
      </c>
      <c r="E306">
        <f t="shared" ca="1" si="84"/>
        <v>1881146474.8000002</v>
      </c>
      <c r="F306">
        <f ca="1">SUM($E$2:E306)/SUM($D$2:D306)</f>
        <v>112.34586981277926</v>
      </c>
      <c r="G306">
        <f ca="1">_xlfn.STDEV.P($C$2:C306)</f>
        <v>6.2537407825929829</v>
      </c>
      <c r="H306">
        <f t="shared" ca="1" si="85"/>
        <v>118.59961059537224</v>
      </c>
      <c r="I306">
        <f t="shared" ca="1" si="86"/>
        <v>106.09212903018627</v>
      </c>
      <c r="J306">
        <f t="shared" ca="1" si="95"/>
        <v>110.46900000000001</v>
      </c>
      <c r="K306">
        <f t="shared" ca="1" si="96"/>
        <v>2.7133197766806476</v>
      </c>
      <c r="L306">
        <f t="shared" ca="1" si="97"/>
        <v>115.89563955336131</v>
      </c>
      <c r="M306">
        <f t="shared" ca="1" si="98"/>
        <v>105.04236044663871</v>
      </c>
      <c r="N306">
        <f t="shared" ca="1" si="87"/>
        <v>0.49000000000000909</v>
      </c>
      <c r="O306">
        <f t="shared" ca="1" si="88"/>
        <v>0.49000000000000909</v>
      </c>
      <c r="P306">
        <f t="shared" ca="1" si="89"/>
        <v>0</v>
      </c>
      <c r="Q306">
        <f t="shared" ca="1" si="93"/>
        <v>0.88588216285845955</v>
      </c>
      <c r="R306">
        <f t="shared" ca="1" si="94"/>
        <v>0.4952512574601412</v>
      </c>
      <c r="S306">
        <f t="shared" ca="1" si="91"/>
        <v>1.7887529804601396</v>
      </c>
      <c r="T306">
        <f t="shared" ca="1" si="92"/>
        <v>64.141678843315788</v>
      </c>
      <c r="U306">
        <f>70</f>
        <v>70</v>
      </c>
      <c r="V306">
        <f>30</f>
        <v>30</v>
      </c>
      <c r="W306">
        <f t="shared" ca="1" si="90"/>
        <v>112.12182508007643</v>
      </c>
      <c r="X306">
        <f t="shared" ca="1" si="100"/>
        <v>110.86228966152771</v>
      </c>
      <c r="Y306">
        <f t="shared" ca="1" si="99"/>
        <v>1.4357205378524043</v>
      </c>
      <c r="Z306">
        <f t="shared" ca="1" si="101"/>
        <v>0.67529998614822251</v>
      </c>
      <c r="AA306">
        <f t="shared" ca="1" si="102"/>
        <v>0.76042055170418177</v>
      </c>
      <c r="AB306">
        <f t="shared" ca="1" si="103"/>
        <v>112.29599999999996</v>
      </c>
    </row>
    <row r="307" spans="1:28" x14ac:dyDescent="0.25">
      <c r="A307" s="20">
        <f t="shared" ca="1" si="83"/>
        <v>45733</v>
      </c>
      <c r="B307" vm="886">
        <f ca="1"/>
        <v>45737</v>
      </c>
      <c r="C307" vm="887">
        <f ca="1"/>
        <v>115.5</v>
      </c>
      <c r="D307" vm="888">
        <f ca="1"/>
        <v>41102795</v>
      </c>
      <c r="E307">
        <f t="shared" ca="1" si="84"/>
        <v>4747372822.5</v>
      </c>
      <c r="F307">
        <f ca="1">SUM($E$2:E307)/SUM($D$2:D307)</f>
        <v>112.37184109990936</v>
      </c>
      <c r="G307">
        <f ca="1">_xlfn.STDEV.P($C$2:C307)</f>
        <v>6.2453835038028878</v>
      </c>
      <c r="H307">
        <f t="shared" ca="1" si="85"/>
        <v>118.61722460371224</v>
      </c>
      <c r="I307">
        <f t="shared" ca="1" si="86"/>
        <v>106.12645759610648</v>
      </c>
      <c r="J307">
        <f t="shared" ca="1" si="95"/>
        <v>110.70950000000002</v>
      </c>
      <c r="K307">
        <f t="shared" ca="1" si="96"/>
        <v>2.9378231737121281</v>
      </c>
      <c r="L307">
        <f t="shared" ca="1" si="97"/>
        <v>116.58514634742427</v>
      </c>
      <c r="M307">
        <f t="shared" ca="1" si="98"/>
        <v>104.83385365257577</v>
      </c>
      <c r="N307">
        <f t="shared" ca="1" si="87"/>
        <v>-0.40000000000000568</v>
      </c>
      <c r="O307">
        <f t="shared" ca="1" si="88"/>
        <v>0</v>
      </c>
      <c r="P307">
        <f t="shared" ca="1" si="89"/>
        <v>0.40000000000000568</v>
      </c>
      <c r="Q307">
        <f t="shared" ca="1" si="93"/>
        <v>0.82260486551142675</v>
      </c>
      <c r="R307">
        <f t="shared" ca="1" si="94"/>
        <v>0.48844759621298867</v>
      </c>
      <c r="S307">
        <f t="shared" ca="1" si="91"/>
        <v>1.6841210231951436</v>
      </c>
      <c r="T307">
        <f t="shared" ca="1" si="92"/>
        <v>62.743855759170927</v>
      </c>
      <c r="U307">
        <f>70</f>
        <v>70</v>
      </c>
      <c r="V307">
        <f>30</f>
        <v>30</v>
      </c>
      <c r="W307">
        <f t="shared" ca="1" si="90"/>
        <v>112.64154429852621</v>
      </c>
      <c r="X307">
        <f t="shared" ca="1" si="100"/>
        <v>111.20582376067381</v>
      </c>
      <c r="Y307">
        <f t="shared" ca="1" si="99"/>
        <v>1.5813274485563937</v>
      </c>
      <c r="Z307">
        <f t="shared" ca="1" si="101"/>
        <v>0.85650547862985682</v>
      </c>
      <c r="AA307">
        <f t="shared" ca="1" si="102"/>
        <v>0.72482196992653691</v>
      </c>
      <c r="AB307">
        <f t="shared" ca="1" si="103"/>
        <v>112.25509999999997</v>
      </c>
    </row>
    <row r="308" spans="1:28" x14ac:dyDescent="0.25">
      <c r="A308" s="20">
        <f t="shared" ca="1" si="83"/>
        <v>45740</v>
      </c>
      <c r="B308" vm="889">
        <f ca="1"/>
        <v>45740</v>
      </c>
      <c r="C308" vm="890">
        <f ca="1"/>
        <v>115.8</v>
      </c>
      <c r="D308" vm="891">
        <f ca="1"/>
        <v>14207469</v>
      </c>
      <c r="E308">
        <f t="shared" ca="1" si="84"/>
        <v>1645224910.2</v>
      </c>
      <c r="F308">
        <f ca="1">SUM($E$2:E308)/SUM($D$2:D308)</f>
        <v>112.38157049521402</v>
      </c>
      <c r="G308">
        <f ca="1">_xlfn.STDEV.P($C$2:C308)</f>
        <v>6.2374975841448954</v>
      </c>
      <c r="H308">
        <f t="shared" ca="1" si="85"/>
        <v>118.61906807935891</v>
      </c>
      <c r="I308">
        <f t="shared" ca="1" si="86"/>
        <v>106.14407291106913</v>
      </c>
      <c r="J308">
        <f t="shared" ca="1" si="95"/>
        <v>110.93600000000006</v>
      </c>
      <c r="K308">
        <f t="shared" ca="1" si="96"/>
        <v>3.1502571323623729</v>
      </c>
      <c r="L308">
        <f t="shared" ca="1" si="97"/>
        <v>117.2365142647248</v>
      </c>
      <c r="M308">
        <f t="shared" ca="1" si="98"/>
        <v>104.63548573527532</v>
      </c>
      <c r="N308">
        <f t="shared" ca="1" si="87"/>
        <v>0.29999999999999716</v>
      </c>
      <c r="O308">
        <f t="shared" ca="1" si="88"/>
        <v>0.29999999999999716</v>
      </c>
      <c r="P308">
        <f t="shared" ca="1" si="89"/>
        <v>0</v>
      </c>
      <c r="Q308">
        <f t="shared" ca="1" si="93"/>
        <v>0.7852759465463246</v>
      </c>
      <c r="R308">
        <f t="shared" ca="1" si="94"/>
        <v>0.45355848219777517</v>
      </c>
      <c r="S308">
        <f t="shared" ca="1" si="91"/>
        <v>1.7313664662188002</v>
      </c>
      <c r="T308">
        <f t="shared" ca="1" si="92"/>
        <v>63.388288888808027</v>
      </c>
      <c r="U308">
        <f>70</f>
        <v>70</v>
      </c>
      <c r="V308">
        <f>30</f>
        <v>30</v>
      </c>
      <c r="W308">
        <f t="shared" ca="1" si="90"/>
        <v>113.12746056029141</v>
      </c>
      <c r="X308">
        <f t="shared" ca="1" si="100"/>
        <v>111.54613311173502</v>
      </c>
      <c r="Y308">
        <f t="shared" ca="1" si="99"/>
        <v>1.7404060543950806</v>
      </c>
      <c r="Z308">
        <f t="shared" ca="1" si="101"/>
        <v>1.0332855937829017</v>
      </c>
      <c r="AA308">
        <f t="shared" ca="1" si="102"/>
        <v>0.70712046061217881</v>
      </c>
      <c r="AB308">
        <f t="shared" ca="1" si="103"/>
        <v>112.21819999999997</v>
      </c>
    </row>
    <row r="309" spans="1:28" x14ac:dyDescent="0.25">
      <c r="A309" s="20">
        <f t="shared" ca="1" si="83"/>
        <v>45740</v>
      </c>
      <c r="B309" vm="892">
        <f ca="1"/>
        <v>45741</v>
      </c>
      <c r="C309" vm="893">
        <f ca="1"/>
        <v>116.59</v>
      </c>
      <c r="D309" vm="894">
        <f ca="1"/>
        <v>12081795</v>
      </c>
      <c r="E309">
        <f t="shared" ca="1" si="84"/>
        <v>1408616479.05</v>
      </c>
      <c r="F309">
        <f ca="1">SUM($E$2:E309)/SUM($D$2:D309)</f>
        <v>112.39170290670724</v>
      </c>
      <c r="G309">
        <f ca="1">_xlfn.STDEV.P($C$2:C309)</f>
        <v>6.231014415197043</v>
      </c>
      <c r="H309">
        <f t="shared" ca="1" si="85"/>
        <v>118.62271732190428</v>
      </c>
      <c r="I309">
        <f t="shared" ca="1" si="86"/>
        <v>106.1606884915102</v>
      </c>
      <c r="J309">
        <f t="shared" ca="1" si="95"/>
        <v>111.27900000000002</v>
      </c>
      <c r="K309">
        <f t="shared" ca="1" si="96"/>
        <v>3.3773126968984646</v>
      </c>
      <c r="L309">
        <f t="shared" ca="1" si="97"/>
        <v>118.03362539379695</v>
      </c>
      <c r="M309">
        <f t="shared" ca="1" si="98"/>
        <v>104.5243746062031</v>
      </c>
      <c r="N309">
        <f t="shared" ca="1" si="87"/>
        <v>0.79000000000000625</v>
      </c>
      <c r="O309">
        <f t="shared" ca="1" si="88"/>
        <v>0.79000000000000625</v>
      </c>
      <c r="P309">
        <f t="shared" ca="1" si="89"/>
        <v>0</v>
      </c>
      <c r="Q309">
        <f t="shared" ca="1" si="93"/>
        <v>0.78561337893587335</v>
      </c>
      <c r="R309">
        <f t="shared" ca="1" si="94"/>
        <v>0.42116144775507697</v>
      </c>
      <c r="S309">
        <f t="shared" ca="1" si="91"/>
        <v>1.8653496969474292</v>
      </c>
      <c r="T309">
        <f t="shared" ca="1" si="92"/>
        <v>65.100245842057603</v>
      </c>
      <c r="U309">
        <f>70</f>
        <v>70</v>
      </c>
      <c r="V309">
        <f>30</f>
        <v>30</v>
      </c>
      <c r="W309">
        <f t="shared" ca="1" si="90"/>
        <v>113.6601589356312</v>
      </c>
      <c r="X309">
        <f t="shared" ca="1" si="100"/>
        <v>111.91975288123612</v>
      </c>
      <c r="Y309">
        <f t="shared" ca="1" si="99"/>
        <v>1.9792236965262759</v>
      </c>
      <c r="Z309">
        <f t="shared" ca="1" si="101"/>
        <v>1.2224732143315766</v>
      </c>
      <c r="AA309">
        <f t="shared" ca="1" si="102"/>
        <v>0.75675048219469931</v>
      </c>
      <c r="AB309">
        <f t="shared" ca="1" si="103"/>
        <v>112.19509999999997</v>
      </c>
    </row>
    <row r="310" spans="1:28" x14ac:dyDescent="0.25">
      <c r="A310" s="20">
        <f t="shared" ca="1" si="83"/>
        <v>45740</v>
      </c>
      <c r="B310" vm="895">
        <f ca="1"/>
        <v>45742</v>
      </c>
      <c r="C310" vm="245">
        <f ca="1"/>
        <v>118.27</v>
      </c>
      <c r="D310" vm="896">
        <f ca="1"/>
        <v>14112756</v>
      </c>
      <c r="E310">
        <f t="shared" ca="1" si="84"/>
        <v>1669115652.1199999</v>
      </c>
      <c r="F310">
        <f ca="1">SUM($E$2:E310)/SUM($D$2:D310)</f>
        <v>112.40818851513309</v>
      </c>
      <c r="G310">
        <f ca="1">_xlfn.STDEV.P($C$2:C310)</f>
        <v>6.2285263802854125</v>
      </c>
      <c r="H310">
        <f t="shared" ca="1" si="85"/>
        <v>118.63671489541851</v>
      </c>
      <c r="I310">
        <f t="shared" ca="1" si="86"/>
        <v>106.17966213484767</v>
      </c>
      <c r="J310">
        <f t="shared" ca="1" si="95"/>
        <v>111.71950000000001</v>
      </c>
      <c r="K310">
        <f t="shared" ca="1" si="96"/>
        <v>3.687839868369672</v>
      </c>
      <c r="L310">
        <f t="shared" ca="1" si="97"/>
        <v>119.09517973673935</v>
      </c>
      <c r="M310">
        <f t="shared" ca="1" si="98"/>
        <v>104.34382026326067</v>
      </c>
      <c r="N310">
        <f t="shared" ca="1" si="87"/>
        <v>1.6799999999999926</v>
      </c>
      <c r="O310">
        <f t="shared" ca="1" si="88"/>
        <v>1.6799999999999926</v>
      </c>
      <c r="P310">
        <f t="shared" ca="1" si="89"/>
        <v>0</v>
      </c>
      <c r="Q310">
        <f t="shared" ca="1" si="93"/>
        <v>0.8494981375833105</v>
      </c>
      <c r="R310">
        <f t="shared" ca="1" si="94"/>
        <v>0.39107848720114291</v>
      </c>
      <c r="S310">
        <f t="shared" ca="1" si="91"/>
        <v>2.1721934736501862</v>
      </c>
      <c r="T310">
        <f t="shared" ca="1" si="92"/>
        <v>68.476071579287435</v>
      </c>
      <c r="U310">
        <f>70</f>
        <v>70</v>
      </c>
      <c r="V310">
        <f>30</f>
        <v>30</v>
      </c>
      <c r="W310">
        <f t="shared" ca="1" si="90"/>
        <v>114.36936525322639</v>
      </c>
      <c r="X310">
        <f t="shared" ca="1" si="100"/>
        <v>112.39014155670012</v>
      </c>
      <c r="Y310">
        <f t="shared" ca="1" si="99"/>
        <v>2.1134628896886056</v>
      </c>
      <c r="Z310">
        <f t="shared" ca="1" si="101"/>
        <v>1.4006711494029824</v>
      </c>
      <c r="AA310">
        <f t="shared" ca="1" si="102"/>
        <v>0.7127917402856232</v>
      </c>
      <c r="AB310">
        <f t="shared" ca="1" si="103"/>
        <v>112.20499999999998</v>
      </c>
    </row>
    <row r="311" spans="1:28" x14ac:dyDescent="0.25">
      <c r="A311" s="20">
        <f t="shared" ca="1" si="83"/>
        <v>45740</v>
      </c>
      <c r="B311" vm="897">
        <f ca="1"/>
        <v>45743</v>
      </c>
      <c r="C311" vm="449">
        <f ca="1"/>
        <v>117.89</v>
      </c>
      <c r="D311" vm="898">
        <f ca="1"/>
        <v>12740786</v>
      </c>
      <c r="E311">
        <f t="shared" ca="1" si="84"/>
        <v>1502011261.54</v>
      </c>
      <c r="F311">
        <f ca="1">SUM($E$2:E311)/SUM($D$2:D311)</f>
        <v>112.42203258410622</v>
      </c>
      <c r="G311">
        <f ca="1">_xlfn.STDEV.P($C$2:C311)</f>
        <v>6.2249821320406031</v>
      </c>
      <c r="H311">
        <f t="shared" ca="1" si="85"/>
        <v>118.64701471614683</v>
      </c>
      <c r="I311">
        <f t="shared" ca="1" si="86"/>
        <v>106.19705045206561</v>
      </c>
      <c r="J311">
        <f t="shared" ca="1" si="95"/>
        <v>112.10650000000001</v>
      </c>
      <c r="K311">
        <f t="shared" ca="1" si="96"/>
        <v>3.9136700705415408</v>
      </c>
      <c r="L311">
        <f t="shared" ca="1" si="97"/>
        <v>119.9338401410831</v>
      </c>
      <c r="M311">
        <f t="shared" ca="1" si="98"/>
        <v>104.27915985891693</v>
      </c>
      <c r="N311">
        <f t="shared" ca="1" si="87"/>
        <v>-0.37999999999999545</v>
      </c>
      <c r="O311">
        <f t="shared" ca="1" si="88"/>
        <v>0</v>
      </c>
      <c r="P311">
        <f t="shared" ca="1" si="89"/>
        <v>0.37999999999999545</v>
      </c>
      <c r="Q311">
        <f t="shared" ca="1" si="93"/>
        <v>0.78881969918450257</v>
      </c>
      <c r="R311">
        <f t="shared" ca="1" si="94"/>
        <v>0.39028716668677527</v>
      </c>
      <c r="S311">
        <f t="shared" ca="1" si="91"/>
        <v>2.0211264077190867</v>
      </c>
      <c r="T311">
        <f t="shared" ca="1" si="92"/>
        <v>66.899763033914638</v>
      </c>
      <c r="U311">
        <f>70</f>
        <v>70</v>
      </c>
      <c r="V311">
        <f>30</f>
        <v>30</v>
      </c>
      <c r="W311">
        <f t="shared" ca="1" si="90"/>
        <v>114.91100136811464</v>
      </c>
      <c r="X311">
        <f t="shared" ca="1" si="100"/>
        <v>112.79753847842603</v>
      </c>
      <c r="Y311">
        <f t="shared" ca="1" si="99"/>
        <v>2.1817874667851527</v>
      </c>
      <c r="Z311">
        <f t="shared" ca="1" si="101"/>
        <v>1.5568944128794167</v>
      </c>
      <c r="AA311">
        <f t="shared" ca="1" si="102"/>
        <v>0.62489305390573602</v>
      </c>
      <c r="AB311">
        <f t="shared" ca="1" si="103"/>
        <v>112.21699999999998</v>
      </c>
    </row>
    <row r="312" spans="1:28" x14ac:dyDescent="0.25">
      <c r="A312" s="20">
        <f t="shared" ca="1" si="83"/>
        <v>45740</v>
      </c>
      <c r="B312" vm="899">
        <f ca="1"/>
        <v>45744</v>
      </c>
      <c r="C312" vm="900">
        <f ca="1"/>
        <v>117.73</v>
      </c>
      <c r="D312" vm="901">
        <f ca="1"/>
        <v>10233433</v>
      </c>
      <c r="E312">
        <f t="shared" ca="1" si="84"/>
        <v>1204782067.0900002</v>
      </c>
      <c r="F312">
        <f ca="1">SUM($E$2:E312)/SUM($D$2:D312)</f>
        <v>112.43277774646687</v>
      </c>
      <c r="G312">
        <f ca="1">_xlfn.STDEV.P($C$2:C312)</f>
        <v>6.2210111366105503</v>
      </c>
      <c r="H312">
        <f t="shared" ca="1" si="85"/>
        <v>118.65378888307742</v>
      </c>
      <c r="I312">
        <f t="shared" ca="1" si="86"/>
        <v>106.21176660985631</v>
      </c>
      <c r="J312">
        <f t="shared" ca="1" si="95"/>
        <v>112.4265</v>
      </c>
      <c r="K312">
        <f t="shared" ca="1" si="96"/>
        <v>4.1038637442755022</v>
      </c>
      <c r="L312">
        <f t="shared" ca="1" si="97"/>
        <v>120.63422748855101</v>
      </c>
      <c r="M312">
        <f t="shared" ca="1" si="98"/>
        <v>104.218772511449</v>
      </c>
      <c r="N312">
        <f t="shared" ca="1" si="87"/>
        <v>-0.15999999999999659</v>
      </c>
      <c r="O312">
        <f t="shared" ca="1" si="88"/>
        <v>0</v>
      </c>
      <c r="P312">
        <f t="shared" ca="1" si="89"/>
        <v>0.15999999999999659</v>
      </c>
      <c r="Q312">
        <f t="shared" ca="1" si="93"/>
        <v>0.73247543495703815</v>
      </c>
      <c r="R312">
        <f t="shared" ca="1" si="94"/>
        <v>0.37383808335200536</v>
      </c>
      <c r="S312">
        <f t="shared" ca="1" si="91"/>
        <v>1.9593387286531223</v>
      </c>
      <c r="T312">
        <f t="shared" ca="1" si="92"/>
        <v>66.208667148585334</v>
      </c>
      <c r="U312">
        <f>70</f>
        <v>70</v>
      </c>
      <c r="V312">
        <f>30</f>
        <v>30</v>
      </c>
      <c r="W312">
        <f t="shared" ca="1" si="90"/>
        <v>115.34469346532778</v>
      </c>
      <c r="X312">
        <f t="shared" ca="1" si="100"/>
        <v>113.16290599854263</v>
      </c>
      <c r="Y312">
        <f t="shared" ca="1" si="99"/>
        <v>2.3061809392478665</v>
      </c>
      <c r="Z312">
        <f t="shared" ca="1" si="101"/>
        <v>1.7067517181531069</v>
      </c>
      <c r="AA312">
        <f t="shared" ca="1" si="102"/>
        <v>0.5994292210947596</v>
      </c>
      <c r="AB312">
        <f t="shared" ca="1" si="103"/>
        <v>112.22649999999997</v>
      </c>
    </row>
    <row r="313" spans="1:28" x14ac:dyDescent="0.25">
      <c r="A313" s="20">
        <f t="shared" ca="1" si="83"/>
        <v>45747</v>
      </c>
      <c r="B313" vm="902">
        <f ca="1"/>
        <v>45747</v>
      </c>
      <c r="C313" vm="903">
        <f ca="1"/>
        <v>118.93</v>
      </c>
      <c r="D313" vm="904">
        <f ca="1"/>
        <v>21652345</v>
      </c>
      <c r="E313">
        <f t="shared" ca="1" si="84"/>
        <v>2575113390.8500004</v>
      </c>
      <c r="F313">
        <f ca="1">SUM($E$2:E313)/SUM($D$2:D313)</f>
        <v>112.46048795839698</v>
      </c>
      <c r="G313">
        <f ca="1">_xlfn.STDEV.P($C$2:C313)</f>
        <v>6.2203705004084826</v>
      </c>
      <c r="H313">
        <f t="shared" ca="1" si="85"/>
        <v>118.68085845880546</v>
      </c>
      <c r="I313">
        <f t="shared" ca="1" si="86"/>
        <v>106.2401174579885</v>
      </c>
      <c r="J313">
        <f t="shared" ca="1" si="95"/>
        <v>112.98499999999999</v>
      </c>
      <c r="K313">
        <f t="shared" ca="1" si="96"/>
        <v>4.1944393013407151</v>
      </c>
      <c r="L313">
        <f t="shared" ca="1" si="97"/>
        <v>121.37387860268142</v>
      </c>
      <c r="M313">
        <f t="shared" ca="1" si="98"/>
        <v>104.59612139731856</v>
      </c>
      <c r="N313">
        <f t="shared" ca="1" si="87"/>
        <v>1.2000000000000028</v>
      </c>
      <c r="O313">
        <f t="shared" ca="1" si="88"/>
        <v>1.2000000000000028</v>
      </c>
      <c r="P313">
        <f t="shared" ca="1" si="89"/>
        <v>0</v>
      </c>
      <c r="Q313">
        <f t="shared" ca="1" si="93"/>
        <v>0.76587004674582126</v>
      </c>
      <c r="R313">
        <f t="shared" ca="1" si="94"/>
        <v>0.34713536311257637</v>
      </c>
      <c r="S313">
        <f t="shared" ca="1" si="91"/>
        <v>2.2062576393216635</v>
      </c>
      <c r="T313">
        <f t="shared" ca="1" si="92"/>
        <v>68.810990491345336</v>
      </c>
      <c r="U313">
        <f>70</f>
        <v>70</v>
      </c>
      <c r="V313">
        <f>30</f>
        <v>30</v>
      </c>
      <c r="W313">
        <f t="shared" ca="1" si="90"/>
        <v>115.89627908604659</v>
      </c>
      <c r="X313">
        <f t="shared" ca="1" si="100"/>
        <v>113.59009814679872</v>
      </c>
      <c r="Y313">
        <f t="shared" ca="1" si="99"/>
        <v>2.3861338770548599</v>
      </c>
      <c r="Z313">
        <f t="shared" ca="1" si="101"/>
        <v>1.8426281499334576</v>
      </c>
      <c r="AA313">
        <f t="shared" ca="1" si="102"/>
        <v>0.54350572712140233</v>
      </c>
      <c r="AB313">
        <f t="shared" ca="1" si="103"/>
        <v>112.26629999999999</v>
      </c>
    </row>
    <row r="314" spans="1:28" x14ac:dyDescent="0.25">
      <c r="A314" s="20">
        <f t="shared" ca="1" si="83"/>
        <v>45747</v>
      </c>
      <c r="B314" vm="905">
        <f ca="1"/>
        <v>45748</v>
      </c>
      <c r="C314" vm="906">
        <f ca="1"/>
        <v>119.04</v>
      </c>
      <c r="D314" vm="907">
        <f ca="1"/>
        <v>12425434</v>
      </c>
      <c r="E314">
        <f t="shared" ca="1" si="84"/>
        <v>1479123663.3600001</v>
      </c>
      <c r="F314">
        <f ca="1">SUM($E$2:E314)/SUM($D$2:D314)</f>
        <v>112.47655185171678</v>
      </c>
      <c r="G314">
        <f ca="1">_xlfn.STDEV.P($C$2:C314)</f>
        <v>6.2200159511175768</v>
      </c>
      <c r="H314">
        <f t="shared" ca="1" si="85"/>
        <v>118.69656780283435</v>
      </c>
      <c r="I314">
        <f t="shared" ca="1" si="86"/>
        <v>106.2565359005992</v>
      </c>
      <c r="J314">
        <f t="shared" ca="1" si="95"/>
        <v>113.55999999999999</v>
      </c>
      <c r="K314">
        <f t="shared" ca="1" si="96"/>
        <v>4.1969638148497195</v>
      </c>
      <c r="L314">
        <f t="shared" ca="1" si="97"/>
        <v>121.95392762969942</v>
      </c>
      <c r="M314">
        <f t="shared" ca="1" si="98"/>
        <v>105.16607237030055</v>
      </c>
      <c r="N314">
        <f t="shared" ca="1" si="87"/>
        <v>0.10999999999999943</v>
      </c>
      <c r="O314">
        <f t="shared" ca="1" si="88"/>
        <v>0.10999999999999943</v>
      </c>
      <c r="P314">
        <f t="shared" ca="1" si="89"/>
        <v>0</v>
      </c>
      <c r="Q314">
        <f t="shared" ca="1" si="93"/>
        <v>0.71902218626397685</v>
      </c>
      <c r="R314">
        <f t="shared" ca="1" si="94"/>
        <v>0.3223399800331066</v>
      </c>
      <c r="S314">
        <f t="shared" ca="1" si="91"/>
        <v>2.2306329676825327</v>
      </c>
      <c r="T314">
        <f t="shared" ca="1" si="92"/>
        <v>69.046313524208799</v>
      </c>
      <c r="U314">
        <f>70</f>
        <v>70</v>
      </c>
      <c r="V314">
        <f>30</f>
        <v>30</v>
      </c>
      <c r="W314">
        <f t="shared" ca="1" si="90"/>
        <v>116.37992845742404</v>
      </c>
      <c r="X314">
        <f t="shared" ca="1" si="100"/>
        <v>113.99379458036918</v>
      </c>
      <c r="Y314">
        <f t="shared" ca="1" si="99"/>
        <v>2.3920669892733883</v>
      </c>
      <c r="Z314">
        <f t="shared" ca="1" si="101"/>
        <v>1.9525159178014437</v>
      </c>
      <c r="AA314">
        <f t="shared" ca="1" si="102"/>
        <v>0.43955107147194461</v>
      </c>
      <c r="AB314">
        <f t="shared" ca="1" si="103"/>
        <v>112.2706</v>
      </c>
    </row>
    <row r="315" spans="1:28" x14ac:dyDescent="0.25">
      <c r="A315" s="20">
        <f t="shared" ca="1" si="83"/>
        <v>45747</v>
      </c>
      <c r="B315" vm="908">
        <f ca="1"/>
        <v>45749</v>
      </c>
      <c r="C315" vm="284">
        <f ca="1"/>
        <v>118.67</v>
      </c>
      <c r="D315" vm="909">
        <f ca="1"/>
        <v>12614605</v>
      </c>
      <c r="E315">
        <f t="shared" ca="1" si="84"/>
        <v>1496975175.3499999</v>
      </c>
      <c r="F315">
        <f ca="1">SUM($E$2:E315)/SUM($D$2:D315)</f>
        <v>112.49186542631169</v>
      </c>
      <c r="G315">
        <f ca="1">_xlfn.STDEV.P($C$2:C315)</f>
        <v>6.2184858874914513</v>
      </c>
      <c r="H315">
        <f t="shared" ca="1" si="85"/>
        <v>118.71035131380314</v>
      </c>
      <c r="I315">
        <f t="shared" ca="1" si="86"/>
        <v>106.27337953882024</v>
      </c>
      <c r="J315">
        <f t="shared" ca="1" si="95"/>
        <v>114.22150000000002</v>
      </c>
      <c r="K315">
        <f t="shared" ca="1" si="96"/>
        <v>3.8804615501387554</v>
      </c>
      <c r="L315">
        <f t="shared" ca="1" si="97"/>
        <v>121.98242310027753</v>
      </c>
      <c r="M315">
        <f t="shared" ca="1" si="98"/>
        <v>106.46057689972251</v>
      </c>
      <c r="N315">
        <f t="shared" ca="1" si="87"/>
        <v>-0.37000000000000455</v>
      </c>
      <c r="O315">
        <f t="shared" ca="1" si="88"/>
        <v>0</v>
      </c>
      <c r="P315">
        <f t="shared" ca="1" si="89"/>
        <v>0.37000000000000455</v>
      </c>
      <c r="Q315">
        <f t="shared" ca="1" si="93"/>
        <v>0.66766345867369281</v>
      </c>
      <c r="R315">
        <f t="shared" ca="1" si="94"/>
        <v>0.32574426717359933</v>
      </c>
      <c r="S315">
        <f t="shared" ca="1" si="91"/>
        <v>2.0496552847018301</v>
      </c>
      <c r="T315">
        <f t="shared" ca="1" si="92"/>
        <v>67.209408715261674</v>
      </c>
      <c r="U315">
        <f>70</f>
        <v>70</v>
      </c>
      <c r="V315">
        <f>30</f>
        <v>30</v>
      </c>
      <c r="W315">
        <f t="shared" ca="1" si="90"/>
        <v>116.73224715628189</v>
      </c>
      <c r="X315">
        <f t="shared" ca="1" si="100"/>
        <v>114.3401801670085</v>
      </c>
      <c r="Y315">
        <f t="shared" ca="1" si="99"/>
        <v>1.8716776385696932</v>
      </c>
      <c r="Z315">
        <f t="shared" ca="1" si="101"/>
        <v>1.9363482619550938</v>
      </c>
      <c r="AA315">
        <f t="shared" ca="1" si="102"/>
        <v>-6.4670623385400638E-2</v>
      </c>
      <c r="AB315">
        <f t="shared" ca="1" si="103"/>
        <v>112.26770000000002</v>
      </c>
    </row>
    <row r="316" spans="1:28" x14ac:dyDescent="0.25">
      <c r="A316" s="20">
        <f t="shared" ca="1" si="83"/>
        <v>45747</v>
      </c>
      <c r="B316" vm="910">
        <f ca="1"/>
        <v>45750</v>
      </c>
      <c r="C316" vm="911">
        <f ca="1"/>
        <v>112.43</v>
      </c>
      <c r="D316" vm="912">
        <f ca="1"/>
        <v>21204636</v>
      </c>
      <c r="E316">
        <f t="shared" ca="1" si="84"/>
        <v>2384037225.48</v>
      </c>
      <c r="F316">
        <f ca="1">SUM($E$2:E316)/SUM($D$2:D316)</f>
        <v>112.49160936264852</v>
      </c>
      <c r="G316">
        <f ca="1">_xlfn.STDEV.P($C$2:C316)</f>
        <v>6.2086789123966302</v>
      </c>
      <c r="H316">
        <f t="shared" ca="1" si="85"/>
        <v>118.70028827504515</v>
      </c>
      <c r="I316">
        <f t="shared" ca="1" si="86"/>
        <v>106.28293045025188</v>
      </c>
      <c r="J316">
        <f t="shared" ca="1" si="95"/>
        <v>114.46199999999999</v>
      </c>
      <c r="K316">
        <f t="shared" ca="1" si="96"/>
        <v>3.5878047825787216</v>
      </c>
      <c r="L316">
        <f t="shared" ca="1" si="97"/>
        <v>121.63760956515743</v>
      </c>
      <c r="M316">
        <f t="shared" ca="1" si="98"/>
        <v>107.28639043484255</v>
      </c>
      <c r="N316">
        <f t="shared" ca="1" si="87"/>
        <v>-6.2399999999999949</v>
      </c>
      <c r="O316">
        <f t="shared" ca="1" si="88"/>
        <v>0</v>
      </c>
      <c r="P316">
        <f t="shared" ca="1" si="89"/>
        <v>6.2399999999999949</v>
      </c>
      <c r="Q316">
        <f t="shared" ca="1" si="93"/>
        <v>0.61997321162557195</v>
      </c>
      <c r="R316">
        <f t="shared" ca="1" si="94"/>
        <v>0.74819110523262755</v>
      </c>
      <c r="S316">
        <f t="shared" ca="1" si="91"/>
        <v>0.82862948689133364</v>
      </c>
      <c r="T316">
        <f t="shared" ca="1" si="92"/>
        <v>45.314236308198339</v>
      </c>
      <c r="U316">
        <f>70</f>
        <v>70</v>
      </c>
      <c r="V316">
        <f>30</f>
        <v>30</v>
      </c>
      <c r="W316">
        <f t="shared" ca="1" si="90"/>
        <v>116.07036297839237</v>
      </c>
      <c r="X316">
        <f t="shared" ca="1" si="100"/>
        <v>114.19868533982267</v>
      </c>
      <c r="Y316">
        <f t="shared" ca="1" si="99"/>
        <v>0.7972793992597218</v>
      </c>
      <c r="Z316">
        <f t="shared" ca="1" si="101"/>
        <v>1.7085344894160195</v>
      </c>
      <c r="AA316">
        <f t="shared" ca="1" si="102"/>
        <v>-0.91125509015629769</v>
      </c>
      <c r="AB316">
        <f t="shared" ca="1" si="103"/>
        <v>112.182</v>
      </c>
    </row>
    <row r="317" spans="1:28" x14ac:dyDescent="0.25">
      <c r="A317" s="20">
        <f t="shared" ca="1" si="83"/>
        <v>45747</v>
      </c>
      <c r="B317" vm="913">
        <f ca="1"/>
        <v>45751</v>
      </c>
      <c r="C317" vm="914">
        <f ca="1"/>
        <v>104.34</v>
      </c>
      <c r="D317" vm="915">
        <f ca="1"/>
        <v>30841318</v>
      </c>
      <c r="E317">
        <f t="shared" ca="1" si="84"/>
        <v>3217983120.1199999</v>
      </c>
      <c r="F317">
        <f ca="1">SUM($E$2:E317)/SUM($D$2:D317)</f>
        <v>112.4428297032961</v>
      </c>
      <c r="G317">
        <f ca="1">_xlfn.STDEV.P($C$2:C317)</f>
        <v>6.2177159509719981</v>
      </c>
      <c r="H317">
        <f t="shared" ca="1" si="85"/>
        <v>118.66054565426809</v>
      </c>
      <c r="I317">
        <f t="shared" ca="1" si="86"/>
        <v>106.22511375232411</v>
      </c>
      <c r="J317">
        <f t="shared" ca="1" si="95"/>
        <v>114.22799999999999</v>
      </c>
      <c r="K317">
        <f t="shared" ca="1" si="96"/>
        <v>4.0802407049739502</v>
      </c>
      <c r="L317">
        <f t="shared" ca="1" si="97"/>
        <v>122.3884814099479</v>
      </c>
      <c r="M317">
        <f t="shared" ca="1" si="98"/>
        <v>106.06751859005209</v>
      </c>
      <c r="N317">
        <f t="shared" ca="1" si="87"/>
        <v>-8.0900000000000034</v>
      </c>
      <c r="O317">
        <f t="shared" ca="1" si="88"/>
        <v>0</v>
      </c>
      <c r="P317">
        <f t="shared" ca="1" si="89"/>
        <v>8.0900000000000034</v>
      </c>
      <c r="Q317">
        <f t="shared" ca="1" si="93"/>
        <v>0.57568941079517388</v>
      </c>
      <c r="R317">
        <f t="shared" ca="1" si="94"/>
        <v>1.2726060262874401</v>
      </c>
      <c r="S317">
        <f t="shared" ca="1" si="91"/>
        <v>0.45237048929795376</v>
      </c>
      <c r="T317">
        <f t="shared" ca="1" si="92"/>
        <v>31.147044960726276</v>
      </c>
      <c r="U317">
        <f>70</f>
        <v>70</v>
      </c>
      <c r="V317">
        <f>30</f>
        <v>30</v>
      </c>
      <c r="W317">
        <f t="shared" ca="1" si="90"/>
        <v>114.26569175094738</v>
      </c>
      <c r="X317">
        <f t="shared" ca="1" si="100"/>
        <v>113.46841235168766</v>
      </c>
      <c r="Y317">
        <f t="shared" ca="1" si="99"/>
        <v>-0.16525231984935829</v>
      </c>
      <c r="Z317">
        <f t="shared" ca="1" si="101"/>
        <v>1.333777127562944</v>
      </c>
      <c r="AA317">
        <f t="shared" ca="1" si="102"/>
        <v>-1.4990294474123023</v>
      </c>
      <c r="AB317">
        <f t="shared" ca="1" si="103"/>
        <v>112.01390000000004</v>
      </c>
    </row>
    <row r="318" spans="1:28" x14ac:dyDescent="0.25">
      <c r="A318" s="20">
        <f t="shared" ca="1" si="83"/>
        <v>45754</v>
      </c>
      <c r="B318" vm="916">
        <f ca="1"/>
        <v>45754</v>
      </c>
      <c r="C318" vm="917">
        <f ca="1"/>
        <v>102.94</v>
      </c>
      <c r="D318" vm="918">
        <f ca="1"/>
        <v>35068450</v>
      </c>
      <c r="E318">
        <f t="shared" ca="1" si="84"/>
        <v>3609946243</v>
      </c>
      <c r="F318">
        <f ca="1">SUM($E$2:E318)/SUM($D$2:D318)</f>
        <v>112.37860723991831</v>
      </c>
      <c r="G318">
        <f ca="1">_xlfn.STDEV.P($C$2:C318)</f>
        <v>6.2331301335628435</v>
      </c>
      <c r="H318">
        <f t="shared" ca="1" si="85"/>
        <v>118.61173737348115</v>
      </c>
      <c r="I318">
        <f t="shared" ca="1" si="86"/>
        <v>106.14547710635547</v>
      </c>
      <c r="J318">
        <f t="shared" ca="1" si="95"/>
        <v>113.78500000000001</v>
      </c>
      <c r="K318">
        <f t="shared" ca="1" si="96"/>
        <v>4.7788883314229613</v>
      </c>
      <c r="L318">
        <f t="shared" ca="1" si="97"/>
        <v>123.34277666284594</v>
      </c>
      <c r="M318">
        <f t="shared" ca="1" si="98"/>
        <v>104.22722333715409</v>
      </c>
      <c r="N318">
        <f t="shared" ca="1" si="87"/>
        <v>-1.4000000000000057</v>
      </c>
      <c r="O318">
        <f t="shared" ca="1" si="88"/>
        <v>0</v>
      </c>
      <c r="P318">
        <f t="shared" ca="1" si="89"/>
        <v>1.4000000000000057</v>
      </c>
      <c r="Q318">
        <f t="shared" ca="1" si="93"/>
        <v>0.53456873859551857</v>
      </c>
      <c r="R318">
        <f t="shared" ca="1" si="94"/>
        <v>1.2817055958383377</v>
      </c>
      <c r="S318">
        <f t="shared" ca="1" si="91"/>
        <v>0.41707607451449724</v>
      </c>
      <c r="T318">
        <f t="shared" ca="1" si="92"/>
        <v>29.432158372823508</v>
      </c>
      <c r="U318">
        <f>70</f>
        <v>70</v>
      </c>
      <c r="V318">
        <f>30</f>
        <v>30</v>
      </c>
      <c r="W318">
        <f t="shared" ca="1" si="90"/>
        <v>112.523277635417</v>
      </c>
      <c r="X318">
        <f t="shared" ca="1" si="100"/>
        <v>112.68852995526636</v>
      </c>
      <c r="Y318">
        <f t="shared" ca="1" si="99"/>
        <v>-1.0905948083838126</v>
      </c>
      <c r="Z318">
        <f t="shared" ca="1" si="101"/>
        <v>0.8489027403735927</v>
      </c>
      <c r="AA318">
        <f t="shared" ca="1" si="102"/>
        <v>-1.9394975487574053</v>
      </c>
      <c r="AB318">
        <f t="shared" ca="1" si="103"/>
        <v>111.83220000000003</v>
      </c>
    </row>
    <row r="319" spans="1:28" x14ac:dyDescent="0.25">
      <c r="A319" s="20">
        <f t="shared" ca="1" si="83"/>
        <v>45754</v>
      </c>
      <c r="B319" vm="919">
        <f ca="1"/>
        <v>45755</v>
      </c>
      <c r="C319" vm="920">
        <f ca="1"/>
        <v>100.77</v>
      </c>
      <c r="D319" vm="921">
        <f ca="1"/>
        <v>27147750</v>
      </c>
      <c r="E319">
        <f t="shared" ca="1" si="84"/>
        <v>2735678767.5</v>
      </c>
      <c r="F319">
        <f ca="1">SUM($E$2:E319)/SUM($D$2:D319)</f>
        <v>112.31818940172445</v>
      </c>
      <c r="G319">
        <f ca="1">_xlfn.STDEV.P($C$2:C319)</f>
        <v>6.2602643960248612</v>
      </c>
      <c r="H319">
        <f t="shared" ca="1" si="85"/>
        <v>118.57845379774932</v>
      </c>
      <c r="I319">
        <f t="shared" ca="1" si="86"/>
        <v>106.05792500569959</v>
      </c>
      <c r="J319">
        <f t="shared" ca="1" si="95"/>
        <v>113.36550000000003</v>
      </c>
      <c r="K319">
        <f t="shared" ca="1" si="96"/>
        <v>5.5174254818138166</v>
      </c>
      <c r="L319">
        <f t="shared" ca="1" si="97"/>
        <v>124.40035096362766</v>
      </c>
      <c r="M319">
        <f t="shared" ca="1" si="98"/>
        <v>102.33064903637239</v>
      </c>
      <c r="N319">
        <f t="shared" ca="1" si="87"/>
        <v>-2.1700000000000017</v>
      </c>
      <c r="O319">
        <f t="shared" ca="1" si="88"/>
        <v>0</v>
      </c>
      <c r="P319">
        <f t="shared" ca="1" si="89"/>
        <v>2.1700000000000017</v>
      </c>
      <c r="Q319">
        <f t="shared" ca="1" si="93"/>
        <v>0.49638525726726723</v>
      </c>
      <c r="R319">
        <f t="shared" ca="1" si="94"/>
        <v>1.3451551961355992</v>
      </c>
      <c r="S319">
        <f t="shared" ca="1" si="91"/>
        <v>0.36901709088534707</v>
      </c>
      <c r="T319">
        <f t="shared" ca="1" si="92"/>
        <v>26.954892918590431</v>
      </c>
      <c r="U319">
        <f>70</f>
        <v>70</v>
      </c>
      <c r="V319">
        <f>30</f>
        <v>30</v>
      </c>
      <c r="W319">
        <f t="shared" ca="1" si="90"/>
        <v>110.71508107612208</v>
      </c>
      <c r="X319">
        <f t="shared" ca="1" si="100"/>
        <v>111.80567588450589</v>
      </c>
      <c r="Y319">
        <f t="shared" ca="1" si="99"/>
        <v>-1.4018962474534362</v>
      </c>
      <c r="Z319">
        <f t="shared" ca="1" si="101"/>
        <v>0.3987429428081869</v>
      </c>
      <c r="AA319">
        <f t="shared" ca="1" si="102"/>
        <v>-1.8006391902616232</v>
      </c>
      <c r="AB319">
        <f t="shared" ca="1" si="103"/>
        <v>111.63520000000003</v>
      </c>
    </row>
    <row r="320" spans="1:28" x14ac:dyDescent="0.25">
      <c r="A320" s="20">
        <f t="shared" ca="1" si="83"/>
        <v>45754</v>
      </c>
      <c r="B320" vm="922">
        <f ca="1"/>
        <v>45756</v>
      </c>
      <c r="C320" vm="923">
        <f ca="1"/>
        <v>105.8</v>
      </c>
      <c r="D320" vm="924">
        <f ca="1"/>
        <v>30063287</v>
      </c>
      <c r="E320">
        <f t="shared" ca="1" si="84"/>
        <v>3180695764.5999999</v>
      </c>
      <c r="F320">
        <f ca="1">SUM($E$2:E320)/SUM($D$2:D320)</f>
        <v>112.28083697840225</v>
      </c>
      <c r="G320">
        <f ca="1">_xlfn.STDEV.P($C$2:C320)</f>
        <v>6.2628954098336509</v>
      </c>
      <c r="H320">
        <f t="shared" ca="1" si="85"/>
        <v>118.5437323882359</v>
      </c>
      <c r="I320">
        <f t="shared" ca="1" si="86"/>
        <v>106.0179415685686</v>
      </c>
      <c r="J320">
        <f t="shared" ca="1" si="95"/>
        <v>113.199</v>
      </c>
      <c r="K320">
        <f t="shared" ca="1" si="96"/>
        <v>5.6992177671935602</v>
      </c>
      <c r="L320">
        <f t="shared" ca="1" si="97"/>
        <v>124.59743553438712</v>
      </c>
      <c r="M320">
        <f t="shared" ca="1" si="98"/>
        <v>101.80056446561288</v>
      </c>
      <c r="N320">
        <f t="shared" ca="1" si="87"/>
        <v>5.0300000000000011</v>
      </c>
      <c r="O320">
        <f t="shared" ca="1" si="88"/>
        <v>5.0300000000000011</v>
      </c>
      <c r="P320">
        <f t="shared" ca="1" si="89"/>
        <v>0</v>
      </c>
      <c r="Q320">
        <f t="shared" ca="1" si="93"/>
        <v>0.82021488174817681</v>
      </c>
      <c r="R320">
        <f t="shared" ca="1" si="94"/>
        <v>1.2490726821259135</v>
      </c>
      <c r="S320">
        <f t="shared" ca="1" si="91"/>
        <v>0.65665905073848585</v>
      </c>
      <c r="T320">
        <f t="shared" ca="1" si="92"/>
        <v>39.637549467150052</v>
      </c>
      <c r="U320">
        <f>70</f>
        <v>70</v>
      </c>
      <c r="V320">
        <f>30</f>
        <v>30</v>
      </c>
      <c r="W320">
        <f t="shared" ca="1" si="90"/>
        <v>109.95891475671868</v>
      </c>
      <c r="X320">
        <f t="shared" ca="1" si="100"/>
        <v>111.36081100417212</v>
      </c>
      <c r="Y320">
        <f t="shared" ca="1" si="99"/>
        <v>-2.0980794689757403</v>
      </c>
      <c r="Z320">
        <f t="shared" ca="1" si="101"/>
        <v>-0.10062153954859854</v>
      </c>
      <c r="AA320">
        <f t="shared" ca="1" si="102"/>
        <v>-1.9974579294271417</v>
      </c>
      <c r="AB320">
        <f t="shared" ca="1" si="103"/>
        <v>111.48970000000001</v>
      </c>
    </row>
    <row r="321" spans="1:28" x14ac:dyDescent="0.25">
      <c r="A321" s="20">
        <f t="shared" ca="1" si="83"/>
        <v>45754</v>
      </c>
      <c r="B321" vm="925">
        <f ca="1"/>
        <v>45757</v>
      </c>
      <c r="C321" vm="926">
        <f ca="1"/>
        <v>99.93</v>
      </c>
      <c r="D321" vm="927">
        <f ca="1"/>
        <v>33999317</v>
      </c>
      <c r="E321">
        <f t="shared" ca="1" si="84"/>
        <v>3397551747.8100004</v>
      </c>
      <c r="F321">
        <f ca="1">SUM($E$2:E321)/SUM($D$2:D321)</f>
        <v>112.20130963929928</v>
      </c>
      <c r="G321">
        <f ca="1">_xlfn.STDEV.P($C$2:C321)</f>
        <v>6.2944740670109578</v>
      </c>
      <c r="H321">
        <f t="shared" ca="1" si="85"/>
        <v>118.49578370631023</v>
      </c>
      <c r="I321">
        <f t="shared" ca="1" si="86"/>
        <v>105.90683557228833</v>
      </c>
      <c r="J321">
        <f t="shared" ca="1" si="95"/>
        <v>112.76200000000001</v>
      </c>
      <c r="K321">
        <f t="shared" ca="1" si="96"/>
        <v>6.3613790295732846</v>
      </c>
      <c r="L321">
        <f t="shared" ca="1" si="97"/>
        <v>125.48475805914659</v>
      </c>
      <c r="M321">
        <f t="shared" ca="1" si="98"/>
        <v>100.03924194085344</v>
      </c>
      <c r="N321">
        <f t="shared" ca="1" si="87"/>
        <v>-5.8699999999999903</v>
      </c>
      <c r="O321">
        <f t="shared" ca="1" si="88"/>
        <v>0</v>
      </c>
      <c r="P321">
        <f t="shared" ca="1" si="89"/>
        <v>5.8699999999999903</v>
      </c>
      <c r="Q321">
        <f t="shared" ca="1" si="93"/>
        <v>0.76162810448044993</v>
      </c>
      <c r="R321">
        <f t="shared" ca="1" si="94"/>
        <v>1.5791389191169192</v>
      </c>
      <c r="S321">
        <f t="shared" ca="1" si="91"/>
        <v>0.48230595501145973</v>
      </c>
      <c r="T321">
        <f t="shared" ca="1" si="92"/>
        <v>32.537544181135729</v>
      </c>
      <c r="U321">
        <f>70</f>
        <v>70</v>
      </c>
      <c r="V321">
        <f>30</f>
        <v>30</v>
      </c>
      <c r="W321">
        <f t="shared" ca="1" si="90"/>
        <v>108.41600479414659</v>
      </c>
      <c r="X321">
        <f t="shared" ca="1" si="100"/>
        <v>110.51408426312233</v>
      </c>
      <c r="Y321">
        <f t="shared" ca="1" si="99"/>
        <v>-2.363544050294081</v>
      </c>
      <c r="Z321">
        <f t="shared" ca="1" si="101"/>
        <v>-0.55320604169769505</v>
      </c>
      <c r="AA321">
        <f t="shared" ca="1" si="102"/>
        <v>-1.8103380085963861</v>
      </c>
      <c r="AB321">
        <f t="shared" ca="1" si="103"/>
        <v>111.2743</v>
      </c>
    </row>
    <row r="322" spans="1:28" x14ac:dyDescent="0.25">
      <c r="A322" s="20">
        <f t="shared" ca="1" si="83"/>
        <v>45754</v>
      </c>
      <c r="B322" vm="928">
        <f ca="1"/>
        <v>45758</v>
      </c>
      <c r="C322" vm="929">
        <f ca="1"/>
        <v>103.14</v>
      </c>
      <c r="D322" vm="930">
        <f ca="1"/>
        <v>22884628</v>
      </c>
      <c r="E322">
        <f t="shared" ca="1" si="84"/>
        <v>2360320531.9200001</v>
      </c>
      <c r="F322">
        <f ca="1">SUM($E$2:E322)/SUM($D$2:D322)</f>
        <v>112.1622069603811</v>
      </c>
      <c r="G322">
        <f ca="1">_xlfn.STDEV.P($C$2:C322)</f>
        <v>6.3076687295066183</v>
      </c>
      <c r="H322">
        <f t="shared" ca="1" si="85"/>
        <v>118.46987568988771</v>
      </c>
      <c r="I322">
        <f t="shared" ca="1" si="86"/>
        <v>105.85453823087448</v>
      </c>
      <c r="J322">
        <f t="shared" ca="1" si="95"/>
        <v>112.324</v>
      </c>
      <c r="K322">
        <f t="shared" ca="1" si="96"/>
        <v>6.7155698116196252</v>
      </c>
      <c r="L322">
        <f t="shared" ca="1" si="97"/>
        <v>125.75513962323924</v>
      </c>
      <c r="M322">
        <f t="shared" ca="1" si="98"/>
        <v>98.892860376760751</v>
      </c>
      <c r="N322">
        <f t="shared" ca="1" si="87"/>
        <v>3.2099999999999937</v>
      </c>
      <c r="O322">
        <f t="shared" ca="1" si="88"/>
        <v>3.2099999999999937</v>
      </c>
      <c r="P322">
        <f t="shared" ca="1" si="89"/>
        <v>0</v>
      </c>
      <c r="Q322">
        <f t="shared" ca="1" si="93"/>
        <v>0.93651181130327454</v>
      </c>
      <c r="R322">
        <f t="shared" ca="1" si="94"/>
        <v>1.4663432820371392</v>
      </c>
      <c r="S322">
        <f t="shared" ca="1" si="91"/>
        <v>0.63867160082883978</v>
      </c>
      <c r="T322">
        <f t="shared" ca="1" si="92"/>
        <v>38.974959992337688</v>
      </c>
      <c r="U322">
        <f>70</f>
        <v>70</v>
      </c>
      <c r="V322">
        <f>30</f>
        <v>30</v>
      </c>
      <c r="W322">
        <f t="shared" ca="1" si="90"/>
        <v>107.60431174889327</v>
      </c>
      <c r="X322">
        <f t="shared" ca="1" si="100"/>
        <v>109.96785579918735</v>
      </c>
      <c r="Y322">
        <f t="shared" ca="1" si="99"/>
        <v>-2.5246511262523939</v>
      </c>
      <c r="Z322">
        <f t="shared" ca="1" si="101"/>
        <v>-0.94749505860863481</v>
      </c>
      <c r="AA322">
        <f t="shared" ca="1" si="102"/>
        <v>-1.577156067643759</v>
      </c>
      <c r="AB322">
        <f t="shared" ca="1" si="103"/>
        <v>111.1001</v>
      </c>
    </row>
    <row r="323" spans="1:28" x14ac:dyDescent="0.25">
      <c r="A323" s="20">
        <f t="shared" ref="A323:A386" ca="1" si="104">B323 - WEEKDAY(B323, 2) + 1</f>
        <v>45761</v>
      </c>
      <c r="B323" vm="931">
        <f ca="1"/>
        <v>45761</v>
      </c>
      <c r="C323" vm="932">
        <f ca="1"/>
        <v>103.39</v>
      </c>
      <c r="D323" vm="933">
        <f ca="1"/>
        <v>18019969</v>
      </c>
      <c r="E323">
        <f t="shared" ref="E323:E386" ca="1" si="105">C323*D323</f>
        <v>1863084594.9100001</v>
      </c>
      <c r="F323">
        <f ca="1">SUM($E$2:E323)/SUM($D$2:D323)</f>
        <v>112.13249978546594</v>
      </c>
      <c r="G323">
        <f ca="1">_xlfn.STDEV.P($C$2:C323)</f>
        <v>6.3194484019276258</v>
      </c>
      <c r="H323">
        <f t="shared" ref="H323:H386" ca="1" si="106">F323 + G323</f>
        <v>118.45194818739357</v>
      </c>
      <c r="I323">
        <f t="shared" ref="I323:I386" ca="1" si="107">F323 - G323</f>
        <v>105.81305138353831</v>
      </c>
      <c r="J323">
        <f t="shared" ca="1" si="95"/>
        <v>111.80550000000001</v>
      </c>
      <c r="K323">
        <f t="shared" ca="1" si="96"/>
        <v>6.9934408931738172</v>
      </c>
      <c r="L323">
        <f t="shared" ca="1" si="97"/>
        <v>125.79238178634765</v>
      </c>
      <c r="M323">
        <f t="shared" ca="1" si="98"/>
        <v>97.818618213652371</v>
      </c>
      <c r="N323">
        <f t="shared" ca="1" si="87"/>
        <v>0.25</v>
      </c>
      <c r="O323">
        <f t="shared" ca="1" si="88"/>
        <v>0.25</v>
      </c>
      <c r="P323">
        <f t="shared" ca="1" si="89"/>
        <v>0</v>
      </c>
      <c r="Q323">
        <f t="shared" ca="1" si="93"/>
        <v>0.88747525335304067</v>
      </c>
      <c r="R323">
        <f t="shared" ca="1" si="94"/>
        <v>1.3616044761773434</v>
      </c>
      <c r="S323">
        <f t="shared" ca="1" si="91"/>
        <v>0.65178638061222904</v>
      </c>
      <c r="T323">
        <f t="shared" ca="1" si="92"/>
        <v>39.459483881362836</v>
      </c>
      <c r="U323">
        <f>70</f>
        <v>70</v>
      </c>
      <c r="V323">
        <f>30</f>
        <v>30</v>
      </c>
      <c r="W323">
        <f t="shared" ca="1" si="90"/>
        <v>106.95595609521737</v>
      </c>
      <c r="X323">
        <f t="shared" ca="1" si="100"/>
        <v>109.48060722146977</v>
      </c>
      <c r="Y323">
        <f t="shared" ca="1" si="99"/>
        <v>-2.6452375689404874</v>
      </c>
      <c r="Z323">
        <f t="shared" ca="1" si="101"/>
        <v>-1.2870435606750055</v>
      </c>
      <c r="AA323">
        <f t="shared" ca="1" si="102"/>
        <v>-1.358194008265482</v>
      </c>
      <c r="AB323">
        <f t="shared" ca="1" si="103"/>
        <v>110.94089999999998</v>
      </c>
    </row>
    <row r="324" spans="1:28" x14ac:dyDescent="0.25">
      <c r="A324" s="20">
        <f t="shared" ca="1" si="104"/>
        <v>45761</v>
      </c>
      <c r="B324" vm="934">
        <f ca="1"/>
        <v>45762</v>
      </c>
      <c r="C324" vm="935">
        <f ca="1"/>
        <v>103.1</v>
      </c>
      <c r="D324" vm="936">
        <f ca="1"/>
        <v>13164863</v>
      </c>
      <c r="E324">
        <f t="shared" ca="1" si="105"/>
        <v>1357297375.3</v>
      </c>
      <c r="F324">
        <f ca="1">SUM($E$2:E324)/SUM($D$2:D324)</f>
        <v>112.11020775676602</v>
      </c>
      <c r="G324">
        <f ca="1">_xlfn.STDEV.P($C$2:C324)</f>
        <v>6.3323428016545797</v>
      </c>
      <c r="H324">
        <f t="shared" ca="1" si="106"/>
        <v>118.44255055842059</v>
      </c>
      <c r="I324">
        <f t="shared" ca="1" si="107"/>
        <v>105.77786495511144</v>
      </c>
      <c r="J324">
        <f t="shared" ca="1" si="95"/>
        <v>111.27850000000001</v>
      </c>
      <c r="K324">
        <f t="shared" ca="1" si="96"/>
        <v>7.2406813251676523</v>
      </c>
      <c r="L324">
        <f t="shared" ca="1" si="97"/>
        <v>125.75986265033531</v>
      </c>
      <c r="M324">
        <f t="shared" ca="1" si="98"/>
        <v>96.797137349664709</v>
      </c>
      <c r="N324">
        <f t="shared" ref="N324:N387" ca="1" si="108">C324-C323</f>
        <v>-0.29000000000000625</v>
      </c>
      <c r="O324">
        <f t="shared" ref="O324:O387" ca="1" si="109">MAX(N324,0)</f>
        <v>0</v>
      </c>
      <c r="P324">
        <f t="shared" ref="P324:P387" ca="1" si="110">MAX(-N324,0)</f>
        <v>0.29000000000000625</v>
      </c>
      <c r="Q324">
        <f t="shared" ca="1" si="93"/>
        <v>0.82408416382782346</v>
      </c>
      <c r="R324">
        <f t="shared" ca="1" si="94"/>
        <v>1.2850612993075337</v>
      </c>
      <c r="S324">
        <f t="shared" ca="1" si="91"/>
        <v>0.64128004187184562</v>
      </c>
      <c r="T324">
        <f t="shared" ca="1" si="92"/>
        <v>39.071945403081799</v>
      </c>
      <c r="U324">
        <f>70</f>
        <v>70</v>
      </c>
      <c r="V324">
        <f>30</f>
        <v>30</v>
      </c>
      <c r="W324">
        <f t="shared" ca="1" si="90"/>
        <v>106.36273208056855</v>
      </c>
      <c r="X324">
        <f t="shared" ca="1" si="100"/>
        <v>109.00796964950904</v>
      </c>
      <c r="Y324">
        <f t="shared" ca="1" si="99"/>
        <v>-2.6226174021697517</v>
      </c>
      <c r="Z324">
        <f t="shared" ca="1" si="101"/>
        <v>-1.5541583289739549</v>
      </c>
      <c r="AA324">
        <f t="shared" ca="1" si="102"/>
        <v>-1.0684590731957968</v>
      </c>
      <c r="AB324">
        <f t="shared" ca="1" si="103"/>
        <v>110.7688</v>
      </c>
    </row>
    <row r="325" spans="1:28" x14ac:dyDescent="0.25">
      <c r="A325" s="20">
        <f t="shared" ca="1" si="104"/>
        <v>45761</v>
      </c>
      <c r="B325" vm="937">
        <f ca="1"/>
        <v>45763</v>
      </c>
      <c r="C325" vm="938">
        <f ca="1"/>
        <v>104.19</v>
      </c>
      <c r="D325" vm="939">
        <f ca="1"/>
        <v>13607024</v>
      </c>
      <c r="E325">
        <f t="shared" ca="1" si="105"/>
        <v>1417715830.5599999</v>
      </c>
      <c r="F325">
        <f ca="1">SUM($E$2:E325)/SUM($D$2:D325)</f>
        <v>112.0900557362918</v>
      </c>
      <c r="G325">
        <f ca="1">_xlfn.STDEV.P($C$2:C325)</f>
        <v>6.3401995007014822</v>
      </c>
      <c r="H325">
        <f t="shared" ca="1" si="106"/>
        <v>118.43025523699329</v>
      </c>
      <c r="I325">
        <f t="shared" ca="1" si="107"/>
        <v>105.74985623559031</v>
      </c>
      <c r="J325">
        <f t="shared" ca="1" si="95"/>
        <v>110.71750000000002</v>
      </c>
      <c r="K325">
        <f t="shared" ca="1" si="96"/>
        <v>7.3377358296182322</v>
      </c>
      <c r="L325">
        <f t="shared" ca="1" si="97"/>
        <v>125.39297165923648</v>
      </c>
      <c r="M325">
        <f t="shared" ca="1" si="98"/>
        <v>96.042028340763551</v>
      </c>
      <c r="N325">
        <f t="shared" ca="1" si="108"/>
        <v>1.0900000000000034</v>
      </c>
      <c r="O325">
        <f t="shared" ca="1" si="109"/>
        <v>1.0900000000000034</v>
      </c>
      <c r="P325">
        <f t="shared" ca="1" si="110"/>
        <v>0</v>
      </c>
      <c r="Q325">
        <f t="shared" ca="1" si="93"/>
        <v>0.84307815212583637</v>
      </c>
      <c r="R325">
        <f t="shared" ca="1" si="94"/>
        <v>1.1932712064998527</v>
      </c>
      <c r="S325">
        <f t="shared" ca="1" si="91"/>
        <v>0.70652685452688024</v>
      </c>
      <c r="T325">
        <f t="shared" ca="1" si="92"/>
        <v>41.401449537854397</v>
      </c>
      <c r="U325">
        <f>70</f>
        <v>70</v>
      </c>
      <c r="V325">
        <f>30</f>
        <v>30</v>
      </c>
      <c r="W325">
        <f t="shared" ca="1" si="90"/>
        <v>106.02846560663492</v>
      </c>
      <c r="X325">
        <f t="shared" ca="1" si="100"/>
        <v>108.65108300880468</v>
      </c>
      <c r="Y325">
        <f t="shared" ca="1" si="99"/>
        <v>-2.3572298937064033</v>
      </c>
      <c r="Z325">
        <f t="shared" ca="1" si="101"/>
        <v>-1.7147726419204448</v>
      </c>
      <c r="AA325">
        <f t="shared" ca="1" si="102"/>
        <v>-0.64245725178595858</v>
      </c>
      <c r="AB325">
        <f t="shared" ca="1" si="103"/>
        <v>110.62439999999998</v>
      </c>
    </row>
    <row r="326" spans="1:28" x14ac:dyDescent="0.25">
      <c r="A326" s="20">
        <f t="shared" ca="1" si="104"/>
        <v>45761</v>
      </c>
      <c r="B326" vm="940">
        <f ca="1"/>
        <v>45764</v>
      </c>
      <c r="C326" vm="941">
        <f ca="1"/>
        <v>106.92</v>
      </c>
      <c r="D326" vm="942">
        <f ca="1"/>
        <v>17916471</v>
      </c>
      <c r="E326">
        <f t="shared" ca="1" si="105"/>
        <v>1915629079.3199999</v>
      </c>
      <c r="F326">
        <f ca="1">SUM($E$2:E326)/SUM($D$2:D326)</f>
        <v>112.07279282560907</v>
      </c>
      <c r="G326">
        <f ca="1">_xlfn.STDEV.P($C$2:C326)</f>
        <v>6.3384798129684281</v>
      </c>
      <c r="H326">
        <f t="shared" ca="1" si="106"/>
        <v>118.4112726385775</v>
      </c>
      <c r="I326">
        <f t="shared" ca="1" si="107"/>
        <v>105.73431301264064</v>
      </c>
      <c r="J326">
        <f t="shared" ca="1" si="95"/>
        <v>110.26850000000002</v>
      </c>
      <c r="K326">
        <f t="shared" ca="1" si="96"/>
        <v>7.2784312038703574</v>
      </c>
      <c r="L326">
        <f t="shared" ca="1" si="97"/>
        <v>124.82536240774073</v>
      </c>
      <c r="M326">
        <f t="shared" ca="1" si="98"/>
        <v>95.711637592259308</v>
      </c>
      <c r="N326">
        <f t="shared" ca="1" si="108"/>
        <v>2.730000000000004</v>
      </c>
      <c r="O326">
        <f t="shared" ca="1" si="109"/>
        <v>2.730000000000004</v>
      </c>
      <c r="P326">
        <f t="shared" ca="1" si="110"/>
        <v>0</v>
      </c>
      <c r="Q326">
        <f t="shared" ca="1" si="93"/>
        <v>0.97785828411684839</v>
      </c>
      <c r="R326">
        <f t="shared" ca="1" si="94"/>
        <v>1.1080375488927203</v>
      </c>
      <c r="S326">
        <f t="shared" ca="1" si="91"/>
        <v>0.88251367031201955</v>
      </c>
      <c r="T326">
        <f t="shared" ca="1" si="92"/>
        <v>46.879535815840647</v>
      </c>
      <c r="U326">
        <f>70</f>
        <v>70</v>
      </c>
      <c r="V326">
        <f>30</f>
        <v>30</v>
      </c>
      <c r="W326">
        <f t="shared" ca="1" si="90"/>
        <v>106.1656247440757</v>
      </c>
      <c r="X326">
        <f t="shared" ca="1" si="100"/>
        <v>108.5228546377821</v>
      </c>
      <c r="Y326">
        <f t="shared" ca="1" si="99"/>
        <v>-2.2476843540988654</v>
      </c>
      <c r="Z326">
        <f t="shared" ca="1" si="101"/>
        <v>-1.821354984356129</v>
      </c>
      <c r="AA326">
        <f t="shared" ca="1" si="102"/>
        <v>-0.42632936974273639</v>
      </c>
      <c r="AB326">
        <f t="shared" ca="1" si="103"/>
        <v>110.49040000000001</v>
      </c>
    </row>
    <row r="327" spans="1:28" x14ac:dyDescent="0.25">
      <c r="A327" s="20">
        <f t="shared" ca="1" si="104"/>
        <v>45768</v>
      </c>
      <c r="B327" vm="943">
        <f ca="1"/>
        <v>45768</v>
      </c>
      <c r="C327" vm="944">
        <f ca="1"/>
        <v>105.35</v>
      </c>
      <c r="D327" vm="945">
        <f ca="1"/>
        <v>16926493</v>
      </c>
      <c r="E327">
        <f t="shared" ca="1" si="105"/>
        <v>1783206037.55</v>
      </c>
      <c r="F327">
        <f ca="1">SUM($E$2:E327)/SUM($D$2:D327)</f>
        <v>112.0516523279327</v>
      </c>
      <c r="G327">
        <f ca="1">_xlfn.STDEV.P($C$2:C327)</f>
        <v>6.3416670734043636</v>
      </c>
      <c r="H327">
        <f t="shared" ca="1" si="106"/>
        <v>118.39331940133707</v>
      </c>
      <c r="I327">
        <f t="shared" ca="1" si="107"/>
        <v>105.70998525452833</v>
      </c>
      <c r="J327">
        <f t="shared" ca="1" si="95"/>
        <v>109.761</v>
      </c>
      <c r="K327">
        <f t="shared" ca="1" si="96"/>
        <v>7.2482577943000619</v>
      </c>
      <c r="L327">
        <f t="shared" ca="1" si="97"/>
        <v>124.25751558860011</v>
      </c>
      <c r="M327">
        <f t="shared" ca="1" si="98"/>
        <v>95.264484411399877</v>
      </c>
      <c r="N327">
        <f t="shared" ca="1" si="108"/>
        <v>-1.5700000000000074</v>
      </c>
      <c r="O327">
        <f t="shared" ca="1" si="109"/>
        <v>0</v>
      </c>
      <c r="P327">
        <f t="shared" ca="1" si="110"/>
        <v>1.5700000000000074</v>
      </c>
      <c r="Q327">
        <f t="shared" ca="1" si="93"/>
        <v>0.90801126382278774</v>
      </c>
      <c r="R327">
        <f t="shared" ca="1" si="94"/>
        <v>1.1410348668289552</v>
      </c>
      <c r="S327">
        <f t="shared" ca="1" si="91"/>
        <v>0.79577871826672375</v>
      </c>
      <c r="T327">
        <f t="shared" ca="1" si="92"/>
        <v>44.313851710794594</v>
      </c>
      <c r="U327">
        <f>70</f>
        <v>70</v>
      </c>
      <c r="V327">
        <f>30</f>
        <v>30</v>
      </c>
      <c r="W327">
        <f t="shared" ca="1" si="90"/>
        <v>106.0401440142179</v>
      </c>
      <c r="X327">
        <f t="shared" ca="1" si="100"/>
        <v>108.28782836831677</v>
      </c>
      <c r="Y327">
        <f t="shared" ca="1" si="99"/>
        <v>-1.9009158047870045</v>
      </c>
      <c r="Z327">
        <f t="shared" ca="1" si="101"/>
        <v>-1.8372671484423042</v>
      </c>
      <c r="AA327">
        <f t="shared" ca="1" si="102"/>
        <v>-6.3648656344700294E-2</v>
      </c>
      <c r="AB327">
        <f t="shared" ca="1" si="103"/>
        <v>110.3246</v>
      </c>
    </row>
    <row r="328" spans="1:28" x14ac:dyDescent="0.25">
      <c r="A328" s="20">
        <f t="shared" ca="1" si="104"/>
        <v>45768</v>
      </c>
      <c r="B328" vm="946">
        <f ca="1"/>
        <v>45769</v>
      </c>
      <c r="C328" vm="947">
        <f ca="1"/>
        <v>108.3</v>
      </c>
      <c r="D328" vm="948">
        <f ca="1"/>
        <v>13147049</v>
      </c>
      <c r="E328">
        <f t="shared" ca="1" si="105"/>
        <v>1423825406.7</v>
      </c>
      <c r="F328">
        <f ca="1">SUM($E$2:E328)/SUM($D$2:D328)</f>
        <v>112.0425114079446</v>
      </c>
      <c r="G328">
        <f ca="1">_xlfn.STDEV.P($C$2:C328)</f>
        <v>6.3365021064981519</v>
      </c>
      <c r="H328">
        <f t="shared" ca="1" si="106"/>
        <v>118.37901351444276</v>
      </c>
      <c r="I328">
        <f t="shared" ca="1" si="107"/>
        <v>105.70600930144644</v>
      </c>
      <c r="J328">
        <f t="shared" ca="1" si="95"/>
        <v>109.38600000000001</v>
      </c>
      <c r="K328">
        <f t="shared" ca="1" si="96"/>
        <v>7.1121100577595282</v>
      </c>
      <c r="L328">
        <f t="shared" ca="1" si="97"/>
        <v>123.61022011551907</v>
      </c>
      <c r="M328">
        <f t="shared" ca="1" si="98"/>
        <v>95.16177988448095</v>
      </c>
      <c r="N328">
        <f t="shared" ca="1" si="108"/>
        <v>2.9500000000000028</v>
      </c>
      <c r="O328">
        <f t="shared" ca="1" si="109"/>
        <v>2.9500000000000028</v>
      </c>
      <c r="P328">
        <f t="shared" ca="1" si="110"/>
        <v>0</v>
      </c>
      <c r="Q328">
        <f t="shared" ca="1" si="93"/>
        <v>1.0538676021211602</v>
      </c>
      <c r="R328">
        <f t="shared" ca="1" si="94"/>
        <v>1.0595323763411726</v>
      </c>
      <c r="S328">
        <f t="shared" ca="1" si="91"/>
        <v>0.99465351475188113</v>
      </c>
      <c r="T328">
        <f t="shared" ca="1" si="92"/>
        <v>49.865979599750588</v>
      </c>
      <c r="U328">
        <f>70</f>
        <v>70</v>
      </c>
      <c r="V328">
        <f>30</f>
        <v>30</v>
      </c>
      <c r="W328">
        <f t="shared" ca="1" si="90"/>
        <v>106.38781416587668</v>
      </c>
      <c r="X328">
        <f t="shared" ca="1" si="100"/>
        <v>108.28872997066368</v>
      </c>
      <c r="Y328">
        <f t="shared" ca="1" si="99"/>
        <v>-1.6817562199439351</v>
      </c>
      <c r="Z328">
        <f t="shared" ca="1" si="101"/>
        <v>-1.8061649627426304</v>
      </c>
      <c r="AA328">
        <f t="shared" ca="1" si="102"/>
        <v>0.12440874279869529</v>
      </c>
      <c r="AB328">
        <f t="shared" ca="1" si="103"/>
        <v>110.18969999999999</v>
      </c>
    </row>
    <row r="329" spans="1:28" x14ac:dyDescent="0.25">
      <c r="A329" s="20">
        <f t="shared" ca="1" si="104"/>
        <v>45768</v>
      </c>
      <c r="B329" vm="949">
        <f ca="1"/>
        <v>45770</v>
      </c>
      <c r="C329" vm="135">
        <f ca="1"/>
        <v>107.37</v>
      </c>
      <c r="D329" vm="950">
        <f ca="1"/>
        <v>14235710</v>
      </c>
      <c r="E329">
        <f t="shared" ca="1" si="105"/>
        <v>1528488182.7</v>
      </c>
      <c r="F329">
        <f ca="1">SUM($E$2:E329)/SUM($D$2:D329)</f>
        <v>112.03021652865196</v>
      </c>
      <c r="G329">
        <f ca="1">_xlfn.STDEV.P($C$2:C329)</f>
        <v>6.3334771679892032</v>
      </c>
      <c r="H329">
        <f t="shared" ca="1" si="106"/>
        <v>118.36369369664116</v>
      </c>
      <c r="I329">
        <f t="shared" ca="1" si="107"/>
        <v>105.69673936066276</v>
      </c>
      <c r="J329">
        <f t="shared" ca="1" si="95"/>
        <v>108.925</v>
      </c>
      <c r="K329">
        <f t="shared" ca="1" si="96"/>
        <v>6.9167086027052536</v>
      </c>
      <c r="L329">
        <f t="shared" ca="1" si="97"/>
        <v>122.75841720541051</v>
      </c>
      <c r="M329">
        <f t="shared" ca="1" si="98"/>
        <v>95.091582794589485</v>
      </c>
      <c r="N329">
        <f t="shared" ca="1" si="108"/>
        <v>-0.92999999999999261</v>
      </c>
      <c r="O329">
        <f t="shared" ca="1" si="109"/>
        <v>0</v>
      </c>
      <c r="P329">
        <f t="shared" ca="1" si="110"/>
        <v>0.92999999999999261</v>
      </c>
      <c r="Q329">
        <f t="shared" ca="1" si="93"/>
        <v>0.97859134482679155</v>
      </c>
      <c r="R329">
        <f t="shared" ca="1" si="94"/>
        <v>1.050280063745374</v>
      </c>
      <c r="S329">
        <f t="shared" ca="1" si="91"/>
        <v>0.93174323554906369</v>
      </c>
      <c r="T329">
        <f t="shared" ca="1" si="92"/>
        <v>48.233285790915801</v>
      </c>
      <c r="U329">
        <f>70</f>
        <v>70</v>
      </c>
      <c r="V329">
        <f>30</f>
        <v>30</v>
      </c>
      <c r="W329">
        <f t="shared" ca="1" si="90"/>
        <v>106.53891967881873</v>
      </c>
      <c r="X329">
        <f t="shared" ca="1" si="100"/>
        <v>108.22067589876266</v>
      </c>
      <c r="Y329">
        <f t="shared" ca="1" si="99"/>
        <v>-1.3903718589421885</v>
      </c>
      <c r="Z329">
        <f t="shared" ca="1" si="101"/>
        <v>-1.7230063419825421</v>
      </c>
      <c r="AA329">
        <f t="shared" ca="1" si="102"/>
        <v>0.33263448304035359</v>
      </c>
      <c r="AB329">
        <f t="shared" ca="1" si="103"/>
        <v>110.06370000000003</v>
      </c>
    </row>
    <row r="330" spans="1:28" x14ac:dyDescent="0.25">
      <c r="A330" s="20">
        <f t="shared" ca="1" si="104"/>
        <v>45768</v>
      </c>
      <c r="B330" vm="951">
        <f ca="1"/>
        <v>45771</v>
      </c>
      <c r="C330" vm="952">
        <f ca="1"/>
        <v>108.63</v>
      </c>
      <c r="D330" vm="953">
        <f ca="1"/>
        <v>9849553</v>
      </c>
      <c r="E330">
        <f t="shared" ca="1" si="105"/>
        <v>1069956942.39</v>
      </c>
      <c r="F330">
        <f ca="1">SUM($E$2:E330)/SUM($D$2:D330)</f>
        <v>112.02403739042396</v>
      </c>
      <c r="G330">
        <f ca="1">_xlfn.STDEV.P($C$2:C330)</f>
        <v>6.3276456144151769</v>
      </c>
      <c r="H330">
        <f t="shared" ca="1" si="106"/>
        <v>118.35168300483913</v>
      </c>
      <c r="I330">
        <f t="shared" ca="1" si="107"/>
        <v>105.69639177600878</v>
      </c>
      <c r="J330">
        <f t="shared" ca="1" si="95"/>
        <v>108.44300000000001</v>
      </c>
      <c r="K330">
        <f t="shared" ca="1" si="96"/>
        <v>6.5577909470539844</v>
      </c>
      <c r="L330">
        <f t="shared" ca="1" si="97"/>
        <v>121.55858189410799</v>
      </c>
      <c r="M330">
        <f t="shared" ca="1" si="98"/>
        <v>95.327418105892036</v>
      </c>
      <c r="N330">
        <f t="shared" ca="1" si="108"/>
        <v>1.2599999999999909</v>
      </c>
      <c r="O330">
        <f t="shared" ca="1" si="109"/>
        <v>1.2599999999999909</v>
      </c>
      <c r="P330">
        <f t="shared" ca="1" si="110"/>
        <v>0</v>
      </c>
      <c r="Q330">
        <f t="shared" ca="1" si="93"/>
        <v>0.99869196305344865</v>
      </c>
      <c r="R330">
        <f t="shared" ca="1" si="94"/>
        <v>0.97526005919213288</v>
      </c>
      <c r="S330">
        <f t="shared" ca="1" si="91"/>
        <v>1.0240263134334917</v>
      </c>
      <c r="T330">
        <f t="shared" ca="1" si="92"/>
        <v>50.593527694626019</v>
      </c>
      <c r="U330">
        <f>70</f>
        <v>70</v>
      </c>
      <c r="V330">
        <f>30</f>
        <v>30</v>
      </c>
      <c r="W330">
        <f t="shared" ca="1" si="90"/>
        <v>106.86062434361584</v>
      </c>
      <c r="X330">
        <f t="shared" ca="1" si="100"/>
        <v>108.25099620255803</v>
      </c>
      <c r="Y330">
        <f t="shared" ca="1" si="99"/>
        <v>-1.1510208996508737</v>
      </c>
      <c r="Z330">
        <f t="shared" ca="1" si="101"/>
        <v>-1.6086092535162086</v>
      </c>
      <c r="AA330">
        <f t="shared" ca="1" si="102"/>
        <v>0.45758835386533492</v>
      </c>
      <c r="AB330">
        <f t="shared" ca="1" si="103"/>
        <v>109.97030000000002</v>
      </c>
    </row>
    <row r="331" spans="1:28" x14ac:dyDescent="0.25">
      <c r="A331" s="20">
        <f t="shared" ca="1" si="104"/>
        <v>45768</v>
      </c>
      <c r="B331" vm="954">
        <f ca="1"/>
        <v>45772</v>
      </c>
      <c r="C331" vm="955">
        <f ca="1"/>
        <v>108.57</v>
      </c>
      <c r="D331" vm="956">
        <f ca="1"/>
        <v>11245793</v>
      </c>
      <c r="E331">
        <f t="shared" ca="1" si="105"/>
        <v>1220955746.01</v>
      </c>
      <c r="F331">
        <f ca="1">SUM($E$2:E331)/SUM($D$2:D331)</f>
        <v>112.01688548512178</v>
      </c>
      <c r="G331">
        <f ca="1">_xlfn.STDEV.P($C$2:C331)</f>
        <v>6.3219358289486278</v>
      </c>
      <c r="H331">
        <f t="shared" ca="1" si="106"/>
        <v>118.3388213140704</v>
      </c>
      <c r="I331">
        <f t="shared" ca="1" si="107"/>
        <v>105.69494965617315</v>
      </c>
      <c r="J331">
        <f t="shared" ca="1" si="95"/>
        <v>107.97700000000002</v>
      </c>
      <c r="K331">
        <f t="shared" ca="1" si="96"/>
        <v>6.1708782109791196</v>
      </c>
      <c r="L331">
        <f t="shared" ca="1" si="97"/>
        <v>120.31875642195826</v>
      </c>
      <c r="M331">
        <f t="shared" ca="1" si="98"/>
        <v>95.635243578041781</v>
      </c>
      <c r="N331">
        <f t="shared" ca="1" si="108"/>
        <v>-6.0000000000002274E-2</v>
      </c>
      <c r="O331">
        <f t="shared" ca="1" si="109"/>
        <v>0</v>
      </c>
      <c r="P331">
        <f t="shared" ca="1" si="110"/>
        <v>6.0000000000002274E-2</v>
      </c>
      <c r="Q331">
        <f t="shared" ca="1" si="93"/>
        <v>0.92735682283534515</v>
      </c>
      <c r="R331">
        <f t="shared" ca="1" si="94"/>
        <v>0.90988434067840918</v>
      </c>
      <c r="S331">
        <f t="shared" ca="1" si="91"/>
        <v>1.0192029705049199</v>
      </c>
      <c r="T331">
        <f t="shared" ca="1" si="92"/>
        <v>50.47550867311071</v>
      </c>
      <c r="U331">
        <f>70</f>
        <v>70</v>
      </c>
      <c r="V331">
        <f>30</f>
        <v>30</v>
      </c>
      <c r="W331">
        <f t="shared" ca="1" si="90"/>
        <v>107.12360521382878</v>
      </c>
      <c r="X331">
        <f t="shared" ca="1" si="100"/>
        <v>108.27462611347966</v>
      </c>
      <c r="Y331">
        <f t="shared" ca="1" si="99"/>
        <v>-0.94559184721863687</v>
      </c>
      <c r="Z331">
        <f t="shared" ca="1" si="101"/>
        <v>-1.4760057722566944</v>
      </c>
      <c r="AA331">
        <f t="shared" ca="1" si="102"/>
        <v>0.53041392503805751</v>
      </c>
      <c r="AB331">
        <f t="shared" ca="1" si="103"/>
        <v>109.87940000000002</v>
      </c>
    </row>
    <row r="332" spans="1:28" x14ac:dyDescent="0.25">
      <c r="A332" s="20">
        <f t="shared" ca="1" si="104"/>
        <v>45775</v>
      </c>
      <c r="B332" vm="957">
        <f ca="1"/>
        <v>45775</v>
      </c>
      <c r="C332" vm="952">
        <f ca="1"/>
        <v>108.63</v>
      </c>
      <c r="D332" vm="958">
        <f ca="1"/>
        <v>13890869</v>
      </c>
      <c r="E332">
        <f t="shared" ca="1" si="105"/>
        <v>1508965099.47</v>
      </c>
      <c r="F332">
        <f ca="1">SUM($E$2:E332)/SUM($D$2:D332)</f>
        <v>112.00824525664433</v>
      </c>
      <c r="G332">
        <f ca="1">_xlfn.STDEV.P($C$2:C332)</f>
        <v>6.3161178670963762</v>
      </c>
      <c r="H332">
        <f t="shared" ca="1" si="106"/>
        <v>118.32436312374071</v>
      </c>
      <c r="I332">
        <f t="shared" ca="1" si="107"/>
        <v>105.69212738954795</v>
      </c>
      <c r="J332">
        <f t="shared" ca="1" si="95"/>
        <v>107.52200000000001</v>
      </c>
      <c r="K332">
        <f t="shared" ca="1" si="96"/>
        <v>5.7339245309225886</v>
      </c>
      <c r="L332">
        <f t="shared" ca="1" si="97"/>
        <v>118.98984906184518</v>
      </c>
      <c r="M332">
        <f t="shared" ca="1" si="98"/>
        <v>96.054150938154834</v>
      </c>
      <c r="N332">
        <f t="shared" ca="1" si="108"/>
        <v>6.0000000000002274E-2</v>
      </c>
      <c r="O332">
        <f t="shared" ca="1" si="109"/>
        <v>6.0000000000002274E-2</v>
      </c>
      <c r="P332">
        <f t="shared" ca="1" si="110"/>
        <v>0</v>
      </c>
      <c r="Q332">
        <f t="shared" ca="1" si="93"/>
        <v>0.86540276406139216</v>
      </c>
      <c r="R332">
        <f t="shared" ca="1" si="94"/>
        <v>0.84489260205852279</v>
      </c>
      <c r="S332">
        <f t="shared" ca="1" si="91"/>
        <v>1.0242754664354945</v>
      </c>
      <c r="T332">
        <f t="shared" ca="1" si="92"/>
        <v>50.599608769606853</v>
      </c>
      <c r="U332">
        <f>70</f>
        <v>70</v>
      </c>
      <c r="V332">
        <f>30</f>
        <v>30</v>
      </c>
      <c r="W332">
        <f t="shared" ca="1" si="90"/>
        <v>107.35535825785512</v>
      </c>
      <c r="X332">
        <f t="shared" ca="1" si="100"/>
        <v>108.30095010507375</v>
      </c>
      <c r="Y332">
        <f t="shared" ca="1" si="99"/>
        <v>-0.79540564548719317</v>
      </c>
      <c r="Z332">
        <f t="shared" ca="1" si="101"/>
        <v>-1.3398857469027941</v>
      </c>
      <c r="AA332">
        <f t="shared" ca="1" si="102"/>
        <v>0.54448010141560088</v>
      </c>
      <c r="AB332">
        <f t="shared" ca="1" si="103"/>
        <v>109.7861</v>
      </c>
    </row>
    <row r="333" spans="1:28" x14ac:dyDescent="0.25">
      <c r="A333" s="20">
        <f t="shared" ca="1" si="104"/>
        <v>45775</v>
      </c>
      <c r="B333" vm="959">
        <f ca="1"/>
        <v>45776</v>
      </c>
      <c r="C333" vm="341">
        <f ca="1"/>
        <v>108.36</v>
      </c>
      <c r="D333" vm="960">
        <f ca="1"/>
        <v>9483135</v>
      </c>
      <c r="E333">
        <f t="shared" ca="1" si="105"/>
        <v>1027592508.6</v>
      </c>
      <c r="F333">
        <f ca="1">SUM($E$2:E333)/SUM($D$2:D333)</f>
        <v>112.00190253648638</v>
      </c>
      <c r="G333">
        <f ca="1">_xlfn.STDEV.P($C$2:C333)</f>
        <v>6.3108316881392614</v>
      </c>
      <c r="H333">
        <f t="shared" ca="1" si="106"/>
        <v>118.31273422462564</v>
      </c>
      <c r="I333">
        <f t="shared" ca="1" si="107"/>
        <v>105.69107084834712</v>
      </c>
      <c r="J333">
        <f t="shared" ca="1" si="95"/>
        <v>106.9935</v>
      </c>
      <c r="K333">
        <f t="shared" ca="1" si="96"/>
        <v>5.0765376462392382</v>
      </c>
      <c r="L333">
        <f t="shared" ca="1" si="97"/>
        <v>117.14657529247847</v>
      </c>
      <c r="M333">
        <f t="shared" ca="1" si="98"/>
        <v>96.840424707521521</v>
      </c>
      <c r="N333">
        <f t="shared" ca="1" si="108"/>
        <v>-0.26999999999999602</v>
      </c>
      <c r="O333">
        <f t="shared" ca="1" si="109"/>
        <v>0</v>
      </c>
      <c r="P333">
        <f t="shared" ca="1" si="110"/>
        <v>0.26999999999999602</v>
      </c>
      <c r="Q333">
        <f t="shared" ca="1" si="93"/>
        <v>0.80358828091414991</v>
      </c>
      <c r="R333">
        <f t="shared" ca="1" si="94"/>
        <v>0.80382884476862793</v>
      </c>
      <c r="S333">
        <f t="shared" ca="1" si="91"/>
        <v>0.99970072751675476</v>
      </c>
      <c r="T333">
        <f t="shared" ca="1" si="92"/>
        <v>49.992517068201074</v>
      </c>
      <c r="U333">
        <f>70</f>
        <v>70</v>
      </c>
      <c r="V333">
        <f>30</f>
        <v>30</v>
      </c>
      <c r="W333">
        <f t="shared" ca="1" si="90"/>
        <v>107.5099185258774</v>
      </c>
      <c r="X333">
        <f t="shared" ca="1" si="100"/>
        <v>108.30532417136459</v>
      </c>
      <c r="Y333">
        <f t="shared" ca="1" si="99"/>
        <v>-0.88645171939573686</v>
      </c>
      <c r="Z333">
        <f t="shared" ca="1" si="101"/>
        <v>-1.2491989414013827</v>
      </c>
      <c r="AA333">
        <f t="shared" ca="1" si="102"/>
        <v>0.3627472220056458</v>
      </c>
      <c r="AB333">
        <f t="shared" ca="1" si="103"/>
        <v>109.69120000000001</v>
      </c>
    </row>
    <row r="334" spans="1:28" x14ac:dyDescent="0.25">
      <c r="A334" s="20">
        <f t="shared" ca="1" si="104"/>
        <v>45775</v>
      </c>
      <c r="B334" vm="961">
        <f ca="1"/>
        <v>45777</v>
      </c>
      <c r="C334" vm="962">
        <f ca="1"/>
        <v>105.63</v>
      </c>
      <c r="D334" vm="963">
        <f ca="1"/>
        <v>20379282</v>
      </c>
      <c r="E334">
        <f t="shared" ca="1" si="105"/>
        <v>2152663557.6599998</v>
      </c>
      <c r="F334">
        <f ca="1">SUM($E$2:E334)/SUM($D$2:D334)</f>
        <v>111.97818453930991</v>
      </c>
      <c r="G334">
        <f ca="1">_xlfn.STDEV.P($C$2:C334)</f>
        <v>6.3127631102548349</v>
      </c>
      <c r="H334">
        <f t="shared" ca="1" si="106"/>
        <v>118.29094764956474</v>
      </c>
      <c r="I334">
        <f t="shared" ca="1" si="107"/>
        <v>105.66542142905507</v>
      </c>
      <c r="J334">
        <f t="shared" ca="1" si="95"/>
        <v>106.32299999999998</v>
      </c>
      <c r="K334">
        <f t="shared" ca="1" si="96"/>
        <v>4.2140305746648927</v>
      </c>
      <c r="L334">
        <f t="shared" ca="1" si="97"/>
        <v>114.75106114932976</v>
      </c>
      <c r="M334">
        <f t="shared" ca="1" si="98"/>
        <v>97.894938850670201</v>
      </c>
      <c r="N334">
        <f t="shared" ca="1" si="108"/>
        <v>-2.730000000000004</v>
      </c>
      <c r="O334">
        <f t="shared" ca="1" si="109"/>
        <v>0</v>
      </c>
      <c r="P334">
        <f t="shared" ca="1" si="110"/>
        <v>2.730000000000004</v>
      </c>
      <c r="Q334">
        <f t="shared" ca="1" si="93"/>
        <v>0.74618911799171062</v>
      </c>
      <c r="R334">
        <f t="shared" ca="1" si="94"/>
        <v>0.94141249871372623</v>
      </c>
      <c r="S334">
        <f t="shared" ca="1" si="91"/>
        <v>0.79262716291874835</v>
      </c>
      <c r="T334">
        <f t="shared" ca="1" si="92"/>
        <v>44.215951833966187</v>
      </c>
      <c r="U334">
        <f>70</f>
        <v>70</v>
      </c>
      <c r="V334">
        <f>30</f>
        <v>30</v>
      </c>
      <c r="W334">
        <f t="shared" ca="1" si="90"/>
        <v>107.22070029112703</v>
      </c>
      <c r="X334">
        <f t="shared" ca="1" si="100"/>
        <v>108.10715201052277</v>
      </c>
      <c r="Y334">
        <f t="shared" ca="1" si="99"/>
        <v>-0.93571628762157388</v>
      </c>
      <c r="Z334">
        <f t="shared" ca="1" si="101"/>
        <v>-1.1865024106454209</v>
      </c>
      <c r="AA334">
        <f t="shared" ca="1" si="102"/>
        <v>0.25078612302384706</v>
      </c>
      <c r="AB334">
        <f t="shared" ca="1" si="103"/>
        <v>109.57080000000001</v>
      </c>
    </row>
    <row r="335" spans="1:28" x14ac:dyDescent="0.25">
      <c r="A335" s="20">
        <f t="shared" ca="1" si="104"/>
        <v>45775</v>
      </c>
      <c r="B335" vm="964">
        <f ca="1"/>
        <v>45778</v>
      </c>
      <c r="C335" vm="965">
        <f ca="1"/>
        <v>105.78</v>
      </c>
      <c r="D335" vm="966">
        <f ca="1"/>
        <v>18610256</v>
      </c>
      <c r="E335">
        <f t="shared" ca="1" si="105"/>
        <v>1968592879.6800001</v>
      </c>
      <c r="F335">
        <f ca="1">SUM($E$2:E335)/SUM($D$2:D335)</f>
        <v>111.95718725523952</v>
      </c>
      <c r="G335">
        <f ca="1">_xlfn.STDEV.P($C$2:C335)</f>
        <v>6.3141293691229627</v>
      </c>
      <c r="H335">
        <f t="shared" ca="1" si="106"/>
        <v>118.27131662436248</v>
      </c>
      <c r="I335">
        <f t="shared" ca="1" si="107"/>
        <v>105.64305788611655</v>
      </c>
      <c r="J335">
        <f t="shared" ca="1" si="95"/>
        <v>105.67849999999999</v>
      </c>
      <c r="K335">
        <f t="shared" ca="1" si="96"/>
        <v>3.051676459018275</v>
      </c>
      <c r="L335">
        <f t="shared" ca="1" si="97"/>
        <v>111.78185291803653</v>
      </c>
      <c r="M335">
        <f t="shared" ca="1" si="98"/>
        <v>99.575147081963436</v>
      </c>
      <c r="N335">
        <f t="shared" ca="1" si="108"/>
        <v>0.15000000000000568</v>
      </c>
      <c r="O335">
        <f t="shared" ca="1" si="109"/>
        <v>0.15000000000000568</v>
      </c>
      <c r="P335">
        <f t="shared" ca="1" si="110"/>
        <v>0</v>
      </c>
      <c r="Q335">
        <f t="shared" ca="1" si="93"/>
        <v>0.70360418099230315</v>
      </c>
      <c r="R335">
        <f t="shared" ca="1" si="94"/>
        <v>0.87416874880560302</v>
      </c>
      <c r="S335">
        <f t="shared" ca="1" si="91"/>
        <v>0.80488370460926884</v>
      </c>
      <c r="T335">
        <f t="shared" ca="1" si="92"/>
        <v>44.594768214360634</v>
      </c>
      <c r="U335">
        <f>70</f>
        <v>70</v>
      </c>
      <c r="V335">
        <f>30</f>
        <v>30</v>
      </c>
      <c r="W335">
        <f t="shared" ref="W335:W398" ca="1" si="111">C335*(2/(12+1)) + W334*(1-(2/(12+1)))</f>
        <v>106.9990540924921</v>
      </c>
      <c r="X335">
        <f t="shared" ca="1" si="100"/>
        <v>107.93477038011368</v>
      </c>
      <c r="Y335">
        <f t="shared" ca="1" si="99"/>
        <v>-0.92934845603075189</v>
      </c>
      <c r="Z335">
        <f t="shared" ca="1" si="101"/>
        <v>-1.135071619722487</v>
      </c>
      <c r="AA335">
        <f t="shared" ca="1" si="102"/>
        <v>0.20572316369173516</v>
      </c>
      <c r="AB335">
        <f t="shared" ca="1" si="103"/>
        <v>109.48580000000001</v>
      </c>
    </row>
    <row r="336" spans="1:28" x14ac:dyDescent="0.25">
      <c r="A336" s="20">
        <f t="shared" ca="1" si="104"/>
        <v>45775</v>
      </c>
      <c r="B336" vm="967">
        <f ca="1"/>
        <v>45779</v>
      </c>
      <c r="C336" vm="968">
        <f ca="1"/>
        <v>106.21</v>
      </c>
      <c r="D336" vm="969">
        <f ca="1"/>
        <v>16581870</v>
      </c>
      <c r="E336">
        <f t="shared" ca="1" si="105"/>
        <v>1761160412.6999998</v>
      </c>
      <c r="F336">
        <f ca="1">SUM($E$2:E336)/SUM($D$2:D336)</f>
        <v>111.93989203014479</v>
      </c>
      <c r="G336">
        <f ca="1">_xlfn.STDEV.P($C$2:C336)</f>
        <v>6.3140997297824395</v>
      </c>
      <c r="H336">
        <f t="shared" ca="1" si="106"/>
        <v>118.25399175992723</v>
      </c>
      <c r="I336">
        <f t="shared" ca="1" si="107"/>
        <v>105.62579230036235</v>
      </c>
      <c r="J336">
        <f t="shared" ca="1" si="95"/>
        <v>105.36749999999998</v>
      </c>
      <c r="K336">
        <f t="shared" ca="1" si="96"/>
        <v>2.6127941788538611</v>
      </c>
      <c r="L336">
        <f t="shared" ca="1" si="97"/>
        <v>110.5930883577077</v>
      </c>
      <c r="M336">
        <f t="shared" ca="1" si="98"/>
        <v>100.14191164229226</v>
      </c>
      <c r="N336">
        <f t="shared" ca="1" si="108"/>
        <v>0.42999999999999261</v>
      </c>
      <c r="O336">
        <f t="shared" ca="1" si="109"/>
        <v>0.42999999999999261</v>
      </c>
      <c r="P336">
        <f t="shared" ca="1" si="110"/>
        <v>0</v>
      </c>
      <c r="Q336">
        <f t="shared" ca="1" si="93"/>
        <v>0.68406102520713818</v>
      </c>
      <c r="R336">
        <f t="shared" ca="1" si="94"/>
        <v>0.8117281238909172</v>
      </c>
      <c r="S336">
        <f t="shared" ref="S336:S399" ca="1" si="112">IF(R336=0,NA(),Q336/R336)</f>
        <v>0.84272184870000222</v>
      </c>
      <c r="T336">
        <f t="shared" ref="T336:T399" ca="1" si="113">100-(100/(1+S336))</f>
        <v>45.73245003278835</v>
      </c>
      <c r="U336">
        <f>70</f>
        <v>70</v>
      </c>
      <c r="V336">
        <f>30</f>
        <v>30</v>
      </c>
      <c r="W336">
        <f t="shared" ca="1" si="111"/>
        <v>106.87766115518562</v>
      </c>
      <c r="X336">
        <f t="shared" ca="1" si="100"/>
        <v>107.80700961121637</v>
      </c>
      <c r="Y336">
        <f t="shared" ca="1" si="99"/>
        <v>-1.1482984631202129</v>
      </c>
      <c r="Z336">
        <f t="shared" ca="1" si="101"/>
        <v>-1.1377169884020322</v>
      </c>
      <c r="AA336">
        <f t="shared" ca="1" si="102"/>
        <v>-1.0581474718180717E-2</v>
      </c>
      <c r="AB336">
        <f t="shared" ca="1" si="103"/>
        <v>109.40010000000002</v>
      </c>
    </row>
    <row r="337" spans="1:28" x14ac:dyDescent="0.25">
      <c r="A337" s="20">
        <f t="shared" ca="1" si="104"/>
        <v>45782</v>
      </c>
      <c r="B337" vm="970">
        <f ca="1"/>
        <v>45782</v>
      </c>
      <c r="C337" vm="971">
        <f ca="1"/>
        <v>103.27</v>
      </c>
      <c r="D337" vm="972">
        <f ca="1"/>
        <v>19623970</v>
      </c>
      <c r="E337">
        <f t="shared" ca="1" si="105"/>
        <v>2026567381.8999999</v>
      </c>
      <c r="F337">
        <f ca="1">SUM($E$2:E337)/SUM($D$2:D337)</f>
        <v>111.90912440580472</v>
      </c>
      <c r="G337">
        <f ca="1">_xlfn.STDEV.P($C$2:C337)</f>
        <v>6.3247338630759868</v>
      </c>
      <c r="H337">
        <f t="shared" ca="1" si="106"/>
        <v>118.23385826888071</v>
      </c>
      <c r="I337">
        <f t="shared" ca="1" si="107"/>
        <v>105.58439054272873</v>
      </c>
      <c r="J337">
        <f t="shared" ca="1" si="95"/>
        <v>105.31399999999999</v>
      </c>
      <c r="K337">
        <f t="shared" ca="1" si="96"/>
        <v>2.645688448858075</v>
      </c>
      <c r="L337">
        <f t="shared" ca="1" si="97"/>
        <v>110.60537689771614</v>
      </c>
      <c r="M337">
        <f t="shared" ca="1" si="98"/>
        <v>100.02262310228384</v>
      </c>
      <c r="N337">
        <f t="shared" ca="1" si="108"/>
        <v>-2.9399999999999977</v>
      </c>
      <c r="O337">
        <f t="shared" ca="1" si="109"/>
        <v>0</v>
      </c>
      <c r="P337">
        <f t="shared" ca="1" si="110"/>
        <v>2.9399999999999977</v>
      </c>
      <c r="Q337">
        <f t="shared" ref="Q337:Q400" ca="1" si="114">(Q336*13+O337)/14</f>
        <v>0.63519952340662833</v>
      </c>
      <c r="R337">
        <f t="shared" ref="R337:R400" ca="1" si="115">(R336*13+P337)/14</f>
        <v>0.96374754361299442</v>
      </c>
      <c r="S337">
        <f t="shared" ca="1" si="112"/>
        <v>0.65909327356138103</v>
      </c>
      <c r="T337">
        <f t="shared" ca="1" si="113"/>
        <v>39.726113297209793</v>
      </c>
      <c r="U337">
        <f>70</f>
        <v>70</v>
      </c>
      <c r="V337">
        <f>30</f>
        <v>30</v>
      </c>
      <c r="W337">
        <f t="shared" ca="1" si="111"/>
        <v>106.32263636208013</v>
      </c>
      <c r="X337">
        <f t="shared" ca="1" si="100"/>
        <v>107.47093482520035</v>
      </c>
      <c r="Y337">
        <f t="shared" ca="1" si="99"/>
        <v>-1.1918826742231232</v>
      </c>
      <c r="Z337">
        <f t="shared" ca="1" si="101"/>
        <v>-1.1485501255662505</v>
      </c>
      <c r="AA337">
        <f t="shared" ca="1" si="102"/>
        <v>-4.3332548656872749E-2</v>
      </c>
      <c r="AB337">
        <f t="shared" ca="1" si="103"/>
        <v>109.29710000000003</v>
      </c>
    </row>
    <row r="338" spans="1:28" x14ac:dyDescent="0.25">
      <c r="A338" s="20">
        <f t="shared" ca="1" si="104"/>
        <v>45782</v>
      </c>
      <c r="B338" vm="973">
        <f ca="1"/>
        <v>45783</v>
      </c>
      <c r="C338" vm="974">
        <f ca="1"/>
        <v>104.71</v>
      </c>
      <c r="D338" vm="975">
        <f ca="1"/>
        <v>16303449</v>
      </c>
      <c r="E338">
        <f t="shared" ca="1" si="105"/>
        <v>1707134144.79</v>
      </c>
      <c r="F338">
        <f ca="1">SUM($E$2:E338)/SUM($D$2:D338)</f>
        <v>111.88796156223913</v>
      </c>
      <c r="G338">
        <f ca="1">_xlfn.STDEV.P($C$2:C338)</f>
        <v>6.329458851533567</v>
      </c>
      <c r="H338">
        <f t="shared" ca="1" si="106"/>
        <v>118.2174204137727</v>
      </c>
      <c r="I338">
        <f t="shared" ca="1" si="107"/>
        <v>105.55850271070555</v>
      </c>
      <c r="J338">
        <f t="shared" ca="1" si="95"/>
        <v>105.40249999999996</v>
      </c>
      <c r="K338">
        <f t="shared" ca="1" si="96"/>
        <v>2.5911384919009093</v>
      </c>
      <c r="L338">
        <f t="shared" ca="1" si="97"/>
        <v>110.58477698380177</v>
      </c>
      <c r="M338">
        <f t="shared" ca="1" si="98"/>
        <v>100.22022301619815</v>
      </c>
      <c r="N338">
        <f t="shared" ca="1" si="108"/>
        <v>1.4399999999999977</v>
      </c>
      <c r="O338">
        <f t="shared" ca="1" si="109"/>
        <v>1.4399999999999977</v>
      </c>
      <c r="P338">
        <f t="shared" ca="1" si="110"/>
        <v>0</v>
      </c>
      <c r="Q338">
        <f t="shared" ca="1" si="114"/>
        <v>0.69268527173472616</v>
      </c>
      <c r="R338">
        <f t="shared" ca="1" si="115"/>
        <v>0.89490843335492343</v>
      </c>
      <c r="S338">
        <f t="shared" ca="1" si="112"/>
        <v>0.77402921451741991</v>
      </c>
      <c r="T338">
        <f t="shared" ca="1" si="113"/>
        <v>43.631142496600603</v>
      </c>
      <c r="U338">
        <f>70</f>
        <v>70</v>
      </c>
      <c r="V338">
        <f>30</f>
        <v>30</v>
      </c>
      <c r="W338">
        <f t="shared" ca="1" si="111"/>
        <v>106.07453846022165</v>
      </c>
      <c r="X338">
        <f t="shared" ca="1" si="100"/>
        <v>107.26642113444477</v>
      </c>
      <c r="Y338">
        <f t="shared" ca="1" si="99"/>
        <v>-1.2204243476031849</v>
      </c>
      <c r="Z338">
        <f t="shared" ca="1" si="101"/>
        <v>-1.1629249699736375</v>
      </c>
      <c r="AA338">
        <f t="shared" ca="1" si="102"/>
        <v>-5.7499377629547377E-2</v>
      </c>
      <c r="AB338">
        <f t="shared" ca="1" si="103"/>
        <v>109.21520000000001</v>
      </c>
    </row>
    <row r="339" spans="1:28" x14ac:dyDescent="0.25">
      <c r="A339" s="20">
        <f t="shared" ca="1" si="104"/>
        <v>45782</v>
      </c>
      <c r="B339" vm="976">
        <f ca="1"/>
        <v>45784</v>
      </c>
      <c r="C339" vm="977">
        <f ca="1"/>
        <v>104.61</v>
      </c>
      <c r="D339" vm="978">
        <f ca="1"/>
        <v>12335924</v>
      </c>
      <c r="E339">
        <f t="shared" ca="1" si="105"/>
        <v>1290461009.6400001</v>
      </c>
      <c r="F339">
        <f ca="1">SUM($E$2:E339)/SUM($D$2:D339)</f>
        <v>111.87180937340726</v>
      </c>
      <c r="G339">
        <f ca="1">_xlfn.STDEV.P($C$2:C339)</f>
        <v>6.3344322372230257</v>
      </c>
      <c r="H339">
        <f t="shared" ca="1" si="106"/>
        <v>118.20624161063029</v>
      </c>
      <c r="I339">
        <f t="shared" ca="1" si="107"/>
        <v>105.53737713618423</v>
      </c>
      <c r="J339">
        <f t="shared" ca="1" si="95"/>
        <v>105.59449999999997</v>
      </c>
      <c r="K339">
        <f t="shared" ca="1" si="96"/>
        <v>2.3619427217975937</v>
      </c>
      <c r="L339">
        <f t="shared" ca="1" si="97"/>
        <v>110.31838544359516</v>
      </c>
      <c r="M339">
        <f t="shared" ca="1" si="98"/>
        <v>100.87061455640477</v>
      </c>
      <c r="N339">
        <f t="shared" ca="1" si="108"/>
        <v>-9.9999999999994316E-2</v>
      </c>
      <c r="O339">
        <f t="shared" ca="1" si="109"/>
        <v>0</v>
      </c>
      <c r="P339">
        <f t="shared" ca="1" si="110"/>
        <v>9.9999999999994316E-2</v>
      </c>
      <c r="Q339">
        <f t="shared" ca="1" si="114"/>
        <v>0.64320775232510286</v>
      </c>
      <c r="R339">
        <f t="shared" ca="1" si="115"/>
        <v>0.83812925954385709</v>
      </c>
      <c r="S339">
        <f t="shared" ca="1" si="112"/>
        <v>0.76743264240072206</v>
      </c>
      <c r="T339">
        <f t="shared" ca="1" si="113"/>
        <v>43.420757543456389</v>
      </c>
      <c r="U339">
        <f>70</f>
        <v>70</v>
      </c>
      <c r="V339">
        <f>30</f>
        <v>30</v>
      </c>
      <c r="W339">
        <f t="shared" ca="1" si="111"/>
        <v>105.84922485095679</v>
      </c>
      <c r="X339">
        <f t="shared" ca="1" si="100"/>
        <v>107.06964919855997</v>
      </c>
      <c r="Y339">
        <f t="shared" ca="1" si="99"/>
        <v>-1.1124108512758539</v>
      </c>
      <c r="Z339">
        <f t="shared" ca="1" si="101"/>
        <v>-1.1528221462340809</v>
      </c>
      <c r="AA339">
        <f t="shared" ca="1" si="102"/>
        <v>4.0411294958226929E-2</v>
      </c>
      <c r="AB339">
        <f t="shared" ca="1" si="103"/>
        <v>109.13460000000001</v>
      </c>
    </row>
    <row r="340" spans="1:28" x14ac:dyDescent="0.25">
      <c r="A340" s="20">
        <f t="shared" ca="1" si="104"/>
        <v>45782</v>
      </c>
      <c r="B340" vm="979">
        <f ca="1"/>
        <v>45785</v>
      </c>
      <c r="C340" vm="980">
        <f ca="1"/>
        <v>106.07</v>
      </c>
      <c r="D340" vm="981">
        <f ca="1"/>
        <v>19196548</v>
      </c>
      <c r="E340">
        <f t="shared" ca="1" si="105"/>
        <v>2036177846.3599999</v>
      </c>
      <c r="F340">
        <f ca="1">SUM($E$2:E340)/SUM($D$2:D340)</f>
        <v>111.85184115877721</v>
      </c>
      <c r="G340">
        <f ca="1">_xlfn.STDEV.P($C$2:C340)</f>
        <v>6.3344830855996141</v>
      </c>
      <c r="H340">
        <f t="shared" ca="1" si="106"/>
        <v>118.18632424437682</v>
      </c>
      <c r="I340">
        <f t="shared" ca="1" si="107"/>
        <v>105.51735807317759</v>
      </c>
      <c r="J340">
        <f t="shared" ca="1" si="95"/>
        <v>105.60799999999999</v>
      </c>
      <c r="K340">
        <f t="shared" ca="1" si="96"/>
        <v>2.3639498614328547</v>
      </c>
      <c r="L340">
        <f t="shared" ca="1" si="97"/>
        <v>110.3358997228657</v>
      </c>
      <c r="M340">
        <f t="shared" ca="1" si="98"/>
        <v>100.88010027713428</v>
      </c>
      <c r="N340">
        <f t="shared" ca="1" si="108"/>
        <v>1.4599999999999937</v>
      </c>
      <c r="O340">
        <f t="shared" ca="1" si="109"/>
        <v>1.4599999999999937</v>
      </c>
      <c r="P340">
        <f t="shared" ca="1" si="110"/>
        <v>0</v>
      </c>
      <c r="Q340">
        <f t="shared" ca="1" si="114"/>
        <v>0.70155005573045226</v>
      </c>
      <c r="R340">
        <f t="shared" ca="1" si="115"/>
        <v>0.77826288386215303</v>
      </c>
      <c r="S340">
        <f t="shared" ca="1" si="112"/>
        <v>0.90143069941738574</v>
      </c>
      <c r="T340">
        <f t="shared" ca="1" si="113"/>
        <v>47.408022795339932</v>
      </c>
      <c r="U340">
        <f>70</f>
        <v>70</v>
      </c>
      <c r="V340">
        <f>30</f>
        <v>30</v>
      </c>
      <c r="W340">
        <f t="shared" ca="1" si="111"/>
        <v>105.8831902585019</v>
      </c>
      <c r="X340">
        <f t="shared" ca="1" si="100"/>
        <v>106.99560110977775</v>
      </c>
      <c r="Y340">
        <f t="shared" ca="1" si="99"/>
        <v>-0.91619046695927864</v>
      </c>
      <c r="Z340">
        <f t="shared" ca="1" si="101"/>
        <v>-1.1054958103791206</v>
      </c>
      <c r="AA340">
        <f t="shared" ca="1" si="102"/>
        <v>0.18930534341984195</v>
      </c>
      <c r="AB340">
        <f t="shared" ca="1" si="103"/>
        <v>109.07610000000001</v>
      </c>
    </row>
    <row r="341" spans="1:28" x14ac:dyDescent="0.25">
      <c r="A341" s="20">
        <f t="shared" ca="1" si="104"/>
        <v>45782</v>
      </c>
      <c r="B341" vm="982">
        <f ca="1"/>
        <v>45786</v>
      </c>
      <c r="C341" vm="735">
        <f ca="1"/>
        <v>107.31</v>
      </c>
      <c r="D341" vm="983">
        <f ca="1"/>
        <v>10992080</v>
      </c>
      <c r="E341">
        <f t="shared" ca="1" si="105"/>
        <v>1179560104.8</v>
      </c>
      <c r="F341">
        <f ca="1">SUM($E$2:E341)/SUM($D$2:D341)</f>
        <v>111.84290791021408</v>
      </c>
      <c r="G341">
        <f ca="1">_xlfn.STDEV.P($C$2:C341)</f>
        <v>6.3311927963100638</v>
      </c>
      <c r="H341">
        <f t="shared" ca="1" si="106"/>
        <v>118.17410070652414</v>
      </c>
      <c r="I341">
        <f t="shared" ca="1" si="107"/>
        <v>105.51171511390402</v>
      </c>
      <c r="J341">
        <f t="shared" ca="1" si="95"/>
        <v>105.977</v>
      </c>
      <c r="K341">
        <f t="shared" ca="1" si="96"/>
        <v>1.974985942654836</v>
      </c>
      <c r="L341">
        <f t="shared" ca="1" si="97"/>
        <v>109.92697188530967</v>
      </c>
      <c r="M341">
        <f t="shared" ca="1" si="98"/>
        <v>102.02702811469034</v>
      </c>
      <c r="N341">
        <f t="shared" ca="1" si="108"/>
        <v>1.2400000000000091</v>
      </c>
      <c r="O341">
        <f t="shared" ca="1" si="109"/>
        <v>1.2400000000000091</v>
      </c>
      <c r="P341">
        <f t="shared" ca="1" si="110"/>
        <v>0</v>
      </c>
      <c r="Q341">
        <f t="shared" ca="1" si="114"/>
        <v>0.7400107660354206</v>
      </c>
      <c r="R341">
        <f t="shared" ca="1" si="115"/>
        <v>0.72267267787199929</v>
      </c>
      <c r="S341">
        <f t="shared" ca="1" si="112"/>
        <v>1.0239916198499097</v>
      </c>
      <c r="T341">
        <f t="shared" ca="1" si="113"/>
        <v>50.592680809905943</v>
      </c>
      <c r="U341">
        <f>70</f>
        <v>70</v>
      </c>
      <c r="V341">
        <f>30</f>
        <v>30</v>
      </c>
      <c r="W341">
        <f t="shared" ca="1" si="111"/>
        <v>106.1026994495016</v>
      </c>
      <c r="X341">
        <f t="shared" ca="1" si="100"/>
        <v>107.01888991646088</v>
      </c>
      <c r="Y341">
        <f t="shared" ca="1" si="99"/>
        <v>-0.60443728304217359</v>
      </c>
      <c r="Z341">
        <f t="shared" ca="1" si="101"/>
        <v>-1.0052841049117314</v>
      </c>
      <c r="AA341">
        <f t="shared" ca="1" si="102"/>
        <v>0.40084682186955778</v>
      </c>
      <c r="AB341">
        <f t="shared" ca="1" si="103"/>
        <v>109.03099999999999</v>
      </c>
    </row>
    <row r="342" spans="1:28" x14ac:dyDescent="0.25">
      <c r="A342" s="20">
        <f t="shared" ca="1" si="104"/>
        <v>45789</v>
      </c>
      <c r="B342" vm="984">
        <f ca="1"/>
        <v>45789</v>
      </c>
      <c r="C342" vm="864">
        <f ca="1"/>
        <v>109.16</v>
      </c>
      <c r="D342" vm="985">
        <f ca="1"/>
        <v>14244559</v>
      </c>
      <c r="E342">
        <f t="shared" ca="1" si="105"/>
        <v>1554936060.4400001</v>
      </c>
      <c r="F342">
        <f ca="1">SUM($E$2:E342)/SUM($D$2:D342)</f>
        <v>111.83608692950469</v>
      </c>
      <c r="G342">
        <f ca="1">_xlfn.STDEV.P($C$2:C342)</f>
        <v>6.3243257742622729</v>
      </c>
      <c r="H342">
        <f t="shared" ca="1" si="106"/>
        <v>118.16041270376697</v>
      </c>
      <c r="I342">
        <f t="shared" ca="1" si="107"/>
        <v>105.51176115524241</v>
      </c>
      <c r="J342">
        <f t="shared" ref="J342:J405" ca="1" si="116">AVERAGE(C323:C342)</f>
        <v>106.27799999999998</v>
      </c>
      <c r="K342">
        <f t="shared" ref="K342:K405" ca="1" si="117">_xlfn.STDEV.S(C323:C342)</f>
        <v>1.9785922693726095</v>
      </c>
      <c r="L342">
        <f t="shared" ref="L342:L405" ca="1" si="118">J342 + 2*K342</f>
        <v>110.2351845387452</v>
      </c>
      <c r="M342">
        <f t="shared" ref="M342:M405" ca="1" si="119">J342-2*K342</f>
        <v>102.32081546125475</v>
      </c>
      <c r="N342">
        <f t="shared" ca="1" si="108"/>
        <v>1.8499999999999943</v>
      </c>
      <c r="O342">
        <f t="shared" ca="1" si="109"/>
        <v>1.8499999999999943</v>
      </c>
      <c r="P342">
        <f t="shared" ca="1" si="110"/>
        <v>0</v>
      </c>
      <c r="Q342">
        <f t="shared" ca="1" si="114"/>
        <v>0.81929571131860446</v>
      </c>
      <c r="R342">
        <f t="shared" ca="1" si="115"/>
        <v>0.67105320088114229</v>
      </c>
      <c r="S342">
        <f t="shared" ca="1" si="112"/>
        <v>1.220910220296705</v>
      </c>
      <c r="T342">
        <f t="shared" ca="1" si="113"/>
        <v>54.973416265948664</v>
      </c>
      <c r="U342">
        <f>70</f>
        <v>70</v>
      </c>
      <c r="V342">
        <f>30</f>
        <v>30</v>
      </c>
      <c r="W342">
        <f t="shared" ca="1" si="111"/>
        <v>106.57305338034752</v>
      </c>
      <c r="X342">
        <f t="shared" ca="1" si="100"/>
        <v>107.17749066338969</v>
      </c>
      <c r="Y342">
        <f t="shared" ca="1" si="99"/>
        <v>-0.32936641492432273</v>
      </c>
      <c r="Z342">
        <f t="shared" ca="1" si="101"/>
        <v>-0.87010056691424964</v>
      </c>
      <c r="AA342">
        <f t="shared" ca="1" si="102"/>
        <v>0.54073415198992691</v>
      </c>
      <c r="AB342">
        <f t="shared" ca="1" si="103"/>
        <v>109.01419999999999</v>
      </c>
    </row>
    <row r="343" spans="1:28" x14ac:dyDescent="0.25">
      <c r="A343" s="20">
        <f t="shared" ca="1" si="104"/>
        <v>45789</v>
      </c>
      <c r="B343" vm="986">
        <f ca="1"/>
        <v>45790</v>
      </c>
      <c r="C343" vm="839">
        <f ca="1"/>
        <v>109.46</v>
      </c>
      <c r="D343" vm="987">
        <f ca="1"/>
        <v>13350836</v>
      </c>
      <c r="E343">
        <f t="shared" ca="1" si="105"/>
        <v>1461382508.5599999</v>
      </c>
      <c r="F343">
        <f ca="1">SUM($E$2:E343)/SUM($D$2:D343)</f>
        <v>111.83043848070075</v>
      </c>
      <c r="G343">
        <f ca="1">_xlfn.STDEV.P($C$2:C343)</f>
        <v>6.3170512512749362</v>
      </c>
      <c r="H343">
        <f t="shared" ca="1" si="106"/>
        <v>118.14748973197568</v>
      </c>
      <c r="I343">
        <f t="shared" ca="1" si="107"/>
        <v>105.51338722942582</v>
      </c>
      <c r="J343">
        <f t="shared" ca="1" si="116"/>
        <v>106.58149999999998</v>
      </c>
      <c r="K343">
        <f t="shared" ca="1" si="117"/>
        <v>1.977825161236719</v>
      </c>
      <c r="L343">
        <f t="shared" ca="1" si="118"/>
        <v>110.53715032247341</v>
      </c>
      <c r="M343">
        <f t="shared" ca="1" si="119"/>
        <v>102.62584967752655</v>
      </c>
      <c r="N343">
        <f t="shared" ca="1" si="108"/>
        <v>0.29999999999999716</v>
      </c>
      <c r="O343">
        <f t="shared" ca="1" si="109"/>
        <v>0.29999999999999716</v>
      </c>
      <c r="P343">
        <f t="shared" ca="1" si="110"/>
        <v>0</v>
      </c>
      <c r="Q343">
        <f t="shared" ca="1" si="114"/>
        <v>0.7822031605101325</v>
      </c>
      <c r="R343">
        <f t="shared" ca="1" si="115"/>
        <v>0.62312082938963209</v>
      </c>
      <c r="S343">
        <f t="shared" ca="1" si="112"/>
        <v>1.2552993313934424</v>
      </c>
      <c r="T343">
        <f t="shared" ca="1" si="113"/>
        <v>55.659987741753667</v>
      </c>
      <c r="U343">
        <f>70</f>
        <v>70</v>
      </c>
      <c r="V343">
        <f>30</f>
        <v>30</v>
      </c>
      <c r="W343">
        <f t="shared" ca="1" si="111"/>
        <v>107.0171990141402</v>
      </c>
      <c r="X343">
        <f t="shared" ca="1" si="100"/>
        <v>107.34656542906453</v>
      </c>
      <c r="Y343">
        <f t="shared" ca="1" si="99"/>
        <v>-0.18827822577301845</v>
      </c>
      <c r="Z343">
        <f t="shared" ca="1" si="101"/>
        <v>-0.73373609868600354</v>
      </c>
      <c r="AA343">
        <f t="shared" ca="1" si="102"/>
        <v>0.54545787291298509</v>
      </c>
      <c r="AB343">
        <f t="shared" ca="1" si="103"/>
        <v>109.02409999999998</v>
      </c>
    </row>
    <row r="344" spans="1:28" x14ac:dyDescent="0.25">
      <c r="A344" s="20">
        <f t="shared" ca="1" si="104"/>
        <v>45789</v>
      </c>
      <c r="B344" vm="988">
        <f ca="1"/>
        <v>45791</v>
      </c>
      <c r="C344" vm="989">
        <f ca="1"/>
        <v>108.48</v>
      </c>
      <c r="D344" vm="990">
        <f ca="1"/>
        <v>15494932</v>
      </c>
      <c r="E344">
        <f t="shared" ca="1" si="105"/>
        <v>1680890223.3600001</v>
      </c>
      <c r="F344">
        <f ca="1">SUM($E$2:E344)/SUM($D$2:D344)</f>
        <v>111.82122013110174</v>
      </c>
      <c r="G344">
        <f ca="1">_xlfn.STDEV.P($C$2:C344)</f>
        <v>6.3113383562390748</v>
      </c>
      <c r="H344">
        <f t="shared" ca="1" si="106"/>
        <v>118.13255848734082</v>
      </c>
      <c r="I344">
        <f t="shared" ca="1" si="107"/>
        <v>105.50988177486266</v>
      </c>
      <c r="J344">
        <f t="shared" ca="1" si="116"/>
        <v>106.85050000000001</v>
      </c>
      <c r="K344">
        <f t="shared" ca="1" si="117"/>
        <v>1.840484704464675</v>
      </c>
      <c r="L344">
        <f t="shared" ca="1" si="118"/>
        <v>110.53146940892935</v>
      </c>
      <c r="M344">
        <f t="shared" ca="1" si="119"/>
        <v>103.16953059107067</v>
      </c>
      <c r="N344">
        <f t="shared" ca="1" si="108"/>
        <v>-0.97999999999998977</v>
      </c>
      <c r="O344">
        <f t="shared" ca="1" si="109"/>
        <v>0</v>
      </c>
      <c r="P344">
        <f t="shared" ca="1" si="110"/>
        <v>0.97999999999998977</v>
      </c>
      <c r="Q344">
        <f t="shared" ca="1" si="114"/>
        <v>0.72633150618798026</v>
      </c>
      <c r="R344">
        <f t="shared" ca="1" si="115"/>
        <v>0.64861219871894338</v>
      </c>
      <c r="S344">
        <f t="shared" ca="1" si="112"/>
        <v>1.1198239990282919</v>
      </c>
      <c r="T344">
        <f t="shared" ca="1" si="113"/>
        <v>52.82627234815763</v>
      </c>
      <c r="U344">
        <f>70</f>
        <v>70</v>
      </c>
      <c r="V344">
        <f>30</f>
        <v>30</v>
      </c>
      <c r="W344">
        <f t="shared" ca="1" si="111"/>
        <v>107.2422453196571</v>
      </c>
      <c r="X344">
        <f t="shared" ca="1" si="100"/>
        <v>107.43052354543012</v>
      </c>
      <c r="Y344">
        <f t="shared" ca="1" si="99"/>
        <v>-6.7616217454784078E-2</v>
      </c>
      <c r="Z344">
        <f t="shared" ca="1" si="101"/>
        <v>-0.6005121224397596</v>
      </c>
      <c r="AA344">
        <f t="shared" ca="1" si="102"/>
        <v>0.53289590498497552</v>
      </c>
      <c r="AB344">
        <f t="shared" ca="1" si="103"/>
        <v>109.02879999999996</v>
      </c>
    </row>
    <row r="345" spans="1:28" x14ac:dyDescent="0.25">
      <c r="A345" s="20">
        <f t="shared" ca="1" si="104"/>
        <v>45789</v>
      </c>
      <c r="B345" vm="991">
        <f ca="1"/>
        <v>45792</v>
      </c>
      <c r="C345" vm="992">
        <f ca="1"/>
        <v>108.58</v>
      </c>
      <c r="D345" vm="993">
        <f ca="1"/>
        <v>15004291</v>
      </c>
      <c r="E345">
        <f t="shared" ca="1" si="105"/>
        <v>1629165916.78</v>
      </c>
      <c r="F345">
        <f ca="1">SUM($E$2:E345)/SUM($D$2:D345)</f>
        <v>111.81260760956155</v>
      </c>
      <c r="G345">
        <f ca="1">_xlfn.STDEV.P($C$2:C345)</f>
        <v>6.3054568113245706</v>
      </c>
      <c r="H345">
        <f t="shared" ca="1" si="106"/>
        <v>118.11806442088613</v>
      </c>
      <c r="I345">
        <f t="shared" ca="1" si="107"/>
        <v>105.50715079823698</v>
      </c>
      <c r="J345">
        <f t="shared" ca="1" si="116"/>
        <v>107.07000000000001</v>
      </c>
      <c r="K345">
        <f t="shared" ca="1" si="117"/>
        <v>1.7667931103377226</v>
      </c>
      <c r="L345">
        <f t="shared" ca="1" si="118"/>
        <v>110.60358622067545</v>
      </c>
      <c r="M345">
        <f t="shared" ca="1" si="119"/>
        <v>103.53641377932456</v>
      </c>
      <c r="N345">
        <f t="shared" ca="1" si="108"/>
        <v>9.9999999999994316E-2</v>
      </c>
      <c r="O345">
        <f t="shared" ca="1" si="109"/>
        <v>9.9999999999994316E-2</v>
      </c>
      <c r="P345">
        <f t="shared" ca="1" si="110"/>
        <v>0</v>
      </c>
      <c r="Q345">
        <f t="shared" ca="1" si="114"/>
        <v>0.68159354146026696</v>
      </c>
      <c r="R345">
        <f t="shared" ca="1" si="115"/>
        <v>0.60228275595330449</v>
      </c>
      <c r="S345">
        <f t="shared" ca="1" si="112"/>
        <v>1.1316836398236703</v>
      </c>
      <c r="T345">
        <f t="shared" ca="1" si="113"/>
        <v>53.088723799432145</v>
      </c>
      <c r="U345">
        <f>70</f>
        <v>70</v>
      </c>
      <c r="V345">
        <f>30</f>
        <v>30</v>
      </c>
      <c r="W345">
        <f t="shared" ca="1" si="111"/>
        <v>107.44805373201754</v>
      </c>
      <c r="X345">
        <f t="shared" ca="1" si="100"/>
        <v>107.51566994947233</v>
      </c>
      <c r="Y345">
        <f t="shared" ca="1" si="99"/>
        <v>-3.4210118783306598E-3</v>
      </c>
      <c r="Z345">
        <f t="shared" ca="1" si="101"/>
        <v>-0.48109390032747384</v>
      </c>
      <c r="AA345">
        <f t="shared" ca="1" si="102"/>
        <v>0.47767288844914318</v>
      </c>
      <c r="AB345">
        <f t="shared" ca="1" si="103"/>
        <v>109.05039999999997</v>
      </c>
    </row>
    <row r="346" spans="1:28" x14ac:dyDescent="0.25">
      <c r="A346" s="20">
        <f t="shared" ca="1" si="104"/>
        <v>45789</v>
      </c>
      <c r="B346" vm="994">
        <f ca="1"/>
        <v>45793</v>
      </c>
      <c r="C346" vm="995">
        <f ca="1"/>
        <v>108.19</v>
      </c>
      <c r="D346" vm="996">
        <f ca="1"/>
        <v>14042535</v>
      </c>
      <c r="E346">
        <f t="shared" ca="1" si="105"/>
        <v>1519261861.6499999</v>
      </c>
      <c r="F346">
        <f ca="1">SUM($E$2:E346)/SUM($D$2:D346)</f>
        <v>111.8036210297653</v>
      </c>
      <c r="G346">
        <f ca="1">_xlfn.STDEV.P($C$2:C346)</f>
        <v>6.3002954621440548</v>
      </c>
      <c r="H346">
        <f t="shared" ca="1" si="106"/>
        <v>118.10391649190935</v>
      </c>
      <c r="I346">
        <f t="shared" ca="1" si="107"/>
        <v>105.50332556762125</v>
      </c>
      <c r="J346">
        <f t="shared" ca="1" si="116"/>
        <v>107.13349999999998</v>
      </c>
      <c r="K346">
        <f t="shared" ca="1" si="117"/>
        <v>1.7838582519802118</v>
      </c>
      <c r="L346">
        <f t="shared" ca="1" si="118"/>
        <v>110.70121650396041</v>
      </c>
      <c r="M346">
        <f t="shared" ca="1" si="119"/>
        <v>103.56578349603956</v>
      </c>
      <c r="N346">
        <f t="shared" ca="1" si="108"/>
        <v>-0.39000000000000057</v>
      </c>
      <c r="O346">
        <f t="shared" ca="1" si="109"/>
        <v>0</v>
      </c>
      <c r="P346">
        <f t="shared" ca="1" si="110"/>
        <v>0.39000000000000057</v>
      </c>
      <c r="Q346">
        <f t="shared" ca="1" si="114"/>
        <v>0.6329082884988193</v>
      </c>
      <c r="R346">
        <f t="shared" ca="1" si="115"/>
        <v>0.58711970195663987</v>
      </c>
      <c r="S346">
        <f t="shared" ca="1" si="112"/>
        <v>1.0779885028378098</v>
      </c>
      <c r="T346">
        <f t="shared" ca="1" si="113"/>
        <v>51.876538362250436</v>
      </c>
      <c r="U346">
        <f>70</f>
        <v>70</v>
      </c>
      <c r="V346">
        <f>30</f>
        <v>30</v>
      </c>
      <c r="W346">
        <f t="shared" ca="1" si="111"/>
        <v>107.56219931170716</v>
      </c>
      <c r="X346">
        <f t="shared" ca="1" si="100"/>
        <v>107.56562032358549</v>
      </c>
      <c r="Y346">
        <f t="shared" ca="1" si="99"/>
        <v>-9.0294614211572366E-2</v>
      </c>
      <c r="Z346">
        <f t="shared" ca="1" si="101"/>
        <v>-0.40293404310429359</v>
      </c>
      <c r="AA346">
        <f t="shared" ca="1" si="102"/>
        <v>0.31263942889272123</v>
      </c>
      <c r="AB346">
        <f t="shared" ca="1" si="103"/>
        <v>109.07719999999998</v>
      </c>
    </row>
    <row r="347" spans="1:28" x14ac:dyDescent="0.25">
      <c r="A347" s="20">
        <f t="shared" ca="1" si="104"/>
        <v>45796</v>
      </c>
      <c r="B347" vm="997">
        <f ca="1"/>
        <v>45796</v>
      </c>
      <c r="C347" vm="998">
        <f ca="1"/>
        <v>106.47</v>
      </c>
      <c r="D347" vm="999">
        <f ca="1"/>
        <v>16802719</v>
      </c>
      <c r="E347">
        <f t="shared" ca="1" si="105"/>
        <v>1788985491.9300001</v>
      </c>
      <c r="F347">
        <f ca="1">SUM($E$2:E347)/SUM($D$2:D347)</f>
        <v>111.787836118717</v>
      </c>
      <c r="G347">
        <f ca="1">_xlfn.STDEV.P($C$2:C347)</f>
        <v>6.2990841123437971</v>
      </c>
      <c r="H347">
        <f t="shared" ca="1" si="106"/>
        <v>118.08692023106079</v>
      </c>
      <c r="I347">
        <f t="shared" ca="1" si="107"/>
        <v>105.4887520063732</v>
      </c>
      <c r="J347">
        <f t="shared" ca="1" si="116"/>
        <v>107.1895</v>
      </c>
      <c r="K347">
        <f t="shared" ca="1" si="117"/>
        <v>1.7420117680429144</v>
      </c>
      <c r="L347">
        <f t="shared" ca="1" si="118"/>
        <v>110.67352353608582</v>
      </c>
      <c r="M347">
        <f t="shared" ca="1" si="119"/>
        <v>103.70547646391417</v>
      </c>
      <c r="N347">
        <f t="shared" ca="1" si="108"/>
        <v>-1.7199999999999989</v>
      </c>
      <c r="O347">
        <f t="shared" ca="1" si="109"/>
        <v>0</v>
      </c>
      <c r="P347">
        <f t="shared" ca="1" si="110"/>
        <v>1.7199999999999989</v>
      </c>
      <c r="Q347">
        <f t="shared" ca="1" si="114"/>
        <v>0.58770055360604645</v>
      </c>
      <c r="R347">
        <f t="shared" ca="1" si="115"/>
        <v>0.66803972324545124</v>
      </c>
      <c r="S347">
        <f t="shared" ca="1" si="112"/>
        <v>0.87973893341386444</v>
      </c>
      <c r="T347">
        <f t="shared" ca="1" si="113"/>
        <v>46.801123165339646</v>
      </c>
      <c r="U347">
        <f>70</f>
        <v>70</v>
      </c>
      <c r="V347">
        <f>30</f>
        <v>30</v>
      </c>
      <c r="W347">
        <f t="shared" ca="1" si="111"/>
        <v>107.3941686483676</v>
      </c>
      <c r="X347">
        <f t="shared" ca="1" si="100"/>
        <v>107.48446326257917</v>
      </c>
      <c r="Y347">
        <f t="shared" ca="1" si="99"/>
        <v>-0.27858254066396171</v>
      </c>
      <c r="Z347">
        <f t="shared" ca="1" si="101"/>
        <v>-0.37806374261622722</v>
      </c>
      <c r="AA347">
        <f t="shared" ca="1" si="102"/>
        <v>9.9481201952265508E-2</v>
      </c>
      <c r="AB347">
        <f t="shared" ca="1" si="103"/>
        <v>109.08319999999996</v>
      </c>
    </row>
    <row r="348" spans="1:28" x14ac:dyDescent="0.25">
      <c r="A348" s="20">
        <f t="shared" ca="1" si="104"/>
        <v>45796</v>
      </c>
      <c r="B348" vm="1000">
        <f ca="1"/>
        <v>45797</v>
      </c>
      <c r="C348" vm="1001">
        <f ca="1"/>
        <v>104.95</v>
      </c>
      <c r="D348" vm="1002">
        <f ca="1"/>
        <v>12429321</v>
      </c>
      <c r="E348">
        <f t="shared" ca="1" si="105"/>
        <v>1304457238.95</v>
      </c>
      <c r="F348">
        <f ca="1">SUM($E$2:E348)/SUM($D$2:D348)</f>
        <v>111.77289934545414</v>
      </c>
      <c r="G348">
        <f ca="1">_xlfn.STDEV.P($C$2:C348)</f>
        <v>6.3024221318646996</v>
      </c>
      <c r="H348">
        <f t="shared" ca="1" si="106"/>
        <v>118.07532147731884</v>
      </c>
      <c r="I348">
        <f t="shared" ca="1" si="107"/>
        <v>105.47047721358943</v>
      </c>
      <c r="J348">
        <f t="shared" ca="1" si="116"/>
        <v>107.02199999999998</v>
      </c>
      <c r="K348">
        <f t="shared" ca="1" si="117"/>
        <v>1.7900091149429789</v>
      </c>
      <c r="L348">
        <f t="shared" ca="1" si="118"/>
        <v>110.60201822988593</v>
      </c>
      <c r="M348">
        <f t="shared" ca="1" si="119"/>
        <v>103.44198177011403</v>
      </c>
      <c r="N348">
        <f t="shared" ca="1" si="108"/>
        <v>-1.519999999999996</v>
      </c>
      <c r="O348">
        <f t="shared" ca="1" si="109"/>
        <v>0</v>
      </c>
      <c r="P348">
        <f t="shared" ca="1" si="110"/>
        <v>1.519999999999996</v>
      </c>
      <c r="Q348">
        <f t="shared" ca="1" si="114"/>
        <v>0.54572194263418594</v>
      </c>
      <c r="R348">
        <f t="shared" ca="1" si="115"/>
        <v>0.72889402872791875</v>
      </c>
      <c r="S348">
        <f t="shared" ca="1" si="112"/>
        <v>0.74869860518214337</v>
      </c>
      <c r="T348">
        <f t="shared" ca="1" si="113"/>
        <v>42.814616707729314</v>
      </c>
      <c r="U348">
        <f>70</f>
        <v>70</v>
      </c>
      <c r="V348">
        <f>30</f>
        <v>30</v>
      </c>
      <c r="W348">
        <f t="shared" ca="1" si="111"/>
        <v>107.0181427024649</v>
      </c>
      <c r="X348">
        <f t="shared" ca="1" si="100"/>
        <v>107.29672524312886</v>
      </c>
      <c r="Y348">
        <f t="shared" ref="Y348:Y411" ca="1" si="120">W349-X349</f>
        <v>-0.52583282445813495</v>
      </c>
      <c r="Z348">
        <f t="shared" ca="1" si="101"/>
        <v>-0.40761755898460883</v>
      </c>
      <c r="AA348">
        <f t="shared" ca="1" si="102"/>
        <v>-0.11821526547352612</v>
      </c>
      <c r="AB348">
        <f t="shared" ca="1" si="103"/>
        <v>109.06969999999997</v>
      </c>
    </row>
    <row r="349" spans="1:28" x14ac:dyDescent="0.25">
      <c r="A349" s="20">
        <f t="shared" ca="1" si="104"/>
        <v>45796</v>
      </c>
      <c r="B349" vm="1003">
        <f ca="1"/>
        <v>45798</v>
      </c>
      <c r="C349" vm="1004">
        <f ca="1"/>
        <v>103.66</v>
      </c>
      <c r="D349" vm="1005">
        <f ca="1"/>
        <v>16716079</v>
      </c>
      <c r="E349">
        <f t="shared" ca="1" si="105"/>
        <v>1732788749.1399999</v>
      </c>
      <c r="F349">
        <f ca="1">SUM($E$2:E349)/SUM($D$2:D349)</f>
        <v>111.74913492701037</v>
      </c>
      <c r="G349">
        <f ca="1">_xlfn.STDEV.P($C$2:C349)</f>
        <v>6.310356710988958</v>
      </c>
      <c r="H349">
        <f t="shared" ca="1" si="106"/>
        <v>118.05949163799933</v>
      </c>
      <c r="I349">
        <f t="shared" ca="1" si="107"/>
        <v>105.43877821602142</v>
      </c>
      <c r="J349">
        <f t="shared" ca="1" si="116"/>
        <v>106.8365</v>
      </c>
      <c r="K349">
        <f t="shared" ca="1" si="117"/>
        <v>1.9381523350047101</v>
      </c>
      <c r="L349">
        <f t="shared" ca="1" si="118"/>
        <v>110.71280467000942</v>
      </c>
      <c r="M349">
        <f t="shared" ca="1" si="119"/>
        <v>102.96019532999058</v>
      </c>
      <c r="N349">
        <f t="shared" ca="1" si="108"/>
        <v>-1.2900000000000063</v>
      </c>
      <c r="O349">
        <f t="shared" ca="1" si="109"/>
        <v>0</v>
      </c>
      <c r="P349">
        <f t="shared" ca="1" si="110"/>
        <v>1.2900000000000063</v>
      </c>
      <c r="Q349">
        <f t="shared" ca="1" si="114"/>
        <v>0.50674180387460122</v>
      </c>
      <c r="R349">
        <f t="shared" ca="1" si="115"/>
        <v>0.76897302667592504</v>
      </c>
      <c r="S349">
        <f t="shared" ca="1" si="112"/>
        <v>0.65898514810736242</v>
      </c>
      <c r="T349">
        <f t="shared" ca="1" si="113"/>
        <v>39.722184906788307</v>
      </c>
      <c r="U349">
        <f>70</f>
        <v>70</v>
      </c>
      <c r="V349">
        <f>30</f>
        <v>30</v>
      </c>
      <c r="W349">
        <f t="shared" ca="1" si="111"/>
        <v>106.50150536362415</v>
      </c>
      <c r="X349">
        <f t="shared" ref="X349:X412" ca="1" si="121">C349*(2/(26+1)) + X348*(1-(2/(26+1)))</f>
        <v>107.02733818808228</v>
      </c>
      <c r="Y349">
        <f t="shared" ca="1" si="120"/>
        <v>-0.76859777245120142</v>
      </c>
      <c r="Z349">
        <f t="shared" ca="1" si="101"/>
        <v>-0.47981360167792741</v>
      </c>
      <c r="AA349">
        <f t="shared" ca="1" si="102"/>
        <v>-0.28878417077327401</v>
      </c>
      <c r="AB349">
        <f t="shared" ca="1" si="103"/>
        <v>109.0423</v>
      </c>
    </row>
    <row r="350" spans="1:28" x14ac:dyDescent="0.25">
      <c r="A350" s="20">
        <f t="shared" ca="1" si="104"/>
        <v>45796</v>
      </c>
      <c r="B350" vm="1006">
        <f ca="1"/>
        <v>45799</v>
      </c>
      <c r="C350" vm="1007">
        <f ca="1"/>
        <v>102.97</v>
      </c>
      <c r="D350" vm="1008">
        <f ca="1"/>
        <v>13417378</v>
      </c>
      <c r="E350">
        <f t="shared" ca="1" si="105"/>
        <v>1381587412.6600001</v>
      </c>
      <c r="F350">
        <f ca="1">SUM($E$2:E350)/SUM($D$2:D350)</f>
        <v>111.72854209083509</v>
      </c>
      <c r="G350">
        <f ca="1">_xlfn.STDEV.P($C$2:C350)</f>
        <v>6.3209362688593025</v>
      </c>
      <c r="H350">
        <f t="shared" ca="1" si="106"/>
        <v>118.04947835969439</v>
      </c>
      <c r="I350">
        <f t="shared" ca="1" si="107"/>
        <v>105.40760582197579</v>
      </c>
      <c r="J350">
        <f t="shared" ca="1" si="116"/>
        <v>106.55350000000001</v>
      </c>
      <c r="K350">
        <f t="shared" ca="1" si="117"/>
        <v>2.0711509004974937</v>
      </c>
      <c r="L350">
        <f t="shared" ca="1" si="118"/>
        <v>110.695801800995</v>
      </c>
      <c r="M350">
        <f t="shared" ca="1" si="119"/>
        <v>102.41119819900503</v>
      </c>
      <c r="N350">
        <f t="shared" ca="1" si="108"/>
        <v>-0.68999999999999773</v>
      </c>
      <c r="O350">
        <f t="shared" ca="1" si="109"/>
        <v>0</v>
      </c>
      <c r="P350">
        <f t="shared" ca="1" si="110"/>
        <v>0.68999999999999773</v>
      </c>
      <c r="Q350">
        <f t="shared" ca="1" si="114"/>
        <v>0.47054596074070115</v>
      </c>
      <c r="R350">
        <f t="shared" ca="1" si="115"/>
        <v>0.76333209619907305</v>
      </c>
      <c r="S350">
        <f t="shared" ca="1" si="112"/>
        <v>0.61643675548785681</v>
      </c>
      <c r="T350">
        <f t="shared" ca="1" si="113"/>
        <v>38.135531959109038</v>
      </c>
      <c r="U350">
        <f>70</f>
        <v>70</v>
      </c>
      <c r="V350">
        <f>30</f>
        <v>30</v>
      </c>
      <c r="W350">
        <f t="shared" ca="1" si="111"/>
        <v>105.95819684614351</v>
      </c>
      <c r="X350">
        <f t="shared" ca="1" si="121"/>
        <v>106.72679461859471</v>
      </c>
      <c r="Y350">
        <f t="shared" ca="1" si="120"/>
        <v>-0.94525295652039176</v>
      </c>
      <c r="Z350">
        <f t="shared" ca="1" si="101"/>
        <v>-0.57290147264642033</v>
      </c>
      <c r="AA350">
        <f t="shared" ca="1" si="102"/>
        <v>-0.37235148387397143</v>
      </c>
      <c r="AB350">
        <f t="shared" ca="1" si="103"/>
        <v>109.00709999999998</v>
      </c>
    </row>
    <row r="351" spans="1:28" x14ac:dyDescent="0.25">
      <c r="A351" s="20">
        <f t="shared" ca="1" si="104"/>
        <v>45796</v>
      </c>
      <c r="B351" vm="1009">
        <f ca="1"/>
        <v>45800</v>
      </c>
      <c r="C351" vm="1010">
        <f ca="1"/>
        <v>103.03</v>
      </c>
      <c r="D351" vm="1011">
        <f ca="1"/>
        <v>12061606</v>
      </c>
      <c r="E351">
        <f t="shared" ca="1" si="105"/>
        <v>1242707266.1800001</v>
      </c>
      <c r="F351">
        <f ca="1">SUM($E$2:E351)/SUM($D$2:D351)</f>
        <v>111.71023861427734</v>
      </c>
      <c r="G351">
        <f ca="1">_xlfn.STDEV.P($C$2:C351)</f>
        <v>6.3310764920158</v>
      </c>
      <c r="H351">
        <f t="shared" ca="1" si="106"/>
        <v>118.04131510629314</v>
      </c>
      <c r="I351">
        <f t="shared" ca="1" si="107"/>
        <v>105.37916212226155</v>
      </c>
      <c r="J351">
        <f t="shared" ca="1" si="116"/>
        <v>106.27650000000001</v>
      </c>
      <c r="K351">
        <f t="shared" ca="1" si="117"/>
        <v>2.1559935431013555</v>
      </c>
      <c r="L351">
        <f t="shared" ca="1" si="118"/>
        <v>110.58848708620272</v>
      </c>
      <c r="M351">
        <f t="shared" ca="1" si="119"/>
        <v>101.96451291379731</v>
      </c>
      <c r="N351">
        <f t="shared" ca="1" si="108"/>
        <v>6.0000000000002274E-2</v>
      </c>
      <c r="O351">
        <f t="shared" ca="1" si="109"/>
        <v>6.0000000000002274E-2</v>
      </c>
      <c r="P351">
        <f t="shared" ca="1" si="110"/>
        <v>0</v>
      </c>
      <c r="Q351">
        <f t="shared" ca="1" si="114"/>
        <v>0.44122124925922268</v>
      </c>
      <c r="R351">
        <f t="shared" ca="1" si="115"/>
        <v>0.70880837504199634</v>
      </c>
      <c r="S351">
        <f t="shared" ca="1" si="112"/>
        <v>0.62248312067853417</v>
      </c>
      <c r="T351">
        <f t="shared" ca="1" si="113"/>
        <v>38.366076832787464</v>
      </c>
      <c r="U351">
        <f>70</f>
        <v>70</v>
      </c>
      <c r="V351">
        <f>30</f>
        <v>30</v>
      </c>
      <c r="W351">
        <f t="shared" ca="1" si="111"/>
        <v>105.5077050236599</v>
      </c>
      <c r="X351">
        <f t="shared" ca="1" si="121"/>
        <v>106.45295798018029</v>
      </c>
      <c r="Y351">
        <f t="shared" ca="1" si="120"/>
        <v>-1.0337975827111308</v>
      </c>
      <c r="Z351">
        <f t="shared" ca="1" si="101"/>
        <v>-0.66508069465936248</v>
      </c>
      <c r="AA351">
        <f t="shared" ca="1" si="102"/>
        <v>-0.36871688805176828</v>
      </c>
      <c r="AB351">
        <f t="shared" ca="1" si="103"/>
        <v>108.97259999999999</v>
      </c>
    </row>
    <row r="352" spans="1:28" x14ac:dyDescent="0.25">
      <c r="A352" s="20">
        <f t="shared" ca="1" si="104"/>
        <v>45803</v>
      </c>
      <c r="B352" vm="1012">
        <f ca="1"/>
        <v>45804</v>
      </c>
      <c r="C352" vm="1013">
        <f ca="1"/>
        <v>103.52</v>
      </c>
      <c r="D352" vm="1014">
        <f ca="1"/>
        <v>13043604</v>
      </c>
      <c r="E352">
        <f t="shared" ca="1" si="105"/>
        <v>1350273886.0799999</v>
      </c>
      <c r="F352">
        <f ca="1">SUM($E$2:E352)/SUM($D$2:D352)</f>
        <v>111.69164392097869</v>
      </c>
      <c r="G352">
        <f ca="1">_xlfn.STDEV.P($C$2:C352)</f>
        <v>6.3390683625155262</v>
      </c>
      <c r="H352">
        <f t="shared" ca="1" si="106"/>
        <v>118.03071228349421</v>
      </c>
      <c r="I352">
        <f t="shared" ca="1" si="107"/>
        <v>105.35257555846317</v>
      </c>
      <c r="J352">
        <f t="shared" ca="1" si="116"/>
        <v>106.02100000000003</v>
      </c>
      <c r="K352">
        <f t="shared" ca="1" si="117"/>
        <v>2.1651738717102704</v>
      </c>
      <c r="L352">
        <f t="shared" ca="1" si="118"/>
        <v>110.35134774342058</v>
      </c>
      <c r="M352">
        <f t="shared" ca="1" si="119"/>
        <v>101.69065225657948</v>
      </c>
      <c r="N352">
        <f t="shared" ca="1" si="108"/>
        <v>0.48999999999999488</v>
      </c>
      <c r="O352">
        <f t="shared" ca="1" si="109"/>
        <v>0.48999999999999488</v>
      </c>
      <c r="P352">
        <f t="shared" ca="1" si="110"/>
        <v>0</v>
      </c>
      <c r="Q352">
        <f t="shared" ca="1" si="114"/>
        <v>0.44470544574070642</v>
      </c>
      <c r="R352">
        <f t="shared" ca="1" si="115"/>
        <v>0.6581792053961395</v>
      </c>
      <c r="S352">
        <f t="shared" ca="1" si="112"/>
        <v>0.67566012735551373</v>
      </c>
      <c r="T352">
        <f t="shared" ca="1" si="113"/>
        <v>40.322026903022646</v>
      </c>
      <c r="U352">
        <f>70</f>
        <v>70</v>
      </c>
      <c r="V352">
        <f>30</f>
        <v>30</v>
      </c>
      <c r="W352">
        <f t="shared" ca="1" si="111"/>
        <v>105.20190425078914</v>
      </c>
      <c r="X352">
        <f t="shared" ca="1" si="121"/>
        <v>106.23570183350027</v>
      </c>
      <c r="Y352">
        <f t="shared" ca="1" si="120"/>
        <v>-1.2038676165333726</v>
      </c>
      <c r="Z352">
        <f t="shared" ca="1" si="101"/>
        <v>-0.77283807903416457</v>
      </c>
      <c r="AA352">
        <f t="shared" ca="1" si="102"/>
        <v>-0.43102953749920803</v>
      </c>
      <c r="AB352">
        <f t="shared" ca="1" si="103"/>
        <v>108.95019999999998</v>
      </c>
    </row>
    <row r="353" spans="1:28" x14ac:dyDescent="0.25">
      <c r="A353" s="20">
        <f t="shared" ca="1" si="104"/>
        <v>45803</v>
      </c>
      <c r="B353" vm="1015">
        <f ca="1"/>
        <v>45805</v>
      </c>
      <c r="C353" vm="1016">
        <f ca="1"/>
        <v>102.11</v>
      </c>
      <c r="D353" vm="1017">
        <f ca="1"/>
        <v>14292377</v>
      </c>
      <c r="E353">
        <f t="shared" ca="1" si="105"/>
        <v>1459394615.47</v>
      </c>
      <c r="F353">
        <f ca="1">SUM($E$2:E353)/SUM($D$2:D353)</f>
        <v>111.66786674378997</v>
      </c>
      <c r="G353">
        <f ca="1">_xlfn.STDEV.P($C$2:C353)</f>
        <v>6.3528146036944912</v>
      </c>
      <c r="H353">
        <f t="shared" ca="1" si="106"/>
        <v>118.02068134748447</v>
      </c>
      <c r="I353">
        <f t="shared" ca="1" si="107"/>
        <v>105.31505214009547</v>
      </c>
      <c r="J353">
        <f t="shared" ca="1" si="116"/>
        <v>105.7085</v>
      </c>
      <c r="K353">
        <f t="shared" ca="1" si="117"/>
        <v>2.2588242749853644</v>
      </c>
      <c r="L353">
        <f t="shared" ca="1" si="118"/>
        <v>110.22614854997073</v>
      </c>
      <c r="M353">
        <f t="shared" ca="1" si="119"/>
        <v>101.19085145002927</v>
      </c>
      <c r="N353">
        <f t="shared" ca="1" si="108"/>
        <v>-1.4099999999999966</v>
      </c>
      <c r="O353">
        <f t="shared" ca="1" si="109"/>
        <v>0</v>
      </c>
      <c r="P353">
        <f t="shared" ca="1" si="110"/>
        <v>1.4099999999999966</v>
      </c>
      <c r="Q353">
        <f t="shared" ca="1" si="114"/>
        <v>0.41294077104494165</v>
      </c>
      <c r="R353">
        <f t="shared" ca="1" si="115"/>
        <v>0.71188069072498639</v>
      </c>
      <c r="S353">
        <f t="shared" ca="1" si="112"/>
        <v>0.58007019494291756</v>
      </c>
      <c r="T353">
        <f t="shared" ca="1" si="113"/>
        <v>36.711672481352856</v>
      </c>
      <c r="U353">
        <f>70</f>
        <v>70</v>
      </c>
      <c r="V353">
        <f>30</f>
        <v>30</v>
      </c>
      <c r="W353">
        <f t="shared" ca="1" si="111"/>
        <v>104.72622667374466</v>
      </c>
      <c r="X353">
        <f t="shared" ca="1" si="121"/>
        <v>105.93009429027803</v>
      </c>
      <c r="Y353">
        <f t="shared" ca="1" si="120"/>
        <v>-1.2771262741828906</v>
      </c>
      <c r="Z353">
        <f t="shared" ca="1" si="101"/>
        <v>-0.87369571806390978</v>
      </c>
      <c r="AA353">
        <f t="shared" ca="1" si="102"/>
        <v>-0.40343055611898082</v>
      </c>
      <c r="AB353">
        <f t="shared" ca="1" si="103"/>
        <v>108.8956</v>
      </c>
    </row>
    <row r="354" spans="1:28" x14ac:dyDescent="0.25">
      <c r="A354" s="20">
        <f t="shared" ca="1" si="104"/>
        <v>45803</v>
      </c>
      <c r="B354" vm="1018">
        <f ca="1"/>
        <v>45806</v>
      </c>
      <c r="C354" vm="1019">
        <f ca="1"/>
        <v>102.69</v>
      </c>
      <c r="D354" vm="1020">
        <f ca="1"/>
        <v>13832487</v>
      </c>
      <c r="E354">
        <f t="shared" ca="1" si="105"/>
        <v>1420458090.03</v>
      </c>
      <c r="F354">
        <f ca="1">SUM($E$2:E354)/SUM($D$2:D354)</f>
        <v>111.64635639556376</v>
      </c>
      <c r="G354">
        <f ca="1">_xlfn.STDEV.P($C$2:C354)</f>
        <v>6.3638092904523393</v>
      </c>
      <c r="H354">
        <f t="shared" ca="1" si="106"/>
        <v>118.01016568601609</v>
      </c>
      <c r="I354">
        <f t="shared" ca="1" si="107"/>
        <v>105.28254710511142</v>
      </c>
      <c r="J354">
        <f t="shared" ca="1" si="116"/>
        <v>105.56149999999998</v>
      </c>
      <c r="K354">
        <f t="shared" ca="1" si="117"/>
        <v>2.3577024387046137</v>
      </c>
      <c r="L354">
        <f t="shared" ca="1" si="118"/>
        <v>110.27690487740921</v>
      </c>
      <c r="M354">
        <f t="shared" ca="1" si="119"/>
        <v>100.84609512259075</v>
      </c>
      <c r="N354">
        <f t="shared" ca="1" si="108"/>
        <v>0.57999999999999829</v>
      </c>
      <c r="O354">
        <f t="shared" ca="1" si="109"/>
        <v>0.57999999999999829</v>
      </c>
      <c r="P354">
        <f t="shared" ca="1" si="110"/>
        <v>0</v>
      </c>
      <c r="Q354">
        <f t="shared" ca="1" si="114"/>
        <v>0.42487357311315999</v>
      </c>
      <c r="R354">
        <f t="shared" ca="1" si="115"/>
        <v>0.66103206995891584</v>
      </c>
      <c r="S354">
        <f t="shared" ca="1" si="112"/>
        <v>0.64274275397798253</v>
      </c>
      <c r="T354">
        <f t="shared" ca="1" si="113"/>
        <v>39.126196260586099</v>
      </c>
      <c r="U354">
        <f>70</f>
        <v>70</v>
      </c>
      <c r="V354">
        <f>30</f>
        <v>30</v>
      </c>
      <c r="W354">
        <f t="shared" ca="1" si="111"/>
        <v>104.4129610316301</v>
      </c>
      <c r="X354">
        <f t="shared" ca="1" si="121"/>
        <v>105.69008730581299</v>
      </c>
      <c r="Y354">
        <f t="shared" ca="1" si="120"/>
        <v>-1.3510796239176273</v>
      </c>
      <c r="Z354">
        <f t="shared" ca="1" si="101"/>
        <v>-0.96917249923465332</v>
      </c>
      <c r="AA354">
        <f t="shared" ca="1" si="102"/>
        <v>-0.38190712468297394</v>
      </c>
      <c r="AB354">
        <f t="shared" ca="1" si="103"/>
        <v>108.8494</v>
      </c>
    </row>
    <row r="355" spans="1:28" x14ac:dyDescent="0.25">
      <c r="A355" s="20">
        <f t="shared" ca="1" si="104"/>
        <v>45803</v>
      </c>
      <c r="B355" vm="1021">
        <f ca="1"/>
        <v>45807</v>
      </c>
      <c r="C355" vm="1022">
        <f ca="1"/>
        <v>102.3</v>
      </c>
      <c r="D355" vm="1023">
        <f ca="1"/>
        <v>28645787</v>
      </c>
      <c r="E355">
        <f t="shared" ca="1" si="105"/>
        <v>2930464010.0999999</v>
      </c>
      <c r="F355">
        <f ca="1">SUM($E$2:E355)/SUM($D$2:D355)</f>
        <v>111.60021108433074</v>
      </c>
      <c r="G355">
        <f ca="1">_xlfn.STDEV.P($C$2:C355)</f>
        <v>6.3762741559707594</v>
      </c>
      <c r="H355">
        <f t="shared" ca="1" si="106"/>
        <v>117.9764852403015</v>
      </c>
      <c r="I355">
        <f t="shared" ca="1" si="107"/>
        <v>105.22393692835998</v>
      </c>
      <c r="J355">
        <f t="shared" ca="1" si="116"/>
        <v>105.38750000000002</v>
      </c>
      <c r="K355">
        <f t="shared" ca="1" si="117"/>
        <v>2.4666253849082325</v>
      </c>
      <c r="L355">
        <f t="shared" ca="1" si="118"/>
        <v>110.32075076981648</v>
      </c>
      <c r="M355">
        <f t="shared" ca="1" si="119"/>
        <v>100.45424923018355</v>
      </c>
      <c r="N355">
        <f t="shared" ca="1" si="108"/>
        <v>-0.39000000000000057</v>
      </c>
      <c r="O355">
        <f t="shared" ca="1" si="109"/>
        <v>0</v>
      </c>
      <c r="P355">
        <f t="shared" ca="1" si="110"/>
        <v>0.39000000000000057</v>
      </c>
      <c r="Q355">
        <f t="shared" ca="1" si="114"/>
        <v>0.39452546074793426</v>
      </c>
      <c r="R355">
        <f t="shared" ca="1" si="115"/>
        <v>0.64167263639042194</v>
      </c>
      <c r="S355">
        <f t="shared" ca="1" si="112"/>
        <v>0.6148391537579726</v>
      </c>
      <c r="T355">
        <f t="shared" ca="1" si="113"/>
        <v>38.074327856563905</v>
      </c>
      <c r="U355">
        <f>70</f>
        <v>70</v>
      </c>
      <c r="V355">
        <f>30</f>
        <v>30</v>
      </c>
      <c r="W355">
        <f t="shared" ca="1" si="111"/>
        <v>104.087890103687</v>
      </c>
      <c r="X355">
        <f t="shared" ca="1" si="121"/>
        <v>105.43896972760463</v>
      </c>
      <c r="Y355">
        <f t="shared" ca="1" si="120"/>
        <v>-1.3337943039215503</v>
      </c>
      <c r="Z355">
        <f t="shared" ca="1" si="101"/>
        <v>-1.0420968601720328</v>
      </c>
      <c r="AA355">
        <f t="shared" ca="1" si="102"/>
        <v>-0.29169744374951745</v>
      </c>
      <c r="AB355">
        <f t="shared" ca="1" si="103"/>
        <v>108.79379999999999</v>
      </c>
    </row>
    <row r="356" spans="1:28" x14ac:dyDescent="0.25">
      <c r="A356" s="20">
        <f t="shared" ca="1" si="104"/>
        <v>45810</v>
      </c>
      <c r="B356" vm="1024">
        <f ca="1"/>
        <v>45810</v>
      </c>
      <c r="C356" vm="1025">
        <f ca="1"/>
        <v>103.05</v>
      </c>
      <c r="D356" vm="1026">
        <f ca="1"/>
        <v>17290462</v>
      </c>
      <c r="E356">
        <f t="shared" ca="1" si="105"/>
        <v>1781782109.0999999</v>
      </c>
      <c r="F356">
        <f ca="1">SUM($E$2:E356)/SUM($D$2:D356)</f>
        <v>111.57480629482471</v>
      </c>
      <c r="G356">
        <f ca="1">_xlfn.STDEV.P($C$2:C356)</f>
        <v>6.3854089993414886</v>
      </c>
      <c r="H356">
        <f t="shared" ca="1" si="106"/>
        <v>117.9602152941662</v>
      </c>
      <c r="I356">
        <f t="shared" ca="1" si="107"/>
        <v>105.18939729548322</v>
      </c>
      <c r="J356">
        <f t="shared" ca="1" si="116"/>
        <v>105.2295</v>
      </c>
      <c r="K356">
        <f t="shared" ca="1" si="117"/>
        <v>2.5119576660026484</v>
      </c>
      <c r="L356">
        <f t="shared" ca="1" si="118"/>
        <v>110.2534153320053</v>
      </c>
      <c r="M356">
        <f t="shared" ca="1" si="119"/>
        <v>100.2055846679947</v>
      </c>
      <c r="N356">
        <f t="shared" ca="1" si="108"/>
        <v>0.75</v>
      </c>
      <c r="O356">
        <f t="shared" ca="1" si="109"/>
        <v>0.75</v>
      </c>
      <c r="P356">
        <f t="shared" ca="1" si="110"/>
        <v>0</v>
      </c>
      <c r="Q356">
        <f t="shared" ca="1" si="114"/>
        <v>0.41991649926593894</v>
      </c>
      <c r="R356">
        <f t="shared" ca="1" si="115"/>
        <v>0.59583887664824886</v>
      </c>
      <c r="S356">
        <f t="shared" ca="1" si="112"/>
        <v>0.70474840720041665</v>
      </c>
      <c r="T356">
        <f t="shared" ca="1" si="113"/>
        <v>41.340317681115963</v>
      </c>
      <c r="U356">
        <f>70</f>
        <v>70</v>
      </c>
      <c r="V356">
        <f>30</f>
        <v>30</v>
      </c>
      <c r="W356">
        <f t="shared" ca="1" si="111"/>
        <v>103.92821470311976</v>
      </c>
      <c r="X356">
        <f t="shared" ca="1" si="121"/>
        <v>105.26200900704131</v>
      </c>
      <c r="Y356">
        <f t="shared" ca="1" si="120"/>
        <v>-1.2452226793785144</v>
      </c>
      <c r="Z356">
        <f t="shared" ca="1" si="101"/>
        <v>-1.0827220240133293</v>
      </c>
      <c r="AA356">
        <f t="shared" ca="1" si="102"/>
        <v>-0.1625006553651851</v>
      </c>
      <c r="AB356">
        <f t="shared" ca="1" si="103"/>
        <v>108.74690000000001</v>
      </c>
    </row>
    <row r="357" spans="1:28" x14ac:dyDescent="0.25">
      <c r="A357" s="20">
        <f t="shared" ca="1" si="104"/>
        <v>45810</v>
      </c>
      <c r="B357" vm="1027">
        <f ca="1"/>
        <v>45811</v>
      </c>
      <c r="C357" vm="1028">
        <f ca="1"/>
        <v>103.8</v>
      </c>
      <c r="D357" vm="1029">
        <f ca="1"/>
        <v>19194335</v>
      </c>
      <c r="E357">
        <f t="shared" ca="1" si="105"/>
        <v>1992371973</v>
      </c>
      <c r="F357">
        <f ca="1">SUM($E$2:E357)/SUM($D$2:D357)</f>
        <v>111.54924606888035</v>
      </c>
      <c r="G357">
        <f ca="1">_xlfn.STDEV.P($C$2:C357)</f>
        <v>6.3915292844284632</v>
      </c>
      <c r="H357">
        <f t="shared" ca="1" si="106"/>
        <v>117.94077535330881</v>
      </c>
      <c r="I357">
        <f t="shared" ca="1" si="107"/>
        <v>105.15771678445189</v>
      </c>
      <c r="J357">
        <f t="shared" ca="1" si="116"/>
        <v>105.25600000000001</v>
      </c>
      <c r="K357">
        <f t="shared" ca="1" si="117"/>
        <v>2.4929213469552671</v>
      </c>
      <c r="L357">
        <f t="shared" ca="1" si="118"/>
        <v>110.24184269391054</v>
      </c>
      <c r="M357">
        <f t="shared" ca="1" si="119"/>
        <v>100.27015730608949</v>
      </c>
      <c r="N357">
        <f t="shared" ca="1" si="108"/>
        <v>0.75</v>
      </c>
      <c r="O357">
        <f t="shared" ca="1" si="109"/>
        <v>0.75</v>
      </c>
      <c r="P357">
        <f t="shared" ca="1" si="110"/>
        <v>0</v>
      </c>
      <c r="Q357">
        <f t="shared" ca="1" si="114"/>
        <v>0.44349389217551477</v>
      </c>
      <c r="R357">
        <f t="shared" ca="1" si="115"/>
        <v>0.55327895688765971</v>
      </c>
      <c r="S357">
        <f t="shared" ca="1" si="112"/>
        <v>0.80157375706151024</v>
      </c>
      <c r="T357">
        <f t="shared" ca="1" si="113"/>
        <v>44.492974762739202</v>
      </c>
      <c r="U357">
        <f>70</f>
        <v>70</v>
      </c>
      <c r="V357">
        <f>30</f>
        <v>30</v>
      </c>
      <c r="W357">
        <f t="shared" ca="1" si="111"/>
        <v>103.90848936417825</v>
      </c>
      <c r="X357">
        <f t="shared" ca="1" si="121"/>
        <v>105.15371204355677</v>
      </c>
      <c r="Y357">
        <f t="shared" ca="1" si="120"/>
        <v>-1.2812965042593021</v>
      </c>
      <c r="Z357">
        <f t="shared" ca="1" si="101"/>
        <v>-1.1224369200625239</v>
      </c>
      <c r="AA357">
        <f t="shared" ca="1" si="102"/>
        <v>-0.15885958419677815</v>
      </c>
      <c r="AB357">
        <f t="shared" ca="1" si="103"/>
        <v>108.6974</v>
      </c>
    </row>
    <row r="358" spans="1:28" x14ac:dyDescent="0.25">
      <c r="A358" s="20">
        <f t="shared" ca="1" si="104"/>
        <v>45810</v>
      </c>
      <c r="B358" vm="1030">
        <f ca="1"/>
        <v>45812</v>
      </c>
      <c r="C358" vm="1022">
        <f ca="1"/>
        <v>102.3</v>
      </c>
      <c r="D358" vm="1031">
        <f ca="1"/>
        <v>15648515</v>
      </c>
      <c r="E358">
        <f t="shared" ca="1" si="105"/>
        <v>1600843084.5</v>
      </c>
      <c r="F358">
        <f ca="1">SUM($E$2:E358)/SUM($D$2:D358)</f>
        <v>111.52452205125597</v>
      </c>
      <c r="G358">
        <f ca="1">_xlfn.STDEV.P($C$2:C358)</f>
        <v>6.4034310903416678</v>
      </c>
      <c r="H358">
        <f t="shared" ca="1" si="106"/>
        <v>117.92795314159764</v>
      </c>
      <c r="I358">
        <f t="shared" ca="1" si="107"/>
        <v>105.1210909609143</v>
      </c>
      <c r="J358">
        <f t="shared" ca="1" si="116"/>
        <v>105.13550000000001</v>
      </c>
      <c r="K358">
        <f t="shared" ca="1" si="117"/>
        <v>2.5775130302391553</v>
      </c>
      <c r="L358">
        <f t="shared" ca="1" si="118"/>
        <v>110.29052606047831</v>
      </c>
      <c r="M358">
        <f t="shared" ca="1" si="119"/>
        <v>99.980473939521701</v>
      </c>
      <c r="N358">
        <f t="shared" ca="1" si="108"/>
        <v>-1.5</v>
      </c>
      <c r="O358">
        <f t="shared" ca="1" si="109"/>
        <v>0</v>
      </c>
      <c r="P358">
        <f t="shared" ca="1" si="110"/>
        <v>1.5</v>
      </c>
      <c r="Q358">
        <f t="shared" ca="1" si="114"/>
        <v>0.41181575702012091</v>
      </c>
      <c r="R358">
        <f t="shared" ca="1" si="115"/>
        <v>0.62090188853854122</v>
      </c>
      <c r="S358">
        <f t="shared" ca="1" si="112"/>
        <v>0.66325415435510993</v>
      </c>
      <c r="T358">
        <f t="shared" ca="1" si="113"/>
        <v>39.87689750351305</v>
      </c>
      <c r="U358">
        <f>70</f>
        <v>70</v>
      </c>
      <c r="V358">
        <f>30</f>
        <v>30</v>
      </c>
      <c r="W358">
        <f t="shared" ca="1" si="111"/>
        <v>103.66102946199697</v>
      </c>
      <c r="X358">
        <f t="shared" ca="1" si="121"/>
        <v>104.94232596625628</v>
      </c>
      <c r="Y358">
        <f t="shared" ca="1" si="120"/>
        <v>-1.3324506803994041</v>
      </c>
      <c r="Z358">
        <f t="shared" ref="Z358:Z421" ca="1" si="122">Y358*(2/(9+1)) + Z357*(1-(2/(9+1)))</f>
        <v>-1.1644396721299</v>
      </c>
      <c r="AA358">
        <f t="shared" ref="AA358:AA421" ca="1" si="123">Y358-Z358</f>
        <v>-0.1680110082695041</v>
      </c>
      <c r="AB358">
        <f t="shared" ref="AB358:AB421" ca="1" si="124">AVERAGE(C259:C358)</f>
        <v>108.65109999999999</v>
      </c>
    </row>
    <row r="359" spans="1:28" x14ac:dyDescent="0.25">
      <c r="A359" s="20">
        <f t="shared" ca="1" si="104"/>
        <v>45810</v>
      </c>
      <c r="B359" vm="1032">
        <f ca="1"/>
        <v>45813</v>
      </c>
      <c r="C359" vm="1033">
        <f ca="1"/>
        <v>101.83</v>
      </c>
      <c r="D359" vm="1034">
        <f ca="1"/>
        <v>13942218</v>
      </c>
      <c r="E359">
        <f t="shared" ca="1" si="105"/>
        <v>1419736058.9400001</v>
      </c>
      <c r="F359">
        <f ca="1">SUM($E$2:E359)/SUM($D$2:D359)</f>
        <v>111.50148829536339</v>
      </c>
      <c r="G359">
        <f ca="1">_xlfn.STDEV.P($C$2:C359)</f>
        <v>6.4171649127889943</v>
      </c>
      <c r="H359">
        <f t="shared" ca="1" si="106"/>
        <v>117.91865320815238</v>
      </c>
      <c r="I359">
        <f t="shared" ca="1" si="107"/>
        <v>105.0843233825744</v>
      </c>
      <c r="J359">
        <f t="shared" ca="1" si="116"/>
        <v>104.9965</v>
      </c>
      <c r="K359">
        <f t="shared" ca="1" si="117"/>
        <v>2.6802558302873765</v>
      </c>
      <c r="L359">
        <f t="shared" ca="1" si="118"/>
        <v>110.35701166057476</v>
      </c>
      <c r="M359">
        <f t="shared" ca="1" si="119"/>
        <v>99.635988339425239</v>
      </c>
      <c r="N359">
        <f t="shared" ca="1" si="108"/>
        <v>-0.46999999999999886</v>
      </c>
      <c r="O359">
        <f t="shared" ca="1" si="109"/>
        <v>0</v>
      </c>
      <c r="P359">
        <f t="shared" ca="1" si="110"/>
        <v>0.46999999999999886</v>
      </c>
      <c r="Q359">
        <f t="shared" ca="1" si="114"/>
        <v>0.38240034580439802</v>
      </c>
      <c r="R359">
        <f t="shared" ca="1" si="115"/>
        <v>0.61012318221435968</v>
      </c>
      <c r="S359">
        <f t="shared" ca="1" si="112"/>
        <v>0.62675924625012214</v>
      </c>
      <c r="T359">
        <f t="shared" ca="1" si="113"/>
        <v>38.528088756518727</v>
      </c>
      <c r="U359">
        <f>70</f>
        <v>70</v>
      </c>
      <c r="V359">
        <f>30</f>
        <v>30</v>
      </c>
      <c r="W359">
        <f t="shared" ca="1" si="111"/>
        <v>103.37933262168974</v>
      </c>
      <c r="X359">
        <f t="shared" ca="1" si="121"/>
        <v>104.71178330208915</v>
      </c>
      <c r="Y359">
        <f t="shared" ca="1" si="120"/>
        <v>-1.1627002408465046</v>
      </c>
      <c r="Z359">
        <f t="shared" ca="1" si="122"/>
        <v>-1.1640917858732209</v>
      </c>
      <c r="AA359">
        <f t="shared" ca="1" si="123"/>
        <v>1.3915450267163454E-3</v>
      </c>
      <c r="AB359">
        <f t="shared" ca="1" si="124"/>
        <v>108.604</v>
      </c>
    </row>
    <row r="360" spans="1:28" x14ac:dyDescent="0.25">
      <c r="A360" s="20">
        <f t="shared" ca="1" si="104"/>
        <v>45810</v>
      </c>
      <c r="B360" vm="1035">
        <f ca="1"/>
        <v>45814</v>
      </c>
      <c r="C360" vm="1036">
        <f ca="1"/>
        <v>104.27</v>
      </c>
      <c r="D360" vm="1037">
        <f ca="1"/>
        <v>15487844</v>
      </c>
      <c r="E360">
        <f t="shared" ca="1" si="105"/>
        <v>1614917493.8799999</v>
      </c>
      <c r="F360">
        <f ca="1">SUM($E$2:E360)/SUM($D$2:D360)</f>
        <v>111.48245208940521</v>
      </c>
      <c r="G360">
        <f ca="1">_xlfn.STDEV.P($C$2:C360)</f>
        <v>6.4212110856679852</v>
      </c>
      <c r="H360">
        <f t="shared" ca="1" si="106"/>
        <v>117.90366317507321</v>
      </c>
      <c r="I360">
        <f t="shared" ca="1" si="107"/>
        <v>105.06124100373722</v>
      </c>
      <c r="J360">
        <f t="shared" ca="1" si="116"/>
        <v>104.90649999999998</v>
      </c>
      <c r="K360">
        <f t="shared" ca="1" si="117"/>
        <v>2.6725215276568823</v>
      </c>
      <c r="L360">
        <f t="shared" ca="1" si="118"/>
        <v>110.25154305531375</v>
      </c>
      <c r="M360">
        <f t="shared" ca="1" si="119"/>
        <v>99.561456944686213</v>
      </c>
      <c r="N360">
        <f t="shared" ca="1" si="108"/>
        <v>2.4399999999999977</v>
      </c>
      <c r="O360">
        <f t="shared" ca="1" si="109"/>
        <v>2.4399999999999977</v>
      </c>
      <c r="P360">
        <f t="shared" ca="1" si="110"/>
        <v>0</v>
      </c>
      <c r="Q360">
        <f t="shared" ca="1" si="114"/>
        <v>0.52937174967551226</v>
      </c>
      <c r="R360">
        <f t="shared" ca="1" si="115"/>
        <v>0.56654295491333395</v>
      </c>
      <c r="S360">
        <f t="shared" ca="1" si="112"/>
        <v>0.93438943170071209</v>
      </c>
      <c r="T360">
        <f t="shared" ca="1" si="113"/>
        <v>48.304101355599236</v>
      </c>
      <c r="U360">
        <f>70</f>
        <v>70</v>
      </c>
      <c r="V360">
        <f>30</f>
        <v>30</v>
      </c>
      <c r="W360">
        <f t="shared" ca="1" si="111"/>
        <v>103.51635837219901</v>
      </c>
      <c r="X360">
        <f t="shared" ca="1" si="121"/>
        <v>104.67905861304551</v>
      </c>
      <c r="Y360">
        <f t="shared" ca="1" si="120"/>
        <v>-0.96061428118714787</v>
      </c>
      <c r="Z360">
        <f t="shared" ca="1" si="122"/>
        <v>-1.1233962849360064</v>
      </c>
      <c r="AA360">
        <f t="shared" ca="1" si="123"/>
        <v>0.16278200374885854</v>
      </c>
      <c r="AB360">
        <f t="shared" ca="1" si="124"/>
        <v>108.5538</v>
      </c>
    </row>
    <row r="361" spans="1:28" x14ac:dyDescent="0.25">
      <c r="A361" s="20">
        <f t="shared" ca="1" si="104"/>
        <v>45817</v>
      </c>
      <c r="B361" vm="1038">
        <f ca="1"/>
        <v>45817</v>
      </c>
      <c r="C361" vm="1039">
        <f ca="1"/>
        <v>104.97</v>
      </c>
      <c r="D361" vm="1040">
        <f ca="1"/>
        <v>17087328</v>
      </c>
      <c r="E361">
        <f t="shared" ca="1" si="105"/>
        <v>1793656820.1600001</v>
      </c>
      <c r="F361">
        <f ca="1">SUM($E$2:E361)/SUM($D$2:D361)</f>
        <v>111.46359298947191</v>
      </c>
      <c r="G361">
        <f ca="1">_xlfn.STDEV.P($C$2:C361)</f>
        <v>6.4229345892398984</v>
      </c>
      <c r="H361">
        <f t="shared" ca="1" si="106"/>
        <v>117.88652757871181</v>
      </c>
      <c r="I361">
        <f t="shared" ca="1" si="107"/>
        <v>105.040658400232</v>
      </c>
      <c r="J361">
        <f t="shared" ca="1" si="116"/>
        <v>104.78949999999998</v>
      </c>
      <c r="K361">
        <f t="shared" ca="1" si="117"/>
        <v>2.6123038329776023</v>
      </c>
      <c r="L361">
        <f t="shared" ca="1" si="118"/>
        <v>110.01410766595518</v>
      </c>
      <c r="M361">
        <f t="shared" ca="1" si="119"/>
        <v>99.564892334044771</v>
      </c>
      <c r="N361">
        <f t="shared" ca="1" si="108"/>
        <v>0.70000000000000284</v>
      </c>
      <c r="O361">
        <f t="shared" ca="1" si="109"/>
        <v>0.70000000000000284</v>
      </c>
      <c r="P361">
        <f t="shared" ca="1" si="110"/>
        <v>0</v>
      </c>
      <c r="Q361">
        <f t="shared" ca="1" si="114"/>
        <v>0.54155948184154734</v>
      </c>
      <c r="R361">
        <f t="shared" ca="1" si="115"/>
        <v>0.52607560099095296</v>
      </c>
      <c r="S361">
        <f t="shared" ca="1" si="112"/>
        <v>1.0294328055158382</v>
      </c>
      <c r="T361">
        <f t="shared" ca="1" si="113"/>
        <v>50.725148559633062</v>
      </c>
      <c r="U361">
        <f>70</f>
        <v>70</v>
      </c>
      <c r="V361">
        <f>30</f>
        <v>30</v>
      </c>
      <c r="W361">
        <f t="shared" ca="1" si="111"/>
        <v>103.73999554570685</v>
      </c>
      <c r="X361">
        <f t="shared" ca="1" si="121"/>
        <v>104.700609826894</v>
      </c>
      <c r="Y361">
        <f t="shared" ca="1" si="120"/>
        <v>-0.61185047483080268</v>
      </c>
      <c r="Z361">
        <f t="shared" ca="1" si="122"/>
        <v>-1.0210871229149656</v>
      </c>
      <c r="AA361">
        <f t="shared" ca="1" si="123"/>
        <v>0.40923664808416294</v>
      </c>
      <c r="AB361">
        <f t="shared" ca="1" si="124"/>
        <v>108.5063</v>
      </c>
    </row>
    <row r="362" spans="1:28" x14ac:dyDescent="0.25">
      <c r="A362" s="20">
        <f t="shared" ca="1" si="104"/>
        <v>45817</v>
      </c>
      <c r="B362" vm="1041">
        <f ca="1"/>
        <v>45818</v>
      </c>
      <c r="C362" vm="1042">
        <f ca="1"/>
        <v>107.22</v>
      </c>
      <c r="D362" vm="1043">
        <f ca="1"/>
        <v>17634793</v>
      </c>
      <c r="E362">
        <f t="shared" ca="1" si="105"/>
        <v>1890802505.46</v>
      </c>
      <c r="F362">
        <f ca="1">SUM($E$2:E362)/SUM($D$2:D362)</f>
        <v>111.45094823669403</v>
      </c>
      <c r="G362">
        <f ca="1">_xlfn.STDEV.P($C$2:C362)</f>
        <v>6.4188986143238171</v>
      </c>
      <c r="H362">
        <f t="shared" ca="1" si="106"/>
        <v>117.86984685101785</v>
      </c>
      <c r="I362">
        <f t="shared" ca="1" si="107"/>
        <v>105.03204962237021</v>
      </c>
      <c r="J362">
        <f t="shared" ca="1" si="116"/>
        <v>104.69249999999997</v>
      </c>
      <c r="K362">
        <f t="shared" ca="1" si="117"/>
        <v>2.473824814033184</v>
      </c>
      <c r="L362">
        <f t="shared" ca="1" si="118"/>
        <v>109.64014962806634</v>
      </c>
      <c r="M362">
        <f t="shared" ca="1" si="119"/>
        <v>99.744850371933595</v>
      </c>
      <c r="N362">
        <f t="shared" ca="1" si="108"/>
        <v>2.25</v>
      </c>
      <c r="O362">
        <f t="shared" ca="1" si="109"/>
        <v>2.25</v>
      </c>
      <c r="P362">
        <f t="shared" ca="1" si="110"/>
        <v>0</v>
      </c>
      <c r="Q362">
        <f t="shared" ca="1" si="114"/>
        <v>0.66359094742429392</v>
      </c>
      <c r="R362">
        <f t="shared" ca="1" si="115"/>
        <v>0.48849877234874206</v>
      </c>
      <c r="S362">
        <f t="shared" ca="1" si="112"/>
        <v>1.3584290994912727</v>
      </c>
      <c r="T362">
        <f t="shared" ca="1" si="113"/>
        <v>57.598894950214699</v>
      </c>
      <c r="U362">
        <f>70</f>
        <v>70</v>
      </c>
      <c r="V362">
        <f>30</f>
        <v>30</v>
      </c>
      <c r="W362">
        <f t="shared" ca="1" si="111"/>
        <v>104.27538084636734</v>
      </c>
      <c r="X362">
        <f t="shared" ca="1" si="121"/>
        <v>104.88723132119814</v>
      </c>
      <c r="Y362">
        <f t="shared" ca="1" si="120"/>
        <v>-0.16490617669030883</v>
      </c>
      <c r="Z362">
        <f t="shared" ca="1" si="122"/>
        <v>-0.84985093367003428</v>
      </c>
      <c r="AA362">
        <f t="shared" ca="1" si="123"/>
        <v>0.68494475697972546</v>
      </c>
      <c r="AB362">
        <f t="shared" ca="1" si="124"/>
        <v>108.46339999999998</v>
      </c>
    </row>
    <row r="363" spans="1:28" x14ac:dyDescent="0.25">
      <c r="A363" s="20">
        <f t="shared" ca="1" si="104"/>
        <v>45817</v>
      </c>
      <c r="B363" vm="1044">
        <f ca="1"/>
        <v>45819</v>
      </c>
      <c r="C363" vm="1045">
        <f ca="1"/>
        <v>109.31</v>
      </c>
      <c r="D363" vm="1046">
        <f ca="1"/>
        <v>22648191</v>
      </c>
      <c r="E363">
        <f t="shared" ca="1" si="105"/>
        <v>2475673758.21</v>
      </c>
      <c r="F363">
        <f ca="1">SUM($E$2:E363)/SUM($D$2:D363)</f>
        <v>111.44278641434182</v>
      </c>
      <c r="G363">
        <f ca="1">_xlfn.STDEV.P($C$2:C363)</f>
        <v>6.4115370734323491</v>
      </c>
      <c r="H363">
        <f t="shared" ca="1" si="106"/>
        <v>117.85432348777417</v>
      </c>
      <c r="I363">
        <f t="shared" ca="1" si="107"/>
        <v>105.03124934090948</v>
      </c>
      <c r="J363">
        <f t="shared" ca="1" si="116"/>
        <v>104.68499999999999</v>
      </c>
      <c r="K363">
        <f t="shared" ca="1" si="117"/>
        <v>2.4587919584090168</v>
      </c>
      <c r="L363">
        <f t="shared" ca="1" si="118"/>
        <v>109.60258391681802</v>
      </c>
      <c r="M363">
        <f t="shared" ca="1" si="119"/>
        <v>99.767416083181956</v>
      </c>
      <c r="N363">
        <f t="shared" ca="1" si="108"/>
        <v>2.0900000000000034</v>
      </c>
      <c r="O363">
        <f t="shared" ca="1" si="109"/>
        <v>2.0900000000000034</v>
      </c>
      <c r="P363">
        <f t="shared" ca="1" si="110"/>
        <v>0</v>
      </c>
      <c r="Q363">
        <f t="shared" ca="1" si="114"/>
        <v>0.76547730832255889</v>
      </c>
      <c r="R363">
        <f t="shared" ca="1" si="115"/>
        <v>0.45360600289526049</v>
      </c>
      <c r="S363">
        <f t="shared" ca="1" si="112"/>
        <v>1.6875378708321698</v>
      </c>
      <c r="T363">
        <f t="shared" ca="1" si="113"/>
        <v>62.791222000888126</v>
      </c>
      <c r="U363">
        <f>70</f>
        <v>70</v>
      </c>
      <c r="V363">
        <f>30</f>
        <v>30</v>
      </c>
      <c r="W363">
        <f t="shared" ca="1" si="111"/>
        <v>105.0499376392339</v>
      </c>
      <c r="X363">
        <f t="shared" ca="1" si="121"/>
        <v>105.21484381592421</v>
      </c>
      <c r="Y363">
        <f t="shared" ca="1" si="120"/>
        <v>0.22064740363846624</v>
      </c>
      <c r="Z363">
        <f t="shared" ca="1" si="122"/>
        <v>-0.63575126620833422</v>
      </c>
      <c r="AA363">
        <f t="shared" ca="1" si="123"/>
        <v>0.85639866984680046</v>
      </c>
      <c r="AB363">
        <f t="shared" ca="1" si="124"/>
        <v>108.44329999999998</v>
      </c>
    </row>
    <row r="364" spans="1:28" x14ac:dyDescent="0.25">
      <c r="A364" s="20">
        <f t="shared" ca="1" si="104"/>
        <v>45817</v>
      </c>
      <c r="B364" vm="1047">
        <f ca="1"/>
        <v>45820</v>
      </c>
      <c r="C364" vm="836">
        <f ca="1"/>
        <v>109.73</v>
      </c>
      <c r="D364" vm="1048">
        <f ca="1"/>
        <v>17469408</v>
      </c>
      <c r="E364">
        <f t="shared" ca="1" si="105"/>
        <v>1916918139.8400002</v>
      </c>
      <c r="F364">
        <f ca="1">SUM($E$2:E364)/SUM($D$2:D364)</f>
        <v>111.43776468077444</v>
      </c>
      <c r="G364">
        <f ca="1">_xlfn.STDEV.P($C$2:C364)</f>
        <v>6.4037608251021307</v>
      </c>
      <c r="H364">
        <f t="shared" ca="1" si="106"/>
        <v>117.84152550587656</v>
      </c>
      <c r="I364">
        <f t="shared" ca="1" si="107"/>
        <v>105.03400385567231</v>
      </c>
      <c r="J364">
        <f t="shared" ca="1" si="116"/>
        <v>104.74749999999999</v>
      </c>
      <c r="K364">
        <f t="shared" ca="1" si="117"/>
        <v>2.5735432772735733</v>
      </c>
      <c r="L364">
        <f t="shared" ca="1" si="118"/>
        <v>109.89458655454713</v>
      </c>
      <c r="M364">
        <f t="shared" ca="1" si="119"/>
        <v>99.600413445452844</v>
      </c>
      <c r="N364">
        <f t="shared" ca="1" si="108"/>
        <v>0.42000000000000171</v>
      </c>
      <c r="O364">
        <f t="shared" ca="1" si="109"/>
        <v>0.42000000000000171</v>
      </c>
      <c r="P364">
        <f t="shared" ca="1" si="110"/>
        <v>0</v>
      </c>
      <c r="Q364">
        <f t="shared" ca="1" si="114"/>
        <v>0.74080035772809061</v>
      </c>
      <c r="R364">
        <f t="shared" ca="1" si="115"/>
        <v>0.42120557411702764</v>
      </c>
      <c r="S364">
        <f t="shared" ca="1" si="112"/>
        <v>1.7587619994845245</v>
      </c>
      <c r="T364">
        <f t="shared" ca="1" si="113"/>
        <v>63.751856804361871</v>
      </c>
      <c r="U364">
        <f>70</f>
        <v>70</v>
      </c>
      <c r="V364">
        <f>30</f>
        <v>30</v>
      </c>
      <c r="W364">
        <f t="shared" ca="1" si="111"/>
        <v>105.76994723319791</v>
      </c>
      <c r="X364">
        <f t="shared" ca="1" si="121"/>
        <v>105.54929982955944</v>
      </c>
      <c r="Y364">
        <f t="shared" ca="1" si="120"/>
        <v>0.7108600673873724</v>
      </c>
      <c r="Z364">
        <f t="shared" ca="1" si="122"/>
        <v>-0.36642899948919289</v>
      </c>
      <c r="AA364">
        <f t="shared" ca="1" si="123"/>
        <v>1.0772890668765653</v>
      </c>
      <c r="AB364">
        <f t="shared" ca="1" si="124"/>
        <v>108.41739999999999</v>
      </c>
    </row>
    <row r="365" spans="1:28" x14ac:dyDescent="0.25">
      <c r="A365" s="20">
        <f t="shared" ca="1" si="104"/>
        <v>45817</v>
      </c>
      <c r="B365" vm="1049">
        <f ca="1"/>
        <v>45821</v>
      </c>
      <c r="C365" vm="1050">
        <f ca="1"/>
        <v>112.12</v>
      </c>
      <c r="D365" vm="1051">
        <f ca="1"/>
        <v>28540165</v>
      </c>
      <c r="E365">
        <f t="shared" ca="1" si="105"/>
        <v>3199923299.8000002</v>
      </c>
      <c r="F365">
        <f ca="1">SUM($E$2:E365)/SUM($D$2:D365)</f>
        <v>111.44101695888635</v>
      </c>
      <c r="G365">
        <f ca="1">_xlfn.STDEV.P($C$2:C365)</f>
        <v>6.3949647385081398</v>
      </c>
      <c r="H365">
        <f t="shared" ca="1" si="106"/>
        <v>117.83598169739449</v>
      </c>
      <c r="I365">
        <f t="shared" ca="1" si="107"/>
        <v>105.04605222037821</v>
      </c>
      <c r="J365">
        <f t="shared" ca="1" si="116"/>
        <v>104.92449999999999</v>
      </c>
      <c r="K365">
        <f t="shared" ca="1" si="117"/>
        <v>2.9458132198623526</v>
      </c>
      <c r="L365">
        <f t="shared" ca="1" si="118"/>
        <v>110.8161264397247</v>
      </c>
      <c r="M365">
        <f t="shared" ca="1" si="119"/>
        <v>99.032873560275291</v>
      </c>
      <c r="N365">
        <f t="shared" ca="1" si="108"/>
        <v>2.3900000000000006</v>
      </c>
      <c r="O365">
        <f t="shared" ca="1" si="109"/>
        <v>2.3900000000000006</v>
      </c>
      <c r="P365">
        <f t="shared" ca="1" si="110"/>
        <v>0</v>
      </c>
      <c r="Q365">
        <f t="shared" ca="1" si="114"/>
        <v>0.85860033217608411</v>
      </c>
      <c r="R365">
        <f t="shared" ca="1" si="115"/>
        <v>0.39111946168009709</v>
      </c>
      <c r="S365">
        <f t="shared" ca="1" si="112"/>
        <v>2.1952380699438248</v>
      </c>
      <c r="T365">
        <f t="shared" ca="1" si="113"/>
        <v>68.70342747206999</v>
      </c>
      <c r="U365">
        <f>70</f>
        <v>70</v>
      </c>
      <c r="V365">
        <f>30</f>
        <v>30</v>
      </c>
      <c r="W365">
        <f t="shared" ca="1" si="111"/>
        <v>106.74687842809055</v>
      </c>
      <c r="X365">
        <f t="shared" ca="1" si="121"/>
        <v>106.03601836070318</v>
      </c>
      <c r="Y365">
        <f t="shared" ca="1" si="120"/>
        <v>1.1155467974768101</v>
      </c>
      <c r="Z365">
        <f t="shared" ca="1" si="122"/>
        <v>-7.0033840095992284E-2</v>
      </c>
      <c r="AA365">
        <f t="shared" ca="1" si="123"/>
        <v>1.1855806375728024</v>
      </c>
      <c r="AB365">
        <f t="shared" ca="1" si="124"/>
        <v>108.42389999999999</v>
      </c>
    </row>
    <row r="366" spans="1:28" x14ac:dyDescent="0.25">
      <c r="A366" s="20">
        <f t="shared" ca="1" si="104"/>
        <v>45824</v>
      </c>
      <c r="B366" vm="1052">
        <f ca="1"/>
        <v>45824</v>
      </c>
      <c r="C366" vm="1053">
        <f ca="1"/>
        <v>112.48</v>
      </c>
      <c r="D366" vm="1054">
        <f ca="1"/>
        <v>22986113</v>
      </c>
      <c r="E366">
        <f t="shared" ca="1" si="105"/>
        <v>2585477990.2400002</v>
      </c>
      <c r="F366">
        <f ca="1">SUM($E$2:E366)/SUM($D$2:D366)</f>
        <v>111.4449907657871</v>
      </c>
      <c r="G366">
        <f ca="1">_xlfn.STDEV.P($C$2:C366)</f>
        <v>6.3862589425199285</v>
      </c>
      <c r="H366">
        <f t="shared" ca="1" si="106"/>
        <v>117.83124970830703</v>
      </c>
      <c r="I366">
        <f t="shared" ca="1" si="107"/>
        <v>105.05873182326717</v>
      </c>
      <c r="J366">
        <f t="shared" ca="1" si="116"/>
        <v>105.13899999999998</v>
      </c>
      <c r="K366">
        <f t="shared" ca="1" si="117"/>
        <v>3.3275594027676472</v>
      </c>
      <c r="L366">
        <f t="shared" ca="1" si="118"/>
        <v>111.79411880553528</v>
      </c>
      <c r="M366">
        <f t="shared" ca="1" si="119"/>
        <v>98.483881194464686</v>
      </c>
      <c r="N366">
        <f t="shared" ca="1" si="108"/>
        <v>0.35999999999999943</v>
      </c>
      <c r="O366">
        <f t="shared" ca="1" si="109"/>
        <v>0.35999999999999943</v>
      </c>
      <c r="P366">
        <f t="shared" ca="1" si="110"/>
        <v>0</v>
      </c>
      <c r="Q366">
        <f t="shared" ca="1" si="114"/>
        <v>0.82298602273493515</v>
      </c>
      <c r="R366">
        <f t="shared" ca="1" si="115"/>
        <v>0.36318235727437587</v>
      </c>
      <c r="S366">
        <f t="shared" ca="1" si="112"/>
        <v>2.2660407540479404</v>
      </c>
      <c r="T366">
        <f t="shared" ca="1" si="113"/>
        <v>69.381888491115831</v>
      </c>
      <c r="U366">
        <f>70</f>
        <v>70</v>
      </c>
      <c r="V366">
        <f>30</f>
        <v>30</v>
      </c>
      <c r="W366">
        <f t="shared" ca="1" si="111"/>
        <v>107.62889713146124</v>
      </c>
      <c r="X366">
        <f t="shared" ca="1" si="121"/>
        <v>106.51335033398443</v>
      </c>
      <c r="Y366">
        <f t="shared" ca="1" si="120"/>
        <v>1.5411498276326085</v>
      </c>
      <c r="Z366">
        <f t="shared" ca="1" si="122"/>
        <v>0.25220289344972791</v>
      </c>
      <c r="AA366">
        <f t="shared" ca="1" si="123"/>
        <v>1.2889469341828805</v>
      </c>
      <c r="AB366">
        <f t="shared" ca="1" si="124"/>
        <v>108.45339999999999</v>
      </c>
    </row>
    <row r="367" spans="1:28" x14ac:dyDescent="0.25">
      <c r="A367" s="20">
        <f t="shared" ca="1" si="104"/>
        <v>45824</v>
      </c>
      <c r="B367" vm="1055">
        <f ca="1"/>
        <v>45825</v>
      </c>
      <c r="C367" vm="1056">
        <f ca="1"/>
        <v>114</v>
      </c>
      <c r="D367" vm="1057">
        <f ca="1"/>
        <v>19451701</v>
      </c>
      <c r="E367">
        <f t="shared" ca="1" si="105"/>
        <v>2217493914</v>
      </c>
      <c r="F367">
        <f ca="1">SUM($E$2:E367)/SUM($D$2:D367)</f>
        <v>111.45323365477212</v>
      </c>
      <c r="G367">
        <f ca="1">_xlfn.STDEV.P($C$2:C367)</f>
        <v>6.3784263376412982</v>
      </c>
      <c r="H367">
        <f t="shared" ca="1" si="106"/>
        <v>117.83165999241342</v>
      </c>
      <c r="I367">
        <f t="shared" ca="1" si="107"/>
        <v>105.07480731713082</v>
      </c>
      <c r="J367">
        <f t="shared" ca="1" si="116"/>
        <v>105.5155</v>
      </c>
      <c r="K367">
        <f t="shared" ca="1" si="117"/>
        <v>3.8681635449559697</v>
      </c>
      <c r="L367">
        <f t="shared" ca="1" si="118"/>
        <v>113.25182708991194</v>
      </c>
      <c r="M367">
        <f t="shared" ca="1" si="119"/>
        <v>97.779172910088064</v>
      </c>
      <c r="N367">
        <f t="shared" ca="1" si="108"/>
        <v>1.519999999999996</v>
      </c>
      <c r="O367">
        <f t="shared" ca="1" si="109"/>
        <v>1.519999999999996</v>
      </c>
      <c r="P367">
        <f t="shared" ca="1" si="110"/>
        <v>0</v>
      </c>
      <c r="Q367">
        <f t="shared" ca="1" si="114"/>
        <v>0.87277273539672517</v>
      </c>
      <c r="R367">
        <f t="shared" ca="1" si="115"/>
        <v>0.33724076032620615</v>
      </c>
      <c r="S367">
        <f t="shared" ca="1" si="112"/>
        <v>2.5879811638204995</v>
      </c>
      <c r="T367">
        <f t="shared" ca="1" si="113"/>
        <v>72.129173639941996</v>
      </c>
      <c r="U367">
        <f>70</f>
        <v>70</v>
      </c>
      <c r="V367">
        <f>30</f>
        <v>30</v>
      </c>
      <c r="W367">
        <f t="shared" ca="1" si="111"/>
        <v>108.60906680354412</v>
      </c>
      <c r="X367">
        <f t="shared" ca="1" si="121"/>
        <v>107.06791697591152</v>
      </c>
      <c r="Y367">
        <f t="shared" ca="1" si="120"/>
        <v>1.7924211495195408</v>
      </c>
      <c r="Z367">
        <f t="shared" ca="1" si="122"/>
        <v>0.5602465446636905</v>
      </c>
      <c r="AA367">
        <f t="shared" ca="1" si="123"/>
        <v>1.2321746048558504</v>
      </c>
      <c r="AB367">
        <f t="shared" ca="1" si="124"/>
        <v>108.4919</v>
      </c>
    </row>
    <row r="368" spans="1:28" x14ac:dyDescent="0.25">
      <c r="A368" s="20">
        <f t="shared" ca="1" si="104"/>
        <v>45824</v>
      </c>
      <c r="B368" vm="1058">
        <f ca="1"/>
        <v>45826</v>
      </c>
      <c r="C368" vm="1059">
        <f ca="1"/>
        <v>113.19</v>
      </c>
      <c r="D368" vm="1060">
        <f ca="1"/>
        <v>17968893</v>
      </c>
      <c r="E368">
        <f t="shared" ca="1" si="105"/>
        <v>2033898998.6700001</v>
      </c>
      <c r="F368">
        <f ca="1">SUM($E$2:E368)/SUM($D$2:D368)</f>
        <v>111.45839424925255</v>
      </c>
      <c r="G368">
        <f ca="1">_xlfn.STDEV.P($C$2:C368)</f>
        <v>6.3700555098685072</v>
      </c>
      <c r="H368">
        <f t="shared" ca="1" si="106"/>
        <v>117.82844975912106</v>
      </c>
      <c r="I368">
        <f t="shared" ca="1" si="107"/>
        <v>105.08833873938404</v>
      </c>
      <c r="J368">
        <f t="shared" ca="1" si="116"/>
        <v>105.92749999999998</v>
      </c>
      <c r="K368">
        <f t="shared" ca="1" si="117"/>
        <v>4.2269459859833871</v>
      </c>
      <c r="L368">
        <f t="shared" ca="1" si="118"/>
        <v>114.38139197196675</v>
      </c>
      <c r="M368">
        <f t="shared" ca="1" si="119"/>
        <v>97.473608028033212</v>
      </c>
      <c r="N368">
        <f t="shared" ca="1" si="108"/>
        <v>-0.81000000000000227</v>
      </c>
      <c r="O368">
        <f t="shared" ca="1" si="109"/>
        <v>0</v>
      </c>
      <c r="P368">
        <f t="shared" ca="1" si="110"/>
        <v>0.81000000000000227</v>
      </c>
      <c r="Q368">
        <f t="shared" ca="1" si="114"/>
        <v>0.81043182572553063</v>
      </c>
      <c r="R368">
        <f t="shared" ca="1" si="115"/>
        <v>0.37100927744576301</v>
      </c>
      <c r="S368">
        <f t="shared" ca="1" si="112"/>
        <v>2.1843977361024502</v>
      </c>
      <c r="T368">
        <f t="shared" ca="1" si="113"/>
        <v>68.596887610404096</v>
      </c>
      <c r="U368">
        <f>70</f>
        <v>70</v>
      </c>
      <c r="V368">
        <f>30</f>
        <v>30</v>
      </c>
      <c r="W368">
        <f t="shared" ca="1" si="111"/>
        <v>109.31382575684502</v>
      </c>
      <c r="X368">
        <f t="shared" ca="1" si="121"/>
        <v>107.52140460732548</v>
      </c>
      <c r="Y368">
        <f t="shared" ca="1" si="120"/>
        <v>2.0893155339093852</v>
      </c>
      <c r="Z368">
        <f t="shared" ca="1" si="122"/>
        <v>0.86606034251282948</v>
      </c>
      <c r="AA368">
        <f t="shared" ca="1" si="123"/>
        <v>1.2232551913965557</v>
      </c>
      <c r="AB368">
        <f t="shared" ca="1" si="124"/>
        <v>108.5372</v>
      </c>
    </row>
    <row r="369" spans="1:28" x14ac:dyDescent="0.25">
      <c r="A369" s="20">
        <f t="shared" ca="1" si="104"/>
        <v>45824</v>
      </c>
      <c r="B369" vm="1061">
        <f ca="1"/>
        <v>45828</v>
      </c>
      <c r="C369" vm="1062">
        <f ca="1"/>
        <v>114.7</v>
      </c>
      <c r="D369" vm="1063">
        <f ca="1"/>
        <v>36273288</v>
      </c>
      <c r="E369">
        <f t="shared" ca="1" si="105"/>
        <v>4160546133.5999999</v>
      </c>
      <c r="F369">
        <f ca="1">SUM($E$2:E369)/SUM($D$2:D369)</f>
        <v>111.47772224906889</v>
      </c>
      <c r="G369">
        <f ca="1">_xlfn.STDEV.P($C$2:C369)</f>
        <v>6.3629949084775088</v>
      </c>
      <c r="H369">
        <f t="shared" ca="1" si="106"/>
        <v>117.84071715754639</v>
      </c>
      <c r="I369">
        <f t="shared" ca="1" si="107"/>
        <v>105.11472734059139</v>
      </c>
      <c r="J369">
        <f t="shared" ca="1" si="116"/>
        <v>106.47949999999999</v>
      </c>
      <c r="K369">
        <f t="shared" ca="1" si="117"/>
        <v>4.6180167479352585</v>
      </c>
      <c r="L369">
        <f t="shared" ca="1" si="118"/>
        <v>115.7155334958705</v>
      </c>
      <c r="M369">
        <f t="shared" ca="1" si="119"/>
        <v>97.243466504129472</v>
      </c>
      <c r="N369">
        <f t="shared" ca="1" si="108"/>
        <v>1.5100000000000051</v>
      </c>
      <c r="O369">
        <f t="shared" ca="1" si="109"/>
        <v>1.5100000000000051</v>
      </c>
      <c r="P369">
        <f t="shared" ca="1" si="110"/>
        <v>0</v>
      </c>
      <c r="Q369">
        <f t="shared" ca="1" si="114"/>
        <v>0.86040098103085028</v>
      </c>
      <c r="R369">
        <f t="shared" ca="1" si="115"/>
        <v>0.3445086147710657</v>
      </c>
      <c r="S369">
        <f t="shared" ca="1" si="112"/>
        <v>2.4974730504275127</v>
      </c>
      <c r="T369">
        <f t="shared" ca="1" si="113"/>
        <v>71.407928364801407</v>
      </c>
      <c r="U369">
        <f>70</f>
        <v>70</v>
      </c>
      <c r="V369">
        <f>30</f>
        <v>30</v>
      </c>
      <c r="W369">
        <f t="shared" ca="1" si="111"/>
        <v>110.14246794809964</v>
      </c>
      <c r="X369">
        <f t="shared" ca="1" si="121"/>
        <v>108.05315241419025</v>
      </c>
      <c r="Y369">
        <f t="shared" ca="1" si="120"/>
        <v>2.0619898745691216</v>
      </c>
      <c r="Z369">
        <f t="shared" ca="1" si="122"/>
        <v>1.105246248924088</v>
      </c>
      <c r="AA369">
        <f t="shared" ca="1" si="123"/>
        <v>0.95674362564503368</v>
      </c>
      <c r="AB369">
        <f t="shared" ca="1" si="124"/>
        <v>108.58250000000002</v>
      </c>
    </row>
    <row r="370" spans="1:28" x14ac:dyDescent="0.25">
      <c r="A370" s="20">
        <f t="shared" ca="1" si="104"/>
        <v>45831</v>
      </c>
      <c r="B370" vm="1064">
        <f ca="1"/>
        <v>45831</v>
      </c>
      <c r="C370" vm="347">
        <f ca="1"/>
        <v>111.74</v>
      </c>
      <c r="D370" vm="1065">
        <f ca="1"/>
        <v>26631056</v>
      </c>
      <c r="E370">
        <f t="shared" ca="1" si="105"/>
        <v>2975754197.4400001</v>
      </c>
      <c r="F370">
        <f ca="1">SUM($E$2:E370)/SUM($D$2:D370)</f>
        <v>111.47886537124337</v>
      </c>
      <c r="G370">
        <f ca="1">_xlfn.STDEV.P($C$2:C370)</f>
        <v>6.3543780086806434</v>
      </c>
      <c r="H370">
        <f t="shared" ca="1" si="106"/>
        <v>117.83324337992401</v>
      </c>
      <c r="I370">
        <f t="shared" ca="1" si="107"/>
        <v>105.12448736256273</v>
      </c>
      <c r="J370">
        <f t="shared" ca="1" si="116"/>
        <v>106.91800000000001</v>
      </c>
      <c r="K370">
        <f t="shared" ca="1" si="117"/>
        <v>4.683150761253752</v>
      </c>
      <c r="L370">
        <f t="shared" ca="1" si="118"/>
        <v>116.2843015225075</v>
      </c>
      <c r="M370">
        <f t="shared" ca="1" si="119"/>
        <v>97.551698477492508</v>
      </c>
      <c r="N370">
        <f t="shared" ca="1" si="108"/>
        <v>-2.960000000000008</v>
      </c>
      <c r="O370">
        <f t="shared" ca="1" si="109"/>
        <v>0</v>
      </c>
      <c r="P370">
        <f t="shared" ca="1" si="110"/>
        <v>2.960000000000008</v>
      </c>
      <c r="Q370">
        <f t="shared" ca="1" si="114"/>
        <v>0.79894376810007528</v>
      </c>
      <c r="R370">
        <f t="shared" ca="1" si="115"/>
        <v>0.53132942800170446</v>
      </c>
      <c r="S370">
        <f t="shared" ca="1" si="112"/>
        <v>1.5036693358108377</v>
      </c>
      <c r="T370">
        <f t="shared" ca="1" si="113"/>
        <v>60.058623329500492</v>
      </c>
      <c r="U370">
        <f>70</f>
        <v>70</v>
      </c>
      <c r="V370">
        <f>30</f>
        <v>30</v>
      </c>
      <c r="W370">
        <f t="shared" ca="1" si="111"/>
        <v>110.38824210993046</v>
      </c>
      <c r="X370">
        <f t="shared" ca="1" si="121"/>
        <v>108.32625223536134</v>
      </c>
      <c r="Y370">
        <f t="shared" ca="1" si="120"/>
        <v>1.7458573508744024</v>
      </c>
      <c r="Z370">
        <f t="shared" ca="1" si="122"/>
        <v>1.2333684693141509</v>
      </c>
      <c r="AA370">
        <f t="shared" ca="1" si="123"/>
        <v>0.51248888156025152</v>
      </c>
      <c r="AB370">
        <f t="shared" ca="1" si="124"/>
        <v>108.6195</v>
      </c>
    </row>
    <row r="371" spans="1:28" x14ac:dyDescent="0.25">
      <c r="A371" s="20">
        <f t="shared" ca="1" si="104"/>
        <v>45831</v>
      </c>
      <c r="B371" vm="1066">
        <f ca="1"/>
        <v>45832</v>
      </c>
      <c r="C371" vm="1067">
        <f ca="1"/>
        <v>108.34</v>
      </c>
      <c r="D371" vm="1068">
        <f ca="1"/>
        <v>24828277</v>
      </c>
      <c r="E371">
        <f t="shared" ca="1" si="105"/>
        <v>2689895530.1800003</v>
      </c>
      <c r="F371">
        <f ca="1">SUM($E$2:E371)/SUM($D$2:D371)</f>
        <v>111.4661625277985</v>
      </c>
      <c r="G371">
        <f ca="1">_xlfn.STDEV.P($C$2:C371)</f>
        <v>6.348576460475762</v>
      </c>
      <c r="H371">
        <f t="shared" ca="1" si="106"/>
        <v>117.81473898827426</v>
      </c>
      <c r="I371">
        <f t="shared" ca="1" si="107"/>
        <v>105.11758606732275</v>
      </c>
      <c r="J371">
        <f t="shared" ca="1" si="116"/>
        <v>107.18350000000001</v>
      </c>
      <c r="K371">
        <f t="shared" ca="1" si="117"/>
        <v>4.6009258507620547</v>
      </c>
      <c r="L371">
        <f t="shared" ca="1" si="118"/>
        <v>116.38535170152412</v>
      </c>
      <c r="M371">
        <f t="shared" ca="1" si="119"/>
        <v>97.981648298475903</v>
      </c>
      <c r="N371">
        <f t="shared" ca="1" si="108"/>
        <v>-3.3999999999999915</v>
      </c>
      <c r="O371">
        <f t="shared" ca="1" si="109"/>
        <v>0</v>
      </c>
      <c r="P371">
        <f t="shared" ca="1" si="110"/>
        <v>3.3999999999999915</v>
      </c>
      <c r="Q371">
        <f t="shared" ca="1" si="114"/>
        <v>0.74187635609292701</v>
      </c>
      <c r="R371">
        <f t="shared" ca="1" si="115"/>
        <v>0.7362344688587249</v>
      </c>
      <c r="S371">
        <f t="shared" ca="1" si="112"/>
        <v>1.0076631663863116</v>
      </c>
      <c r="T371">
        <f t="shared" ca="1" si="113"/>
        <v>50.190847910013339</v>
      </c>
      <c r="U371">
        <f>70</f>
        <v>70</v>
      </c>
      <c r="V371">
        <f>30</f>
        <v>30</v>
      </c>
      <c r="W371">
        <f t="shared" ca="1" si="111"/>
        <v>110.07312793917193</v>
      </c>
      <c r="X371">
        <f t="shared" ca="1" si="121"/>
        <v>108.32727058829752</v>
      </c>
      <c r="Y371">
        <f t="shared" ca="1" si="120"/>
        <v>1.480672526317278</v>
      </c>
      <c r="Z371">
        <f t="shared" ca="1" si="122"/>
        <v>1.2828292807147763</v>
      </c>
      <c r="AA371">
        <f t="shared" ca="1" si="123"/>
        <v>0.19784324560250166</v>
      </c>
      <c r="AB371">
        <f t="shared" ca="1" si="124"/>
        <v>108.61620000000001</v>
      </c>
    </row>
    <row r="372" spans="1:28" x14ac:dyDescent="0.25">
      <c r="A372" s="20">
        <f t="shared" ca="1" si="104"/>
        <v>45831</v>
      </c>
      <c r="B372" vm="1069">
        <f ca="1"/>
        <v>45833</v>
      </c>
      <c r="C372" vm="1070">
        <f ca="1"/>
        <v>108.37</v>
      </c>
      <c r="D372" vm="1071">
        <f ca="1"/>
        <v>17483231</v>
      </c>
      <c r="E372">
        <f t="shared" ca="1" si="105"/>
        <v>1894657743.47</v>
      </c>
      <c r="F372">
        <f ca="1">SUM($E$2:E372)/SUM($D$2:D372)</f>
        <v>111.45736437986723</v>
      </c>
      <c r="G372">
        <f ca="1">_xlfn.STDEV.P($C$2:C372)</f>
        <v>6.3427401231672587</v>
      </c>
      <c r="H372">
        <f t="shared" ca="1" si="106"/>
        <v>117.80010450303449</v>
      </c>
      <c r="I372">
        <f t="shared" ca="1" si="107"/>
        <v>105.11462425669997</v>
      </c>
      <c r="J372">
        <f t="shared" ca="1" si="116"/>
        <v>107.426</v>
      </c>
      <c r="K372">
        <f t="shared" ca="1" si="117"/>
        <v>4.5248569619730308</v>
      </c>
      <c r="L372">
        <f t="shared" ca="1" si="118"/>
        <v>116.47571392394606</v>
      </c>
      <c r="M372">
        <f t="shared" ca="1" si="119"/>
        <v>98.376286076053944</v>
      </c>
      <c r="N372">
        <f t="shared" ca="1" si="108"/>
        <v>3.0000000000001137E-2</v>
      </c>
      <c r="O372">
        <f t="shared" ca="1" si="109"/>
        <v>3.0000000000001137E-2</v>
      </c>
      <c r="P372">
        <f t="shared" ca="1" si="110"/>
        <v>0</v>
      </c>
      <c r="Q372">
        <f t="shared" ca="1" si="114"/>
        <v>0.69102804494343228</v>
      </c>
      <c r="R372">
        <f t="shared" ca="1" si="115"/>
        <v>0.68364629251167308</v>
      </c>
      <c r="S372">
        <f t="shared" ca="1" si="112"/>
        <v>1.0107976193429487</v>
      </c>
      <c r="T372">
        <f t="shared" ca="1" si="113"/>
        <v>50.268490952025218</v>
      </c>
      <c r="U372">
        <f>70</f>
        <v>70</v>
      </c>
      <c r="V372">
        <f>30</f>
        <v>30</v>
      </c>
      <c r="W372">
        <f t="shared" ca="1" si="111"/>
        <v>109.8111082562224</v>
      </c>
      <c r="X372">
        <f t="shared" ca="1" si="121"/>
        <v>108.33043572990512</v>
      </c>
      <c r="Y372">
        <f t="shared" ca="1" si="120"/>
        <v>1.3852636463786041</v>
      </c>
      <c r="Z372">
        <f t="shared" ca="1" si="122"/>
        <v>1.303316153847542</v>
      </c>
      <c r="AA372">
        <f t="shared" ca="1" si="123"/>
        <v>8.1947492531062149E-2</v>
      </c>
      <c r="AB372">
        <f t="shared" ca="1" si="124"/>
        <v>108.60420000000002</v>
      </c>
    </row>
    <row r="373" spans="1:28" x14ac:dyDescent="0.25">
      <c r="A373" s="20">
        <f t="shared" ca="1" si="104"/>
        <v>45831</v>
      </c>
      <c r="B373" vm="1072">
        <f ca="1"/>
        <v>45834</v>
      </c>
      <c r="C373" vm="1073">
        <f ca="1"/>
        <v>109.99</v>
      </c>
      <c r="D373" vm="1074">
        <f ca="1"/>
        <v>18304841</v>
      </c>
      <c r="E373">
        <f t="shared" ca="1" si="105"/>
        <v>2013349461.5899999</v>
      </c>
      <c r="F373">
        <f ca="1">SUM($E$2:E373)/SUM($D$2:D373)</f>
        <v>111.45301167154658</v>
      </c>
      <c r="G373">
        <f ca="1">_xlfn.STDEV.P($C$2:C373)</f>
        <v>6.3350190170359921</v>
      </c>
      <c r="H373">
        <f t="shared" ca="1" si="106"/>
        <v>117.78803068858257</v>
      </c>
      <c r="I373">
        <f t="shared" ca="1" si="107"/>
        <v>105.11799265451059</v>
      </c>
      <c r="J373">
        <f t="shared" ca="1" si="116"/>
        <v>107.82000000000001</v>
      </c>
      <c r="K373">
        <f t="shared" ca="1" si="117"/>
        <v>4.3783065700168429</v>
      </c>
      <c r="L373">
        <f t="shared" ca="1" si="118"/>
        <v>116.57661314003369</v>
      </c>
      <c r="M373">
        <f t="shared" ca="1" si="119"/>
        <v>99.063386859966329</v>
      </c>
      <c r="N373">
        <f t="shared" ca="1" si="108"/>
        <v>1.6199999999999903</v>
      </c>
      <c r="O373">
        <f t="shared" ca="1" si="109"/>
        <v>1.6199999999999903</v>
      </c>
      <c r="P373">
        <f t="shared" ca="1" si="110"/>
        <v>0</v>
      </c>
      <c r="Q373">
        <f t="shared" ca="1" si="114"/>
        <v>0.75738318459032938</v>
      </c>
      <c r="R373">
        <f t="shared" ca="1" si="115"/>
        <v>0.63481441447512499</v>
      </c>
      <c r="S373">
        <f t="shared" ca="1" si="112"/>
        <v>1.1930781143596847</v>
      </c>
      <c r="T373">
        <f t="shared" ca="1" si="113"/>
        <v>54.401988991989413</v>
      </c>
      <c r="U373">
        <f>70</f>
        <v>70</v>
      </c>
      <c r="V373">
        <f>30</f>
        <v>30</v>
      </c>
      <c r="W373">
        <f t="shared" ca="1" si="111"/>
        <v>109.83863006295741</v>
      </c>
      <c r="X373">
        <f t="shared" ca="1" si="121"/>
        <v>108.4533664165788</v>
      </c>
      <c r="Y373">
        <f t="shared" ca="1" si="120"/>
        <v>1.2460656504565151</v>
      </c>
      <c r="Z373">
        <f t="shared" ca="1" si="122"/>
        <v>1.2918660531693367</v>
      </c>
      <c r="AA373">
        <f t="shared" ca="1" si="123"/>
        <v>-4.5800402712821597E-2</v>
      </c>
      <c r="AB373">
        <f t="shared" ca="1" si="124"/>
        <v>108.63580000000002</v>
      </c>
    </row>
    <row r="374" spans="1:28" x14ac:dyDescent="0.25">
      <c r="A374" s="20">
        <f t="shared" ca="1" si="104"/>
        <v>45831</v>
      </c>
      <c r="B374" vm="1075">
        <f ca="1"/>
        <v>45835</v>
      </c>
      <c r="C374" vm="344">
        <f ca="1"/>
        <v>109.38</v>
      </c>
      <c r="D374" vm="1076">
        <f ca="1"/>
        <v>22002079</v>
      </c>
      <c r="E374">
        <f t="shared" ca="1" si="105"/>
        <v>2406587401.02</v>
      </c>
      <c r="F374">
        <f ca="1">SUM($E$2:E374)/SUM($D$2:D374)</f>
        <v>111.44564662696123</v>
      </c>
      <c r="G374">
        <f ca="1">_xlfn.STDEV.P($C$2:C374)</f>
        <v>6.3279071335801547</v>
      </c>
      <c r="H374">
        <f t="shared" ca="1" si="106"/>
        <v>117.77355376054139</v>
      </c>
      <c r="I374">
        <f t="shared" ca="1" si="107"/>
        <v>105.11773949338108</v>
      </c>
      <c r="J374">
        <f t="shared" ca="1" si="116"/>
        <v>108.15450000000001</v>
      </c>
      <c r="K374">
        <f t="shared" ca="1" si="117"/>
        <v>4.2183851674607249</v>
      </c>
      <c r="L374">
        <f t="shared" ca="1" si="118"/>
        <v>116.59127033492146</v>
      </c>
      <c r="M374">
        <f t="shared" ca="1" si="119"/>
        <v>99.717729665078565</v>
      </c>
      <c r="N374">
        <f t="shared" ca="1" si="108"/>
        <v>-0.60999999999999943</v>
      </c>
      <c r="O374">
        <f t="shared" ca="1" si="109"/>
        <v>0</v>
      </c>
      <c r="P374">
        <f t="shared" ca="1" si="110"/>
        <v>0.60999999999999943</v>
      </c>
      <c r="Q374">
        <f t="shared" ca="1" si="114"/>
        <v>0.70328438569102014</v>
      </c>
      <c r="R374">
        <f t="shared" ca="1" si="115"/>
        <v>0.63304195629833038</v>
      </c>
      <c r="S374">
        <f t="shared" ca="1" si="112"/>
        <v>1.1109601483658802</v>
      </c>
      <c r="T374">
        <f t="shared" ca="1" si="113"/>
        <v>52.628191452400834</v>
      </c>
      <c r="U374">
        <f>70</f>
        <v>70</v>
      </c>
      <c r="V374">
        <f>30</f>
        <v>30</v>
      </c>
      <c r="W374">
        <f t="shared" ca="1" si="111"/>
        <v>109.76807159173319</v>
      </c>
      <c r="X374">
        <f t="shared" ca="1" si="121"/>
        <v>108.52200594127667</v>
      </c>
      <c r="Y374">
        <f t="shared" ca="1" si="120"/>
        <v>0.99676732715053618</v>
      </c>
      <c r="Z374">
        <f t="shared" ca="1" si="122"/>
        <v>1.2328463079655767</v>
      </c>
      <c r="AA374">
        <f t="shared" ca="1" si="123"/>
        <v>-0.23607898081504053</v>
      </c>
      <c r="AB374">
        <f t="shared" ca="1" si="124"/>
        <v>108.65870000000001</v>
      </c>
    </row>
    <row r="375" spans="1:28" x14ac:dyDescent="0.25">
      <c r="A375" s="20">
        <f t="shared" ca="1" si="104"/>
        <v>45838</v>
      </c>
      <c r="B375" vm="1077">
        <f ca="1"/>
        <v>45838</v>
      </c>
      <c r="C375" vm="1078">
        <f ca="1"/>
        <v>107.8</v>
      </c>
      <c r="D375" vm="1079">
        <f ca="1"/>
        <v>19199048</v>
      </c>
      <c r="E375">
        <f t="shared" ca="1" si="105"/>
        <v>2069657374.3999999</v>
      </c>
      <c r="F375">
        <f ca="1">SUM($E$2:E375)/SUM($D$2:D375)</f>
        <v>111.43437932687725</v>
      </c>
      <c r="G375">
        <f ca="1">_xlfn.STDEV.P($C$2:C375)</f>
        <v>6.3230466671394145</v>
      </c>
      <c r="H375">
        <f t="shared" ca="1" si="106"/>
        <v>117.75742599401666</v>
      </c>
      <c r="I375">
        <f t="shared" ca="1" si="107"/>
        <v>105.11133265973784</v>
      </c>
      <c r="J375">
        <f t="shared" ca="1" si="116"/>
        <v>108.4295</v>
      </c>
      <c r="K375">
        <f t="shared" ca="1" si="117"/>
        <v>3.9897150340132805</v>
      </c>
      <c r="L375">
        <f t="shared" ca="1" si="118"/>
        <v>116.40893006802656</v>
      </c>
      <c r="M375">
        <f t="shared" ca="1" si="119"/>
        <v>100.45006993197345</v>
      </c>
      <c r="N375">
        <f t="shared" ca="1" si="108"/>
        <v>-1.5799999999999983</v>
      </c>
      <c r="O375">
        <f t="shared" ca="1" si="109"/>
        <v>0</v>
      </c>
      <c r="P375">
        <f t="shared" ca="1" si="110"/>
        <v>1.5799999999999983</v>
      </c>
      <c r="Q375">
        <f t="shared" ca="1" si="114"/>
        <v>0.65304978671309022</v>
      </c>
      <c r="R375">
        <f t="shared" ca="1" si="115"/>
        <v>0.7006818165627352</v>
      </c>
      <c r="S375">
        <f t="shared" ca="1" si="112"/>
        <v>0.93202045675552325</v>
      </c>
      <c r="T375">
        <f t="shared" ca="1" si="113"/>
        <v>48.240713678605765</v>
      </c>
      <c r="U375">
        <f>70</f>
        <v>70</v>
      </c>
      <c r="V375">
        <f>30</f>
        <v>30</v>
      </c>
      <c r="W375">
        <f t="shared" ca="1" si="111"/>
        <v>109.46529134685116</v>
      </c>
      <c r="X375">
        <f t="shared" ca="1" si="121"/>
        <v>108.46852401970062</v>
      </c>
      <c r="Y375">
        <f t="shared" ca="1" si="120"/>
        <v>0.90496075103159512</v>
      </c>
      <c r="Z375">
        <f t="shared" ca="1" si="122"/>
        <v>1.1672691965787805</v>
      </c>
      <c r="AA375">
        <f t="shared" ca="1" si="123"/>
        <v>-0.26230844554718535</v>
      </c>
      <c r="AB375">
        <f t="shared" ca="1" si="124"/>
        <v>108.63709999999999</v>
      </c>
    </row>
    <row r="376" spans="1:28" x14ac:dyDescent="0.25">
      <c r="A376" s="20">
        <f t="shared" ca="1" si="104"/>
        <v>45838</v>
      </c>
      <c r="B376" vm="1080">
        <f ca="1"/>
        <v>45839</v>
      </c>
      <c r="C376" vm="1081">
        <f ca="1"/>
        <v>109.24</v>
      </c>
      <c r="D376" vm="1082">
        <f ca="1"/>
        <v>15536896</v>
      </c>
      <c r="E376">
        <f t="shared" ca="1" si="105"/>
        <v>1697250519.04</v>
      </c>
      <c r="F376">
        <f ca="1">SUM($E$2:E376)/SUM($D$2:D376)</f>
        <v>111.42890467253976</v>
      </c>
      <c r="G376">
        <f ca="1">_xlfn.STDEV.P($C$2:C376)</f>
        <v>6.3161261244742937</v>
      </c>
      <c r="H376">
        <f t="shared" ca="1" si="106"/>
        <v>117.74503079701405</v>
      </c>
      <c r="I376">
        <f t="shared" ca="1" si="107"/>
        <v>105.11277854806546</v>
      </c>
      <c r="J376">
        <f t="shared" ca="1" si="116"/>
        <v>108.73899999999999</v>
      </c>
      <c r="K376">
        <f t="shared" ca="1" si="117"/>
        <v>3.7852955109559372</v>
      </c>
      <c r="L376">
        <f t="shared" ca="1" si="118"/>
        <v>116.30959102191187</v>
      </c>
      <c r="M376">
        <f t="shared" ca="1" si="119"/>
        <v>101.16840897808811</v>
      </c>
      <c r="N376">
        <f t="shared" ca="1" si="108"/>
        <v>1.4399999999999977</v>
      </c>
      <c r="O376">
        <f t="shared" ca="1" si="109"/>
        <v>1.4399999999999977</v>
      </c>
      <c r="P376">
        <f t="shared" ca="1" si="110"/>
        <v>0</v>
      </c>
      <c r="Q376">
        <f t="shared" ca="1" si="114"/>
        <v>0.70926051623358355</v>
      </c>
      <c r="R376">
        <f t="shared" ca="1" si="115"/>
        <v>0.65063311537968271</v>
      </c>
      <c r="S376">
        <f t="shared" ca="1" si="112"/>
        <v>1.0901082337619541</v>
      </c>
      <c r="T376">
        <f t="shared" ca="1" si="113"/>
        <v>52.15558774197472</v>
      </c>
      <c r="U376">
        <f>70</f>
        <v>70</v>
      </c>
      <c r="V376">
        <f>30</f>
        <v>30</v>
      </c>
      <c r="W376">
        <f t="shared" ca="1" si="111"/>
        <v>109.4306311396433</v>
      </c>
      <c r="X376">
        <f t="shared" ca="1" si="121"/>
        <v>108.5256703886117</v>
      </c>
      <c r="Y376">
        <f t="shared" ca="1" si="120"/>
        <v>0.96710704323434982</v>
      </c>
      <c r="Z376">
        <f t="shared" ca="1" si="122"/>
        <v>1.1272367659098945</v>
      </c>
      <c r="AA376">
        <f t="shared" ca="1" si="123"/>
        <v>-0.16012972267554471</v>
      </c>
      <c r="AB376">
        <f t="shared" ca="1" si="124"/>
        <v>108.63069999999998</v>
      </c>
    </row>
    <row r="377" spans="1:28" x14ac:dyDescent="0.25">
      <c r="A377" s="20">
        <f t="shared" ca="1" si="104"/>
        <v>45838</v>
      </c>
      <c r="B377" vm="1083">
        <f ca="1"/>
        <v>45840</v>
      </c>
      <c r="C377" vm="1084">
        <f ca="1"/>
        <v>111.05</v>
      </c>
      <c r="D377" vm="1085">
        <f ca="1"/>
        <v>11892160</v>
      </c>
      <c r="E377">
        <f t="shared" ca="1" si="105"/>
        <v>1320624368</v>
      </c>
      <c r="F377">
        <f ca="1">SUM($E$2:E377)/SUM($D$2:D377)</f>
        <v>111.42818249677472</v>
      </c>
      <c r="G377">
        <f ca="1">_xlfn.STDEV.P($C$2:C377)</f>
        <v>6.3078790819816559</v>
      </c>
      <c r="H377">
        <f t="shared" ca="1" si="106"/>
        <v>117.73606157875638</v>
      </c>
      <c r="I377">
        <f t="shared" ca="1" si="107"/>
        <v>105.12030341479307</v>
      </c>
      <c r="J377">
        <f t="shared" ca="1" si="116"/>
        <v>109.10150000000002</v>
      </c>
      <c r="K377">
        <f t="shared" ca="1" si="117"/>
        <v>3.6314391449063139</v>
      </c>
      <c r="L377">
        <f t="shared" ca="1" si="118"/>
        <v>116.36437828981265</v>
      </c>
      <c r="M377">
        <f t="shared" ca="1" si="119"/>
        <v>101.83862171018738</v>
      </c>
      <c r="N377">
        <f t="shared" ca="1" si="108"/>
        <v>1.8100000000000023</v>
      </c>
      <c r="O377">
        <f t="shared" ca="1" si="109"/>
        <v>1.8100000000000023</v>
      </c>
      <c r="P377">
        <f t="shared" ca="1" si="110"/>
        <v>0</v>
      </c>
      <c r="Q377">
        <f t="shared" ca="1" si="114"/>
        <v>0.78788476507404204</v>
      </c>
      <c r="R377">
        <f t="shared" ca="1" si="115"/>
        <v>0.6041593214239912</v>
      </c>
      <c r="S377">
        <f t="shared" ca="1" si="112"/>
        <v>1.304100983192668</v>
      </c>
      <c r="T377">
        <f t="shared" ca="1" si="113"/>
        <v>56.599124461361313</v>
      </c>
      <c r="U377">
        <f>70</f>
        <v>70</v>
      </c>
      <c r="V377">
        <f>30</f>
        <v>30</v>
      </c>
      <c r="W377">
        <f t="shared" ca="1" si="111"/>
        <v>109.6797648104674</v>
      </c>
      <c r="X377">
        <f t="shared" ca="1" si="121"/>
        <v>108.71265776723305</v>
      </c>
      <c r="Y377">
        <f t="shared" ca="1" si="120"/>
        <v>1.0965138870600555</v>
      </c>
      <c r="Z377">
        <f t="shared" ca="1" si="122"/>
        <v>1.1210921901399269</v>
      </c>
      <c r="AA377">
        <f t="shared" ca="1" si="123"/>
        <v>-2.4578303079871411E-2</v>
      </c>
      <c r="AB377">
        <f t="shared" ca="1" si="124"/>
        <v>108.65689999999996</v>
      </c>
    </row>
    <row r="378" spans="1:28" x14ac:dyDescent="0.25">
      <c r="A378" s="20">
        <f t="shared" ca="1" si="104"/>
        <v>45838</v>
      </c>
      <c r="B378" vm="1086">
        <f ca="1"/>
        <v>45841</v>
      </c>
      <c r="C378" vm="1087">
        <f ca="1"/>
        <v>112.2</v>
      </c>
      <c r="D378" vm="1088">
        <f ca="1"/>
        <v>11223580</v>
      </c>
      <c r="E378">
        <f t="shared" ca="1" si="105"/>
        <v>1259285676</v>
      </c>
      <c r="F378">
        <f ca="1">SUM($E$2:E378)/SUM($D$2:D378)</f>
        <v>111.4295683515636</v>
      </c>
      <c r="G378">
        <f ca="1">_xlfn.STDEV.P($C$2:C378)</f>
        <v>6.2995248607225127</v>
      </c>
      <c r="H378">
        <f t="shared" ca="1" si="106"/>
        <v>117.72909321228612</v>
      </c>
      <c r="I378">
        <f t="shared" ca="1" si="107"/>
        <v>105.13004349084109</v>
      </c>
      <c r="J378">
        <f t="shared" ca="1" si="116"/>
        <v>109.59649999999999</v>
      </c>
      <c r="K378">
        <f t="shared" ca="1" si="117"/>
        <v>3.3166204660451402</v>
      </c>
      <c r="L378">
        <f t="shared" ca="1" si="118"/>
        <v>116.22974093209027</v>
      </c>
      <c r="M378">
        <f t="shared" ca="1" si="119"/>
        <v>102.96325906790972</v>
      </c>
      <c r="N378">
        <f t="shared" ca="1" si="108"/>
        <v>1.1500000000000057</v>
      </c>
      <c r="O378">
        <f t="shared" ca="1" si="109"/>
        <v>1.1500000000000057</v>
      </c>
      <c r="P378">
        <f t="shared" ca="1" si="110"/>
        <v>0</v>
      </c>
      <c r="Q378">
        <f t="shared" ca="1" si="114"/>
        <v>0.81375013899732518</v>
      </c>
      <c r="R378">
        <f t="shared" ca="1" si="115"/>
        <v>0.56100508417942041</v>
      </c>
      <c r="S378">
        <f t="shared" ca="1" si="112"/>
        <v>1.4505218614686779</v>
      </c>
      <c r="T378">
        <f t="shared" ca="1" si="113"/>
        <v>59.192365686520859</v>
      </c>
      <c r="U378">
        <f>70</f>
        <v>70</v>
      </c>
      <c r="V378">
        <f>30</f>
        <v>30</v>
      </c>
      <c r="W378">
        <f t="shared" ca="1" si="111"/>
        <v>110.06749330116473</v>
      </c>
      <c r="X378">
        <f t="shared" ca="1" si="121"/>
        <v>108.97097941410468</v>
      </c>
      <c r="Y378">
        <f t="shared" ca="1" si="120"/>
        <v>1.0984535637091426</v>
      </c>
      <c r="Z378">
        <f t="shared" ca="1" si="122"/>
        <v>1.11656446485377</v>
      </c>
      <c r="AA378">
        <f t="shared" ca="1" si="123"/>
        <v>-1.8110901144627434E-2</v>
      </c>
      <c r="AB378">
        <f t="shared" ca="1" si="124"/>
        <v>108.68999999999997</v>
      </c>
    </row>
    <row r="379" spans="1:28" x14ac:dyDescent="0.25">
      <c r="A379" s="20">
        <f t="shared" ca="1" si="104"/>
        <v>45845</v>
      </c>
      <c r="B379" vm="1089">
        <f ca="1"/>
        <v>45845</v>
      </c>
      <c r="C379" vm="1090">
        <f ca="1"/>
        <v>111.11</v>
      </c>
      <c r="D379" vm="1091">
        <f ca="1"/>
        <v>15415889</v>
      </c>
      <c r="E379">
        <f t="shared" ca="1" si="105"/>
        <v>1712859426.79</v>
      </c>
      <c r="F379">
        <f ca="1">SUM($E$2:E379)/SUM($D$2:D379)</f>
        <v>111.42878214934289</v>
      </c>
      <c r="G379">
        <f ca="1">_xlfn.STDEV.P($C$2:C379)</f>
        <v>6.2913223155265348</v>
      </c>
      <c r="H379">
        <f t="shared" ca="1" si="106"/>
        <v>117.72010446486942</v>
      </c>
      <c r="I379">
        <f t="shared" ca="1" si="107"/>
        <v>105.13745983381637</v>
      </c>
      <c r="J379">
        <f t="shared" ca="1" si="116"/>
        <v>110.0605</v>
      </c>
      <c r="K379">
        <f t="shared" ca="1" si="117"/>
        <v>2.7783533082139074</v>
      </c>
      <c r="L379">
        <f t="shared" ca="1" si="118"/>
        <v>115.61720661642782</v>
      </c>
      <c r="M379">
        <f t="shared" ca="1" si="119"/>
        <v>104.50379338357219</v>
      </c>
      <c r="N379">
        <f t="shared" ca="1" si="108"/>
        <v>-1.0900000000000034</v>
      </c>
      <c r="O379">
        <f t="shared" ca="1" si="109"/>
        <v>0</v>
      </c>
      <c r="P379">
        <f t="shared" ca="1" si="110"/>
        <v>1.0900000000000034</v>
      </c>
      <c r="Q379">
        <f t="shared" ca="1" si="114"/>
        <v>0.75562512906894486</v>
      </c>
      <c r="R379">
        <f t="shared" ca="1" si="115"/>
        <v>0.59879043530946208</v>
      </c>
      <c r="S379">
        <f t="shared" ca="1" si="112"/>
        <v>1.2619191698986119</v>
      </c>
      <c r="T379">
        <f t="shared" ca="1" si="113"/>
        <v>55.789755296833889</v>
      </c>
      <c r="U379">
        <f>70</f>
        <v>70</v>
      </c>
      <c r="V379">
        <f>30</f>
        <v>30</v>
      </c>
      <c r="W379">
        <f t="shared" ca="1" si="111"/>
        <v>110.22787894713939</v>
      </c>
      <c r="X379">
        <f t="shared" ca="1" si="121"/>
        <v>109.12942538343025</v>
      </c>
      <c r="Y379">
        <f t="shared" ca="1" si="120"/>
        <v>1.3331532697594639</v>
      </c>
      <c r="Z379">
        <f t="shared" ca="1" si="122"/>
        <v>1.1598822258349089</v>
      </c>
      <c r="AA379">
        <f t="shared" ca="1" si="123"/>
        <v>0.17327104392455506</v>
      </c>
      <c r="AB379">
        <f t="shared" ca="1" si="124"/>
        <v>108.69139999999997</v>
      </c>
    </row>
    <row r="380" spans="1:28" x14ac:dyDescent="0.25">
      <c r="A380" s="20">
        <f t="shared" ca="1" si="104"/>
        <v>45845</v>
      </c>
      <c r="B380" vm="1092">
        <f ca="1"/>
        <v>45846</v>
      </c>
      <c r="C380" vm="1093">
        <f ca="1"/>
        <v>114.19</v>
      </c>
      <c r="D380" vm="1094">
        <f ca="1"/>
        <v>17913404</v>
      </c>
      <c r="E380">
        <f t="shared" ca="1" si="105"/>
        <v>2045531602.76</v>
      </c>
      <c r="F380">
        <f ca="1">SUM($E$2:E380)/SUM($D$2:D380)</f>
        <v>111.43665334926044</v>
      </c>
      <c r="G380">
        <f ca="1">_xlfn.STDEV.P($C$2:C380)</f>
        <v>6.2841033370784745</v>
      </c>
      <c r="H380">
        <f t="shared" ca="1" si="106"/>
        <v>117.72075668633892</v>
      </c>
      <c r="I380">
        <f t="shared" ca="1" si="107"/>
        <v>105.15255001218196</v>
      </c>
      <c r="J380">
        <f t="shared" ca="1" si="116"/>
        <v>110.5565</v>
      </c>
      <c r="K380">
        <f t="shared" ca="1" si="117"/>
        <v>2.5676966434202426</v>
      </c>
      <c r="L380">
        <f t="shared" ca="1" si="118"/>
        <v>115.69189328684048</v>
      </c>
      <c r="M380">
        <f t="shared" ca="1" si="119"/>
        <v>105.42110671315952</v>
      </c>
      <c r="N380">
        <f t="shared" ca="1" si="108"/>
        <v>3.0799999999999983</v>
      </c>
      <c r="O380">
        <f t="shared" ca="1" si="109"/>
        <v>3.0799999999999983</v>
      </c>
      <c r="P380">
        <f t="shared" ca="1" si="110"/>
        <v>0</v>
      </c>
      <c r="Q380">
        <f t="shared" ca="1" si="114"/>
        <v>0.9216519055640201</v>
      </c>
      <c r="R380">
        <f t="shared" ca="1" si="115"/>
        <v>0.55601968993021478</v>
      </c>
      <c r="S380">
        <f t="shared" ca="1" si="112"/>
        <v>1.6575886110790343</v>
      </c>
      <c r="T380">
        <f t="shared" ca="1" si="113"/>
        <v>62.371903769034439</v>
      </c>
      <c r="U380">
        <f>70</f>
        <v>70</v>
      </c>
      <c r="V380">
        <f>30</f>
        <v>30</v>
      </c>
      <c r="W380">
        <f t="shared" ca="1" si="111"/>
        <v>110.83743603219487</v>
      </c>
      <c r="X380">
        <f t="shared" ca="1" si="121"/>
        <v>109.50428276243541</v>
      </c>
      <c r="Y380">
        <f t="shared" ca="1" si="120"/>
        <v>1.4707310648728367</v>
      </c>
      <c r="Z380">
        <f t="shared" ca="1" si="122"/>
        <v>1.2220519936424945</v>
      </c>
      <c r="AA380">
        <f t="shared" ca="1" si="123"/>
        <v>0.24867907123034216</v>
      </c>
      <c r="AB380">
        <f t="shared" ca="1" si="124"/>
        <v>108.71659999999999</v>
      </c>
    </row>
    <row r="381" spans="1:28" x14ac:dyDescent="0.25">
      <c r="A381" s="20">
        <f t="shared" ca="1" si="104"/>
        <v>45845</v>
      </c>
      <c r="B381" vm="1095">
        <f ca="1"/>
        <v>45847</v>
      </c>
      <c r="C381" vm="1096">
        <f ca="1"/>
        <v>113.8</v>
      </c>
      <c r="D381" vm="1097">
        <f ca="1"/>
        <v>10652062</v>
      </c>
      <c r="E381">
        <f t="shared" ca="1" si="105"/>
        <v>1212204655.5999999</v>
      </c>
      <c r="F381">
        <f ca="1">SUM($E$2:E381)/SUM($D$2:D381)</f>
        <v>111.44065268360892</v>
      </c>
      <c r="G381">
        <f ca="1">_xlfn.STDEV.P($C$2:C381)</f>
        <v>6.2765697309324615</v>
      </c>
      <c r="H381">
        <f t="shared" ca="1" si="106"/>
        <v>117.71722241454138</v>
      </c>
      <c r="I381">
        <f t="shared" ca="1" si="107"/>
        <v>105.16408295267645</v>
      </c>
      <c r="J381">
        <f t="shared" ca="1" si="116"/>
        <v>110.99799999999998</v>
      </c>
      <c r="K381">
        <f t="shared" ca="1" si="117"/>
        <v>2.3019570621081256</v>
      </c>
      <c r="L381">
        <f t="shared" ca="1" si="118"/>
        <v>115.60191412421622</v>
      </c>
      <c r="M381">
        <f t="shared" ca="1" si="119"/>
        <v>106.39408587578373</v>
      </c>
      <c r="N381">
        <f t="shared" ca="1" si="108"/>
        <v>-0.39000000000000057</v>
      </c>
      <c r="O381">
        <f t="shared" ca="1" si="109"/>
        <v>0</v>
      </c>
      <c r="P381">
        <f t="shared" ca="1" si="110"/>
        <v>0.39000000000000057</v>
      </c>
      <c r="Q381">
        <f t="shared" ca="1" si="114"/>
        <v>0.85581962659516153</v>
      </c>
      <c r="R381">
        <f t="shared" ca="1" si="115"/>
        <v>0.54416114064948518</v>
      </c>
      <c r="S381">
        <f t="shared" ca="1" si="112"/>
        <v>1.5727319771009289</v>
      </c>
      <c r="T381">
        <f t="shared" ca="1" si="113"/>
        <v>61.130813123921087</v>
      </c>
      <c r="U381">
        <f>70</f>
        <v>70</v>
      </c>
      <c r="V381">
        <f>30</f>
        <v>30</v>
      </c>
      <c r="W381">
        <f t="shared" ca="1" si="111"/>
        <v>111.29321510416489</v>
      </c>
      <c r="X381">
        <f t="shared" ca="1" si="121"/>
        <v>109.82248403929205</v>
      </c>
      <c r="Y381">
        <f t="shared" ca="1" si="120"/>
        <v>1.6519019178548575</v>
      </c>
      <c r="Z381">
        <f t="shared" ca="1" si="122"/>
        <v>1.3080219784849672</v>
      </c>
      <c r="AA381">
        <f t="shared" ca="1" si="123"/>
        <v>0.34387993936989036</v>
      </c>
      <c r="AB381">
        <f t="shared" ca="1" si="124"/>
        <v>108.78109999999998</v>
      </c>
    </row>
    <row r="382" spans="1:28" x14ac:dyDescent="0.25">
      <c r="A382" s="20">
        <f t="shared" ca="1" si="104"/>
        <v>45845</v>
      </c>
      <c r="B382" vm="1098">
        <f ca="1"/>
        <v>45848</v>
      </c>
      <c r="C382" vm="1099">
        <f ca="1"/>
        <v>114.93</v>
      </c>
      <c r="D382" vm="1100">
        <f ca="1"/>
        <v>14903884</v>
      </c>
      <c r="E382">
        <f t="shared" ca="1" si="105"/>
        <v>1712903388.1200001</v>
      </c>
      <c r="F382">
        <f ca="1">SUM($E$2:E382)/SUM($D$2:D382)</f>
        <v>111.44889488456428</v>
      </c>
      <c r="G382">
        <f ca="1">_xlfn.STDEV.P($C$2:C382)</f>
        <v>6.2702148755303835</v>
      </c>
      <c r="H382">
        <f t="shared" ca="1" si="106"/>
        <v>117.71910976009467</v>
      </c>
      <c r="I382">
        <f t="shared" ca="1" si="107"/>
        <v>105.1786800090339</v>
      </c>
      <c r="J382">
        <f t="shared" ca="1" si="116"/>
        <v>111.3835</v>
      </c>
      <c r="K382">
        <f t="shared" ca="1" si="117"/>
        <v>2.2814613853036354</v>
      </c>
      <c r="L382">
        <f t="shared" ca="1" si="118"/>
        <v>115.94642277060727</v>
      </c>
      <c r="M382">
        <f t="shared" ca="1" si="119"/>
        <v>106.82057722939273</v>
      </c>
      <c r="N382">
        <f t="shared" ca="1" si="108"/>
        <v>1.1300000000000097</v>
      </c>
      <c r="O382">
        <f t="shared" ca="1" si="109"/>
        <v>1.1300000000000097</v>
      </c>
      <c r="P382">
        <f t="shared" ca="1" si="110"/>
        <v>0</v>
      </c>
      <c r="Q382">
        <f t="shared" ca="1" si="114"/>
        <v>0.87540393898122215</v>
      </c>
      <c r="R382">
        <f t="shared" ca="1" si="115"/>
        <v>0.50529248774595048</v>
      </c>
      <c r="S382">
        <f t="shared" ca="1" si="112"/>
        <v>1.7324697283474264</v>
      </c>
      <c r="T382">
        <f t="shared" ca="1" si="113"/>
        <v>63.403071235310954</v>
      </c>
      <c r="U382">
        <f>70</f>
        <v>70</v>
      </c>
      <c r="V382">
        <f>30</f>
        <v>30</v>
      </c>
      <c r="W382">
        <f t="shared" ca="1" si="111"/>
        <v>111.85272047275491</v>
      </c>
      <c r="X382">
        <f t="shared" ca="1" si="121"/>
        <v>110.20081855490005</v>
      </c>
      <c r="Y382">
        <f t="shared" ca="1" si="120"/>
        <v>1.814905840642993</v>
      </c>
      <c r="Z382">
        <f t="shared" ca="1" si="122"/>
        <v>1.4093987509165724</v>
      </c>
      <c r="AA382">
        <f t="shared" ca="1" si="123"/>
        <v>0.40550708972642058</v>
      </c>
      <c r="AB382">
        <f t="shared" ca="1" si="124"/>
        <v>108.84909999999999</v>
      </c>
    </row>
    <row r="383" spans="1:28" x14ac:dyDescent="0.25">
      <c r="A383" s="20">
        <f t="shared" ca="1" si="104"/>
        <v>45845</v>
      </c>
      <c r="B383" vm="1101">
        <f ca="1"/>
        <v>45849</v>
      </c>
      <c r="C383" vm="1102">
        <f ca="1"/>
        <v>115.43</v>
      </c>
      <c r="D383" vm="1103">
        <f ca="1"/>
        <v>11683884</v>
      </c>
      <c r="E383">
        <f t="shared" ca="1" si="105"/>
        <v>1348670730.1200001</v>
      </c>
      <c r="F383">
        <f ca="1">SUM($E$2:E383)/SUM($D$2:D383)</f>
        <v>111.45625334483775</v>
      </c>
      <c r="G383">
        <f ca="1">_xlfn.STDEV.P($C$2:C383)</f>
        <v>6.2645541063483892</v>
      </c>
      <c r="H383">
        <f t="shared" ca="1" si="106"/>
        <v>117.72080745118613</v>
      </c>
      <c r="I383">
        <f t="shared" ca="1" si="107"/>
        <v>105.19169923848936</v>
      </c>
      <c r="J383">
        <f t="shared" ca="1" si="116"/>
        <v>111.68949999999998</v>
      </c>
      <c r="K383">
        <f t="shared" ca="1" si="117"/>
        <v>2.3962503054388531</v>
      </c>
      <c r="L383">
        <f t="shared" ca="1" si="118"/>
        <v>116.48200061087769</v>
      </c>
      <c r="M383">
        <f t="shared" ca="1" si="119"/>
        <v>106.89699938912227</v>
      </c>
      <c r="N383">
        <f t="shared" ca="1" si="108"/>
        <v>0.5</v>
      </c>
      <c r="O383">
        <f t="shared" ca="1" si="109"/>
        <v>0.5</v>
      </c>
      <c r="P383">
        <f t="shared" ca="1" si="110"/>
        <v>0</v>
      </c>
      <c r="Q383">
        <f t="shared" ca="1" si="114"/>
        <v>0.84858937191113493</v>
      </c>
      <c r="R383">
        <f t="shared" ca="1" si="115"/>
        <v>0.46920016719266833</v>
      </c>
      <c r="S383">
        <f t="shared" ca="1" si="112"/>
        <v>1.8085871047072273</v>
      </c>
      <c r="T383">
        <f t="shared" ca="1" si="113"/>
        <v>64.394908802223455</v>
      </c>
      <c r="U383">
        <f>70</f>
        <v>70</v>
      </c>
      <c r="V383">
        <f>30</f>
        <v>30</v>
      </c>
      <c r="W383">
        <f t="shared" ca="1" si="111"/>
        <v>112.40307116925416</v>
      </c>
      <c r="X383">
        <f t="shared" ca="1" si="121"/>
        <v>110.58816532861117</v>
      </c>
      <c r="Y383">
        <f t="shared" ca="1" si="120"/>
        <v>1.8014769386605565</v>
      </c>
      <c r="Z383">
        <f t="shared" ca="1" si="122"/>
        <v>1.4878143884653694</v>
      </c>
      <c r="AA383">
        <f t="shared" ca="1" si="123"/>
        <v>0.31366255019518707</v>
      </c>
      <c r="AB383">
        <f t="shared" ca="1" si="124"/>
        <v>108.92100000000001</v>
      </c>
    </row>
    <row r="384" spans="1:28" x14ac:dyDescent="0.25">
      <c r="A384" s="20">
        <f t="shared" ca="1" si="104"/>
        <v>45852</v>
      </c>
      <c r="B384" vm="1104">
        <f ca="1"/>
        <v>45852</v>
      </c>
      <c r="C384" vm="1105">
        <f ca="1"/>
        <v>113.92</v>
      </c>
      <c r="D384" vm="1106">
        <f ca="1"/>
        <v>13220303</v>
      </c>
      <c r="E384">
        <f t="shared" ca="1" si="105"/>
        <v>1506056917.76</v>
      </c>
      <c r="F384">
        <f ca="1">SUM($E$2:E384)/SUM($D$2:D384)</f>
        <v>111.46139527518314</v>
      </c>
      <c r="G384">
        <f ca="1">_xlfn.STDEV.P($C$2:C384)</f>
        <v>6.2571861358926686</v>
      </c>
      <c r="H384">
        <f t="shared" ca="1" si="106"/>
        <v>117.7185814110758</v>
      </c>
      <c r="I384">
        <f t="shared" ca="1" si="107"/>
        <v>105.20420913929047</v>
      </c>
      <c r="J384">
        <f t="shared" ca="1" si="116"/>
        <v>111.899</v>
      </c>
      <c r="K384">
        <f t="shared" ca="1" si="117"/>
        <v>2.399078551181026</v>
      </c>
      <c r="L384">
        <f t="shared" ca="1" si="118"/>
        <v>116.69715710236206</v>
      </c>
      <c r="M384">
        <f t="shared" ca="1" si="119"/>
        <v>107.10084289763795</v>
      </c>
      <c r="N384">
        <f t="shared" ca="1" si="108"/>
        <v>-1.5100000000000051</v>
      </c>
      <c r="O384">
        <f t="shared" ca="1" si="109"/>
        <v>0</v>
      </c>
      <c r="P384">
        <f t="shared" ca="1" si="110"/>
        <v>1.5100000000000051</v>
      </c>
      <c r="Q384">
        <f t="shared" ca="1" si="114"/>
        <v>0.78797584534605392</v>
      </c>
      <c r="R384">
        <f t="shared" ca="1" si="115"/>
        <v>0.54354301239319236</v>
      </c>
      <c r="S384">
        <f t="shared" ca="1" si="112"/>
        <v>1.4497028337769189</v>
      </c>
      <c r="T384">
        <f t="shared" ca="1" si="113"/>
        <v>59.17872216124217</v>
      </c>
      <c r="U384">
        <f>70</f>
        <v>70</v>
      </c>
      <c r="V384">
        <f>30</f>
        <v>30</v>
      </c>
      <c r="W384">
        <f t="shared" ca="1" si="111"/>
        <v>112.63644483552275</v>
      </c>
      <c r="X384">
        <f t="shared" ca="1" si="121"/>
        <v>110.8349678968622</v>
      </c>
      <c r="Y384">
        <f t="shared" ca="1" si="120"/>
        <v>1.6898562668662009</v>
      </c>
      <c r="Z384">
        <f t="shared" ca="1" si="122"/>
        <v>1.5282227641455357</v>
      </c>
      <c r="AA384">
        <f t="shared" ca="1" si="123"/>
        <v>0.16163350272066523</v>
      </c>
      <c r="AB384">
        <f t="shared" ca="1" si="124"/>
        <v>108.9588</v>
      </c>
    </row>
    <row r="385" spans="1:28" x14ac:dyDescent="0.25">
      <c r="A385" s="20">
        <f t="shared" ca="1" si="104"/>
        <v>45852</v>
      </c>
      <c r="B385" vm="1107">
        <f ca="1"/>
        <v>45853</v>
      </c>
      <c r="C385" vm="1108">
        <f ca="1"/>
        <v>112.91</v>
      </c>
      <c r="D385" vm="1109">
        <f ca="1"/>
        <v>10959347</v>
      </c>
      <c r="E385">
        <f t="shared" ca="1" si="105"/>
        <v>1237419869.77</v>
      </c>
      <c r="F385">
        <f ca="1">SUM($E$2:E385)/SUM($D$2:D385)</f>
        <v>111.46389719035341</v>
      </c>
      <c r="G385">
        <f ca="1">_xlfn.STDEV.P($C$2:C385)</f>
        <v>6.249226801077155</v>
      </c>
      <c r="H385">
        <f t="shared" ca="1" si="106"/>
        <v>117.71312399143056</v>
      </c>
      <c r="I385">
        <f t="shared" ca="1" si="107"/>
        <v>105.21467038927625</v>
      </c>
      <c r="J385">
        <f t="shared" ca="1" si="116"/>
        <v>111.9385</v>
      </c>
      <c r="K385">
        <f t="shared" ca="1" si="117"/>
        <v>2.409390128118253</v>
      </c>
      <c r="L385">
        <f t="shared" ca="1" si="118"/>
        <v>116.75728025623651</v>
      </c>
      <c r="M385">
        <f t="shared" ca="1" si="119"/>
        <v>107.1197197437635</v>
      </c>
      <c r="N385">
        <f t="shared" ca="1" si="108"/>
        <v>-1.0100000000000051</v>
      </c>
      <c r="O385">
        <f t="shared" ca="1" si="109"/>
        <v>0</v>
      </c>
      <c r="P385">
        <f t="shared" ca="1" si="110"/>
        <v>1.0100000000000051</v>
      </c>
      <c r="Q385">
        <f t="shared" ca="1" si="114"/>
        <v>0.73169185639276435</v>
      </c>
      <c r="R385">
        <f t="shared" ca="1" si="115"/>
        <v>0.57686136865082183</v>
      </c>
      <c r="S385">
        <f t="shared" ca="1" si="112"/>
        <v>1.2684015539193829</v>
      </c>
      <c r="T385">
        <f t="shared" ca="1" si="113"/>
        <v>55.916094384956544</v>
      </c>
      <c r="U385">
        <f>70</f>
        <v>70</v>
      </c>
      <c r="V385">
        <f>30</f>
        <v>30</v>
      </c>
      <c r="W385">
        <f t="shared" ca="1" si="111"/>
        <v>112.67853024544232</v>
      </c>
      <c r="X385">
        <f t="shared" ca="1" si="121"/>
        <v>110.98867397857612</v>
      </c>
      <c r="Y385">
        <f t="shared" ca="1" si="120"/>
        <v>1.5289015380602109</v>
      </c>
      <c r="Z385">
        <f t="shared" ca="1" si="122"/>
        <v>1.528358518928471</v>
      </c>
      <c r="AA385">
        <f t="shared" ca="1" si="123"/>
        <v>5.4301913173993022E-4</v>
      </c>
      <c r="AB385">
        <f t="shared" ca="1" si="124"/>
        <v>108.9849</v>
      </c>
    </row>
    <row r="386" spans="1:28" x14ac:dyDescent="0.25">
      <c r="A386" s="20">
        <f t="shared" ca="1" si="104"/>
        <v>45852</v>
      </c>
      <c r="B386" vm="1110">
        <f ca="1"/>
        <v>45854</v>
      </c>
      <c r="C386" vm="1111">
        <f ca="1"/>
        <v>112.23</v>
      </c>
      <c r="D386" vm="1112">
        <f ca="1"/>
        <v>11158852</v>
      </c>
      <c r="E386">
        <f t="shared" ca="1" si="105"/>
        <v>1252357959.96</v>
      </c>
      <c r="F386">
        <f ca="1">SUM($E$2:E386)/SUM($D$2:D386)</f>
        <v>111.46524206409768</v>
      </c>
      <c r="G386">
        <f ca="1">_xlfn.STDEV.P($C$2:C386)</f>
        <v>6.2411221569284141</v>
      </c>
      <c r="H386">
        <f t="shared" ca="1" si="106"/>
        <v>117.70636422102609</v>
      </c>
      <c r="I386">
        <f t="shared" ca="1" si="107"/>
        <v>105.22411990716927</v>
      </c>
      <c r="J386">
        <f t="shared" ca="1" si="116"/>
        <v>111.926</v>
      </c>
      <c r="K386">
        <f t="shared" ca="1" si="117"/>
        <v>2.4070803454545695</v>
      </c>
      <c r="L386">
        <f t="shared" ca="1" si="118"/>
        <v>116.74016069090914</v>
      </c>
      <c r="M386">
        <f t="shared" ca="1" si="119"/>
        <v>107.11183930909087</v>
      </c>
      <c r="N386">
        <f t="shared" ca="1" si="108"/>
        <v>-0.67999999999999261</v>
      </c>
      <c r="O386">
        <f t="shared" ca="1" si="109"/>
        <v>0</v>
      </c>
      <c r="P386">
        <f t="shared" ca="1" si="110"/>
        <v>0.67999999999999261</v>
      </c>
      <c r="Q386">
        <f t="shared" ca="1" si="114"/>
        <v>0.67942815236470977</v>
      </c>
      <c r="R386">
        <f t="shared" ca="1" si="115"/>
        <v>0.58422841374719126</v>
      </c>
      <c r="S386">
        <f t="shared" ca="1" si="112"/>
        <v>1.162949518334645</v>
      </c>
      <c r="T386">
        <f t="shared" ca="1" si="113"/>
        <v>53.766835909792917</v>
      </c>
      <c r="U386">
        <f>70</f>
        <v>70</v>
      </c>
      <c r="V386">
        <f>30</f>
        <v>30</v>
      </c>
      <c r="W386">
        <f t="shared" ca="1" si="111"/>
        <v>112.60952559229736</v>
      </c>
      <c r="X386">
        <f t="shared" ca="1" si="121"/>
        <v>111.08062405423715</v>
      </c>
      <c r="Y386">
        <f t="shared" ca="1" si="120"/>
        <v>1.3399039409835893</v>
      </c>
      <c r="Z386">
        <f t="shared" ca="1" si="122"/>
        <v>1.4906676033394946</v>
      </c>
      <c r="AA386">
        <f t="shared" ca="1" si="123"/>
        <v>-0.15076366235590521</v>
      </c>
      <c r="AB386">
        <f t="shared" ca="1" si="124"/>
        <v>108.98719999999999</v>
      </c>
    </row>
    <row r="387" spans="1:28" x14ac:dyDescent="0.25">
      <c r="A387" s="20">
        <f t="shared" ref="A387:A450" ca="1" si="125">B387 - WEEKDAY(B387, 2) + 1</f>
        <v>45852</v>
      </c>
      <c r="B387" vm="1113">
        <f ca="1"/>
        <v>45855</v>
      </c>
      <c r="C387" vm="1114">
        <f ca="1"/>
        <v>111.66</v>
      </c>
      <c r="D387" vm="1115">
        <f ca="1"/>
        <v>13151446</v>
      </c>
      <c r="E387">
        <f t="shared" ref="E387:E450" ca="1" si="126">C387*D387</f>
        <v>1468490460.3599999</v>
      </c>
      <c r="F387">
        <f ca="1">SUM($E$2:E387)/SUM($D$2:D387)</f>
        <v>111.46564417514929</v>
      </c>
      <c r="G387">
        <f ca="1">_xlfn.STDEV.P($C$2:C387)</f>
        <v>6.2330498323336592</v>
      </c>
      <c r="H387">
        <f t="shared" ref="H387:H450" ca="1" si="127">F387 + G387</f>
        <v>117.69869400748296</v>
      </c>
      <c r="I387">
        <f t="shared" ref="I387:I450" ca="1" si="128">F387 - G387</f>
        <v>105.23259434281563</v>
      </c>
      <c r="J387">
        <f t="shared" ca="1" si="116"/>
        <v>111.809</v>
      </c>
      <c r="K387">
        <f t="shared" ca="1" si="117"/>
        <v>2.3573198429795794</v>
      </c>
      <c r="L387">
        <f t="shared" ca="1" si="118"/>
        <v>116.52363968595915</v>
      </c>
      <c r="M387">
        <f t="shared" ca="1" si="119"/>
        <v>107.09436031404084</v>
      </c>
      <c r="N387">
        <f t="shared" ca="1" si="108"/>
        <v>-0.57000000000000739</v>
      </c>
      <c r="O387">
        <f t="shared" ca="1" si="109"/>
        <v>0</v>
      </c>
      <c r="P387">
        <f t="shared" ca="1" si="110"/>
        <v>0.57000000000000739</v>
      </c>
      <c r="Q387">
        <f t="shared" ca="1" si="114"/>
        <v>0.63089757005294478</v>
      </c>
      <c r="R387">
        <f t="shared" ca="1" si="115"/>
        <v>0.58321209847953526</v>
      </c>
      <c r="S387">
        <f t="shared" ca="1" si="112"/>
        <v>1.0817635157050549</v>
      </c>
      <c r="T387">
        <f t="shared" ca="1" si="113"/>
        <v>51.963804127803712</v>
      </c>
      <c r="U387">
        <f>70</f>
        <v>70</v>
      </c>
      <c r="V387">
        <f>30</f>
        <v>30</v>
      </c>
      <c r="W387">
        <f t="shared" ca="1" si="111"/>
        <v>112.46344473194391</v>
      </c>
      <c r="X387">
        <f t="shared" ca="1" si="121"/>
        <v>111.12354079096032</v>
      </c>
      <c r="Y387">
        <f t="shared" ca="1" si="120"/>
        <v>0.86624594964455071</v>
      </c>
      <c r="Z387">
        <f t="shared" ca="1" si="122"/>
        <v>1.3657832726005059</v>
      </c>
      <c r="AA387">
        <f t="shared" ca="1" si="123"/>
        <v>-0.49953732295595521</v>
      </c>
      <c r="AB387">
        <f t="shared" ca="1" si="124"/>
        <v>108.99690000000001</v>
      </c>
    </row>
    <row r="388" spans="1:28" x14ac:dyDescent="0.25">
      <c r="A388" s="20">
        <f t="shared" ca="1" si="125"/>
        <v>45852</v>
      </c>
      <c r="B388" vm="1116">
        <f ca="1"/>
        <v>45856</v>
      </c>
      <c r="C388" vm="1117">
        <f ca="1"/>
        <v>107.77</v>
      </c>
      <c r="D388" vm="1118">
        <f ca="1"/>
        <v>32366594</v>
      </c>
      <c r="E388">
        <f t="shared" ca="1" si="126"/>
        <v>3488147835.3799996</v>
      </c>
      <c r="F388">
        <f ca="1">SUM($E$2:E388)/SUM($D$2:D388)</f>
        <v>111.44696045731841</v>
      </c>
      <c r="G388">
        <f ca="1">_xlfn.STDEV.P($C$2:C388)</f>
        <v>6.2286039589306759</v>
      </c>
      <c r="H388">
        <f t="shared" ca="1" si="127"/>
        <v>117.67556441624909</v>
      </c>
      <c r="I388">
        <f t="shared" ca="1" si="128"/>
        <v>105.21835649838773</v>
      </c>
      <c r="J388">
        <f t="shared" ca="1" si="116"/>
        <v>111.53800000000001</v>
      </c>
      <c r="K388">
        <f t="shared" ca="1" si="117"/>
        <v>2.4975748237039879</v>
      </c>
      <c r="L388">
        <f t="shared" ca="1" si="118"/>
        <v>116.53314964740798</v>
      </c>
      <c r="M388">
        <f t="shared" ca="1" si="119"/>
        <v>106.54285035259204</v>
      </c>
      <c r="N388">
        <f t="shared" ref="N388:N451" ca="1" si="129">C388-C387</f>
        <v>-3.8900000000000006</v>
      </c>
      <c r="O388">
        <f t="shared" ref="O388:O451" ca="1" si="130">MAX(N388,0)</f>
        <v>0</v>
      </c>
      <c r="P388">
        <f t="shared" ref="P388:P451" ca="1" si="131">MAX(-N388,0)</f>
        <v>3.8900000000000006</v>
      </c>
      <c r="Q388">
        <f t="shared" ca="1" si="114"/>
        <v>0.58583345790630581</v>
      </c>
      <c r="R388">
        <f t="shared" ca="1" si="115"/>
        <v>0.81941123430242568</v>
      </c>
      <c r="S388">
        <f t="shared" ca="1" si="112"/>
        <v>0.7149443812605677</v>
      </c>
      <c r="T388">
        <f t="shared" ca="1" si="113"/>
        <v>41.68907103185753</v>
      </c>
      <c r="U388">
        <f>70</f>
        <v>70</v>
      </c>
      <c r="V388">
        <f>30</f>
        <v>30</v>
      </c>
      <c r="W388">
        <f t="shared" ca="1" si="111"/>
        <v>111.74137631164484</v>
      </c>
      <c r="X388">
        <f t="shared" ca="1" si="121"/>
        <v>110.87513036200029</v>
      </c>
      <c r="Y388">
        <f t="shared" ca="1" si="120"/>
        <v>0.50761081740290592</v>
      </c>
      <c r="Z388">
        <f t="shared" ca="1" si="122"/>
        <v>1.1941487815609859</v>
      </c>
      <c r="AA388">
        <f t="shared" ca="1" si="123"/>
        <v>-0.68653796415807999</v>
      </c>
      <c r="AB388">
        <f t="shared" ca="1" si="124"/>
        <v>108.96190000000003</v>
      </c>
    </row>
    <row r="389" spans="1:28" x14ac:dyDescent="0.25">
      <c r="A389" s="20">
        <f t="shared" ca="1" si="125"/>
        <v>45859</v>
      </c>
      <c r="B389" vm="1119">
        <f ca="1"/>
        <v>45859</v>
      </c>
      <c r="C389" vm="1120">
        <f ca="1"/>
        <v>108.05</v>
      </c>
      <c r="D389" vm="1121">
        <f ca="1"/>
        <v>17010405</v>
      </c>
      <c r="E389">
        <f t="shared" ca="1" si="126"/>
        <v>1837974260.25</v>
      </c>
      <c r="F389">
        <f ca="1">SUM($E$2:E389)/SUM($D$2:D389)</f>
        <v>111.4379586667005</v>
      </c>
      <c r="G389">
        <f ca="1">_xlfn.STDEV.P($C$2:C389)</f>
        <v>6.2236935380191403</v>
      </c>
      <c r="H389">
        <f t="shared" ca="1" si="127"/>
        <v>117.66165220471963</v>
      </c>
      <c r="I389">
        <f t="shared" ca="1" si="128"/>
        <v>105.21426512868136</v>
      </c>
      <c r="J389">
        <f t="shared" ca="1" si="116"/>
        <v>111.20550000000003</v>
      </c>
      <c r="K389">
        <f t="shared" ca="1" si="117"/>
        <v>2.4971193403600096</v>
      </c>
      <c r="L389">
        <f t="shared" ca="1" si="118"/>
        <v>116.19973868072005</v>
      </c>
      <c r="M389">
        <f t="shared" ca="1" si="119"/>
        <v>106.21126131928001</v>
      </c>
      <c r="N389">
        <f t="shared" ca="1" si="129"/>
        <v>0.28000000000000114</v>
      </c>
      <c r="O389">
        <f t="shared" ca="1" si="130"/>
        <v>0.28000000000000114</v>
      </c>
      <c r="P389">
        <f t="shared" ca="1" si="131"/>
        <v>0</v>
      </c>
      <c r="Q389">
        <f t="shared" ca="1" si="114"/>
        <v>0.56398821091299833</v>
      </c>
      <c r="R389">
        <f t="shared" ca="1" si="115"/>
        <v>0.760881860423681</v>
      </c>
      <c r="S389">
        <f t="shared" ca="1" si="112"/>
        <v>0.741229670791407</v>
      </c>
      <c r="T389">
        <f t="shared" ca="1" si="113"/>
        <v>42.56932231429932</v>
      </c>
      <c r="U389">
        <f>70</f>
        <v>70</v>
      </c>
      <c r="V389">
        <f>30</f>
        <v>30</v>
      </c>
      <c r="W389">
        <f t="shared" ca="1" si="111"/>
        <v>111.17347226369948</v>
      </c>
      <c r="X389">
        <f t="shared" ca="1" si="121"/>
        <v>110.66586144629657</v>
      </c>
      <c r="Y389">
        <f t="shared" ca="1" si="120"/>
        <v>0.2599324566164114</v>
      </c>
      <c r="Z389">
        <f t="shared" ca="1" si="122"/>
        <v>1.007305516572071</v>
      </c>
      <c r="AA389">
        <f t="shared" ca="1" si="123"/>
        <v>-0.74737305995565961</v>
      </c>
      <c r="AB389">
        <f t="shared" ca="1" si="124"/>
        <v>108.9451</v>
      </c>
    </row>
    <row r="390" spans="1:28" x14ac:dyDescent="0.25">
      <c r="A390" s="20">
        <f t="shared" ca="1" si="125"/>
        <v>45859</v>
      </c>
      <c r="B390" vm="1122">
        <f ca="1"/>
        <v>45860</v>
      </c>
      <c r="C390" vm="1123">
        <f ca="1"/>
        <v>108.54</v>
      </c>
      <c r="D390" vm="1124">
        <f ca="1"/>
        <v>13970885</v>
      </c>
      <c r="E390">
        <f t="shared" ca="1" si="126"/>
        <v>1516399857.9000001</v>
      </c>
      <c r="F390">
        <f ca="1">SUM($E$2:E390)/SUM($D$2:D390)</f>
        <v>111.43166511686481</v>
      </c>
      <c r="G390">
        <f ca="1">_xlfn.STDEV.P($C$2:C390)</f>
        <v>6.2180546499183071</v>
      </c>
      <c r="H390">
        <f t="shared" ca="1" si="127"/>
        <v>117.64971976678311</v>
      </c>
      <c r="I390">
        <f t="shared" ca="1" si="128"/>
        <v>105.21361046694651</v>
      </c>
      <c r="J390">
        <f t="shared" ca="1" si="116"/>
        <v>111.04550000000002</v>
      </c>
      <c r="K390">
        <f t="shared" ca="1" si="117"/>
        <v>2.5627256768403535</v>
      </c>
      <c r="L390">
        <f t="shared" ca="1" si="118"/>
        <v>116.17095135368072</v>
      </c>
      <c r="M390">
        <f t="shared" ca="1" si="119"/>
        <v>105.92004864631932</v>
      </c>
      <c r="N390">
        <f t="shared" ca="1" si="129"/>
        <v>0.49000000000000909</v>
      </c>
      <c r="O390">
        <f t="shared" ca="1" si="130"/>
        <v>0.49000000000000909</v>
      </c>
      <c r="P390">
        <f t="shared" ca="1" si="131"/>
        <v>0</v>
      </c>
      <c r="Q390">
        <f t="shared" ca="1" si="114"/>
        <v>0.55870333870492772</v>
      </c>
      <c r="R390">
        <f t="shared" ca="1" si="115"/>
        <v>0.70653315610770384</v>
      </c>
      <c r="S390">
        <f t="shared" ca="1" si="112"/>
        <v>0.79076733183029702</v>
      </c>
      <c r="T390">
        <f t="shared" ca="1" si="113"/>
        <v>44.158016386309335</v>
      </c>
      <c r="U390">
        <f>70</f>
        <v>70</v>
      </c>
      <c r="V390">
        <f>30</f>
        <v>30</v>
      </c>
      <c r="W390">
        <f t="shared" ca="1" si="111"/>
        <v>110.76832268466879</v>
      </c>
      <c r="X390">
        <f t="shared" ca="1" si="121"/>
        <v>110.50839022805238</v>
      </c>
      <c r="Y390">
        <f t="shared" ca="1" si="120"/>
        <v>0.17380345649459628</v>
      </c>
      <c r="Z390">
        <f t="shared" ca="1" si="122"/>
        <v>0.84060510455657611</v>
      </c>
      <c r="AA390">
        <f t="shared" ca="1" si="123"/>
        <v>-0.66680164806197983</v>
      </c>
      <c r="AB390">
        <f t="shared" ca="1" si="124"/>
        <v>108.9359</v>
      </c>
    </row>
    <row r="391" spans="1:28" x14ac:dyDescent="0.25">
      <c r="A391" s="20">
        <f t="shared" ca="1" si="125"/>
        <v>45859</v>
      </c>
      <c r="B391" vm="1125">
        <f ca="1"/>
        <v>45861</v>
      </c>
      <c r="C391" vm="1126">
        <f ca="1"/>
        <v>109.93</v>
      </c>
      <c r="D391" vm="1127">
        <f ca="1"/>
        <v>12002687</v>
      </c>
      <c r="E391">
        <f t="shared" ca="1" si="126"/>
        <v>1319455381.9100001</v>
      </c>
      <c r="F391">
        <f ca="1">SUM($E$2:E391)/SUM($D$2:D391)</f>
        <v>111.42886857319438</v>
      </c>
      <c r="G391">
        <f ca="1">_xlfn.STDEV.P($C$2:C391)</f>
        <v>6.2108917632711194</v>
      </c>
      <c r="H391">
        <f t="shared" ca="1" si="127"/>
        <v>117.6397603364655</v>
      </c>
      <c r="I391">
        <f t="shared" ca="1" si="128"/>
        <v>105.21797680992326</v>
      </c>
      <c r="J391">
        <f t="shared" ca="1" si="116"/>
        <v>111.125</v>
      </c>
      <c r="K391">
        <f t="shared" ca="1" si="117"/>
        <v>2.4982298996647514</v>
      </c>
      <c r="L391">
        <f t="shared" ca="1" si="118"/>
        <v>116.1214597993295</v>
      </c>
      <c r="M391">
        <f t="shared" ca="1" si="119"/>
        <v>106.1285402006705</v>
      </c>
      <c r="N391">
        <f t="shared" ca="1" si="129"/>
        <v>1.3900000000000006</v>
      </c>
      <c r="O391">
        <f t="shared" ca="1" si="130"/>
        <v>1.3900000000000006</v>
      </c>
      <c r="P391">
        <f t="shared" ca="1" si="131"/>
        <v>0</v>
      </c>
      <c r="Q391">
        <f t="shared" ca="1" si="114"/>
        <v>0.61808167165457584</v>
      </c>
      <c r="R391">
        <f t="shared" ca="1" si="115"/>
        <v>0.65606650210001072</v>
      </c>
      <c r="S391">
        <f t="shared" ca="1" si="112"/>
        <v>0.94210216445459594</v>
      </c>
      <c r="T391">
        <f t="shared" ca="1" si="113"/>
        <v>48.509402939632075</v>
      </c>
      <c r="U391">
        <f>70</f>
        <v>70</v>
      </c>
      <c r="V391">
        <f>30</f>
        <v>30</v>
      </c>
      <c r="W391">
        <f t="shared" ca="1" si="111"/>
        <v>110.63934996395051</v>
      </c>
      <c r="X391">
        <f t="shared" ca="1" si="121"/>
        <v>110.46554650745591</v>
      </c>
      <c r="Y391">
        <f t="shared" ca="1" si="120"/>
        <v>0.17294679307730121</v>
      </c>
      <c r="Z391">
        <f t="shared" ca="1" si="122"/>
        <v>0.70707344226072111</v>
      </c>
      <c r="AA391">
        <f t="shared" ca="1" si="123"/>
        <v>-0.5341266491834199</v>
      </c>
      <c r="AB391">
        <f t="shared" ca="1" si="124"/>
        <v>108.9337</v>
      </c>
    </row>
    <row r="392" spans="1:28" x14ac:dyDescent="0.25">
      <c r="A392" s="20">
        <f t="shared" ca="1" si="125"/>
        <v>45859</v>
      </c>
      <c r="B392" vm="1128">
        <f ca="1"/>
        <v>45862</v>
      </c>
      <c r="C392" vm="1129">
        <f ca="1"/>
        <v>110.79</v>
      </c>
      <c r="D392" vm="1130">
        <f ca="1"/>
        <v>15647208</v>
      </c>
      <c r="E392">
        <f t="shared" ca="1" si="126"/>
        <v>1733554174.3200002</v>
      </c>
      <c r="F392">
        <f ca="1">SUM($E$2:E392)/SUM($D$2:D392)</f>
        <v>111.42732130597213</v>
      </c>
      <c r="G392">
        <f ca="1">_xlfn.STDEV.P($C$2:C392)</f>
        <v>6.2032038224313171</v>
      </c>
      <c r="H392">
        <f t="shared" ca="1" si="127"/>
        <v>117.63052512840345</v>
      </c>
      <c r="I392">
        <f t="shared" ca="1" si="128"/>
        <v>105.22411748354081</v>
      </c>
      <c r="J392">
        <f t="shared" ca="1" si="116"/>
        <v>111.24600000000001</v>
      </c>
      <c r="K392">
        <f t="shared" ca="1" si="117"/>
        <v>2.4149891576524634</v>
      </c>
      <c r="L392">
        <f t="shared" ca="1" si="118"/>
        <v>116.07597831530494</v>
      </c>
      <c r="M392">
        <f t="shared" ca="1" si="119"/>
        <v>106.41602168469508</v>
      </c>
      <c r="N392">
        <f t="shared" ca="1" si="129"/>
        <v>0.85999999999999943</v>
      </c>
      <c r="O392">
        <f t="shared" ca="1" si="130"/>
        <v>0.85999999999999943</v>
      </c>
      <c r="P392">
        <f t="shared" ca="1" si="131"/>
        <v>0</v>
      </c>
      <c r="Q392">
        <f t="shared" ca="1" si="114"/>
        <v>0.63536155225067759</v>
      </c>
      <c r="R392">
        <f t="shared" ca="1" si="115"/>
        <v>0.60920460909286711</v>
      </c>
      <c r="S392">
        <f t="shared" ca="1" si="112"/>
        <v>1.0429362200603822</v>
      </c>
      <c r="T392">
        <f t="shared" ca="1" si="113"/>
        <v>51.050845827656659</v>
      </c>
      <c r="U392">
        <f>70</f>
        <v>70</v>
      </c>
      <c r="V392">
        <f>30</f>
        <v>30</v>
      </c>
      <c r="W392">
        <f t="shared" ca="1" si="111"/>
        <v>110.66252689257351</v>
      </c>
      <c r="X392">
        <f t="shared" ca="1" si="121"/>
        <v>110.48958009949621</v>
      </c>
      <c r="Y392">
        <f t="shared" ca="1" si="120"/>
        <v>0.13919360329933284</v>
      </c>
      <c r="Z392">
        <f t="shared" ca="1" si="122"/>
        <v>0.59349747446844348</v>
      </c>
      <c r="AA392">
        <f t="shared" ca="1" si="123"/>
        <v>-0.45430387116911064</v>
      </c>
      <c r="AB392">
        <f t="shared" ca="1" si="124"/>
        <v>108.92829999999999</v>
      </c>
    </row>
    <row r="393" spans="1:28" x14ac:dyDescent="0.25">
      <c r="A393" s="20">
        <f t="shared" ca="1" si="125"/>
        <v>45859</v>
      </c>
      <c r="B393" vm="1131">
        <f ca="1"/>
        <v>45863</v>
      </c>
      <c r="C393" vm="1132">
        <f ca="1"/>
        <v>110.4</v>
      </c>
      <c r="D393" vm="1133">
        <f ca="1"/>
        <v>10548938</v>
      </c>
      <c r="E393">
        <f t="shared" ca="1" si="126"/>
        <v>1164602755.2</v>
      </c>
      <c r="F393">
        <f ca="1">SUM($E$2:E393)/SUM($D$2:D393)</f>
        <v>111.42564665828586</v>
      </c>
      <c r="G393">
        <f ca="1">_xlfn.STDEV.P($C$2:C393)</f>
        <v>6.1957550106100392</v>
      </c>
      <c r="H393">
        <f t="shared" ca="1" si="127"/>
        <v>117.6214016688959</v>
      </c>
      <c r="I393">
        <f t="shared" ca="1" si="128"/>
        <v>105.22989164767581</v>
      </c>
      <c r="J393">
        <f t="shared" ca="1" si="116"/>
        <v>111.26650000000002</v>
      </c>
      <c r="K393">
        <f t="shared" ca="1" si="117"/>
        <v>2.4054877500809435</v>
      </c>
      <c r="L393">
        <f t="shared" ca="1" si="118"/>
        <v>116.07747550016191</v>
      </c>
      <c r="M393">
        <f t="shared" ca="1" si="119"/>
        <v>106.45552449983813</v>
      </c>
      <c r="N393">
        <f t="shared" ca="1" si="129"/>
        <v>-0.39000000000000057</v>
      </c>
      <c r="O393">
        <f t="shared" ca="1" si="130"/>
        <v>0</v>
      </c>
      <c r="P393">
        <f t="shared" ca="1" si="131"/>
        <v>0.39000000000000057</v>
      </c>
      <c r="Q393">
        <f t="shared" ca="1" si="114"/>
        <v>0.58997858423277205</v>
      </c>
      <c r="R393">
        <f t="shared" ca="1" si="115"/>
        <v>0.59354713701480522</v>
      </c>
      <c r="S393">
        <f t="shared" ca="1" si="112"/>
        <v>0.9939877516721235</v>
      </c>
      <c r="T393">
        <f t="shared" ca="1" si="113"/>
        <v>49.849240590298642</v>
      </c>
      <c r="U393">
        <f>70</f>
        <v>70</v>
      </c>
      <c r="V393">
        <f>30</f>
        <v>30</v>
      </c>
      <c r="W393">
        <f t="shared" ca="1" si="111"/>
        <v>110.62213813986989</v>
      </c>
      <c r="X393">
        <f t="shared" ca="1" si="121"/>
        <v>110.48294453657056</v>
      </c>
      <c r="Y393">
        <f t="shared" ca="1" si="120"/>
        <v>0.19412550756672431</v>
      </c>
      <c r="Z393">
        <f t="shared" ca="1" si="122"/>
        <v>0.51362308108809962</v>
      </c>
      <c r="AA393">
        <f t="shared" ca="1" si="123"/>
        <v>-0.31949757352137531</v>
      </c>
      <c r="AB393">
        <f t="shared" ca="1" si="124"/>
        <v>108.95469999999999</v>
      </c>
    </row>
    <row r="394" spans="1:28" x14ac:dyDescent="0.25">
      <c r="A394" s="20">
        <f t="shared" ca="1" si="125"/>
        <v>45866</v>
      </c>
      <c r="B394" vm="1134">
        <f ca="1"/>
        <v>45866</v>
      </c>
      <c r="C394" vm="1135">
        <f ca="1"/>
        <v>111.44</v>
      </c>
      <c r="D394" vm="1136">
        <f ca="1"/>
        <v>12352966</v>
      </c>
      <c r="E394">
        <f t="shared" ca="1" si="126"/>
        <v>1376614531.04</v>
      </c>
      <c r="F394">
        <f ca="1">SUM($E$2:E394)/SUM($D$2:D394)</f>
        <v>111.42567400495658</v>
      </c>
      <c r="G394">
        <f ca="1">_xlfn.STDEV.P($C$2:C394)</f>
        <v>6.1879119959718496</v>
      </c>
      <c r="H394">
        <f t="shared" ca="1" si="127"/>
        <v>117.61358600092842</v>
      </c>
      <c r="I394">
        <f t="shared" ca="1" si="128"/>
        <v>105.23776200898473</v>
      </c>
      <c r="J394">
        <f t="shared" ca="1" si="116"/>
        <v>111.36950000000002</v>
      </c>
      <c r="K394">
        <f t="shared" ca="1" si="117"/>
        <v>2.3642078343941191</v>
      </c>
      <c r="L394">
        <f t="shared" ca="1" si="118"/>
        <v>116.09791566878826</v>
      </c>
      <c r="M394">
        <f t="shared" ca="1" si="119"/>
        <v>106.64108433121177</v>
      </c>
      <c r="N394">
        <f t="shared" ca="1" si="129"/>
        <v>1.039999999999992</v>
      </c>
      <c r="O394">
        <f t="shared" ca="1" si="130"/>
        <v>1.039999999999992</v>
      </c>
      <c r="P394">
        <f t="shared" ca="1" si="131"/>
        <v>0</v>
      </c>
      <c r="Q394">
        <f t="shared" ca="1" si="114"/>
        <v>0.62212297107328773</v>
      </c>
      <c r="R394">
        <f t="shared" ca="1" si="115"/>
        <v>0.5511509129423191</v>
      </c>
      <c r="S394">
        <f t="shared" ca="1" si="112"/>
        <v>1.1287706442362297</v>
      </c>
      <c r="T394">
        <f t="shared" ca="1" si="113"/>
        <v>53.02453072116726</v>
      </c>
      <c r="U394">
        <f>70</f>
        <v>70</v>
      </c>
      <c r="V394">
        <f>30</f>
        <v>30</v>
      </c>
      <c r="W394">
        <f t="shared" ca="1" si="111"/>
        <v>110.74796304142836</v>
      </c>
      <c r="X394">
        <f t="shared" ca="1" si="121"/>
        <v>110.55383753386164</v>
      </c>
      <c r="Y394">
        <f t="shared" ca="1" si="120"/>
        <v>0.34982286267576512</v>
      </c>
      <c r="Z394">
        <f t="shared" ca="1" si="122"/>
        <v>0.48086303740563274</v>
      </c>
      <c r="AA394">
        <f t="shared" ca="1" si="123"/>
        <v>-0.13104017472986762</v>
      </c>
      <c r="AB394">
        <f t="shared" ca="1" si="124"/>
        <v>108.9937</v>
      </c>
    </row>
    <row r="395" spans="1:28" x14ac:dyDescent="0.25">
      <c r="A395" s="20">
        <f t="shared" ca="1" si="125"/>
        <v>45866</v>
      </c>
      <c r="B395" vm="1137">
        <f ca="1"/>
        <v>45867</v>
      </c>
      <c r="C395" vm="1138">
        <f ca="1"/>
        <v>112.88</v>
      </c>
      <c r="D395" vm="1139">
        <f ca="1"/>
        <v>15927998</v>
      </c>
      <c r="E395">
        <f t="shared" ca="1" si="126"/>
        <v>1797952414.24</v>
      </c>
      <c r="F395">
        <f ca="1">SUM($E$2:E395)/SUM($D$2:D395)</f>
        <v>111.42923800379508</v>
      </c>
      <c r="G395">
        <f ca="1">_xlfn.STDEV.P($C$2:C395)</f>
        <v>6.1802488756782665</v>
      </c>
      <c r="H395">
        <f t="shared" ca="1" si="127"/>
        <v>117.60948687947334</v>
      </c>
      <c r="I395">
        <f t="shared" ca="1" si="128"/>
        <v>105.24898912811682</v>
      </c>
      <c r="J395">
        <f t="shared" ca="1" si="116"/>
        <v>111.62350000000001</v>
      </c>
      <c r="K395">
        <f t="shared" ca="1" si="117"/>
        <v>2.229586402523076</v>
      </c>
      <c r="L395">
        <f t="shared" ca="1" si="118"/>
        <v>116.08267280504616</v>
      </c>
      <c r="M395">
        <f t="shared" ca="1" si="119"/>
        <v>107.16432719495386</v>
      </c>
      <c r="N395">
        <f t="shared" ca="1" si="129"/>
        <v>1.4399999999999977</v>
      </c>
      <c r="O395">
        <f t="shared" ca="1" si="130"/>
        <v>1.4399999999999977</v>
      </c>
      <c r="P395">
        <f t="shared" ca="1" si="131"/>
        <v>0</v>
      </c>
      <c r="Q395">
        <f t="shared" ca="1" si="114"/>
        <v>0.68054275885376703</v>
      </c>
      <c r="R395">
        <f t="shared" ca="1" si="115"/>
        <v>0.51178299058929633</v>
      </c>
      <c r="S395">
        <f t="shared" ca="1" si="112"/>
        <v>1.3297486852193954</v>
      </c>
      <c r="T395">
        <f t="shared" ca="1" si="113"/>
        <v>57.076915362404044</v>
      </c>
      <c r="U395">
        <f>70</f>
        <v>70</v>
      </c>
      <c r="V395">
        <f>30</f>
        <v>30</v>
      </c>
      <c r="W395">
        <f t="shared" ca="1" si="111"/>
        <v>111.07596872736246</v>
      </c>
      <c r="X395">
        <f t="shared" ca="1" si="121"/>
        <v>110.7261458646867</v>
      </c>
      <c r="Y395">
        <f t="shared" ca="1" si="120"/>
        <v>0.38964474644865277</v>
      </c>
      <c r="Z395">
        <f t="shared" ca="1" si="122"/>
        <v>0.46261937921423674</v>
      </c>
      <c r="AA395">
        <f t="shared" ca="1" si="123"/>
        <v>-7.2974632765583969E-2</v>
      </c>
      <c r="AB395">
        <f t="shared" ca="1" si="124"/>
        <v>109.0681</v>
      </c>
    </row>
    <row r="396" spans="1:28" x14ac:dyDescent="0.25">
      <c r="A396" s="20">
        <f t="shared" ca="1" si="125"/>
        <v>45866</v>
      </c>
      <c r="B396" vm="1140">
        <f ca="1"/>
        <v>45868</v>
      </c>
      <c r="C396" vm="872">
        <f ca="1"/>
        <v>111.9</v>
      </c>
      <c r="D396" vm="1141">
        <f ca="1"/>
        <v>12996905</v>
      </c>
      <c r="E396">
        <f t="shared" ca="1" si="126"/>
        <v>1454353669.5</v>
      </c>
      <c r="F396">
        <f ca="1">SUM($E$2:E396)/SUM($D$2:D396)</f>
        <v>111.43017748557899</v>
      </c>
      <c r="G396">
        <f ca="1">_xlfn.STDEV.P($C$2:C396)</f>
        <v>6.1724208308924959</v>
      </c>
      <c r="H396">
        <f t="shared" ca="1" si="127"/>
        <v>117.60259831647149</v>
      </c>
      <c r="I396">
        <f t="shared" ca="1" si="128"/>
        <v>105.2577566546865</v>
      </c>
      <c r="J396">
        <f t="shared" ca="1" si="116"/>
        <v>111.7565</v>
      </c>
      <c r="K396">
        <f t="shared" ca="1" si="117"/>
        <v>2.1581138816836782</v>
      </c>
      <c r="L396">
        <f t="shared" ca="1" si="118"/>
        <v>116.07272776336735</v>
      </c>
      <c r="M396">
        <f t="shared" ca="1" si="119"/>
        <v>107.44027223663265</v>
      </c>
      <c r="N396">
        <f t="shared" ca="1" si="129"/>
        <v>-0.97999999999998977</v>
      </c>
      <c r="O396">
        <f t="shared" ca="1" si="130"/>
        <v>0</v>
      </c>
      <c r="P396">
        <f t="shared" ca="1" si="131"/>
        <v>0.97999999999998977</v>
      </c>
      <c r="Q396">
        <f t="shared" ca="1" si="114"/>
        <v>0.63193256179278368</v>
      </c>
      <c r="R396">
        <f t="shared" ca="1" si="115"/>
        <v>0.54522706269006016</v>
      </c>
      <c r="S396">
        <f t="shared" ca="1" si="112"/>
        <v>1.159026403925977</v>
      </c>
      <c r="T396">
        <f t="shared" ca="1" si="113"/>
        <v>53.682826750909648</v>
      </c>
      <c r="U396">
        <f>70</f>
        <v>70</v>
      </c>
      <c r="V396">
        <f>30</f>
        <v>30</v>
      </c>
      <c r="W396">
        <f t="shared" ca="1" si="111"/>
        <v>111.20274276930671</v>
      </c>
      <c r="X396">
        <f t="shared" ca="1" si="121"/>
        <v>110.81309802285806</v>
      </c>
      <c r="Y396">
        <f t="shared" ca="1" si="120"/>
        <v>0.39566309132541733</v>
      </c>
      <c r="Z396">
        <f t="shared" ca="1" si="122"/>
        <v>0.44922812163647285</v>
      </c>
      <c r="AA396">
        <f t="shared" ca="1" si="123"/>
        <v>-5.3565030311055528E-2</v>
      </c>
      <c r="AB396">
        <f t="shared" ca="1" si="124"/>
        <v>109.11089999999999</v>
      </c>
    </row>
    <row r="397" spans="1:28" x14ac:dyDescent="0.25">
      <c r="A397" s="20">
        <f t="shared" ca="1" si="125"/>
        <v>45866</v>
      </c>
      <c r="B397" vm="1142">
        <f ca="1"/>
        <v>45869</v>
      </c>
      <c r="C397" vm="1143">
        <f ca="1"/>
        <v>111.64</v>
      </c>
      <c r="D397" vm="1144">
        <f ca="1"/>
        <v>17233744</v>
      </c>
      <c r="E397">
        <f t="shared" ca="1" si="126"/>
        <v>1923975180.1600001</v>
      </c>
      <c r="F397">
        <f ca="1">SUM($E$2:E397)/SUM($D$2:D397)</f>
        <v>111.43073125762015</v>
      </c>
      <c r="G397">
        <f ca="1">_xlfn.STDEV.P($C$2:C397)</f>
        <v>6.1646371009715422</v>
      </c>
      <c r="H397">
        <f t="shared" ca="1" si="127"/>
        <v>117.5953683585917</v>
      </c>
      <c r="I397">
        <f t="shared" ca="1" si="128"/>
        <v>105.26609415664861</v>
      </c>
      <c r="J397">
        <f t="shared" ca="1" si="116"/>
        <v>111.78600000000002</v>
      </c>
      <c r="K397">
        <f t="shared" ca="1" si="117"/>
        <v>2.1519719231195231</v>
      </c>
      <c r="L397">
        <f t="shared" ca="1" si="118"/>
        <v>116.08994384623907</v>
      </c>
      <c r="M397">
        <f t="shared" ca="1" si="119"/>
        <v>107.48205615376096</v>
      </c>
      <c r="N397">
        <f t="shared" ca="1" si="129"/>
        <v>-0.26000000000000512</v>
      </c>
      <c r="O397">
        <f t="shared" ca="1" si="130"/>
        <v>0</v>
      </c>
      <c r="P397">
        <f t="shared" ca="1" si="131"/>
        <v>0.26000000000000512</v>
      </c>
      <c r="Q397">
        <f t="shared" ca="1" si="114"/>
        <v>0.58679452166472768</v>
      </c>
      <c r="R397">
        <f t="shared" ca="1" si="115"/>
        <v>0.52485370106934193</v>
      </c>
      <c r="S397">
        <f t="shared" ca="1" si="112"/>
        <v>1.1180154021381328</v>
      </c>
      <c r="T397">
        <f t="shared" ca="1" si="113"/>
        <v>52.785990177856981</v>
      </c>
      <c r="U397">
        <f>70</f>
        <v>70</v>
      </c>
      <c r="V397">
        <f>30</f>
        <v>30</v>
      </c>
      <c r="W397">
        <f t="shared" ca="1" si="111"/>
        <v>111.27001311249029</v>
      </c>
      <c r="X397">
        <f t="shared" ca="1" si="121"/>
        <v>110.87435002116487</v>
      </c>
      <c r="Y397">
        <f t="shared" ca="1" si="120"/>
        <v>0.23632517815109111</v>
      </c>
      <c r="Z397">
        <f t="shared" ca="1" si="122"/>
        <v>0.40664753293939654</v>
      </c>
      <c r="AA397">
        <f t="shared" ca="1" si="123"/>
        <v>-0.17032235478830543</v>
      </c>
      <c r="AB397">
        <f t="shared" ca="1" si="124"/>
        <v>109.13709999999999</v>
      </c>
    </row>
    <row r="398" spans="1:28" x14ac:dyDescent="0.25">
      <c r="A398" s="20">
        <f t="shared" ca="1" si="125"/>
        <v>45866</v>
      </c>
      <c r="B398" vm="1145">
        <f ca="1"/>
        <v>45870</v>
      </c>
      <c r="C398" vm="1146">
        <f ca="1"/>
        <v>109.64</v>
      </c>
      <c r="D398" vm="1147">
        <f ca="1"/>
        <v>19652030</v>
      </c>
      <c r="E398">
        <f t="shared" ca="1" si="126"/>
        <v>2154648569.1999998</v>
      </c>
      <c r="F398">
        <f ca="1">SUM($E$2:E398)/SUM($D$2:D398)</f>
        <v>111.42535806944862</v>
      </c>
      <c r="G398">
        <f ca="1">_xlfn.STDEV.P($C$2:C398)</f>
        <v>6.1579168908709434</v>
      </c>
      <c r="H398">
        <f t="shared" ca="1" si="127"/>
        <v>117.58327496031956</v>
      </c>
      <c r="I398">
        <f t="shared" ca="1" si="128"/>
        <v>105.26744117857768</v>
      </c>
      <c r="J398">
        <f t="shared" ca="1" si="116"/>
        <v>111.65799999999999</v>
      </c>
      <c r="K398">
        <f t="shared" ca="1" si="117"/>
        <v>2.2016132840786504</v>
      </c>
      <c r="L398">
        <f t="shared" ca="1" si="118"/>
        <v>116.06122656815728</v>
      </c>
      <c r="M398">
        <f t="shared" ca="1" si="119"/>
        <v>107.25477343184269</v>
      </c>
      <c r="N398">
        <f t="shared" ca="1" si="129"/>
        <v>-2</v>
      </c>
      <c r="O398">
        <f t="shared" ca="1" si="130"/>
        <v>0</v>
      </c>
      <c r="P398">
        <f t="shared" ca="1" si="131"/>
        <v>2</v>
      </c>
      <c r="Q398">
        <f t="shared" ca="1" si="114"/>
        <v>0.54488062726010422</v>
      </c>
      <c r="R398">
        <f t="shared" ca="1" si="115"/>
        <v>0.63022129385010317</v>
      </c>
      <c r="S398">
        <f t="shared" ca="1" si="112"/>
        <v>0.86458618992601499</v>
      </c>
      <c r="T398">
        <f t="shared" ca="1" si="113"/>
        <v>46.368797248268848</v>
      </c>
      <c r="U398">
        <f>70</f>
        <v>70</v>
      </c>
      <c r="V398">
        <f>30</f>
        <v>30</v>
      </c>
      <c r="W398">
        <f t="shared" ca="1" si="111"/>
        <v>111.01924186441487</v>
      </c>
      <c r="X398">
        <f t="shared" ca="1" si="121"/>
        <v>110.78291668626377</v>
      </c>
      <c r="Y398">
        <f t="shared" ca="1" si="120"/>
        <v>-7.2288003716565186E-2</v>
      </c>
      <c r="Z398">
        <f t="shared" ca="1" si="122"/>
        <v>0.3108604256082042</v>
      </c>
      <c r="AA398">
        <f t="shared" ca="1" si="123"/>
        <v>-0.38314842932476939</v>
      </c>
      <c r="AB398">
        <f t="shared" ca="1" si="124"/>
        <v>109.11549999999997</v>
      </c>
    </row>
    <row r="399" spans="1:28" x14ac:dyDescent="0.25">
      <c r="A399" s="20">
        <f t="shared" ca="1" si="125"/>
        <v>45873</v>
      </c>
      <c r="B399" vm="1148">
        <f ca="1"/>
        <v>45873</v>
      </c>
      <c r="C399" vm="135">
        <f ca="1"/>
        <v>107.37</v>
      </c>
      <c r="D399" vm="1149">
        <f ca="1"/>
        <v>19129474</v>
      </c>
      <c r="E399">
        <f t="shared" ca="1" si="126"/>
        <v>2053931623.3800001</v>
      </c>
      <c r="F399">
        <f ca="1">SUM($E$2:E399)/SUM($D$2:D399)</f>
        <v>111.41354779943018</v>
      </c>
      <c r="G399">
        <f ca="1">_xlfn.STDEV.P($C$2:C399)</f>
        <v>6.1543584461555021</v>
      </c>
      <c r="H399">
        <f t="shared" ca="1" si="127"/>
        <v>117.56790624558568</v>
      </c>
      <c r="I399">
        <f t="shared" ca="1" si="128"/>
        <v>105.25918935327468</v>
      </c>
      <c r="J399">
        <f t="shared" ca="1" si="116"/>
        <v>111.471</v>
      </c>
      <c r="K399">
        <f t="shared" ca="1" si="117"/>
        <v>2.4004624554447838</v>
      </c>
      <c r="L399">
        <f t="shared" ca="1" si="118"/>
        <v>116.27192491088957</v>
      </c>
      <c r="M399">
        <f t="shared" ca="1" si="119"/>
        <v>106.67007508911044</v>
      </c>
      <c r="N399">
        <f t="shared" ca="1" si="129"/>
        <v>-2.269999999999996</v>
      </c>
      <c r="O399">
        <f t="shared" ca="1" si="130"/>
        <v>0</v>
      </c>
      <c r="P399">
        <f t="shared" ca="1" si="131"/>
        <v>2.269999999999996</v>
      </c>
      <c r="Q399">
        <f t="shared" ca="1" si="114"/>
        <v>0.50596058245581099</v>
      </c>
      <c r="R399">
        <f t="shared" ca="1" si="115"/>
        <v>0.74734834428938124</v>
      </c>
      <c r="S399">
        <f t="shared" ca="1" si="112"/>
        <v>0.67700769838047259</v>
      </c>
      <c r="T399">
        <f t="shared" ca="1" si="113"/>
        <v>40.369981547149457</v>
      </c>
      <c r="U399">
        <f>70</f>
        <v>70</v>
      </c>
      <c r="V399">
        <f>30</f>
        <v>30</v>
      </c>
      <c r="W399">
        <f t="shared" ref="W399:W462" ca="1" si="132">C399*(2/(12+1)) + W398*(1-(2/(12+1)))</f>
        <v>110.45782003912026</v>
      </c>
      <c r="X399">
        <f t="shared" ca="1" si="121"/>
        <v>110.53010804283683</v>
      </c>
      <c r="Y399">
        <f t="shared" ca="1" si="120"/>
        <v>-0.32362553362750646</v>
      </c>
      <c r="Z399">
        <f t="shared" ca="1" si="122"/>
        <v>0.18396323376106211</v>
      </c>
      <c r="AA399">
        <f t="shared" ca="1" si="123"/>
        <v>-0.50758876738856862</v>
      </c>
      <c r="AB399">
        <f t="shared" ca="1" si="124"/>
        <v>109.0976</v>
      </c>
    </row>
    <row r="400" spans="1:28" x14ac:dyDescent="0.25">
      <c r="A400" s="20">
        <f t="shared" ca="1" si="125"/>
        <v>45873</v>
      </c>
      <c r="B400" vm="1150">
        <f ca="1"/>
        <v>45874</v>
      </c>
      <c r="C400" vm="1151">
        <f ca="1"/>
        <v>107.24</v>
      </c>
      <c r="D400" vm="1152">
        <f ca="1"/>
        <v>21314254</v>
      </c>
      <c r="E400">
        <f t="shared" ca="1" si="126"/>
        <v>2285740598.96</v>
      </c>
      <c r="F400">
        <f ca="1">SUM($E$2:E400)/SUM($D$2:D400)</f>
        <v>111.40004896806997</v>
      </c>
      <c r="G400">
        <f ca="1">_xlfn.STDEV.P($C$2:C400)</f>
        <v>6.1510371408346849</v>
      </c>
      <c r="H400">
        <f t="shared" ca="1" si="127"/>
        <v>117.55108610890466</v>
      </c>
      <c r="I400">
        <f t="shared" ca="1" si="128"/>
        <v>105.24901182723528</v>
      </c>
      <c r="J400">
        <f t="shared" ca="1" si="116"/>
        <v>111.12350000000001</v>
      </c>
      <c r="K400">
        <f t="shared" ca="1" si="117"/>
        <v>2.48760564441096</v>
      </c>
      <c r="L400">
        <f t="shared" ca="1" si="118"/>
        <v>116.09871128882193</v>
      </c>
      <c r="M400">
        <f t="shared" ca="1" si="119"/>
        <v>106.14828871117808</v>
      </c>
      <c r="N400">
        <f t="shared" ca="1" si="129"/>
        <v>-0.13000000000000966</v>
      </c>
      <c r="O400">
        <f t="shared" ca="1" si="130"/>
        <v>0</v>
      </c>
      <c r="P400">
        <f t="shared" ca="1" si="131"/>
        <v>0.13000000000000966</v>
      </c>
      <c r="Q400">
        <f t="shared" ca="1" si="114"/>
        <v>0.46982054085182451</v>
      </c>
      <c r="R400">
        <f t="shared" ca="1" si="115"/>
        <v>0.70325203398299763</v>
      </c>
      <c r="S400">
        <f t="shared" ref="S400:S463" ca="1" si="133">IF(R400=0,NA(),Q400/R400)</f>
        <v>0.66806851334778117</v>
      </c>
      <c r="T400">
        <f t="shared" ref="T400:T463" ca="1" si="134">100-(100/(1+S400))</f>
        <v>40.050424068432328</v>
      </c>
      <c r="U400">
        <f>70</f>
        <v>70</v>
      </c>
      <c r="V400">
        <f>30</f>
        <v>30</v>
      </c>
      <c r="W400">
        <f t="shared" ca="1" si="132"/>
        <v>109.96277080233253</v>
      </c>
      <c r="X400">
        <f t="shared" ca="1" si="121"/>
        <v>110.28639633596003</v>
      </c>
      <c r="Y400">
        <f t="shared" ca="1" si="120"/>
        <v>-0.57508797975569337</v>
      </c>
      <c r="Z400">
        <f t="shared" ca="1" si="122"/>
        <v>3.2152991057711008E-2</v>
      </c>
      <c r="AA400">
        <f t="shared" ca="1" si="123"/>
        <v>-0.60724097081340433</v>
      </c>
      <c r="AB400">
        <f t="shared" ca="1" si="124"/>
        <v>109.07869999999998</v>
      </c>
    </row>
    <row r="401" spans="1:28" x14ac:dyDescent="0.25">
      <c r="A401" s="20">
        <f t="shared" ca="1" si="125"/>
        <v>45873</v>
      </c>
      <c r="B401" vm="1153">
        <f ca="1"/>
        <v>45875</v>
      </c>
      <c r="C401" vm="1154">
        <f ca="1"/>
        <v>106.51</v>
      </c>
      <c r="D401" vm="1155">
        <f ca="1"/>
        <v>15321811</v>
      </c>
      <c r="E401">
        <f t="shared" ca="1" si="126"/>
        <v>1631926089.6100001</v>
      </c>
      <c r="F401">
        <f ca="1">SUM($E$2:E401)/SUM($D$2:D401)</f>
        <v>111.38870577377041</v>
      </c>
      <c r="G401">
        <f ca="1">_xlfn.STDEV.P($C$2:C401)</f>
        <v>6.1491901499303161</v>
      </c>
      <c r="H401">
        <f t="shared" ca="1" si="127"/>
        <v>117.53789592370073</v>
      </c>
      <c r="I401">
        <f t="shared" ca="1" si="128"/>
        <v>105.23951562384009</v>
      </c>
      <c r="J401">
        <f t="shared" ca="1" si="116"/>
        <v>110.75900000000001</v>
      </c>
      <c r="K401">
        <f t="shared" ca="1" si="117"/>
        <v>2.6060554988637326</v>
      </c>
      <c r="L401">
        <f t="shared" ca="1" si="118"/>
        <v>115.97111099772748</v>
      </c>
      <c r="M401">
        <f t="shared" ca="1" si="119"/>
        <v>105.54688900227255</v>
      </c>
      <c r="N401">
        <f t="shared" ca="1" si="129"/>
        <v>-0.72999999999998977</v>
      </c>
      <c r="O401">
        <f t="shared" ca="1" si="130"/>
        <v>0</v>
      </c>
      <c r="P401">
        <f t="shared" ca="1" si="131"/>
        <v>0.72999999999998977</v>
      </c>
      <c r="Q401">
        <f t="shared" ref="Q401:Q464" ca="1" si="135">(Q400*13+O401)/14</f>
        <v>0.43626193079097991</v>
      </c>
      <c r="R401">
        <f t="shared" ref="R401:R464" ca="1" si="136">(R400*13+P401)/14</f>
        <v>0.70516260298421141</v>
      </c>
      <c r="S401">
        <f t="shared" ca="1" si="133"/>
        <v>0.61866855806695098</v>
      </c>
      <c r="T401">
        <f t="shared" ca="1" si="134"/>
        <v>38.220830013883649</v>
      </c>
      <c r="U401">
        <f>70</f>
        <v>70</v>
      </c>
      <c r="V401">
        <f>30</f>
        <v>30</v>
      </c>
      <c r="W401">
        <f t="shared" ca="1" si="132"/>
        <v>109.43157529428137</v>
      </c>
      <c r="X401">
        <f t="shared" ca="1" si="121"/>
        <v>110.00666327403707</v>
      </c>
      <c r="Y401">
        <f t="shared" ca="1" si="120"/>
        <v>-0.81022137225207302</v>
      </c>
      <c r="Z401">
        <f t="shared" ca="1" si="122"/>
        <v>-0.1363218816042458</v>
      </c>
      <c r="AA401">
        <f t="shared" ca="1" si="123"/>
        <v>-0.67389949064782728</v>
      </c>
      <c r="AB401">
        <f t="shared" ca="1" si="124"/>
        <v>109.05710000000001</v>
      </c>
    </row>
    <row r="402" spans="1:28" x14ac:dyDescent="0.25">
      <c r="A402" s="20">
        <f t="shared" ca="1" si="125"/>
        <v>45873</v>
      </c>
      <c r="B402" vm="1156">
        <f ca="1"/>
        <v>45876</v>
      </c>
      <c r="C402" vm="1157">
        <f ca="1"/>
        <v>105.95</v>
      </c>
      <c r="D402" vm="1158">
        <f ca="1"/>
        <v>13468287</v>
      </c>
      <c r="E402">
        <f t="shared" ca="1" si="126"/>
        <v>1426965007.6500001</v>
      </c>
      <c r="F402">
        <f ca="1">SUM($E$2:E402)/SUM($D$2:D402)</f>
        <v>111.37763863514623</v>
      </c>
      <c r="G402">
        <f ca="1">_xlfn.STDEV.P($C$2:C402)</f>
        <v>6.1485995354257943</v>
      </c>
      <c r="H402">
        <f t="shared" ca="1" si="127"/>
        <v>117.52623817057201</v>
      </c>
      <c r="I402">
        <f t="shared" ca="1" si="128"/>
        <v>105.22903909972044</v>
      </c>
      <c r="J402">
        <f t="shared" ca="1" si="116"/>
        <v>110.30999999999999</v>
      </c>
      <c r="K402">
        <f t="shared" ca="1" si="117"/>
        <v>2.623137936056537</v>
      </c>
      <c r="L402">
        <f t="shared" ca="1" si="118"/>
        <v>115.55627587211306</v>
      </c>
      <c r="M402">
        <f t="shared" ca="1" si="119"/>
        <v>105.06372412788691</v>
      </c>
      <c r="N402">
        <f t="shared" ca="1" si="129"/>
        <v>-0.56000000000000227</v>
      </c>
      <c r="O402">
        <f t="shared" ca="1" si="130"/>
        <v>0</v>
      </c>
      <c r="P402">
        <f t="shared" ca="1" si="131"/>
        <v>0.56000000000000227</v>
      </c>
      <c r="Q402">
        <f t="shared" ca="1" si="135"/>
        <v>0.4051003643059099</v>
      </c>
      <c r="R402">
        <f t="shared" ca="1" si="136"/>
        <v>0.69479384562819646</v>
      </c>
      <c r="S402">
        <f t="shared" ca="1" si="133"/>
        <v>0.5830511695733851</v>
      </c>
      <c r="T402">
        <f t="shared" ca="1" si="134"/>
        <v>36.830847971295263</v>
      </c>
      <c r="U402">
        <f>70</f>
        <v>70</v>
      </c>
      <c r="V402">
        <f>30</f>
        <v>30</v>
      </c>
      <c r="W402">
        <f t="shared" ca="1" si="132"/>
        <v>108.89594832593039</v>
      </c>
      <c r="X402">
        <f t="shared" ca="1" si="121"/>
        <v>109.70616969818246</v>
      </c>
      <c r="Y402">
        <f t="shared" ca="1" si="120"/>
        <v>-0.91740313136175189</v>
      </c>
      <c r="Z402">
        <f t="shared" ca="1" si="122"/>
        <v>-0.29253813155574704</v>
      </c>
      <c r="AA402">
        <f t="shared" ca="1" si="123"/>
        <v>-0.62486499980600485</v>
      </c>
      <c r="AB402">
        <f t="shared" ca="1" si="124"/>
        <v>108.99760000000002</v>
      </c>
    </row>
    <row r="403" spans="1:28" x14ac:dyDescent="0.25">
      <c r="A403" s="20">
        <f t="shared" ca="1" si="125"/>
        <v>45873</v>
      </c>
      <c r="B403" vm="1159">
        <f ca="1"/>
        <v>45877</v>
      </c>
      <c r="C403" vm="1160">
        <f ca="1"/>
        <v>106.8</v>
      </c>
      <c r="D403" vm="1161">
        <f ca="1"/>
        <v>14417734</v>
      </c>
      <c r="E403">
        <f t="shared" ca="1" si="126"/>
        <v>1539813991.2</v>
      </c>
      <c r="F403">
        <f ca="1">SUM($E$2:E403)/SUM($D$2:D403)</f>
        <v>111.36768868446764</v>
      </c>
      <c r="G403">
        <f ca="1">_xlfn.STDEV.P($C$2:C403)</f>
        <v>6.1460980115380144</v>
      </c>
      <c r="H403">
        <f t="shared" ca="1" si="127"/>
        <v>117.51378669600565</v>
      </c>
      <c r="I403">
        <f t="shared" ca="1" si="128"/>
        <v>105.22159067292962</v>
      </c>
      <c r="J403">
        <f t="shared" ca="1" si="116"/>
        <v>109.8785</v>
      </c>
      <c r="K403">
        <f t="shared" ca="1" si="117"/>
        <v>2.4399962791170937</v>
      </c>
      <c r="L403">
        <f t="shared" ca="1" si="118"/>
        <v>114.7584925582342</v>
      </c>
      <c r="M403">
        <f t="shared" ca="1" si="119"/>
        <v>104.99850744176581</v>
      </c>
      <c r="N403">
        <f t="shared" ca="1" si="129"/>
        <v>0.84999999999999432</v>
      </c>
      <c r="O403">
        <f t="shared" ca="1" si="130"/>
        <v>0.84999999999999432</v>
      </c>
      <c r="P403">
        <f t="shared" ca="1" si="131"/>
        <v>0</v>
      </c>
      <c r="Q403">
        <f t="shared" ca="1" si="135"/>
        <v>0.43687890971263021</v>
      </c>
      <c r="R403">
        <f t="shared" ca="1" si="136"/>
        <v>0.64516571379761101</v>
      </c>
      <c r="S403">
        <f t="shared" ca="1" si="133"/>
        <v>0.67715766720002646</v>
      </c>
      <c r="T403">
        <f t="shared" ca="1" si="134"/>
        <v>40.375313570281357</v>
      </c>
      <c r="U403">
        <f>70</f>
        <v>70</v>
      </c>
      <c r="V403">
        <f>30</f>
        <v>30</v>
      </c>
      <c r="W403">
        <f t="shared" ca="1" si="132"/>
        <v>108.57349473732572</v>
      </c>
      <c r="X403">
        <f t="shared" ca="1" si="121"/>
        <v>109.49089786868747</v>
      </c>
      <c r="Y403">
        <f t="shared" ca="1" si="120"/>
        <v>-1.0683016248937065</v>
      </c>
      <c r="Z403">
        <f t="shared" ca="1" si="122"/>
        <v>-0.447690830223339</v>
      </c>
      <c r="AA403">
        <f t="shared" ca="1" si="123"/>
        <v>-0.6206107946703675</v>
      </c>
      <c r="AB403">
        <f t="shared" ca="1" si="124"/>
        <v>108.92800000000001</v>
      </c>
    </row>
    <row r="404" spans="1:28" x14ac:dyDescent="0.25">
      <c r="A404" s="20">
        <f t="shared" ca="1" si="125"/>
        <v>45880</v>
      </c>
      <c r="B404" vm="1162">
        <f ca="1"/>
        <v>45880</v>
      </c>
      <c r="C404" vm="1163">
        <f ca="1"/>
        <v>105.83</v>
      </c>
      <c r="D404" vm="1164">
        <f ca="1"/>
        <v>13570661</v>
      </c>
      <c r="E404">
        <f t="shared" ca="1" si="126"/>
        <v>1436183053.6299999</v>
      </c>
      <c r="F404">
        <f ca="1">SUM($E$2:E404)/SUM($D$2:D404)</f>
        <v>111.35638228465285</v>
      </c>
      <c r="G404">
        <f ca="1">_xlfn.STDEV.P($C$2:C404)</f>
        <v>6.1457403367060426</v>
      </c>
      <c r="H404">
        <f t="shared" ca="1" si="127"/>
        <v>117.50212262135889</v>
      </c>
      <c r="I404">
        <f t="shared" ca="1" si="128"/>
        <v>105.21064194794681</v>
      </c>
      <c r="J404">
        <f t="shared" ca="1" si="116"/>
        <v>109.474</v>
      </c>
      <c r="K404">
        <f t="shared" ca="1" si="117"/>
        <v>2.4050635181457864</v>
      </c>
      <c r="L404">
        <f t="shared" ca="1" si="118"/>
        <v>114.28412703629158</v>
      </c>
      <c r="M404">
        <f t="shared" ca="1" si="119"/>
        <v>104.66387296370843</v>
      </c>
      <c r="N404">
        <f t="shared" ca="1" si="129"/>
        <v>-0.96999999999999886</v>
      </c>
      <c r="O404">
        <f t="shared" ca="1" si="130"/>
        <v>0</v>
      </c>
      <c r="P404">
        <f t="shared" ca="1" si="131"/>
        <v>0.96999999999999886</v>
      </c>
      <c r="Q404">
        <f t="shared" ca="1" si="135"/>
        <v>0.40567327330458525</v>
      </c>
      <c r="R404">
        <f t="shared" ca="1" si="136"/>
        <v>0.66836816281206723</v>
      </c>
      <c r="S404">
        <f t="shared" ca="1" si="133"/>
        <v>0.6069607977701551</v>
      </c>
      <c r="T404">
        <f t="shared" ca="1" si="134"/>
        <v>37.770728359545785</v>
      </c>
      <c r="U404">
        <f>70</f>
        <v>70</v>
      </c>
      <c r="V404">
        <f>30</f>
        <v>30</v>
      </c>
      <c r="W404">
        <f t="shared" ca="1" si="132"/>
        <v>108.15141862389099</v>
      </c>
      <c r="X404">
        <f t="shared" ca="1" si="121"/>
        <v>109.2197202487847</v>
      </c>
      <c r="Y404">
        <f t="shared" ca="1" si="120"/>
        <v>-1.150420938915687</v>
      </c>
      <c r="Z404">
        <f t="shared" ca="1" si="122"/>
        <v>-0.58823685196180864</v>
      </c>
      <c r="AA404">
        <f t="shared" ca="1" si="123"/>
        <v>-0.56218408695387834</v>
      </c>
      <c r="AB404">
        <f t="shared" ca="1" si="124"/>
        <v>108.84989999999999</v>
      </c>
    </row>
    <row r="405" spans="1:28" x14ac:dyDescent="0.25">
      <c r="A405" s="20">
        <f t="shared" ca="1" si="125"/>
        <v>45880</v>
      </c>
      <c r="B405" vm="1165">
        <f ca="1"/>
        <v>45881</v>
      </c>
      <c r="C405" vm="1166">
        <f ca="1"/>
        <v>106.13</v>
      </c>
      <c r="D405" vm="1167">
        <f ca="1"/>
        <v>14113216</v>
      </c>
      <c r="E405">
        <f t="shared" ca="1" si="126"/>
        <v>1497835614.0799999</v>
      </c>
      <c r="F405">
        <f ca="1">SUM($E$2:E405)/SUM($D$2:D405)</f>
        <v>111.34530837995727</v>
      </c>
      <c r="G405">
        <f ca="1">_xlfn.STDEV.P($C$2:C405)</f>
        <v>6.1446442115787736</v>
      </c>
      <c r="H405">
        <f t="shared" ca="1" si="127"/>
        <v>117.48995259153605</v>
      </c>
      <c r="I405">
        <f t="shared" ca="1" si="128"/>
        <v>105.20066416837849</v>
      </c>
      <c r="J405">
        <f t="shared" ca="1" si="116"/>
        <v>109.13500000000002</v>
      </c>
      <c r="K405">
        <f t="shared" ca="1" si="117"/>
        <v>2.3728741178046868</v>
      </c>
      <c r="L405">
        <f t="shared" ca="1" si="118"/>
        <v>113.88074823560939</v>
      </c>
      <c r="M405">
        <f t="shared" ca="1" si="119"/>
        <v>104.38925176439065</v>
      </c>
      <c r="N405">
        <f t="shared" ca="1" si="129"/>
        <v>0.29999999999999716</v>
      </c>
      <c r="O405">
        <f t="shared" ca="1" si="130"/>
        <v>0.29999999999999716</v>
      </c>
      <c r="P405">
        <f t="shared" ca="1" si="131"/>
        <v>0</v>
      </c>
      <c r="Q405">
        <f t="shared" ca="1" si="135"/>
        <v>0.39812518235425748</v>
      </c>
      <c r="R405">
        <f t="shared" ca="1" si="136"/>
        <v>0.62062757975406246</v>
      </c>
      <c r="S405">
        <f t="shared" ca="1" si="133"/>
        <v>0.6414880603791786</v>
      </c>
      <c r="T405">
        <f t="shared" ca="1" si="134"/>
        <v>39.079666545426889</v>
      </c>
      <c r="U405">
        <f>70</f>
        <v>70</v>
      </c>
      <c r="V405">
        <f>30</f>
        <v>30</v>
      </c>
      <c r="W405">
        <f t="shared" ca="1" si="132"/>
        <v>107.84043114329236</v>
      </c>
      <c r="X405">
        <f t="shared" ca="1" si="121"/>
        <v>108.99085208220805</v>
      </c>
      <c r="Y405">
        <f t="shared" ca="1" si="120"/>
        <v>-1.0843842654124956</v>
      </c>
      <c r="Z405">
        <f t="shared" ca="1" si="122"/>
        <v>-0.68746633465194606</v>
      </c>
      <c r="AA405">
        <f t="shared" ca="1" si="123"/>
        <v>-0.39691793076054949</v>
      </c>
      <c r="AB405">
        <f t="shared" ca="1" si="124"/>
        <v>108.75709999999999</v>
      </c>
    </row>
    <row r="406" spans="1:28" x14ac:dyDescent="0.25">
      <c r="A406" s="20">
        <f t="shared" ca="1" si="125"/>
        <v>45880</v>
      </c>
      <c r="B406" vm="1168">
        <f ca="1"/>
        <v>45882</v>
      </c>
      <c r="C406" vm="1169">
        <f ca="1"/>
        <v>107.6</v>
      </c>
      <c r="D406" vm="1170">
        <f ca="1"/>
        <v>17958695</v>
      </c>
      <c r="E406">
        <f t="shared" ca="1" si="126"/>
        <v>1932355582</v>
      </c>
      <c r="F406">
        <f ca="1">SUM($E$2:E406)/SUM($D$2:D406)</f>
        <v>111.33523751858122</v>
      </c>
      <c r="G406">
        <f ca="1">_xlfn.STDEV.P($C$2:C406)</f>
        <v>6.1406069842020274</v>
      </c>
      <c r="H406">
        <f t="shared" ca="1" si="127"/>
        <v>117.47584450278325</v>
      </c>
      <c r="I406">
        <f t="shared" ca="1" si="128"/>
        <v>105.1946305343792</v>
      </c>
      <c r="J406">
        <f t="shared" ref="J406:J469" ca="1" si="137">AVERAGE(C387:C406)</f>
        <v>108.90350000000001</v>
      </c>
      <c r="K406">
        <f t="shared" ref="K406:K469" ca="1" si="138">_xlfn.STDEV.S(C387:C406)</f>
        <v>2.2790285903843936</v>
      </c>
      <c r="L406">
        <f t="shared" ref="L406:L469" ca="1" si="139">J406 + 2*K406</f>
        <v>113.46155718076879</v>
      </c>
      <c r="M406">
        <f t="shared" ref="M406:M469" ca="1" si="140">J406-2*K406</f>
        <v>104.34544281923122</v>
      </c>
      <c r="N406">
        <f t="shared" ca="1" si="129"/>
        <v>1.4699999999999989</v>
      </c>
      <c r="O406">
        <f t="shared" ca="1" si="130"/>
        <v>1.4699999999999989</v>
      </c>
      <c r="P406">
        <f t="shared" ca="1" si="131"/>
        <v>0</v>
      </c>
      <c r="Q406">
        <f t="shared" ca="1" si="135"/>
        <v>0.47468766932895329</v>
      </c>
      <c r="R406">
        <f t="shared" ca="1" si="136"/>
        <v>0.57629703834305801</v>
      </c>
      <c r="S406">
        <f t="shared" ca="1" si="133"/>
        <v>0.82368576922371983</v>
      </c>
      <c r="T406">
        <f t="shared" ca="1" si="134"/>
        <v>45.165992032406685</v>
      </c>
      <c r="U406">
        <f>70</f>
        <v>70</v>
      </c>
      <c r="V406">
        <f>30</f>
        <v>30</v>
      </c>
      <c r="W406">
        <f t="shared" ca="1" si="132"/>
        <v>107.803441736632</v>
      </c>
      <c r="X406">
        <f t="shared" ca="1" si="121"/>
        <v>108.88782600204449</v>
      </c>
      <c r="Y406">
        <f t="shared" ca="1" si="120"/>
        <v>-1.0378383330049985</v>
      </c>
      <c r="Z406">
        <f t="shared" ca="1" si="122"/>
        <v>-0.75754073432255653</v>
      </c>
      <c r="AA406">
        <f t="shared" ca="1" si="123"/>
        <v>-0.28029759868244197</v>
      </c>
      <c r="AB406">
        <f t="shared" ca="1" si="124"/>
        <v>108.6741</v>
      </c>
    </row>
    <row r="407" spans="1:28" x14ac:dyDescent="0.25">
      <c r="A407" s="20">
        <f t="shared" ca="1" si="125"/>
        <v>45880</v>
      </c>
      <c r="B407" vm="1171">
        <f ca="1"/>
        <v>45883</v>
      </c>
      <c r="C407" vm="1172">
        <f ca="1"/>
        <v>107.38</v>
      </c>
      <c r="D407" vm="1173">
        <f ca="1"/>
        <v>13683472</v>
      </c>
      <c r="E407">
        <f t="shared" ca="1" si="126"/>
        <v>1469331223.3599999</v>
      </c>
      <c r="F407">
        <f ca="1">SUM($E$2:E407)/SUM($D$2:D407)</f>
        <v>111.32715057779362</v>
      </c>
      <c r="G407">
        <f ca="1">_xlfn.STDEV.P($C$2:C407)</f>
        <v>6.1369490230515948</v>
      </c>
      <c r="H407">
        <f t="shared" ca="1" si="127"/>
        <v>117.46409960084522</v>
      </c>
      <c r="I407">
        <f t="shared" ca="1" si="128"/>
        <v>105.19020155474202</v>
      </c>
      <c r="J407">
        <f t="shared" ca="1" si="137"/>
        <v>108.68950000000002</v>
      </c>
      <c r="K407">
        <f t="shared" ca="1" si="138"/>
        <v>2.2063579778258551</v>
      </c>
      <c r="L407">
        <f t="shared" ca="1" si="139"/>
        <v>113.10221595565173</v>
      </c>
      <c r="M407">
        <f t="shared" ca="1" si="140"/>
        <v>104.27678404434832</v>
      </c>
      <c r="N407">
        <f t="shared" ca="1" si="129"/>
        <v>-0.21999999999999886</v>
      </c>
      <c r="O407">
        <f t="shared" ca="1" si="130"/>
        <v>0</v>
      </c>
      <c r="P407">
        <f t="shared" ca="1" si="131"/>
        <v>0.21999999999999886</v>
      </c>
      <c r="Q407">
        <f t="shared" ca="1" si="135"/>
        <v>0.44078140723402809</v>
      </c>
      <c r="R407">
        <f t="shared" ca="1" si="136"/>
        <v>0.55084724988998235</v>
      </c>
      <c r="S407">
        <f t="shared" ca="1" si="133"/>
        <v>0.80018808720940859</v>
      </c>
      <c r="T407">
        <f t="shared" ca="1" si="134"/>
        <v>44.450248998693986</v>
      </c>
      <c r="U407">
        <f>70</f>
        <v>70</v>
      </c>
      <c r="V407">
        <f>30</f>
        <v>30</v>
      </c>
      <c r="W407">
        <f t="shared" ca="1" si="132"/>
        <v>107.73829685407323</v>
      </c>
      <c r="X407">
        <f t="shared" ca="1" si="121"/>
        <v>108.77613518707822</v>
      </c>
      <c r="Y407">
        <f t="shared" ca="1" si="120"/>
        <v>-1.0605406556714456</v>
      </c>
      <c r="Z407">
        <f t="shared" ca="1" si="122"/>
        <v>-0.81814071859233439</v>
      </c>
      <c r="AA407">
        <f t="shared" ca="1" si="123"/>
        <v>-0.24239993707911123</v>
      </c>
      <c r="AB407">
        <f t="shared" ca="1" si="124"/>
        <v>108.59289999999999</v>
      </c>
    </row>
    <row r="408" spans="1:28" x14ac:dyDescent="0.25">
      <c r="A408" s="20">
        <f t="shared" ca="1" si="125"/>
        <v>45880</v>
      </c>
      <c r="B408" vm="1174">
        <f ca="1"/>
        <v>45884</v>
      </c>
      <c r="C408" vm="723">
        <f ca="1"/>
        <v>106.49</v>
      </c>
      <c r="D408" vm="1175">
        <f ca="1"/>
        <v>19271861</v>
      </c>
      <c r="E408">
        <f t="shared" ca="1" si="126"/>
        <v>2052260477.8899999</v>
      </c>
      <c r="F408">
        <f ca="1">SUM($E$2:E408)/SUM($D$2:D408)</f>
        <v>111.31326129465592</v>
      </c>
      <c r="G408">
        <f ca="1">_xlfn.STDEV.P($C$2:C408)</f>
        <v>6.1350132667012645</v>
      </c>
      <c r="H408">
        <f t="shared" ca="1" si="127"/>
        <v>117.44827456135718</v>
      </c>
      <c r="I408">
        <f t="shared" ca="1" si="128"/>
        <v>105.17824802795465</v>
      </c>
      <c r="J408">
        <f t="shared" ca="1" si="137"/>
        <v>108.62549999999999</v>
      </c>
      <c r="K408">
        <f t="shared" ca="1" si="138"/>
        <v>2.252515494426528</v>
      </c>
      <c r="L408">
        <f t="shared" ca="1" si="139"/>
        <v>113.13053098885304</v>
      </c>
      <c r="M408">
        <f t="shared" ca="1" si="140"/>
        <v>104.12046901114694</v>
      </c>
      <c r="N408">
        <f t="shared" ca="1" si="129"/>
        <v>-0.89000000000000057</v>
      </c>
      <c r="O408">
        <f t="shared" ca="1" si="130"/>
        <v>0</v>
      </c>
      <c r="P408">
        <f t="shared" ca="1" si="131"/>
        <v>0.89000000000000057</v>
      </c>
      <c r="Q408">
        <f t="shared" ca="1" si="135"/>
        <v>0.40929702100302606</v>
      </c>
      <c r="R408">
        <f t="shared" ca="1" si="136"/>
        <v>0.57507244632641219</v>
      </c>
      <c r="S408">
        <f t="shared" ca="1" si="133"/>
        <v>0.71173123250406667</v>
      </c>
      <c r="T408">
        <f t="shared" ca="1" si="134"/>
        <v>41.579613609251339</v>
      </c>
      <c r="U408">
        <f>70</f>
        <v>70</v>
      </c>
      <c r="V408">
        <f>30</f>
        <v>30</v>
      </c>
      <c r="W408">
        <f t="shared" ca="1" si="132"/>
        <v>107.54625118421581</v>
      </c>
      <c r="X408">
        <f t="shared" ca="1" si="121"/>
        <v>108.60679183988725</v>
      </c>
      <c r="Y408">
        <f t="shared" ca="1" si="120"/>
        <v>-1.0478938639637079</v>
      </c>
      <c r="Z408">
        <f t="shared" ca="1" si="122"/>
        <v>-0.86409134766660922</v>
      </c>
      <c r="AA408">
        <f t="shared" ca="1" si="123"/>
        <v>-0.18380251629709865</v>
      </c>
      <c r="AB408">
        <f t="shared" ca="1" si="124"/>
        <v>108.49979999999998</v>
      </c>
    </row>
    <row r="409" spans="1:28" x14ac:dyDescent="0.25">
      <c r="A409" s="20">
        <f t="shared" ca="1" si="125"/>
        <v>45887</v>
      </c>
      <c r="B409" vm="1176">
        <f ca="1"/>
        <v>45887</v>
      </c>
      <c r="C409" vm="1177">
        <f ca="1"/>
        <v>106.72</v>
      </c>
      <c r="D409" vm="1178">
        <f ca="1"/>
        <v>13040018</v>
      </c>
      <c r="E409">
        <f t="shared" ca="1" si="126"/>
        <v>1391630720.96</v>
      </c>
      <c r="F409">
        <f ca="1">SUM($E$2:E409)/SUM($D$2:D409)</f>
        <v>111.30435446900655</v>
      </c>
      <c r="G409">
        <f ca="1">_xlfn.STDEV.P($C$2:C409)</f>
        <v>6.1325849697879127</v>
      </c>
      <c r="H409">
        <f t="shared" ca="1" si="127"/>
        <v>117.43693943879447</v>
      </c>
      <c r="I409">
        <f t="shared" ca="1" si="128"/>
        <v>105.17176949921864</v>
      </c>
      <c r="J409">
        <f t="shared" ca="1" si="137"/>
        <v>108.559</v>
      </c>
      <c r="K409">
        <f t="shared" ca="1" si="138"/>
        <v>2.2897251041624158</v>
      </c>
      <c r="L409">
        <f t="shared" ca="1" si="139"/>
        <v>113.13845020832483</v>
      </c>
      <c r="M409">
        <f t="shared" ca="1" si="140"/>
        <v>103.97954979167517</v>
      </c>
      <c r="N409">
        <f t="shared" ca="1" si="129"/>
        <v>0.23000000000000398</v>
      </c>
      <c r="O409">
        <f t="shared" ca="1" si="130"/>
        <v>0.23000000000000398</v>
      </c>
      <c r="P409">
        <f t="shared" ca="1" si="131"/>
        <v>0</v>
      </c>
      <c r="Q409">
        <f t="shared" ca="1" si="135"/>
        <v>0.3964900909313816</v>
      </c>
      <c r="R409">
        <f t="shared" ca="1" si="136"/>
        <v>0.53399584301738279</v>
      </c>
      <c r="S409">
        <f t="shared" ca="1" si="133"/>
        <v>0.74249658703518207</v>
      </c>
      <c r="T409">
        <f t="shared" ca="1" si="134"/>
        <v>42.611078412413015</v>
      </c>
      <c r="U409">
        <f>70</f>
        <v>70</v>
      </c>
      <c r="V409">
        <f>30</f>
        <v>30</v>
      </c>
      <c r="W409">
        <f t="shared" ca="1" si="132"/>
        <v>107.41913561741337</v>
      </c>
      <c r="X409">
        <f t="shared" ca="1" si="121"/>
        <v>108.46702948137708</v>
      </c>
      <c r="Y409">
        <f t="shared" ca="1" si="120"/>
        <v>-0.97020314266603691</v>
      </c>
      <c r="Z409">
        <f t="shared" ca="1" si="122"/>
        <v>-0.88531370666649478</v>
      </c>
      <c r="AA409">
        <f t="shared" ca="1" si="123"/>
        <v>-8.4889435999542129E-2</v>
      </c>
      <c r="AB409">
        <f t="shared" ca="1" si="124"/>
        <v>108.40109999999999</v>
      </c>
    </row>
    <row r="410" spans="1:28" x14ac:dyDescent="0.25">
      <c r="A410" s="20">
        <f t="shared" ca="1" si="125"/>
        <v>45887</v>
      </c>
      <c r="B410" vm="1179">
        <f ca="1"/>
        <v>45888</v>
      </c>
      <c r="C410" vm="1180">
        <f ca="1"/>
        <v>107.42</v>
      </c>
      <c r="D410" vm="1181">
        <f ca="1"/>
        <v>16113611</v>
      </c>
      <c r="E410">
        <f t="shared" ca="1" si="126"/>
        <v>1730924093.6200001</v>
      </c>
      <c r="F410">
        <f ca="1">SUM($E$2:E410)/SUM($D$2:D410)</f>
        <v>111.29506916894947</v>
      </c>
      <c r="G410">
        <f ca="1">_xlfn.STDEV.P($C$2:C410)</f>
        <v>6.1288358291037826</v>
      </c>
      <c r="H410">
        <f t="shared" ca="1" si="127"/>
        <v>117.42390499805325</v>
      </c>
      <c r="I410">
        <f t="shared" ca="1" si="128"/>
        <v>105.16623333984569</v>
      </c>
      <c r="J410">
        <f t="shared" ca="1" si="137"/>
        <v>108.503</v>
      </c>
      <c r="K410">
        <f t="shared" ca="1" si="138"/>
        <v>2.3038665440149924</v>
      </c>
      <c r="L410">
        <f t="shared" ca="1" si="139"/>
        <v>113.11073308802999</v>
      </c>
      <c r="M410">
        <f t="shared" ca="1" si="140"/>
        <v>103.89526691197001</v>
      </c>
      <c r="N410">
        <f t="shared" ca="1" si="129"/>
        <v>0.70000000000000284</v>
      </c>
      <c r="O410">
        <f t="shared" ca="1" si="130"/>
        <v>0.70000000000000284</v>
      </c>
      <c r="P410">
        <f t="shared" ca="1" si="131"/>
        <v>0</v>
      </c>
      <c r="Q410">
        <f t="shared" ca="1" si="135"/>
        <v>0.41816937015056882</v>
      </c>
      <c r="R410">
        <f t="shared" ca="1" si="136"/>
        <v>0.49585328280185548</v>
      </c>
      <c r="S410">
        <f t="shared" ca="1" si="133"/>
        <v>0.8433328661003755</v>
      </c>
      <c r="T410">
        <f t="shared" ca="1" si="134"/>
        <v>45.750438328833731</v>
      </c>
      <c r="U410">
        <f>70</f>
        <v>70</v>
      </c>
      <c r="V410">
        <f>30</f>
        <v>30</v>
      </c>
      <c r="W410">
        <f t="shared" ca="1" si="132"/>
        <v>107.41926859934978</v>
      </c>
      <c r="X410">
        <f t="shared" ca="1" si="121"/>
        <v>108.38947174201581</v>
      </c>
      <c r="Y410">
        <f t="shared" ca="1" si="120"/>
        <v>-0.80973088931126824</v>
      </c>
      <c r="Z410">
        <f t="shared" ca="1" si="122"/>
        <v>-0.8701971431954495</v>
      </c>
      <c r="AA410">
        <f t="shared" ca="1" si="123"/>
        <v>6.0466253884181254E-2</v>
      </c>
      <c r="AB410">
        <f t="shared" ca="1" si="124"/>
        <v>108.29259999999998</v>
      </c>
    </row>
    <row r="411" spans="1:28" x14ac:dyDescent="0.25">
      <c r="A411" s="20">
        <f t="shared" ca="1" si="125"/>
        <v>45887</v>
      </c>
      <c r="B411" vm="1182">
        <f ca="1"/>
        <v>45889</v>
      </c>
      <c r="C411" vm="1183">
        <f ca="1"/>
        <v>108.53</v>
      </c>
      <c r="D411" vm="1184">
        <f ca="1"/>
        <v>18959716</v>
      </c>
      <c r="E411">
        <f t="shared" ca="1" si="126"/>
        <v>2057697977.48</v>
      </c>
      <c r="F411">
        <f ca="1">SUM($E$2:E411)/SUM($D$2:D411)</f>
        <v>111.28731380407227</v>
      </c>
      <c r="G411">
        <f ca="1">_xlfn.STDEV.P($C$2:C411)</f>
        <v>6.1234190935296109</v>
      </c>
      <c r="H411">
        <f t="shared" ca="1" si="127"/>
        <v>117.41073289760187</v>
      </c>
      <c r="I411">
        <f t="shared" ca="1" si="128"/>
        <v>105.16389471054266</v>
      </c>
      <c r="J411">
        <f t="shared" ca="1" si="137"/>
        <v>108.43300000000002</v>
      </c>
      <c r="K411">
        <f t="shared" ca="1" si="138"/>
        <v>2.2793653317951201</v>
      </c>
      <c r="L411">
        <f t="shared" ca="1" si="139"/>
        <v>112.99173066359026</v>
      </c>
      <c r="M411">
        <f t="shared" ca="1" si="140"/>
        <v>103.87426933640978</v>
      </c>
      <c r="N411">
        <f t="shared" ca="1" si="129"/>
        <v>1.1099999999999994</v>
      </c>
      <c r="O411">
        <f t="shared" ca="1" si="130"/>
        <v>1.1099999999999994</v>
      </c>
      <c r="P411">
        <f t="shared" ca="1" si="131"/>
        <v>0</v>
      </c>
      <c r="Q411">
        <f t="shared" ca="1" si="135"/>
        <v>0.4675858437112424</v>
      </c>
      <c r="R411">
        <f t="shared" ca="1" si="136"/>
        <v>0.46043519117315151</v>
      </c>
      <c r="S411">
        <f t="shared" ca="1" si="133"/>
        <v>1.0155302041963203</v>
      </c>
      <c r="T411">
        <f t="shared" ca="1" si="134"/>
        <v>50.385263494538222</v>
      </c>
      <c r="U411">
        <f>70</f>
        <v>70</v>
      </c>
      <c r="V411">
        <f>30</f>
        <v>30</v>
      </c>
      <c r="W411">
        <f t="shared" ca="1" si="132"/>
        <v>107.59015035329597</v>
      </c>
      <c r="X411">
        <f t="shared" ca="1" si="121"/>
        <v>108.39988124260724</v>
      </c>
      <c r="Y411">
        <f t="shared" ca="1" si="120"/>
        <v>-0.61893660660527416</v>
      </c>
      <c r="Z411">
        <f t="shared" ca="1" si="122"/>
        <v>-0.81994503587741452</v>
      </c>
      <c r="AA411">
        <f t="shared" ca="1" si="123"/>
        <v>0.20100842927214035</v>
      </c>
      <c r="AB411">
        <f t="shared" ca="1" si="124"/>
        <v>108.199</v>
      </c>
    </row>
    <row r="412" spans="1:28" x14ac:dyDescent="0.25">
      <c r="A412" s="20">
        <f t="shared" ca="1" si="125"/>
        <v>45887</v>
      </c>
      <c r="B412" vm="1185">
        <f ca="1"/>
        <v>45890</v>
      </c>
      <c r="C412" vm="1186">
        <f ca="1"/>
        <v>109.23</v>
      </c>
      <c r="D412" vm="1187">
        <f ca="1"/>
        <v>12194897</v>
      </c>
      <c r="E412">
        <f t="shared" ca="1" si="126"/>
        <v>1332048599.3099999</v>
      </c>
      <c r="F412">
        <f ca="1">SUM($E$2:E412)/SUM($D$2:D412)</f>
        <v>111.28360904208076</v>
      </c>
      <c r="G412">
        <f ca="1">_xlfn.STDEV.P($C$2:C412)</f>
        <v>6.1172186613925819</v>
      </c>
      <c r="H412">
        <f t="shared" ca="1" si="127"/>
        <v>117.40082770347334</v>
      </c>
      <c r="I412">
        <f t="shared" ca="1" si="128"/>
        <v>105.16639038068817</v>
      </c>
      <c r="J412">
        <f t="shared" ca="1" si="137"/>
        <v>108.35500000000002</v>
      </c>
      <c r="K412">
        <f t="shared" ca="1" si="138"/>
        <v>2.2203923313827132</v>
      </c>
      <c r="L412">
        <f t="shared" ca="1" si="139"/>
        <v>112.79578466276544</v>
      </c>
      <c r="M412">
        <f t="shared" ca="1" si="140"/>
        <v>103.91421533723459</v>
      </c>
      <c r="N412">
        <f t="shared" ca="1" si="129"/>
        <v>0.70000000000000284</v>
      </c>
      <c r="O412">
        <f t="shared" ca="1" si="130"/>
        <v>0.70000000000000284</v>
      </c>
      <c r="P412">
        <f t="shared" ca="1" si="131"/>
        <v>0</v>
      </c>
      <c r="Q412">
        <f t="shared" ca="1" si="135"/>
        <v>0.48418685487472529</v>
      </c>
      <c r="R412">
        <f t="shared" ca="1" si="136"/>
        <v>0.42754696323221214</v>
      </c>
      <c r="S412">
        <f t="shared" ca="1" si="133"/>
        <v>1.1324764213370182</v>
      </c>
      <c r="T412">
        <f t="shared" ca="1" si="134"/>
        <v>53.106163801191251</v>
      </c>
      <c r="U412">
        <f>70</f>
        <v>70</v>
      </c>
      <c r="V412">
        <f>30</f>
        <v>30</v>
      </c>
      <c r="W412">
        <f t="shared" ca="1" si="132"/>
        <v>107.84243491432736</v>
      </c>
      <c r="X412">
        <f t="shared" ca="1" si="121"/>
        <v>108.46137152093263</v>
      </c>
      <c r="Y412">
        <f t="shared" ref="Y412:Y475" ca="1" si="141">W413-X413</f>
        <v>-0.29886773432444613</v>
      </c>
      <c r="Z412">
        <f t="shared" ca="1" si="122"/>
        <v>-0.71572957556682093</v>
      </c>
      <c r="AA412">
        <f t="shared" ca="1" si="123"/>
        <v>0.4168618412423748</v>
      </c>
      <c r="AB412">
        <f t="shared" ca="1" si="124"/>
        <v>108.11399999999998</v>
      </c>
    </row>
    <row r="413" spans="1:28" x14ac:dyDescent="0.25">
      <c r="A413" s="20">
        <f t="shared" ca="1" si="125"/>
        <v>45887</v>
      </c>
      <c r="B413" vm="1188">
        <f ca="1"/>
        <v>45891</v>
      </c>
      <c r="C413" vm="1189">
        <f ca="1"/>
        <v>111.28</v>
      </c>
      <c r="D413" vm="1190">
        <f ca="1"/>
        <v>13586668</v>
      </c>
      <c r="E413">
        <f t="shared" ca="1" si="126"/>
        <v>1511924415.04</v>
      </c>
      <c r="F413">
        <f ca="1">SUM($E$2:E413)/SUM($D$2:D413)</f>
        <v>111.28360181577897</v>
      </c>
      <c r="G413">
        <f ca="1">_xlfn.STDEV.P($C$2:C413)</f>
        <v>6.1098318013953739</v>
      </c>
      <c r="H413">
        <f t="shared" ca="1" si="127"/>
        <v>117.39343361717434</v>
      </c>
      <c r="I413">
        <f t="shared" ca="1" si="128"/>
        <v>105.17377001438359</v>
      </c>
      <c r="J413">
        <f t="shared" ca="1" si="137"/>
        <v>108.399</v>
      </c>
      <c r="K413">
        <f t="shared" ca="1" si="138"/>
        <v>2.2711877254446691</v>
      </c>
      <c r="L413">
        <f t="shared" ca="1" si="139"/>
        <v>112.94137545088934</v>
      </c>
      <c r="M413">
        <f t="shared" ca="1" si="140"/>
        <v>103.85662454911066</v>
      </c>
      <c r="N413">
        <f t="shared" ca="1" si="129"/>
        <v>2.0499999999999972</v>
      </c>
      <c r="O413">
        <f t="shared" ca="1" si="130"/>
        <v>2.0499999999999972</v>
      </c>
      <c r="P413">
        <f t="shared" ca="1" si="131"/>
        <v>0</v>
      </c>
      <c r="Q413">
        <f t="shared" ca="1" si="135"/>
        <v>0.59603065095510188</v>
      </c>
      <c r="R413">
        <f t="shared" ca="1" si="136"/>
        <v>0.3970078944299113</v>
      </c>
      <c r="S413">
        <f t="shared" ca="1" si="133"/>
        <v>1.5013067984730628</v>
      </c>
      <c r="T413">
        <f t="shared" ca="1" si="134"/>
        <v>60.020897851856645</v>
      </c>
      <c r="U413">
        <f>70</f>
        <v>70</v>
      </c>
      <c r="V413">
        <f>30</f>
        <v>30</v>
      </c>
      <c r="W413">
        <f t="shared" ca="1" si="132"/>
        <v>108.37129108135392</v>
      </c>
      <c r="X413">
        <f t="shared" ref="X413:X476" ca="1" si="142">C413*(2/(26+1)) + X412*(1-(2/(26+1)))</f>
        <v>108.67015881567836</v>
      </c>
      <c r="Y413">
        <f t="shared" ca="1" si="141"/>
        <v>-8.0004670465854133E-3</v>
      </c>
      <c r="Z413">
        <f t="shared" ca="1" si="122"/>
        <v>-0.57418375386277387</v>
      </c>
      <c r="AA413">
        <f t="shared" ca="1" si="123"/>
        <v>0.56618328681618846</v>
      </c>
      <c r="AB413">
        <f t="shared" ca="1" si="124"/>
        <v>108.03749999999998</v>
      </c>
    </row>
    <row r="414" spans="1:28" x14ac:dyDescent="0.25">
      <c r="A414" s="20">
        <f t="shared" ca="1" si="125"/>
        <v>45894</v>
      </c>
      <c r="B414" vm="1191">
        <f ca="1"/>
        <v>45894</v>
      </c>
      <c r="C414" vm="347">
        <f ca="1"/>
        <v>111.74</v>
      </c>
      <c r="D414" vm="1192">
        <f ca="1"/>
        <v>9744897</v>
      </c>
      <c r="E414">
        <f t="shared" ca="1" si="126"/>
        <v>1088894790.78</v>
      </c>
      <c r="F414">
        <f ca="1">SUM($E$2:E414)/SUM($D$2:D414)</f>
        <v>111.28425631494721</v>
      </c>
      <c r="G414">
        <f ca="1">_xlfn.STDEV.P($C$2:C414)</f>
        <v>6.1024304303226362</v>
      </c>
      <c r="H414">
        <f t="shared" ca="1" si="127"/>
        <v>117.38668674526986</v>
      </c>
      <c r="I414">
        <f t="shared" ca="1" si="128"/>
        <v>105.18182588462457</v>
      </c>
      <c r="J414">
        <f t="shared" ca="1" si="137"/>
        <v>108.41399999999999</v>
      </c>
      <c r="K414">
        <f t="shared" ca="1" si="138"/>
        <v>2.2932128691331504</v>
      </c>
      <c r="L414">
        <f t="shared" ca="1" si="139"/>
        <v>113.00042573826629</v>
      </c>
      <c r="M414">
        <f t="shared" ca="1" si="140"/>
        <v>103.82757426173369</v>
      </c>
      <c r="N414">
        <f t="shared" ca="1" si="129"/>
        <v>0.45999999999999375</v>
      </c>
      <c r="O414">
        <f t="shared" ca="1" si="130"/>
        <v>0.45999999999999375</v>
      </c>
      <c r="P414">
        <f t="shared" ca="1" si="131"/>
        <v>0</v>
      </c>
      <c r="Q414">
        <f t="shared" ca="1" si="135"/>
        <v>0.58631417588687995</v>
      </c>
      <c r="R414">
        <f t="shared" ca="1" si="136"/>
        <v>0.36865018768491764</v>
      </c>
      <c r="S414">
        <f t="shared" ca="1" si="133"/>
        <v>1.5904350397021851</v>
      </c>
      <c r="T414">
        <f t="shared" ca="1" si="134"/>
        <v>61.396445590275555</v>
      </c>
      <c r="U414">
        <f>70</f>
        <v>70</v>
      </c>
      <c r="V414">
        <f>30</f>
        <v>30</v>
      </c>
      <c r="W414">
        <f t="shared" ca="1" si="132"/>
        <v>108.88955399191485</v>
      </c>
      <c r="X414">
        <f t="shared" ca="1" si="142"/>
        <v>108.89755445896144</v>
      </c>
      <c r="Y414">
        <f t="shared" ca="1" si="141"/>
        <v>0.2000351465419925</v>
      </c>
      <c r="Z414">
        <f t="shared" ca="1" si="122"/>
        <v>-0.41933997378182064</v>
      </c>
      <c r="AA414">
        <f t="shared" ca="1" si="123"/>
        <v>0.61937512032381314</v>
      </c>
      <c r="AB414">
        <f t="shared" ca="1" si="124"/>
        <v>107.96449999999997</v>
      </c>
    </row>
    <row r="415" spans="1:28" x14ac:dyDescent="0.25">
      <c r="A415" s="20">
        <f t="shared" ca="1" si="125"/>
        <v>45894</v>
      </c>
      <c r="B415" vm="1193">
        <f ca="1"/>
        <v>45895</v>
      </c>
      <c r="C415" vm="1194">
        <f ca="1"/>
        <v>111.49</v>
      </c>
      <c r="D415" vm="1195">
        <f ca="1"/>
        <v>18143880</v>
      </c>
      <c r="E415">
        <f t="shared" ca="1" si="126"/>
        <v>2022861181.1999998</v>
      </c>
      <c r="F415">
        <f ca="1">SUM($E$2:E415)/SUM($D$2:D415)</f>
        <v>111.28480419637361</v>
      </c>
      <c r="G415">
        <f ca="1">_xlfn.STDEV.P($C$2:C415)</f>
        <v>6.0950678826592153</v>
      </c>
      <c r="H415">
        <f t="shared" ca="1" si="127"/>
        <v>117.37987207903282</v>
      </c>
      <c r="I415">
        <f t="shared" ca="1" si="128"/>
        <v>105.18973631371441</v>
      </c>
      <c r="J415">
        <f t="shared" ca="1" si="137"/>
        <v>108.34449999999997</v>
      </c>
      <c r="K415">
        <f t="shared" ca="1" si="138"/>
        <v>2.1684058539324282</v>
      </c>
      <c r="L415">
        <f t="shared" ca="1" si="139"/>
        <v>112.68131170786482</v>
      </c>
      <c r="M415">
        <f t="shared" ca="1" si="140"/>
        <v>104.00768829213511</v>
      </c>
      <c r="N415">
        <f t="shared" ca="1" si="129"/>
        <v>-0.25</v>
      </c>
      <c r="O415">
        <f t="shared" ca="1" si="130"/>
        <v>0</v>
      </c>
      <c r="P415">
        <f t="shared" ca="1" si="131"/>
        <v>0.25</v>
      </c>
      <c r="Q415">
        <f t="shared" ca="1" si="135"/>
        <v>0.54443459189495991</v>
      </c>
      <c r="R415">
        <f t="shared" ca="1" si="136"/>
        <v>0.36017517427885209</v>
      </c>
      <c r="S415">
        <f t="shared" ca="1" si="133"/>
        <v>1.5115827818645042</v>
      </c>
      <c r="T415">
        <f t="shared" ca="1" si="134"/>
        <v>60.18446984026393</v>
      </c>
      <c r="U415">
        <f>70</f>
        <v>70</v>
      </c>
      <c r="V415">
        <f>30</f>
        <v>30</v>
      </c>
      <c r="W415">
        <f t="shared" ca="1" si="132"/>
        <v>109.28962260854333</v>
      </c>
      <c r="X415">
        <f t="shared" ca="1" si="142"/>
        <v>109.08958746200133</v>
      </c>
      <c r="Y415">
        <f t="shared" ca="1" si="141"/>
        <v>0.46125922959240029</v>
      </c>
      <c r="Z415">
        <f t="shared" ca="1" si="122"/>
        <v>-0.24322013310697649</v>
      </c>
      <c r="AA415">
        <f t="shared" ca="1" si="123"/>
        <v>0.70447936269937683</v>
      </c>
      <c r="AB415">
        <f t="shared" ca="1" si="124"/>
        <v>107.89269999999996</v>
      </c>
    </row>
    <row r="416" spans="1:28" x14ac:dyDescent="0.25">
      <c r="A416" s="20">
        <f t="shared" ca="1" si="125"/>
        <v>45894</v>
      </c>
      <c r="B416" vm="1196">
        <f ca="1"/>
        <v>45896</v>
      </c>
      <c r="C416" vm="323">
        <f ca="1"/>
        <v>112.75</v>
      </c>
      <c r="D416" vm="1197">
        <f ca="1"/>
        <v>15262630</v>
      </c>
      <c r="E416">
        <f t="shared" ca="1" si="126"/>
        <v>1720861532.5</v>
      </c>
      <c r="F416">
        <f ca="1">SUM($E$2:E416)/SUM($D$2:D416)</f>
        <v>111.28807898432676</v>
      </c>
      <c r="G416">
        <f ca="1">_xlfn.STDEV.P($C$2:C416)</f>
        <v>6.0879231048515203</v>
      </c>
      <c r="H416">
        <f t="shared" ca="1" si="127"/>
        <v>117.37600208917829</v>
      </c>
      <c r="I416">
        <f t="shared" ca="1" si="128"/>
        <v>105.20015587947523</v>
      </c>
      <c r="J416">
        <f t="shared" ca="1" si="137"/>
        <v>108.38700000000001</v>
      </c>
      <c r="K416">
        <f t="shared" ca="1" si="138"/>
        <v>2.2486068201397384</v>
      </c>
      <c r="L416">
        <f t="shared" ca="1" si="139"/>
        <v>112.8842136402795</v>
      </c>
      <c r="M416">
        <f t="shared" ca="1" si="140"/>
        <v>103.88978635972053</v>
      </c>
      <c r="N416">
        <f t="shared" ca="1" si="129"/>
        <v>1.2600000000000051</v>
      </c>
      <c r="O416">
        <f t="shared" ca="1" si="130"/>
        <v>1.2600000000000051</v>
      </c>
      <c r="P416">
        <f t="shared" ca="1" si="131"/>
        <v>0</v>
      </c>
      <c r="Q416">
        <f t="shared" ca="1" si="135"/>
        <v>0.59554640675960602</v>
      </c>
      <c r="R416">
        <f t="shared" ca="1" si="136"/>
        <v>0.33444837611607697</v>
      </c>
      <c r="S416">
        <f t="shared" ca="1" si="133"/>
        <v>1.7806826084062366</v>
      </c>
      <c r="T416">
        <f t="shared" ca="1" si="134"/>
        <v>64.037607277547025</v>
      </c>
      <c r="U416">
        <f>70</f>
        <v>70</v>
      </c>
      <c r="V416">
        <f>30</f>
        <v>30</v>
      </c>
      <c r="W416">
        <f t="shared" ca="1" si="132"/>
        <v>109.82198836107511</v>
      </c>
      <c r="X416">
        <f t="shared" ca="1" si="142"/>
        <v>109.36072913148271</v>
      </c>
      <c r="Y416">
        <f t="shared" ca="1" si="141"/>
        <v>0.70852870514936228</v>
      </c>
      <c r="Z416">
        <f t="shared" ca="1" si="122"/>
        <v>-5.2870365455708751E-2</v>
      </c>
      <c r="AA416">
        <f t="shared" ca="1" si="123"/>
        <v>0.76139907060507106</v>
      </c>
      <c r="AB416">
        <f t="shared" ca="1" si="124"/>
        <v>107.89589999999997</v>
      </c>
    </row>
    <row r="417" spans="1:28" x14ac:dyDescent="0.25">
      <c r="A417" s="20">
        <f t="shared" ca="1" si="125"/>
        <v>45894</v>
      </c>
      <c r="B417" vm="1198">
        <f ca="1"/>
        <v>45897</v>
      </c>
      <c r="C417" vm="1199">
        <f ca="1"/>
        <v>113.35</v>
      </c>
      <c r="D417" vm="1200">
        <f ca="1"/>
        <v>14189829</v>
      </c>
      <c r="E417">
        <f t="shared" ca="1" si="126"/>
        <v>1608417117.1499999</v>
      </c>
      <c r="F417">
        <f ca="1">SUM($E$2:E417)/SUM($D$2:D417)</f>
        <v>111.29235467051087</v>
      </c>
      <c r="G417">
        <f ca="1">_xlfn.STDEV.P($C$2:C417)</f>
        <v>6.0811137650209917</v>
      </c>
      <c r="H417">
        <f t="shared" ca="1" si="127"/>
        <v>117.37346843553186</v>
      </c>
      <c r="I417">
        <f t="shared" ca="1" si="128"/>
        <v>105.21124090548989</v>
      </c>
      <c r="J417">
        <f t="shared" ca="1" si="137"/>
        <v>108.47250000000001</v>
      </c>
      <c r="K417">
        <f t="shared" ca="1" si="138"/>
        <v>2.4058216125845537</v>
      </c>
      <c r="L417">
        <f t="shared" ca="1" si="139"/>
        <v>113.28414322516912</v>
      </c>
      <c r="M417">
        <f t="shared" ca="1" si="140"/>
        <v>103.6608567748309</v>
      </c>
      <c r="N417">
        <f t="shared" ca="1" si="129"/>
        <v>0.59999999999999432</v>
      </c>
      <c r="O417">
        <f t="shared" ca="1" si="130"/>
        <v>0.59999999999999432</v>
      </c>
      <c r="P417">
        <f t="shared" ca="1" si="131"/>
        <v>0</v>
      </c>
      <c r="Q417">
        <f t="shared" ca="1" si="135"/>
        <v>0.59586452056249084</v>
      </c>
      <c r="R417">
        <f t="shared" ca="1" si="136"/>
        <v>0.31055920639350004</v>
      </c>
      <c r="S417">
        <f t="shared" ca="1" si="133"/>
        <v>1.9186825194532768</v>
      </c>
      <c r="T417">
        <f t="shared" ca="1" si="134"/>
        <v>65.737965902940402</v>
      </c>
      <c r="U417">
        <f>70</f>
        <v>70</v>
      </c>
      <c r="V417">
        <f>30</f>
        <v>30</v>
      </c>
      <c r="W417">
        <f t="shared" ca="1" si="132"/>
        <v>110.36475938244817</v>
      </c>
      <c r="X417">
        <f t="shared" ca="1" si="142"/>
        <v>109.65623067729881</v>
      </c>
      <c r="Y417">
        <f t="shared" ca="1" si="141"/>
        <v>0.96916970502846311</v>
      </c>
      <c r="Z417">
        <f t="shared" ca="1" si="122"/>
        <v>0.15153764864112562</v>
      </c>
      <c r="AA417">
        <f t="shared" ca="1" si="123"/>
        <v>0.81763205638733749</v>
      </c>
      <c r="AB417">
        <f t="shared" ca="1" si="124"/>
        <v>107.98599999999996</v>
      </c>
    </row>
    <row r="418" spans="1:28" x14ac:dyDescent="0.25">
      <c r="A418" s="20">
        <f t="shared" ca="1" si="125"/>
        <v>45894</v>
      </c>
      <c r="B418" vm="1201">
        <f ca="1"/>
        <v>45898</v>
      </c>
      <c r="C418" vm="1202">
        <f ca="1"/>
        <v>114.29</v>
      </c>
      <c r="D418" vm="1203">
        <f ca="1"/>
        <v>14597872</v>
      </c>
      <c r="E418">
        <f t="shared" ca="1" si="126"/>
        <v>1668390790.8800001</v>
      </c>
      <c r="F418">
        <f ca="1">SUM($E$2:E418)/SUM($D$2:D418)</f>
        <v>111.29873584988599</v>
      </c>
      <c r="G418">
        <f ca="1">_xlfn.STDEV.P($C$2:C418)</f>
        <v>6.0750962882654376</v>
      </c>
      <c r="H418">
        <f t="shared" ca="1" si="127"/>
        <v>117.37383213815143</v>
      </c>
      <c r="I418">
        <f t="shared" ca="1" si="128"/>
        <v>105.22363956162054</v>
      </c>
      <c r="J418">
        <f t="shared" ca="1" si="137"/>
        <v>108.705</v>
      </c>
      <c r="K418">
        <f t="shared" ca="1" si="138"/>
        <v>2.7277395692944624</v>
      </c>
      <c r="L418">
        <f t="shared" ca="1" si="139"/>
        <v>114.16047913858893</v>
      </c>
      <c r="M418">
        <f t="shared" ca="1" si="140"/>
        <v>103.24952086141107</v>
      </c>
      <c r="N418">
        <f t="shared" ca="1" si="129"/>
        <v>0.94000000000001194</v>
      </c>
      <c r="O418">
        <f t="shared" ca="1" si="130"/>
        <v>0.94000000000001194</v>
      </c>
      <c r="P418">
        <f t="shared" ca="1" si="131"/>
        <v>0</v>
      </c>
      <c r="Q418">
        <f t="shared" ca="1" si="135"/>
        <v>0.62044562623659949</v>
      </c>
      <c r="R418">
        <f t="shared" ca="1" si="136"/>
        <v>0.28837640593682146</v>
      </c>
      <c r="S418">
        <f t="shared" ca="1" si="133"/>
        <v>2.1515131386044426</v>
      </c>
      <c r="T418">
        <f t="shared" ca="1" si="134"/>
        <v>68.269210502393094</v>
      </c>
      <c r="U418">
        <f>70</f>
        <v>70</v>
      </c>
      <c r="V418">
        <f>30</f>
        <v>30</v>
      </c>
      <c r="W418">
        <f t="shared" ca="1" si="132"/>
        <v>110.96864255437922</v>
      </c>
      <c r="X418">
        <f t="shared" ca="1" si="142"/>
        <v>109.99947284935075</v>
      </c>
      <c r="Y418">
        <f t="shared" ca="1" si="141"/>
        <v>1.1942397795203163</v>
      </c>
      <c r="Z418">
        <f t="shared" ca="1" si="122"/>
        <v>0.36007807481696374</v>
      </c>
      <c r="AA418">
        <f t="shared" ca="1" si="123"/>
        <v>0.8341617047033526</v>
      </c>
      <c r="AB418">
        <f t="shared" ca="1" si="124"/>
        <v>108.09949999999998</v>
      </c>
    </row>
    <row r="419" spans="1:28" x14ac:dyDescent="0.25">
      <c r="A419" s="20">
        <f t="shared" ca="1" si="125"/>
        <v>45901</v>
      </c>
      <c r="B419" vm="1204">
        <f ca="1"/>
        <v>45902</v>
      </c>
      <c r="C419" vm="1205">
        <f ca="1"/>
        <v>114.69</v>
      </c>
      <c r="D419" vm="1206">
        <f ca="1"/>
        <v>15206667</v>
      </c>
      <c r="E419">
        <f t="shared" ca="1" si="126"/>
        <v>1744052638.23</v>
      </c>
      <c r="F419">
        <f ca="1">SUM($E$2:E419)/SUM($D$2:D419)</f>
        <v>111.30623936606858</v>
      </c>
      <c r="G419">
        <f ca="1">_xlfn.STDEV.P($C$2:C419)</f>
        <v>6.069526840195147</v>
      </c>
      <c r="H419">
        <f t="shared" ca="1" si="127"/>
        <v>117.37576620626373</v>
      </c>
      <c r="I419">
        <f t="shared" ca="1" si="128"/>
        <v>105.23671252587343</v>
      </c>
      <c r="J419">
        <f t="shared" ca="1" si="137"/>
        <v>109.071</v>
      </c>
      <c r="K419">
        <f t="shared" ca="1" si="138"/>
        <v>3.0151335834944022</v>
      </c>
      <c r="L419">
        <f t="shared" ca="1" si="139"/>
        <v>115.10126716698881</v>
      </c>
      <c r="M419">
        <f t="shared" ca="1" si="140"/>
        <v>103.04073283301119</v>
      </c>
      <c r="N419">
        <f t="shared" ca="1" si="129"/>
        <v>0.39999999999999147</v>
      </c>
      <c r="O419">
        <f t="shared" ca="1" si="130"/>
        <v>0.39999999999999147</v>
      </c>
      <c r="P419">
        <f t="shared" ca="1" si="131"/>
        <v>0</v>
      </c>
      <c r="Q419">
        <f t="shared" ca="1" si="135"/>
        <v>0.60469951007684186</v>
      </c>
      <c r="R419">
        <f t="shared" ca="1" si="136"/>
        <v>0.26777809122704849</v>
      </c>
      <c r="S419">
        <f t="shared" ca="1" si="133"/>
        <v>2.2582112946802599</v>
      </c>
      <c r="T419">
        <f t="shared" ca="1" si="134"/>
        <v>69.308313379407963</v>
      </c>
      <c r="U419">
        <f>70</f>
        <v>70</v>
      </c>
      <c r="V419">
        <f>30</f>
        <v>30</v>
      </c>
      <c r="W419">
        <f t="shared" ca="1" si="132"/>
        <v>111.54115908447471</v>
      </c>
      <c r="X419">
        <f t="shared" ca="1" si="142"/>
        <v>110.3469193049544</v>
      </c>
      <c r="Y419">
        <f t="shared" ca="1" si="141"/>
        <v>1.1352007805664215</v>
      </c>
      <c r="Z419">
        <f t="shared" ca="1" si="122"/>
        <v>0.51510261596685525</v>
      </c>
      <c r="AA419">
        <f t="shared" ca="1" si="123"/>
        <v>0.62009816459956624</v>
      </c>
      <c r="AB419">
        <f t="shared" ca="1" si="124"/>
        <v>108.23869999999997</v>
      </c>
    </row>
    <row r="420" spans="1:28" x14ac:dyDescent="0.25">
      <c r="A420" s="20">
        <f t="shared" ca="1" si="125"/>
        <v>45901</v>
      </c>
      <c r="B420" vm="1207">
        <f ca="1"/>
        <v>45903</v>
      </c>
      <c r="C420" vm="1208">
        <f ca="1"/>
        <v>111.91</v>
      </c>
      <c r="D420" vm="1209">
        <f ca="1"/>
        <v>14920087</v>
      </c>
      <c r="E420">
        <f t="shared" ca="1" si="126"/>
        <v>1669706936.1699998</v>
      </c>
      <c r="F420">
        <f ca="1">SUM($E$2:E420)/SUM($D$2:D420)</f>
        <v>111.30754723290615</v>
      </c>
      <c r="G420">
        <f ca="1">_xlfn.STDEV.P($C$2:C420)</f>
        <v>6.0622843476046757</v>
      </c>
      <c r="H420">
        <f t="shared" ca="1" si="127"/>
        <v>117.36983158051082</v>
      </c>
      <c r="I420">
        <f t="shared" ca="1" si="128"/>
        <v>105.24526288530147</v>
      </c>
      <c r="J420">
        <f t="shared" ca="1" si="137"/>
        <v>109.30449999999999</v>
      </c>
      <c r="K420">
        <f t="shared" ca="1" si="138"/>
        <v>3.0465381129544751</v>
      </c>
      <c r="L420">
        <f t="shared" ca="1" si="139"/>
        <v>115.39757622590894</v>
      </c>
      <c r="M420">
        <f t="shared" ca="1" si="140"/>
        <v>103.21142377409105</v>
      </c>
      <c r="N420">
        <f t="shared" ca="1" si="129"/>
        <v>-2.7800000000000011</v>
      </c>
      <c r="O420">
        <f t="shared" ca="1" si="130"/>
        <v>0</v>
      </c>
      <c r="P420">
        <f t="shared" ca="1" si="131"/>
        <v>2.7800000000000011</v>
      </c>
      <c r="Q420">
        <f t="shared" ca="1" si="135"/>
        <v>0.56150668792849601</v>
      </c>
      <c r="R420">
        <f t="shared" ca="1" si="136"/>
        <v>0.44722251328225937</v>
      </c>
      <c r="S420">
        <f t="shared" ca="1" si="133"/>
        <v>1.2555420875561054</v>
      </c>
      <c r="T420">
        <f t="shared" ca="1" si="134"/>
        <v>55.664759903305267</v>
      </c>
      <c r="U420">
        <f>70</f>
        <v>70</v>
      </c>
      <c r="V420">
        <f>30</f>
        <v>30</v>
      </c>
      <c r="W420">
        <f t="shared" ca="1" si="132"/>
        <v>111.59790384070938</v>
      </c>
      <c r="X420">
        <f t="shared" ca="1" si="142"/>
        <v>110.46270306014296</v>
      </c>
      <c r="Y420">
        <f t="shared" ca="1" si="141"/>
        <v>1.1150967126615967</v>
      </c>
      <c r="Z420">
        <f t="shared" ca="1" si="122"/>
        <v>0.63510143530580354</v>
      </c>
      <c r="AA420">
        <f t="shared" ca="1" si="123"/>
        <v>0.47999527735579317</v>
      </c>
      <c r="AB420">
        <f t="shared" ca="1" si="124"/>
        <v>108.29979999999999</v>
      </c>
    </row>
    <row r="421" spans="1:28" x14ac:dyDescent="0.25">
      <c r="A421" s="20">
        <f t="shared" ca="1" si="125"/>
        <v>45901</v>
      </c>
      <c r="B421" vm="1210">
        <f ca="1"/>
        <v>45904</v>
      </c>
      <c r="C421" vm="1211">
        <f ca="1"/>
        <v>112.4</v>
      </c>
      <c r="D421" vm="1212">
        <f ca="1"/>
        <v>12864438</v>
      </c>
      <c r="E421">
        <f t="shared" ca="1" si="126"/>
        <v>1445962831.2</v>
      </c>
      <c r="F421">
        <f ca="1">SUM($E$2:E421)/SUM($D$2:D421)</f>
        <v>111.30958385509335</v>
      </c>
      <c r="G421">
        <f ca="1">_xlfn.STDEV.P($C$2:C421)</f>
        <v>6.0551444983329379</v>
      </c>
      <c r="H421">
        <f t="shared" ca="1" si="127"/>
        <v>117.36472835342629</v>
      </c>
      <c r="I421">
        <f t="shared" ca="1" si="128"/>
        <v>105.25443935676041</v>
      </c>
      <c r="J421">
        <f t="shared" ca="1" si="137"/>
        <v>109.599</v>
      </c>
      <c r="K421">
        <f t="shared" ca="1" si="138"/>
        <v>3.0468687982393035</v>
      </c>
      <c r="L421">
        <f t="shared" ca="1" si="139"/>
        <v>115.69273759647861</v>
      </c>
      <c r="M421">
        <f t="shared" ca="1" si="140"/>
        <v>103.5052624035214</v>
      </c>
      <c r="N421">
        <f t="shared" ca="1" si="129"/>
        <v>0.49000000000000909</v>
      </c>
      <c r="O421">
        <f t="shared" ca="1" si="130"/>
        <v>0.49000000000000909</v>
      </c>
      <c r="P421">
        <f t="shared" ca="1" si="131"/>
        <v>0</v>
      </c>
      <c r="Q421">
        <f t="shared" ca="1" si="135"/>
        <v>0.55639906736217548</v>
      </c>
      <c r="R421">
        <f t="shared" ca="1" si="136"/>
        <v>0.41527804804781226</v>
      </c>
      <c r="S421">
        <f t="shared" ca="1" si="133"/>
        <v>1.3398229691594858</v>
      </c>
      <c r="T421">
        <f t="shared" ca="1" si="134"/>
        <v>57.261723934643598</v>
      </c>
      <c r="U421">
        <f>70</f>
        <v>70</v>
      </c>
      <c r="V421">
        <f>30</f>
        <v>30</v>
      </c>
      <c r="W421">
        <f t="shared" ca="1" si="132"/>
        <v>111.72130324983101</v>
      </c>
      <c r="X421">
        <f t="shared" ca="1" si="142"/>
        <v>110.60620653716941</v>
      </c>
      <c r="Y421">
        <f t="shared" ca="1" si="141"/>
        <v>0.83376051458618861</v>
      </c>
      <c r="Z421">
        <f t="shared" ca="1" si="122"/>
        <v>0.67483325116188064</v>
      </c>
      <c r="AA421">
        <f t="shared" ca="1" si="123"/>
        <v>0.15892726342430796</v>
      </c>
      <c r="AB421">
        <f t="shared" ca="1" si="124"/>
        <v>108.42449999999999</v>
      </c>
    </row>
    <row r="422" spans="1:28" x14ac:dyDescent="0.25">
      <c r="A422" s="20">
        <f t="shared" ca="1" si="125"/>
        <v>45901</v>
      </c>
      <c r="B422" vm="1213">
        <f ca="1"/>
        <v>45905</v>
      </c>
      <c r="C422" vm="1186">
        <f ca="1"/>
        <v>109.23</v>
      </c>
      <c r="D422" vm="1214">
        <f ca="1"/>
        <v>16826692</v>
      </c>
      <c r="E422">
        <f t="shared" ca="1" si="126"/>
        <v>1837979567.1600001</v>
      </c>
      <c r="F422">
        <f ca="1">SUM($E$2:E422)/SUM($D$2:D422)</f>
        <v>111.30452520727435</v>
      </c>
      <c r="G422">
        <f ca="1">_xlfn.STDEV.P($C$2:C422)</f>
        <v>6.0491998052287874</v>
      </c>
      <c r="H422">
        <f t="shared" ca="1" si="127"/>
        <v>117.35372501250313</v>
      </c>
      <c r="I422">
        <f t="shared" ca="1" si="128"/>
        <v>105.25532540204557</v>
      </c>
      <c r="J422">
        <f t="shared" ca="1" si="137"/>
        <v>109.76299999999999</v>
      </c>
      <c r="K422">
        <f t="shared" ca="1" si="138"/>
        <v>2.925997985393415</v>
      </c>
      <c r="L422">
        <f t="shared" ca="1" si="139"/>
        <v>115.61499597078682</v>
      </c>
      <c r="M422">
        <f t="shared" ca="1" si="140"/>
        <v>103.91100402921316</v>
      </c>
      <c r="N422">
        <f t="shared" ca="1" si="129"/>
        <v>-3.1700000000000017</v>
      </c>
      <c r="O422">
        <f t="shared" ca="1" si="130"/>
        <v>0</v>
      </c>
      <c r="P422">
        <f t="shared" ca="1" si="131"/>
        <v>3.1700000000000017</v>
      </c>
      <c r="Q422">
        <f t="shared" ca="1" si="135"/>
        <v>0.51665627683630577</v>
      </c>
      <c r="R422">
        <f t="shared" ca="1" si="136"/>
        <v>0.61204390175868284</v>
      </c>
      <c r="S422">
        <f t="shared" ca="1" si="133"/>
        <v>0.84414904772634014</v>
      </c>
      <c r="T422">
        <f t="shared" ca="1" si="134"/>
        <v>45.774448045134712</v>
      </c>
      <c r="U422">
        <f>70</f>
        <v>70</v>
      </c>
      <c r="V422">
        <f>30</f>
        <v>30</v>
      </c>
      <c r="W422">
        <f t="shared" ca="1" si="132"/>
        <v>111.33802582678008</v>
      </c>
      <c r="X422">
        <f t="shared" ca="1" si="142"/>
        <v>110.50426531219389</v>
      </c>
      <c r="Y422">
        <f t="shared" ca="1" si="141"/>
        <v>0.65329756151187723</v>
      </c>
      <c r="Z422">
        <f t="shared" ref="Z422:Z485" ca="1" si="143">Y422*(2/(9+1)) + Z421*(1-(2/(9+1)))</f>
        <v>0.67052611323188005</v>
      </c>
      <c r="AA422">
        <f t="shared" ref="AA422:AA485" ca="1" si="144">Y422-Z422</f>
        <v>-1.7228551720002816E-2</v>
      </c>
      <c r="AB422">
        <f t="shared" ref="AB422:AB485" ca="1" si="145">AVERAGE(C323:C422)</f>
        <v>108.48539999999997</v>
      </c>
    </row>
    <row r="423" spans="1:28" x14ac:dyDescent="0.25">
      <c r="A423" s="20">
        <f t="shared" ca="1" si="125"/>
        <v>45908</v>
      </c>
      <c r="B423" vm="1215">
        <f ca="1"/>
        <v>45908</v>
      </c>
      <c r="C423" vm="1216">
        <f ca="1"/>
        <v>109.85</v>
      </c>
      <c r="D423" vm="1217">
        <f ca="1"/>
        <v>15440513</v>
      </c>
      <c r="E423">
        <f t="shared" ca="1" si="126"/>
        <v>1696140353.05</v>
      </c>
      <c r="F423">
        <f ca="1">SUM($E$2:E423)/SUM($D$2:D423)</f>
        <v>111.30128573762617</v>
      </c>
      <c r="G423">
        <f ca="1">_xlfn.STDEV.P($C$2:C423)</f>
        <v>6.0427352658789717</v>
      </c>
      <c r="H423">
        <f t="shared" ca="1" si="127"/>
        <v>117.34402100350515</v>
      </c>
      <c r="I423">
        <f t="shared" ca="1" si="128"/>
        <v>105.2585504717472</v>
      </c>
      <c r="J423">
        <f t="shared" ca="1" si="137"/>
        <v>109.91549999999999</v>
      </c>
      <c r="K423">
        <f t="shared" ca="1" si="138"/>
        <v>2.8417090391449125</v>
      </c>
      <c r="L423">
        <f t="shared" ca="1" si="139"/>
        <v>115.59891807828981</v>
      </c>
      <c r="M423">
        <f t="shared" ca="1" si="140"/>
        <v>104.23208192171018</v>
      </c>
      <c r="N423">
        <f t="shared" ca="1" si="129"/>
        <v>0.61999999999999034</v>
      </c>
      <c r="O423">
        <f t="shared" ca="1" si="130"/>
        <v>0.61999999999999034</v>
      </c>
      <c r="P423">
        <f t="shared" ca="1" si="131"/>
        <v>0</v>
      </c>
      <c r="Q423">
        <f t="shared" ca="1" si="135"/>
        <v>0.52403797134799757</v>
      </c>
      <c r="R423">
        <f t="shared" ca="1" si="136"/>
        <v>0.56832648020449128</v>
      </c>
      <c r="S423">
        <f t="shared" ca="1" si="133"/>
        <v>0.92207206526685481</v>
      </c>
      <c r="T423">
        <f t="shared" ca="1" si="134"/>
        <v>47.972814439651984</v>
      </c>
      <c r="U423">
        <f>70</f>
        <v>70</v>
      </c>
      <c r="V423">
        <f>30</f>
        <v>30</v>
      </c>
      <c r="W423">
        <f t="shared" ca="1" si="132"/>
        <v>111.10909877650622</v>
      </c>
      <c r="X423">
        <f t="shared" ca="1" si="142"/>
        <v>110.45580121499434</v>
      </c>
      <c r="Y423">
        <f t="shared" ca="1" si="141"/>
        <v>0.56828188532531954</v>
      </c>
      <c r="Z423">
        <f t="shared" ca="1" si="143"/>
        <v>0.65007726765056795</v>
      </c>
      <c r="AA423">
        <f t="shared" ca="1" si="144"/>
        <v>-8.1795382325248411E-2</v>
      </c>
      <c r="AB423">
        <f t="shared" ca="1" si="145"/>
        <v>108.54999999999998</v>
      </c>
    </row>
    <row r="424" spans="1:28" x14ac:dyDescent="0.25">
      <c r="A424" s="20">
        <f t="shared" ca="1" si="125"/>
        <v>45908</v>
      </c>
      <c r="B424" vm="1218">
        <f ca="1"/>
        <v>45909</v>
      </c>
      <c r="C424" vm="1219">
        <f ca="1"/>
        <v>110.65</v>
      </c>
      <c r="D424" vm="1220">
        <f ca="1"/>
        <v>14899502</v>
      </c>
      <c r="E424">
        <f t="shared" ca="1" si="126"/>
        <v>1648629896.3000002</v>
      </c>
      <c r="F424">
        <f ca="1">SUM($E$2:E424)/SUM($D$2:D424)</f>
        <v>111.29988904157729</v>
      </c>
      <c r="G424">
        <f ca="1">_xlfn.STDEV.P($C$2:C424)</f>
        <v>6.0358232681880564</v>
      </c>
      <c r="H424">
        <f t="shared" ca="1" si="127"/>
        <v>117.33571230976534</v>
      </c>
      <c r="I424">
        <f t="shared" ca="1" si="128"/>
        <v>105.26406577338923</v>
      </c>
      <c r="J424">
        <f t="shared" ca="1" si="137"/>
        <v>110.15650000000001</v>
      </c>
      <c r="K424">
        <f t="shared" ca="1" si="138"/>
        <v>2.6765792681980058</v>
      </c>
      <c r="L424">
        <f t="shared" ca="1" si="139"/>
        <v>115.50965853639602</v>
      </c>
      <c r="M424">
        <f t="shared" ca="1" si="140"/>
        <v>104.803341463604</v>
      </c>
      <c r="N424">
        <f t="shared" ca="1" si="129"/>
        <v>0.80000000000001137</v>
      </c>
      <c r="O424">
        <f t="shared" ca="1" si="130"/>
        <v>0.80000000000001137</v>
      </c>
      <c r="P424">
        <f t="shared" ca="1" si="131"/>
        <v>0</v>
      </c>
      <c r="Q424">
        <f t="shared" ca="1" si="135"/>
        <v>0.54374954482314142</v>
      </c>
      <c r="R424">
        <f t="shared" ca="1" si="136"/>
        <v>0.52773173161845621</v>
      </c>
      <c r="S424">
        <f t="shared" ca="1" si="133"/>
        <v>1.0303521888963574</v>
      </c>
      <c r="T424">
        <f t="shared" ca="1" si="134"/>
        <v>50.747461180930785</v>
      </c>
      <c r="U424">
        <f>70</f>
        <v>70</v>
      </c>
      <c r="V424">
        <f>30</f>
        <v>30</v>
      </c>
      <c r="W424">
        <f t="shared" ca="1" si="132"/>
        <v>111.03846819550526</v>
      </c>
      <c r="X424">
        <f t="shared" ca="1" si="142"/>
        <v>110.47018631017994</v>
      </c>
      <c r="Y424">
        <f t="shared" ca="1" si="141"/>
        <v>0.64277636255437187</v>
      </c>
      <c r="Z424">
        <f t="shared" ca="1" si="143"/>
        <v>0.64861708663132878</v>
      </c>
      <c r="AA424">
        <f t="shared" ca="1" si="144"/>
        <v>-5.8407240769569047E-3</v>
      </c>
      <c r="AB424">
        <f t="shared" ca="1" si="145"/>
        <v>108.62549999999997</v>
      </c>
    </row>
    <row r="425" spans="1:28" x14ac:dyDescent="0.25">
      <c r="A425" s="20">
        <f t="shared" ca="1" si="125"/>
        <v>45908</v>
      </c>
      <c r="B425" vm="1221">
        <f ca="1"/>
        <v>45910</v>
      </c>
      <c r="C425" vm="1222">
        <f ca="1"/>
        <v>112.5</v>
      </c>
      <c r="D425" vm="1223">
        <f ca="1"/>
        <v>15837583</v>
      </c>
      <c r="E425">
        <f t="shared" ca="1" si="126"/>
        <v>1781728087.5</v>
      </c>
      <c r="F425">
        <f ca="1">SUM($E$2:E425)/SUM($D$2:D425)</f>
        <v>111.30261852225149</v>
      </c>
      <c r="G425">
        <f ca="1">_xlfn.STDEV.P($C$2:C425)</f>
        <v>6.0288128824507945</v>
      </c>
      <c r="H425">
        <f t="shared" ca="1" si="127"/>
        <v>117.33143140470229</v>
      </c>
      <c r="I425">
        <f t="shared" ca="1" si="128"/>
        <v>105.2738056398007</v>
      </c>
      <c r="J425">
        <f t="shared" ca="1" si="137"/>
        <v>110.47499999999999</v>
      </c>
      <c r="K425">
        <f t="shared" ca="1" si="138"/>
        <v>2.5481458687486982</v>
      </c>
      <c r="L425">
        <f t="shared" ca="1" si="139"/>
        <v>115.57129173749739</v>
      </c>
      <c r="M425">
        <f t="shared" ca="1" si="140"/>
        <v>105.3787082625026</v>
      </c>
      <c r="N425">
        <f t="shared" ca="1" si="129"/>
        <v>1.8499999999999943</v>
      </c>
      <c r="O425">
        <f t="shared" ca="1" si="130"/>
        <v>1.8499999999999943</v>
      </c>
      <c r="P425">
        <f t="shared" ca="1" si="131"/>
        <v>0</v>
      </c>
      <c r="Q425">
        <f t="shared" ca="1" si="135"/>
        <v>0.63705314876434527</v>
      </c>
      <c r="R425">
        <f t="shared" ca="1" si="136"/>
        <v>0.49003660793142362</v>
      </c>
      <c r="S425">
        <f t="shared" ca="1" si="133"/>
        <v>1.3000113429352105</v>
      </c>
      <c r="T425">
        <f t="shared" ca="1" si="134"/>
        <v>56.521953551593022</v>
      </c>
      <c r="U425">
        <f>70</f>
        <v>70</v>
      </c>
      <c r="V425">
        <f>30</f>
        <v>30</v>
      </c>
      <c r="W425">
        <f t="shared" ca="1" si="132"/>
        <v>111.2633192423506</v>
      </c>
      <c r="X425">
        <f t="shared" ca="1" si="142"/>
        <v>110.62054287979623</v>
      </c>
      <c r="Y425">
        <f t="shared" ca="1" si="141"/>
        <v>0.66509794599529926</v>
      </c>
      <c r="Z425">
        <f t="shared" ca="1" si="143"/>
        <v>0.65191325850412296</v>
      </c>
      <c r="AA425">
        <f t="shared" ca="1" si="144"/>
        <v>1.3184687491176295E-2</v>
      </c>
      <c r="AB425">
        <f t="shared" ca="1" si="145"/>
        <v>108.70859999999998</v>
      </c>
    </row>
    <row r="426" spans="1:28" x14ac:dyDescent="0.25">
      <c r="A426" s="20">
        <f t="shared" ca="1" si="125"/>
        <v>45908</v>
      </c>
      <c r="B426" vm="1224">
        <f ca="1"/>
        <v>45911</v>
      </c>
      <c r="C426" vm="1225">
        <f ca="1"/>
        <v>112.14</v>
      </c>
      <c r="D426" vm="1226">
        <f ca="1"/>
        <v>11534502</v>
      </c>
      <c r="E426">
        <f t="shared" ca="1" si="126"/>
        <v>1293479054.28</v>
      </c>
      <c r="F426">
        <f ca="1">SUM($E$2:E426)/SUM($D$2:D426)</f>
        <v>111.30400327788831</v>
      </c>
      <c r="G426">
        <f ca="1">_xlfn.STDEV.P($C$2:C426)</f>
        <v>6.0217462755925286</v>
      </c>
      <c r="H426">
        <f t="shared" ca="1" si="127"/>
        <v>117.32574955348085</v>
      </c>
      <c r="I426">
        <f t="shared" ca="1" si="128"/>
        <v>105.28225700229578</v>
      </c>
      <c r="J426">
        <f t="shared" ca="1" si="137"/>
        <v>110.70200000000003</v>
      </c>
      <c r="K426">
        <f t="shared" ca="1" si="138"/>
        <v>2.4798548344610825</v>
      </c>
      <c r="L426">
        <f t="shared" ca="1" si="139"/>
        <v>115.66170966892219</v>
      </c>
      <c r="M426">
        <f t="shared" ca="1" si="140"/>
        <v>105.74229033107787</v>
      </c>
      <c r="N426">
        <f t="shared" ca="1" si="129"/>
        <v>-0.35999999999999943</v>
      </c>
      <c r="O426">
        <f t="shared" ca="1" si="130"/>
        <v>0</v>
      </c>
      <c r="P426">
        <f t="shared" ca="1" si="131"/>
        <v>0.35999999999999943</v>
      </c>
      <c r="Q426">
        <f t="shared" ca="1" si="135"/>
        <v>0.59154935242403484</v>
      </c>
      <c r="R426">
        <f t="shared" ca="1" si="136"/>
        <v>0.48074827879346477</v>
      </c>
      <c r="S426">
        <f t="shared" ca="1" si="133"/>
        <v>1.2304762773330105</v>
      </c>
      <c r="T426">
        <f t="shared" ca="1" si="134"/>
        <v>55.166526084029726</v>
      </c>
      <c r="U426">
        <f>70</f>
        <v>70</v>
      </c>
      <c r="V426">
        <f>30</f>
        <v>30</v>
      </c>
      <c r="W426">
        <f t="shared" ca="1" si="132"/>
        <v>111.39819320506589</v>
      </c>
      <c r="X426">
        <f t="shared" ca="1" si="142"/>
        <v>110.73309525907059</v>
      </c>
      <c r="Y426">
        <f t="shared" ca="1" si="141"/>
        <v>0.6766023438935207</v>
      </c>
      <c r="Z426">
        <f t="shared" ca="1" si="143"/>
        <v>0.65685107558200262</v>
      </c>
      <c r="AA426">
        <f t="shared" ca="1" si="144"/>
        <v>1.9751268311518078E-2</v>
      </c>
      <c r="AB426">
        <f t="shared" ca="1" si="145"/>
        <v>108.76079999999996</v>
      </c>
    </row>
    <row r="427" spans="1:28" x14ac:dyDescent="0.25">
      <c r="A427" s="20">
        <f t="shared" ca="1" si="125"/>
        <v>45908</v>
      </c>
      <c r="B427" vm="1227">
        <f ca="1"/>
        <v>45912</v>
      </c>
      <c r="C427" vm="1228">
        <f ca="1"/>
        <v>112.16</v>
      </c>
      <c r="D427" vm="1229">
        <f ca="1"/>
        <v>11105690</v>
      </c>
      <c r="E427">
        <f t="shared" ca="1" si="126"/>
        <v>1245614190.3999999</v>
      </c>
      <c r="F427">
        <f ca="1">SUM($E$2:E427)/SUM($D$2:D427)</f>
        <v>111.30536402574469</v>
      </c>
      <c r="G427">
        <f ca="1">_xlfn.STDEV.P($C$2:C427)</f>
        <v>6.0147075997162123</v>
      </c>
      <c r="H427">
        <f t="shared" ca="1" si="127"/>
        <v>117.32007162546091</v>
      </c>
      <c r="I427">
        <f t="shared" ca="1" si="128"/>
        <v>105.29065642602848</v>
      </c>
      <c r="J427">
        <f t="shared" ca="1" si="137"/>
        <v>110.941</v>
      </c>
      <c r="K427">
        <f t="shared" ca="1" si="138"/>
        <v>2.3707824602194552</v>
      </c>
      <c r="L427">
        <f t="shared" ca="1" si="139"/>
        <v>115.68256492043891</v>
      </c>
      <c r="M427">
        <f t="shared" ca="1" si="140"/>
        <v>106.1994350795611</v>
      </c>
      <c r="N427">
        <f t="shared" ca="1" si="129"/>
        <v>1.9999999999996021E-2</v>
      </c>
      <c r="O427">
        <f t="shared" ca="1" si="130"/>
        <v>1.9999999999996021E-2</v>
      </c>
      <c r="P427">
        <f t="shared" ca="1" si="131"/>
        <v>0</v>
      </c>
      <c r="Q427">
        <f t="shared" ca="1" si="135"/>
        <v>0.55072439867946066</v>
      </c>
      <c r="R427">
        <f t="shared" ca="1" si="136"/>
        <v>0.44640911602250305</v>
      </c>
      <c r="S427">
        <f t="shared" ca="1" si="133"/>
        <v>1.2336764167954384</v>
      </c>
      <c r="T427">
        <f t="shared" ca="1" si="134"/>
        <v>55.230758023820748</v>
      </c>
      <c r="U427">
        <f>70</f>
        <v>70</v>
      </c>
      <c r="V427">
        <f>30</f>
        <v>30</v>
      </c>
      <c r="W427">
        <f t="shared" ca="1" si="132"/>
        <v>111.51539425044037</v>
      </c>
      <c r="X427">
        <f t="shared" ca="1" si="142"/>
        <v>110.83879190654685</v>
      </c>
      <c r="Y427">
        <f t="shared" ca="1" si="141"/>
        <v>0.69306188818536896</v>
      </c>
      <c r="Z427">
        <f t="shared" ca="1" si="143"/>
        <v>0.66409323810267595</v>
      </c>
      <c r="AA427">
        <f t="shared" ca="1" si="144"/>
        <v>2.8968650082693004E-2</v>
      </c>
      <c r="AB427">
        <f t="shared" ca="1" si="145"/>
        <v>108.82889999999996</v>
      </c>
    </row>
    <row r="428" spans="1:28" x14ac:dyDescent="0.25">
      <c r="A428" s="20">
        <f t="shared" ca="1" si="125"/>
        <v>45915</v>
      </c>
      <c r="B428" vm="1230">
        <f ca="1"/>
        <v>45915</v>
      </c>
      <c r="C428" vm="1231">
        <f ca="1"/>
        <v>112.35</v>
      </c>
      <c r="D428" vm="1232">
        <f ca="1"/>
        <v>12880487</v>
      </c>
      <c r="E428">
        <f t="shared" ca="1" si="126"/>
        <v>1447122714.4499998</v>
      </c>
      <c r="F428">
        <f ca="1">SUM($E$2:E428)/SUM($D$2:D428)</f>
        <v>111.30728648567504</v>
      </c>
      <c r="G428">
        <f ca="1">_xlfn.STDEV.P($C$2:C428)</f>
        <v>6.0077310348309521</v>
      </c>
      <c r="H428">
        <f t="shared" ca="1" si="127"/>
        <v>117.31501752050599</v>
      </c>
      <c r="I428">
        <f t="shared" ca="1" si="128"/>
        <v>105.29955545084408</v>
      </c>
      <c r="J428">
        <f t="shared" ca="1" si="137"/>
        <v>111.23400000000001</v>
      </c>
      <c r="K428">
        <f t="shared" ca="1" si="138"/>
        <v>2.1429011323805613</v>
      </c>
      <c r="L428">
        <f t="shared" ca="1" si="139"/>
        <v>115.51980226476113</v>
      </c>
      <c r="M428">
        <f t="shared" ca="1" si="140"/>
        <v>106.94819773523889</v>
      </c>
      <c r="N428">
        <f t="shared" ca="1" si="129"/>
        <v>0.18999999999999773</v>
      </c>
      <c r="O428">
        <f t="shared" ca="1" si="130"/>
        <v>0.18999999999999773</v>
      </c>
      <c r="P428">
        <f t="shared" ca="1" si="131"/>
        <v>0</v>
      </c>
      <c r="Q428">
        <f t="shared" ca="1" si="135"/>
        <v>0.52495837020235614</v>
      </c>
      <c r="R428">
        <f t="shared" ca="1" si="136"/>
        <v>0.41452275059232424</v>
      </c>
      <c r="S428">
        <f t="shared" ca="1" si="133"/>
        <v>1.2664163051418216</v>
      </c>
      <c r="T428">
        <f t="shared" ca="1" si="134"/>
        <v>55.877479449327176</v>
      </c>
      <c r="U428">
        <f>70</f>
        <v>70</v>
      </c>
      <c r="V428">
        <f>30</f>
        <v>30</v>
      </c>
      <c r="W428">
        <f t="shared" ca="1" si="132"/>
        <v>111.64379513498801</v>
      </c>
      <c r="X428">
        <f t="shared" ca="1" si="142"/>
        <v>110.95073324680264</v>
      </c>
      <c r="Y428">
        <f t="shared" ca="1" si="141"/>
        <v>0.88392834723812541</v>
      </c>
      <c r="Z428">
        <f t="shared" ca="1" si="143"/>
        <v>0.70806025992976585</v>
      </c>
      <c r="AA428">
        <f t="shared" ca="1" si="144"/>
        <v>0.17586808730835957</v>
      </c>
      <c r="AB428">
        <f t="shared" ca="1" si="145"/>
        <v>108.86939999999997</v>
      </c>
    </row>
    <row r="429" spans="1:28" x14ac:dyDescent="0.25">
      <c r="A429" s="20">
        <f t="shared" ca="1" si="125"/>
        <v>45915</v>
      </c>
      <c r="B429" vm="1233">
        <f ca="1"/>
        <v>45916</v>
      </c>
      <c r="C429" vm="1234">
        <f ca="1"/>
        <v>114.68</v>
      </c>
      <c r="D429" vm="1235">
        <f ca="1"/>
        <v>17208044</v>
      </c>
      <c r="E429">
        <f t="shared" ca="1" si="126"/>
        <v>1973418485.9200001</v>
      </c>
      <c r="F429">
        <f ca="1">SUM($E$2:E429)/SUM($D$2:D429)</f>
        <v>111.31555837168608</v>
      </c>
      <c r="G429">
        <f ca="1">_xlfn.STDEV.P($C$2:C429)</f>
        <v>6.0023767734373044</v>
      </c>
      <c r="H429">
        <f t="shared" ca="1" si="127"/>
        <v>117.31793514512339</v>
      </c>
      <c r="I429">
        <f t="shared" ca="1" si="128"/>
        <v>105.31318159824878</v>
      </c>
      <c r="J429">
        <f t="shared" ca="1" si="137"/>
        <v>111.63200000000002</v>
      </c>
      <c r="K429">
        <f t="shared" ca="1" si="138"/>
        <v>1.9944544168901506</v>
      </c>
      <c r="L429">
        <f t="shared" ca="1" si="139"/>
        <v>115.62090883378032</v>
      </c>
      <c r="M429">
        <f t="shared" ca="1" si="140"/>
        <v>107.64309116621972</v>
      </c>
      <c r="N429">
        <f t="shared" ca="1" si="129"/>
        <v>2.3300000000000125</v>
      </c>
      <c r="O429">
        <f t="shared" ca="1" si="130"/>
        <v>2.3300000000000125</v>
      </c>
      <c r="P429">
        <f t="shared" ca="1" si="131"/>
        <v>0</v>
      </c>
      <c r="Q429">
        <f t="shared" ca="1" si="135"/>
        <v>0.65388991518790296</v>
      </c>
      <c r="R429">
        <f t="shared" ca="1" si="136"/>
        <v>0.38491398269287252</v>
      </c>
      <c r="S429">
        <f t="shared" ca="1" si="133"/>
        <v>1.6987949115624867</v>
      </c>
      <c r="T429">
        <f t="shared" ca="1" si="134"/>
        <v>62.946424875944246</v>
      </c>
      <c r="U429">
        <f>70</f>
        <v>70</v>
      </c>
      <c r="V429">
        <f>30</f>
        <v>30</v>
      </c>
      <c r="W429">
        <f t="shared" ca="1" si="132"/>
        <v>112.1109035757591</v>
      </c>
      <c r="X429">
        <f t="shared" ca="1" si="142"/>
        <v>111.22697522852097</v>
      </c>
      <c r="Y429">
        <f t="shared" ca="1" si="141"/>
        <v>1.0720553069263019</v>
      </c>
      <c r="Z429">
        <f t="shared" ca="1" si="143"/>
        <v>0.78085926932907301</v>
      </c>
      <c r="AA429">
        <f t="shared" ca="1" si="144"/>
        <v>0.2911960375972289</v>
      </c>
      <c r="AB429">
        <f t="shared" ca="1" si="145"/>
        <v>108.94249999999998</v>
      </c>
    </row>
    <row r="430" spans="1:28" x14ac:dyDescent="0.25">
      <c r="A430" s="20">
        <f t="shared" ca="1" si="125"/>
        <v>45915</v>
      </c>
      <c r="B430" vm="1236">
        <f ca="1"/>
        <v>45917</v>
      </c>
      <c r="C430" vm="1237">
        <f ca="1"/>
        <v>115.29</v>
      </c>
      <c r="D430" vm="1238">
        <f ca="1"/>
        <v>13302030</v>
      </c>
      <c r="E430">
        <f t="shared" ca="1" si="126"/>
        <v>1533591038.7</v>
      </c>
      <c r="F430">
        <f ca="1">SUM($E$2:E430)/SUM($D$2:D430)</f>
        <v>111.32307918891222</v>
      </c>
      <c r="G430">
        <f ca="1">_xlfn.STDEV.P($C$2:C430)</f>
        <v>5.9977987475739489</v>
      </c>
      <c r="H430">
        <f t="shared" ca="1" si="127"/>
        <v>117.32087793648617</v>
      </c>
      <c r="I430">
        <f t="shared" ca="1" si="128"/>
        <v>105.32528044133826</v>
      </c>
      <c r="J430">
        <f t="shared" ca="1" si="137"/>
        <v>112.02550000000001</v>
      </c>
      <c r="K430">
        <f t="shared" ca="1" si="138"/>
        <v>1.893511010627724</v>
      </c>
      <c r="L430">
        <f t="shared" ca="1" si="139"/>
        <v>115.81252202125546</v>
      </c>
      <c r="M430">
        <f t="shared" ca="1" si="140"/>
        <v>108.23847797874456</v>
      </c>
      <c r="N430">
        <f t="shared" ca="1" si="129"/>
        <v>0.60999999999999943</v>
      </c>
      <c r="O430">
        <f t="shared" ca="1" si="130"/>
        <v>0.60999999999999943</v>
      </c>
      <c r="P430">
        <f t="shared" ca="1" si="131"/>
        <v>0</v>
      </c>
      <c r="Q430">
        <f t="shared" ca="1" si="135"/>
        <v>0.65075492124590983</v>
      </c>
      <c r="R430">
        <f t="shared" ca="1" si="136"/>
        <v>0.35742012678623875</v>
      </c>
      <c r="S430">
        <f t="shared" ca="1" si="133"/>
        <v>1.8207002697279693</v>
      </c>
      <c r="T430">
        <f t="shared" ca="1" si="134"/>
        <v>64.547810671977544</v>
      </c>
      <c r="U430">
        <f>70</f>
        <v>70</v>
      </c>
      <c r="V430">
        <f>30</f>
        <v>30</v>
      </c>
      <c r="W430">
        <f t="shared" ca="1" si="132"/>
        <v>112.59999533333462</v>
      </c>
      <c r="X430">
        <f t="shared" ca="1" si="142"/>
        <v>111.52794002640832</v>
      </c>
      <c r="Y430">
        <f t="shared" ca="1" si="141"/>
        <v>1.0987410410760106</v>
      </c>
      <c r="Z430">
        <f t="shared" ca="1" si="143"/>
        <v>0.84443562367846059</v>
      </c>
      <c r="AA430">
        <f t="shared" ca="1" si="144"/>
        <v>0.25430541739754997</v>
      </c>
      <c r="AB430">
        <f t="shared" ca="1" si="145"/>
        <v>109.0091</v>
      </c>
    </row>
    <row r="431" spans="1:28" x14ac:dyDescent="0.25">
      <c r="A431" s="20">
        <f t="shared" ca="1" si="125"/>
        <v>45915</v>
      </c>
      <c r="B431" vm="1239">
        <f ca="1"/>
        <v>45918</v>
      </c>
      <c r="C431" vm="1240">
        <f ca="1"/>
        <v>113.93</v>
      </c>
      <c r="D431" vm="1241">
        <f ca="1"/>
        <v>14628726</v>
      </c>
      <c r="E431">
        <f t="shared" ca="1" si="126"/>
        <v>1666650753.1800001</v>
      </c>
      <c r="F431">
        <f ca="1">SUM($E$2:E431)/SUM($D$2:D431)</f>
        <v>111.3284929924813</v>
      </c>
      <c r="G431">
        <f ca="1">_xlfn.STDEV.P($C$2:C431)</f>
        <v>5.9917287816958016</v>
      </c>
      <c r="H431">
        <f t="shared" ca="1" si="127"/>
        <v>117.3202217741771</v>
      </c>
      <c r="I431">
        <f t="shared" ca="1" si="128"/>
        <v>105.3367642107855</v>
      </c>
      <c r="J431">
        <f t="shared" ca="1" si="137"/>
        <v>112.29549999999999</v>
      </c>
      <c r="K431">
        <f t="shared" ca="1" si="138"/>
        <v>1.7482757671187747</v>
      </c>
      <c r="L431">
        <f t="shared" ca="1" si="139"/>
        <v>115.79205153423754</v>
      </c>
      <c r="M431">
        <f t="shared" ca="1" si="140"/>
        <v>108.79894846576244</v>
      </c>
      <c r="N431">
        <f t="shared" ca="1" si="129"/>
        <v>-1.3599999999999994</v>
      </c>
      <c r="O431">
        <f t="shared" ca="1" si="130"/>
        <v>0</v>
      </c>
      <c r="P431">
        <f t="shared" ca="1" si="131"/>
        <v>1.3599999999999994</v>
      </c>
      <c r="Q431">
        <f t="shared" ca="1" si="135"/>
        <v>0.60427242687120197</v>
      </c>
      <c r="R431">
        <f t="shared" ca="1" si="136"/>
        <v>0.42903297487293596</v>
      </c>
      <c r="S431">
        <f t="shared" ca="1" si="133"/>
        <v>1.4084521756169572</v>
      </c>
      <c r="T431">
        <f t="shared" ca="1" si="134"/>
        <v>58.479557529771718</v>
      </c>
      <c r="U431">
        <f>70</f>
        <v>70</v>
      </c>
      <c r="V431">
        <f>30</f>
        <v>30</v>
      </c>
      <c r="W431">
        <f t="shared" ca="1" si="132"/>
        <v>112.80461143589852</v>
      </c>
      <c r="X431">
        <f t="shared" ca="1" si="142"/>
        <v>111.70587039482251</v>
      </c>
      <c r="Y431">
        <f t="shared" ca="1" si="141"/>
        <v>1.0185803935742115</v>
      </c>
      <c r="Z431">
        <f t="shared" ca="1" si="143"/>
        <v>0.87926457765761079</v>
      </c>
      <c r="AA431">
        <f t="shared" ca="1" si="144"/>
        <v>0.13931581591660069</v>
      </c>
      <c r="AB431">
        <f t="shared" ca="1" si="145"/>
        <v>109.06270000000002</v>
      </c>
    </row>
    <row r="432" spans="1:28" x14ac:dyDescent="0.25">
      <c r="A432" s="20">
        <f t="shared" ca="1" si="125"/>
        <v>45915</v>
      </c>
      <c r="B432" vm="1242">
        <f ca="1"/>
        <v>45919</v>
      </c>
      <c r="C432" vm="1243">
        <f ca="1"/>
        <v>112.82</v>
      </c>
      <c r="D432" vm="1244">
        <f ca="1"/>
        <v>38746517</v>
      </c>
      <c r="E432">
        <f t="shared" ca="1" si="126"/>
        <v>4371382047.9399996</v>
      </c>
      <c r="F432">
        <f ca="1">SUM($E$2:E432)/SUM($D$2:D432)</f>
        <v>111.33665212211109</v>
      </c>
      <c r="G432">
        <f ca="1">_xlfn.STDEV.P($C$2:C432)</f>
        <v>5.9849873146371504</v>
      </c>
      <c r="H432">
        <f t="shared" ca="1" si="127"/>
        <v>117.32163943674824</v>
      </c>
      <c r="I432">
        <f t="shared" ca="1" si="128"/>
        <v>105.35166480747394</v>
      </c>
      <c r="J432">
        <f t="shared" ca="1" si="137"/>
        <v>112.47499999999999</v>
      </c>
      <c r="K432">
        <f t="shared" ca="1" si="138"/>
        <v>1.5945020671373453</v>
      </c>
      <c r="L432">
        <f t="shared" ca="1" si="139"/>
        <v>115.66400413427469</v>
      </c>
      <c r="M432">
        <f t="shared" ca="1" si="140"/>
        <v>109.2859958657253</v>
      </c>
      <c r="N432">
        <f t="shared" ca="1" si="129"/>
        <v>-1.1100000000000136</v>
      </c>
      <c r="O432">
        <f t="shared" ca="1" si="130"/>
        <v>0</v>
      </c>
      <c r="P432">
        <f t="shared" ca="1" si="131"/>
        <v>1.1100000000000136</v>
      </c>
      <c r="Q432">
        <f t="shared" ca="1" si="135"/>
        <v>0.56111011066611616</v>
      </c>
      <c r="R432">
        <f t="shared" ca="1" si="136"/>
        <v>0.47767347666772725</v>
      </c>
      <c r="S432">
        <f t="shared" ca="1" si="133"/>
        <v>1.1746729472618971</v>
      </c>
      <c r="T432">
        <f t="shared" ca="1" si="134"/>
        <v>54.016073945321885</v>
      </c>
      <c r="U432">
        <f>70</f>
        <v>70</v>
      </c>
      <c r="V432">
        <f>30</f>
        <v>30</v>
      </c>
      <c r="W432">
        <f t="shared" ca="1" si="132"/>
        <v>112.80697890729876</v>
      </c>
      <c r="X432">
        <f t="shared" ca="1" si="142"/>
        <v>111.78839851372454</v>
      </c>
      <c r="Y432">
        <f t="shared" ca="1" si="141"/>
        <v>0.88035104987821455</v>
      </c>
      <c r="Z432">
        <f t="shared" ca="1" si="143"/>
        <v>0.87948187210173157</v>
      </c>
      <c r="AA432">
        <f t="shared" ca="1" si="144"/>
        <v>8.6917777648298777E-4</v>
      </c>
      <c r="AB432">
        <f t="shared" ca="1" si="145"/>
        <v>109.10460000000003</v>
      </c>
    </row>
    <row r="433" spans="1:28" x14ac:dyDescent="0.25">
      <c r="A433" s="20">
        <f t="shared" ca="1" si="125"/>
        <v>45922</v>
      </c>
      <c r="B433" vm="1245">
        <f ca="1"/>
        <v>45922</v>
      </c>
      <c r="C433" vm="1246">
        <f ca="1"/>
        <v>112.02</v>
      </c>
      <c r="D433" vm="1247">
        <f ca="1"/>
        <v>15611495</v>
      </c>
      <c r="E433">
        <f t="shared" ca="1" si="126"/>
        <v>1748799669.8999999</v>
      </c>
      <c r="F433">
        <f ca="1">SUM($E$2:E433)/SUM($D$2:D433)</f>
        <v>111.33815497350091</v>
      </c>
      <c r="G433">
        <f ca="1">_xlfn.STDEV.P($C$2:C433)</f>
        <v>5.9780681466032224</v>
      </c>
      <c r="H433">
        <f t="shared" ca="1" si="127"/>
        <v>117.31622312010413</v>
      </c>
      <c r="I433">
        <f t="shared" ca="1" si="128"/>
        <v>105.36008682689769</v>
      </c>
      <c r="J433">
        <f t="shared" ca="1" si="137"/>
        <v>112.51200000000001</v>
      </c>
      <c r="K433">
        <f t="shared" ca="1" si="138"/>
        <v>1.5737638423788214</v>
      </c>
      <c r="L433">
        <f t="shared" ca="1" si="139"/>
        <v>115.65952768475766</v>
      </c>
      <c r="M433">
        <f t="shared" ca="1" si="140"/>
        <v>109.36447231524237</v>
      </c>
      <c r="N433">
        <f t="shared" ca="1" si="129"/>
        <v>-0.79999999999999716</v>
      </c>
      <c r="O433">
        <f t="shared" ca="1" si="130"/>
        <v>0</v>
      </c>
      <c r="P433">
        <f t="shared" ca="1" si="131"/>
        <v>0.79999999999999716</v>
      </c>
      <c r="Q433">
        <f t="shared" ca="1" si="135"/>
        <v>0.52103081704710785</v>
      </c>
      <c r="R433">
        <f t="shared" ca="1" si="136"/>
        <v>0.50069679976288939</v>
      </c>
      <c r="S433">
        <f t="shared" ca="1" si="133"/>
        <v>1.0406114384870202</v>
      </c>
      <c r="T433">
        <f t="shared" ca="1" si="134"/>
        <v>50.995080144143728</v>
      </c>
      <c r="U433">
        <f>70</f>
        <v>70</v>
      </c>
      <c r="V433">
        <f>30</f>
        <v>30</v>
      </c>
      <c r="W433">
        <f t="shared" ca="1" si="132"/>
        <v>112.6859052292528</v>
      </c>
      <c r="X433">
        <f t="shared" ca="1" si="142"/>
        <v>111.80555417937458</v>
      </c>
      <c r="Y433">
        <f t="shared" ca="1" si="141"/>
        <v>0.91597932988986486</v>
      </c>
      <c r="Z433">
        <f t="shared" ca="1" si="143"/>
        <v>0.88678136365935833</v>
      </c>
      <c r="AA433">
        <f t="shared" ca="1" si="144"/>
        <v>2.9197966230506522E-2</v>
      </c>
      <c r="AB433">
        <f t="shared" ca="1" si="145"/>
        <v>109.14120000000003</v>
      </c>
    </row>
    <row r="434" spans="1:28" x14ac:dyDescent="0.25">
      <c r="A434" s="20">
        <f t="shared" ca="1" si="125"/>
        <v>45922</v>
      </c>
      <c r="B434" vm="1248">
        <f ca="1"/>
        <v>45923</v>
      </c>
      <c r="C434" vm="1249">
        <f ca="1"/>
        <v>113.95</v>
      </c>
      <c r="D434" vm="1250">
        <f ca="1"/>
        <v>25369106</v>
      </c>
      <c r="E434">
        <f t="shared" ca="1" si="126"/>
        <v>2890809628.7000003</v>
      </c>
      <c r="F434">
        <f ca="1">SUM($E$2:E434)/SUM($D$2:D434)</f>
        <v>111.34745604385309</v>
      </c>
      <c r="G434">
        <f ca="1">_xlfn.STDEV.P($C$2:C434)</f>
        <v>5.9720760583756478</v>
      </c>
      <c r="H434">
        <f t="shared" ca="1" si="127"/>
        <v>117.31953210222873</v>
      </c>
      <c r="I434">
        <f t="shared" ca="1" si="128"/>
        <v>105.37537998547744</v>
      </c>
      <c r="J434">
        <f t="shared" ca="1" si="137"/>
        <v>112.62250000000002</v>
      </c>
      <c r="K434">
        <f t="shared" ca="1" si="138"/>
        <v>1.5941599833867317</v>
      </c>
      <c r="L434">
        <f t="shared" ca="1" si="139"/>
        <v>115.81081996677348</v>
      </c>
      <c r="M434">
        <f t="shared" ca="1" si="140"/>
        <v>109.43418003322655</v>
      </c>
      <c r="N434">
        <f t="shared" ca="1" si="129"/>
        <v>1.9300000000000068</v>
      </c>
      <c r="O434">
        <f t="shared" ca="1" si="130"/>
        <v>1.9300000000000068</v>
      </c>
      <c r="P434">
        <f t="shared" ca="1" si="131"/>
        <v>0</v>
      </c>
      <c r="Q434">
        <f t="shared" ca="1" si="135"/>
        <v>0.62167147297231495</v>
      </c>
      <c r="R434">
        <f t="shared" ca="1" si="136"/>
        <v>0.46493274263696877</v>
      </c>
      <c r="S434">
        <f t="shared" ca="1" si="133"/>
        <v>1.3371212994085291</v>
      </c>
      <c r="T434">
        <f t="shared" ca="1" si="134"/>
        <v>57.212319264170127</v>
      </c>
      <c r="U434">
        <f>70</f>
        <v>70</v>
      </c>
      <c r="V434">
        <f>30</f>
        <v>30</v>
      </c>
      <c r="W434">
        <f t="shared" ca="1" si="132"/>
        <v>112.88038134782929</v>
      </c>
      <c r="X434">
        <f t="shared" ca="1" si="142"/>
        <v>111.96440201793942</v>
      </c>
      <c r="Y434">
        <f t="shared" ca="1" si="141"/>
        <v>0.98211568226490442</v>
      </c>
      <c r="Z434">
        <f t="shared" ca="1" si="143"/>
        <v>0.90584822738046766</v>
      </c>
      <c r="AA434">
        <f t="shared" ca="1" si="144"/>
        <v>7.6267454884436758E-2</v>
      </c>
      <c r="AB434">
        <f t="shared" ca="1" si="145"/>
        <v>109.22440000000002</v>
      </c>
    </row>
    <row r="435" spans="1:28" x14ac:dyDescent="0.25">
      <c r="A435" s="20">
        <f t="shared" ca="1" si="125"/>
        <v>45922</v>
      </c>
      <c r="B435" vm="1251">
        <f ca="1"/>
        <v>45924</v>
      </c>
      <c r="C435" vm="1252">
        <f ca="1"/>
        <v>114.56</v>
      </c>
      <c r="D435" vm="1253">
        <f ca="1"/>
        <v>14756050</v>
      </c>
      <c r="E435">
        <f t="shared" ca="1" si="126"/>
        <v>1690453088</v>
      </c>
      <c r="F435">
        <f ca="1">SUM($E$2:E435)/SUM($D$2:D435)</f>
        <v>111.35409654596648</v>
      </c>
      <c r="G435">
        <f ca="1">_xlfn.STDEV.P($C$2:C435)</f>
        <v>5.9666837455230883</v>
      </c>
      <c r="H435">
        <f t="shared" ca="1" si="127"/>
        <v>117.32078029148957</v>
      </c>
      <c r="I435">
        <f t="shared" ca="1" si="128"/>
        <v>105.3874128004434</v>
      </c>
      <c r="J435">
        <f t="shared" ca="1" si="137"/>
        <v>112.776</v>
      </c>
      <c r="K435">
        <f t="shared" ca="1" si="138"/>
        <v>1.6268419520168853</v>
      </c>
      <c r="L435">
        <f t="shared" ca="1" si="139"/>
        <v>116.02968390403376</v>
      </c>
      <c r="M435">
        <f t="shared" ca="1" si="140"/>
        <v>109.52231609596623</v>
      </c>
      <c r="N435">
        <f t="shared" ca="1" si="129"/>
        <v>0.60999999999999943</v>
      </c>
      <c r="O435">
        <f t="shared" ca="1" si="130"/>
        <v>0.60999999999999943</v>
      </c>
      <c r="P435">
        <f t="shared" ca="1" si="131"/>
        <v>0</v>
      </c>
      <c r="Q435">
        <f t="shared" ca="1" si="135"/>
        <v>0.62083779633143532</v>
      </c>
      <c r="R435">
        <f t="shared" ca="1" si="136"/>
        <v>0.43172326102004244</v>
      </c>
      <c r="S435">
        <f t="shared" ca="1" si="133"/>
        <v>1.4380457399134985</v>
      </c>
      <c r="T435">
        <f t="shared" ca="1" si="134"/>
        <v>58.983542284342874</v>
      </c>
      <c r="U435">
        <f>70</f>
        <v>70</v>
      </c>
      <c r="V435">
        <f>30</f>
        <v>30</v>
      </c>
      <c r="W435">
        <f t="shared" ca="1" si="132"/>
        <v>113.138784217394</v>
      </c>
      <c r="X435">
        <f t="shared" ca="1" si="142"/>
        <v>112.1566685351291</v>
      </c>
      <c r="Y435">
        <f t="shared" ca="1" si="141"/>
        <v>1.1049049534161242</v>
      </c>
      <c r="Z435">
        <f t="shared" ca="1" si="143"/>
        <v>0.94565957258759903</v>
      </c>
      <c r="AA435">
        <f t="shared" ca="1" si="144"/>
        <v>0.15924538082852513</v>
      </c>
      <c r="AB435">
        <f t="shared" ca="1" si="145"/>
        <v>109.31220000000003</v>
      </c>
    </row>
    <row r="436" spans="1:28" x14ac:dyDescent="0.25">
      <c r="A436" s="20">
        <f t="shared" ca="1" si="125"/>
        <v>45922</v>
      </c>
      <c r="B436" vm="1254">
        <f ca="1"/>
        <v>45925</v>
      </c>
      <c r="C436" vm="1255">
        <f ca="1"/>
        <v>115.59</v>
      </c>
      <c r="D436" vm="1256">
        <f ca="1"/>
        <v>15012553</v>
      </c>
      <c r="E436">
        <f t="shared" ca="1" si="126"/>
        <v>1735301001.27</v>
      </c>
      <c r="F436">
        <f ca="1">SUM($E$2:E436)/SUM($D$2:D436)</f>
        <v>111.36298589529225</v>
      </c>
      <c r="G436">
        <f ca="1">_xlfn.STDEV.P($C$2:C436)</f>
        <v>5.9626086949811601</v>
      </c>
      <c r="H436">
        <f t="shared" ca="1" si="127"/>
        <v>117.32559459027341</v>
      </c>
      <c r="I436">
        <f t="shared" ca="1" si="128"/>
        <v>105.4003772003111</v>
      </c>
      <c r="J436">
        <f t="shared" ca="1" si="137"/>
        <v>112.91800000000001</v>
      </c>
      <c r="K436">
        <f t="shared" ca="1" si="138"/>
        <v>1.7441680266715027</v>
      </c>
      <c r="L436">
        <f t="shared" ca="1" si="139"/>
        <v>116.40633605334301</v>
      </c>
      <c r="M436">
        <f t="shared" ca="1" si="140"/>
        <v>109.429663946657</v>
      </c>
      <c r="N436">
        <f t="shared" ca="1" si="129"/>
        <v>1.0300000000000011</v>
      </c>
      <c r="O436">
        <f t="shared" ca="1" si="130"/>
        <v>1.0300000000000011</v>
      </c>
      <c r="P436">
        <f t="shared" ca="1" si="131"/>
        <v>0</v>
      </c>
      <c r="Q436">
        <f t="shared" ca="1" si="135"/>
        <v>0.65006366802204718</v>
      </c>
      <c r="R436">
        <f t="shared" ca="1" si="136"/>
        <v>0.40088588523289653</v>
      </c>
      <c r="S436">
        <f t="shared" ca="1" si="133"/>
        <v>1.6215678624963052</v>
      </c>
      <c r="T436">
        <f t="shared" ca="1" si="134"/>
        <v>61.854887897207377</v>
      </c>
      <c r="U436">
        <f>70</f>
        <v>70</v>
      </c>
      <c r="V436">
        <f>30</f>
        <v>30</v>
      </c>
      <c r="W436">
        <f t="shared" ca="1" si="132"/>
        <v>113.51589433779492</v>
      </c>
      <c r="X436">
        <f t="shared" ca="1" si="142"/>
        <v>112.41098938437879</v>
      </c>
      <c r="Y436">
        <f t="shared" ca="1" si="141"/>
        <v>1.3185443544216042</v>
      </c>
      <c r="Z436">
        <f t="shared" ca="1" si="143"/>
        <v>1.0202365289544002</v>
      </c>
      <c r="AA436">
        <f t="shared" ca="1" si="144"/>
        <v>0.29830782546720402</v>
      </c>
      <c r="AB436">
        <f t="shared" ca="1" si="145"/>
        <v>109.40600000000002</v>
      </c>
    </row>
    <row r="437" spans="1:28" x14ac:dyDescent="0.25">
      <c r="A437" s="20">
        <f t="shared" ca="1" si="125"/>
        <v>45922</v>
      </c>
      <c r="B437" vm="1257">
        <f ca="1"/>
        <v>45926</v>
      </c>
      <c r="C437" vm="550">
        <f ca="1"/>
        <v>117.22</v>
      </c>
      <c r="D437" vm="1258">
        <f ca="1"/>
        <v>18568916</v>
      </c>
      <c r="E437">
        <f t="shared" ca="1" si="126"/>
        <v>2176648333.52</v>
      </c>
      <c r="F437">
        <f ca="1">SUM($E$2:E437)/SUM($D$2:D437)</f>
        <v>111.37814963589545</v>
      </c>
      <c r="G437">
        <f ca="1">_xlfn.STDEV.P($C$2:C437)</f>
        <v>5.9614235207629944</v>
      </c>
      <c r="H437">
        <f t="shared" ca="1" si="127"/>
        <v>117.33957315665845</v>
      </c>
      <c r="I437">
        <f t="shared" ca="1" si="128"/>
        <v>105.41672611513246</v>
      </c>
      <c r="J437">
        <f t="shared" ca="1" si="137"/>
        <v>113.11149999999998</v>
      </c>
      <c r="K437">
        <f t="shared" ca="1" si="138"/>
        <v>1.9917204279611884</v>
      </c>
      <c r="L437">
        <f t="shared" ca="1" si="139"/>
        <v>117.09494085592236</v>
      </c>
      <c r="M437">
        <f t="shared" ca="1" si="140"/>
        <v>109.1280591440776</v>
      </c>
      <c r="N437">
        <f t="shared" ca="1" si="129"/>
        <v>1.6299999999999955</v>
      </c>
      <c r="O437">
        <f t="shared" ca="1" si="130"/>
        <v>1.6299999999999955</v>
      </c>
      <c r="P437">
        <f t="shared" ca="1" si="131"/>
        <v>0</v>
      </c>
      <c r="Q437">
        <f t="shared" ca="1" si="135"/>
        <v>0.72005912030618635</v>
      </c>
      <c r="R437">
        <f t="shared" ca="1" si="136"/>
        <v>0.37225117914483252</v>
      </c>
      <c r="S437">
        <f t="shared" ca="1" si="133"/>
        <v>1.9343367077046423</v>
      </c>
      <c r="T437">
        <f t="shared" ca="1" si="134"/>
        <v>65.920748039094647</v>
      </c>
      <c r="U437">
        <f>70</f>
        <v>70</v>
      </c>
      <c r="V437">
        <f>30</f>
        <v>30</v>
      </c>
      <c r="W437">
        <f t="shared" ca="1" si="132"/>
        <v>114.08575674736493</v>
      </c>
      <c r="X437">
        <f t="shared" ca="1" si="142"/>
        <v>112.76721239294332</v>
      </c>
      <c r="Y437">
        <f t="shared" ca="1" si="141"/>
        <v>1.2315832657002943</v>
      </c>
      <c r="Z437">
        <f t="shared" ca="1" si="143"/>
        <v>1.0625058763035791</v>
      </c>
      <c r="AA437">
        <f t="shared" ca="1" si="144"/>
        <v>0.16907738939671524</v>
      </c>
      <c r="AB437">
        <f t="shared" ca="1" si="145"/>
        <v>109.5455</v>
      </c>
    </row>
    <row r="438" spans="1:28" x14ac:dyDescent="0.25">
      <c r="A438" s="20">
        <f t="shared" ca="1" si="125"/>
        <v>45929</v>
      </c>
      <c r="B438" vm="1259">
        <f ca="1"/>
        <v>45929</v>
      </c>
      <c r="C438" vm="1260">
        <f ca="1"/>
        <v>114.22</v>
      </c>
      <c r="D438" vm="1261">
        <f ca="1"/>
        <v>19189260</v>
      </c>
      <c r="E438">
        <f t="shared" ca="1" si="126"/>
        <v>2191797277.1999998</v>
      </c>
      <c r="F438">
        <f ca="1">SUM($E$2:E438)/SUM($D$2:D438)</f>
        <v>111.38573266223221</v>
      </c>
      <c r="G438">
        <f ca="1">_xlfn.STDEV.P($C$2:C438)</f>
        <v>5.9557168724031149</v>
      </c>
      <c r="H438">
        <f t="shared" ca="1" si="127"/>
        <v>117.34144953463533</v>
      </c>
      <c r="I438">
        <f t="shared" ca="1" si="128"/>
        <v>105.4300157898291</v>
      </c>
      <c r="J438">
        <f t="shared" ca="1" si="137"/>
        <v>113.10799999999998</v>
      </c>
      <c r="K438">
        <f t="shared" ca="1" si="138"/>
        <v>1.9896008592045222</v>
      </c>
      <c r="L438">
        <f t="shared" ca="1" si="139"/>
        <v>117.08720171840902</v>
      </c>
      <c r="M438">
        <f t="shared" ca="1" si="140"/>
        <v>109.12879828159093</v>
      </c>
      <c r="N438">
        <f t="shared" ca="1" si="129"/>
        <v>-3</v>
      </c>
      <c r="O438">
        <f t="shared" ca="1" si="130"/>
        <v>0</v>
      </c>
      <c r="P438">
        <f t="shared" ca="1" si="131"/>
        <v>3</v>
      </c>
      <c r="Q438">
        <f t="shared" ca="1" si="135"/>
        <v>0.6686263259986015</v>
      </c>
      <c r="R438">
        <f t="shared" ca="1" si="136"/>
        <v>0.55994752349163013</v>
      </c>
      <c r="S438">
        <f t="shared" ca="1" si="133"/>
        <v>1.194087477750218</v>
      </c>
      <c r="T438">
        <f t="shared" ca="1" si="134"/>
        <v>54.422965805110742</v>
      </c>
      <c r="U438">
        <f>70</f>
        <v>70</v>
      </c>
      <c r="V438">
        <f>30</f>
        <v>30</v>
      </c>
      <c r="W438">
        <f t="shared" ca="1" si="132"/>
        <v>114.10640955546262</v>
      </c>
      <c r="X438">
        <f t="shared" ca="1" si="142"/>
        <v>112.87482628976232</v>
      </c>
      <c r="Y438">
        <f t="shared" ca="1" si="141"/>
        <v>1.0321512643864565</v>
      </c>
      <c r="Z438">
        <f t="shared" ca="1" si="143"/>
        <v>1.0564349539201547</v>
      </c>
      <c r="AA438">
        <f t="shared" ca="1" si="144"/>
        <v>-2.4283689533698194E-2</v>
      </c>
      <c r="AB438">
        <f t="shared" ca="1" si="145"/>
        <v>109.64059999999999</v>
      </c>
    </row>
    <row r="439" spans="1:28" x14ac:dyDescent="0.25">
      <c r="A439" s="20">
        <f t="shared" ca="1" si="125"/>
        <v>45929</v>
      </c>
      <c r="B439" vm="1262">
        <f ca="1"/>
        <v>45930</v>
      </c>
      <c r="C439" vm="323">
        <f ca="1"/>
        <v>112.75</v>
      </c>
      <c r="D439" vm="1263">
        <f ca="1"/>
        <v>18076211</v>
      </c>
      <c r="E439">
        <f t="shared" ca="1" si="126"/>
        <v>2038092790.25</v>
      </c>
      <c r="F439">
        <f ca="1">SUM($E$2:E439)/SUM($D$2:D439)</f>
        <v>111.38915324225862</v>
      </c>
      <c r="G439">
        <f ca="1">_xlfn.STDEV.P($C$2:C439)</f>
        <v>5.9490832506193572</v>
      </c>
      <c r="H439">
        <f t="shared" ca="1" si="127"/>
        <v>117.33823649287797</v>
      </c>
      <c r="I439">
        <f t="shared" ca="1" si="128"/>
        <v>105.44006999163926</v>
      </c>
      <c r="J439">
        <f t="shared" ca="1" si="137"/>
        <v>113.011</v>
      </c>
      <c r="K439">
        <f t="shared" ca="1" si="138"/>
        <v>1.955410577427614</v>
      </c>
      <c r="L439">
        <f t="shared" ca="1" si="139"/>
        <v>116.92182115485522</v>
      </c>
      <c r="M439">
        <f t="shared" ca="1" si="140"/>
        <v>109.10017884514477</v>
      </c>
      <c r="N439">
        <f t="shared" ca="1" si="129"/>
        <v>-1.4699999999999989</v>
      </c>
      <c r="O439">
        <f t="shared" ca="1" si="130"/>
        <v>0</v>
      </c>
      <c r="P439">
        <f t="shared" ca="1" si="131"/>
        <v>1.4699999999999989</v>
      </c>
      <c r="Q439">
        <f t="shared" ca="1" si="135"/>
        <v>0.62086730271298707</v>
      </c>
      <c r="R439">
        <f t="shared" ca="1" si="136"/>
        <v>0.62495127181365639</v>
      </c>
      <c r="S439">
        <f t="shared" ca="1" si="133"/>
        <v>0.99346513994792374</v>
      </c>
      <c r="T439">
        <f t="shared" ca="1" si="134"/>
        <v>49.836092943861388</v>
      </c>
      <c r="U439">
        <f>70</f>
        <v>70</v>
      </c>
      <c r="V439">
        <f>30</f>
        <v>30</v>
      </c>
      <c r="W439">
        <f t="shared" ca="1" si="132"/>
        <v>113.89773116231453</v>
      </c>
      <c r="X439">
        <f t="shared" ca="1" si="142"/>
        <v>112.86557989792807</v>
      </c>
      <c r="Y439">
        <f t="shared" ca="1" si="141"/>
        <v>0.80351193270881538</v>
      </c>
      <c r="Z439">
        <f t="shared" ca="1" si="143"/>
        <v>1.005850349677887</v>
      </c>
      <c r="AA439">
        <f t="shared" ca="1" si="144"/>
        <v>-0.20233841696907162</v>
      </c>
      <c r="AB439">
        <f t="shared" ca="1" si="145"/>
        <v>109.72199999999999</v>
      </c>
    </row>
    <row r="440" spans="1:28" x14ac:dyDescent="0.25">
      <c r="A440" s="20">
        <f t="shared" ca="1" si="125"/>
        <v>45929</v>
      </c>
      <c r="B440" vm="1264">
        <f ca="1"/>
        <v>45931</v>
      </c>
      <c r="C440" vm="1265">
        <f ca="1"/>
        <v>111.99</v>
      </c>
      <c r="D440" vm="1266">
        <f ca="1"/>
        <v>16613992</v>
      </c>
      <c r="E440">
        <f t="shared" ca="1" si="126"/>
        <v>1860600964.0799999</v>
      </c>
      <c r="F440">
        <f ca="1">SUM($E$2:E440)/SUM($D$2:D440)</f>
        <v>111.39053467877896</v>
      </c>
      <c r="G440">
        <f ca="1">_xlfn.STDEV.P($C$2:C440)</f>
        <v>5.9423096890357945</v>
      </c>
      <c r="H440">
        <f t="shared" ca="1" si="127"/>
        <v>117.33284436781476</v>
      </c>
      <c r="I440">
        <f t="shared" ca="1" si="128"/>
        <v>105.44822498974317</v>
      </c>
      <c r="J440">
        <f t="shared" ca="1" si="137"/>
        <v>113.01499999999999</v>
      </c>
      <c r="K440">
        <f t="shared" ca="1" si="138"/>
        <v>1.9531203105206874</v>
      </c>
      <c r="L440">
        <f t="shared" ca="1" si="139"/>
        <v>116.92124062104136</v>
      </c>
      <c r="M440">
        <f t="shared" ca="1" si="140"/>
        <v>109.10875937895861</v>
      </c>
      <c r="N440">
        <f t="shared" ca="1" si="129"/>
        <v>-0.76000000000000512</v>
      </c>
      <c r="O440">
        <f t="shared" ca="1" si="130"/>
        <v>0</v>
      </c>
      <c r="P440">
        <f t="shared" ca="1" si="131"/>
        <v>0.76000000000000512</v>
      </c>
      <c r="Q440">
        <f t="shared" ca="1" si="135"/>
        <v>0.57651963823348795</v>
      </c>
      <c r="R440">
        <f t="shared" ca="1" si="136"/>
        <v>0.63459760954125266</v>
      </c>
      <c r="S440">
        <f t="shared" ca="1" si="133"/>
        <v>0.90848063334220719</v>
      </c>
      <c r="T440">
        <f t="shared" ca="1" si="134"/>
        <v>47.602297737296908</v>
      </c>
      <c r="U440">
        <f>70</f>
        <v>70</v>
      </c>
      <c r="V440">
        <f>30</f>
        <v>30</v>
      </c>
      <c r="W440">
        <f t="shared" ca="1" si="132"/>
        <v>113.60423406041998</v>
      </c>
      <c r="X440">
        <f t="shared" ca="1" si="142"/>
        <v>112.80072212771117</v>
      </c>
      <c r="Y440">
        <f t="shared" ca="1" si="141"/>
        <v>0.5593812662068558</v>
      </c>
      <c r="Z440">
        <f t="shared" ca="1" si="143"/>
        <v>0.91655653298368078</v>
      </c>
      <c r="AA440">
        <f t="shared" ca="1" si="144"/>
        <v>-0.35717526677682498</v>
      </c>
      <c r="AB440">
        <f t="shared" ca="1" si="145"/>
        <v>109.78119999999998</v>
      </c>
    </row>
    <row r="441" spans="1:28" x14ac:dyDescent="0.25">
      <c r="A441" s="20">
        <f t="shared" ca="1" si="125"/>
        <v>45929</v>
      </c>
      <c r="B441" vm="1267">
        <f ca="1"/>
        <v>45932</v>
      </c>
      <c r="C441" vm="1268">
        <f ca="1"/>
        <v>111.29</v>
      </c>
      <c r="D441" vm="1269">
        <f ca="1"/>
        <v>13062563</v>
      </c>
      <c r="E441">
        <f t="shared" ca="1" si="126"/>
        <v>1453732636.27</v>
      </c>
      <c r="F441">
        <f ca="1">SUM($E$2:E441)/SUM($D$2:D441)</f>
        <v>111.3903532721513</v>
      </c>
      <c r="G441">
        <f ca="1">_xlfn.STDEV.P($C$2:C441)</f>
        <v>5.9356054589883858</v>
      </c>
      <c r="H441">
        <f t="shared" ca="1" si="127"/>
        <v>117.32595873113969</v>
      </c>
      <c r="I441">
        <f t="shared" ca="1" si="128"/>
        <v>105.45474781316291</v>
      </c>
      <c r="J441">
        <f t="shared" ca="1" si="137"/>
        <v>112.95949999999998</v>
      </c>
      <c r="K441">
        <f t="shared" ca="1" si="138"/>
        <v>1.9869931660942537</v>
      </c>
      <c r="L441">
        <f t="shared" ca="1" si="139"/>
        <v>116.93348633218848</v>
      </c>
      <c r="M441">
        <f t="shared" ca="1" si="140"/>
        <v>108.98551366781147</v>
      </c>
      <c r="N441">
        <f t="shared" ca="1" si="129"/>
        <v>-0.69999999999998863</v>
      </c>
      <c r="O441">
        <f t="shared" ca="1" si="130"/>
        <v>0</v>
      </c>
      <c r="P441">
        <f t="shared" ca="1" si="131"/>
        <v>0.69999999999998863</v>
      </c>
      <c r="Q441">
        <f t="shared" ca="1" si="135"/>
        <v>0.53533966407395306</v>
      </c>
      <c r="R441">
        <f t="shared" ca="1" si="136"/>
        <v>0.63926920885973382</v>
      </c>
      <c r="S441">
        <f t="shared" ca="1" si="133"/>
        <v>0.83742444756386725</v>
      </c>
      <c r="T441">
        <f t="shared" ca="1" si="134"/>
        <v>45.575993542164902</v>
      </c>
      <c r="U441">
        <f>70</f>
        <v>70</v>
      </c>
      <c r="V441">
        <f>30</f>
        <v>30</v>
      </c>
      <c r="W441">
        <f t="shared" ca="1" si="132"/>
        <v>113.2481980511246</v>
      </c>
      <c r="X441">
        <f t="shared" ca="1" si="142"/>
        <v>112.68881678491775</v>
      </c>
      <c r="Y441">
        <f t="shared" ca="1" si="141"/>
        <v>0.51888708286534779</v>
      </c>
      <c r="Z441">
        <f t="shared" ca="1" si="143"/>
        <v>0.83702264296001427</v>
      </c>
      <c r="AA441">
        <f t="shared" ca="1" si="144"/>
        <v>-0.31813556009466648</v>
      </c>
      <c r="AB441">
        <f t="shared" ca="1" si="145"/>
        <v>109.821</v>
      </c>
    </row>
    <row r="442" spans="1:28" x14ac:dyDescent="0.25">
      <c r="A442" s="20">
        <f t="shared" ca="1" si="125"/>
        <v>45929</v>
      </c>
      <c r="B442" vm="1270">
        <f ca="1"/>
        <v>45933</v>
      </c>
      <c r="C442" vm="1271">
        <f ca="1"/>
        <v>113.26</v>
      </c>
      <c r="D442" vm="1272">
        <f ca="1"/>
        <v>12950118</v>
      </c>
      <c r="E442">
        <f t="shared" ca="1" si="126"/>
        <v>1466730364.6800001</v>
      </c>
      <c r="F442">
        <f ca="1">SUM($E$2:E442)/SUM($D$2:D442)</f>
        <v>111.39369188397862</v>
      </c>
      <c r="G442">
        <f ca="1">_xlfn.STDEV.P($C$2:C442)</f>
        <v>5.9292720994426098</v>
      </c>
      <c r="H442">
        <f t="shared" ca="1" si="127"/>
        <v>117.32296398342123</v>
      </c>
      <c r="I442">
        <f t="shared" ca="1" si="128"/>
        <v>105.46441978453601</v>
      </c>
      <c r="J442">
        <f t="shared" ca="1" si="137"/>
        <v>113.16100000000002</v>
      </c>
      <c r="K442">
        <f t="shared" ca="1" si="138"/>
        <v>1.7827208654779725</v>
      </c>
      <c r="L442">
        <f t="shared" ca="1" si="139"/>
        <v>116.72644173095595</v>
      </c>
      <c r="M442">
        <f t="shared" ca="1" si="140"/>
        <v>109.59555826904408</v>
      </c>
      <c r="N442">
        <f t="shared" ca="1" si="129"/>
        <v>1.9699999999999989</v>
      </c>
      <c r="O442">
        <f t="shared" ca="1" si="130"/>
        <v>1.9699999999999989</v>
      </c>
      <c r="P442">
        <f t="shared" ca="1" si="131"/>
        <v>0</v>
      </c>
      <c r="Q442">
        <f t="shared" ca="1" si="135"/>
        <v>0.63781540235438494</v>
      </c>
      <c r="R442">
        <f t="shared" ca="1" si="136"/>
        <v>0.59360712251261005</v>
      </c>
      <c r="S442">
        <f t="shared" ca="1" si="133"/>
        <v>1.0744739713611435</v>
      </c>
      <c r="T442">
        <f t="shared" ca="1" si="134"/>
        <v>51.795008575409561</v>
      </c>
      <c r="U442">
        <f>70</f>
        <v>70</v>
      </c>
      <c r="V442">
        <f>30</f>
        <v>30</v>
      </c>
      <c r="W442">
        <f t="shared" ca="1" si="132"/>
        <v>113.25001373556697</v>
      </c>
      <c r="X442">
        <f t="shared" ca="1" si="142"/>
        <v>112.73112665270162</v>
      </c>
      <c r="Y442">
        <f t="shared" ca="1" si="141"/>
        <v>0.55623338272182821</v>
      </c>
      <c r="Z442">
        <f t="shared" ca="1" si="143"/>
        <v>0.78086479091237715</v>
      </c>
      <c r="AA442">
        <f t="shared" ca="1" si="144"/>
        <v>-0.22463140819054894</v>
      </c>
      <c r="AB442">
        <f t="shared" ca="1" si="145"/>
        <v>109.86200000000001</v>
      </c>
    </row>
    <row r="443" spans="1:28" x14ac:dyDescent="0.25">
      <c r="A443" s="20">
        <f t="shared" ca="1" si="125"/>
        <v>45936</v>
      </c>
      <c r="B443" vm="1273">
        <f ca="1"/>
        <v>45936</v>
      </c>
      <c r="C443" vm="1274">
        <f ca="1"/>
        <v>114.2</v>
      </c>
      <c r="D443" vm="1275">
        <f ca="1"/>
        <v>12036830</v>
      </c>
      <c r="E443">
        <f t="shared" ca="1" si="126"/>
        <v>1374605986</v>
      </c>
      <c r="F443">
        <f ca="1">SUM($E$2:E443)/SUM($D$2:D443)</f>
        <v>111.39834195837339</v>
      </c>
      <c r="G443">
        <f ca="1">_xlfn.STDEV.P($C$2:C443)</f>
        <v>5.9236448549227605</v>
      </c>
      <c r="H443">
        <f t="shared" ca="1" si="127"/>
        <v>117.32198681329615</v>
      </c>
      <c r="I443">
        <f t="shared" ca="1" si="128"/>
        <v>105.47469710345064</v>
      </c>
      <c r="J443">
        <f t="shared" ca="1" si="137"/>
        <v>113.37849999999999</v>
      </c>
      <c r="K443">
        <f t="shared" ca="1" si="138"/>
        <v>1.6149703435439053</v>
      </c>
      <c r="L443">
        <f t="shared" ca="1" si="139"/>
        <v>116.60844068708779</v>
      </c>
      <c r="M443">
        <f t="shared" ca="1" si="140"/>
        <v>110.14855931291218</v>
      </c>
      <c r="N443">
        <f t="shared" ca="1" si="129"/>
        <v>0.93999999999999773</v>
      </c>
      <c r="O443">
        <f t="shared" ca="1" si="130"/>
        <v>0.93999999999999773</v>
      </c>
      <c r="P443">
        <f t="shared" ca="1" si="131"/>
        <v>0</v>
      </c>
      <c r="Q443">
        <f t="shared" ca="1" si="135"/>
        <v>0.6594000164719287</v>
      </c>
      <c r="R443">
        <f t="shared" ca="1" si="136"/>
        <v>0.55120661376170932</v>
      </c>
      <c r="S443">
        <f t="shared" ca="1" si="133"/>
        <v>1.1962846598879748</v>
      </c>
      <c r="T443">
        <f t="shared" ca="1" si="134"/>
        <v>54.468561463658055</v>
      </c>
      <c r="U443">
        <f>70</f>
        <v>70</v>
      </c>
      <c r="V443">
        <f>30</f>
        <v>30</v>
      </c>
      <c r="W443">
        <f t="shared" ca="1" si="132"/>
        <v>113.39616546855666</v>
      </c>
      <c r="X443">
        <f t="shared" ca="1" si="142"/>
        <v>112.83993208583483</v>
      </c>
      <c r="Y443">
        <f t="shared" ca="1" si="141"/>
        <v>0.58394078707979702</v>
      </c>
      <c r="Z443">
        <f t="shared" ca="1" si="143"/>
        <v>0.74147999014586119</v>
      </c>
      <c r="AA443">
        <f t="shared" ca="1" si="144"/>
        <v>-0.15753920306606417</v>
      </c>
      <c r="AB443">
        <f t="shared" ca="1" si="145"/>
        <v>109.90940000000001</v>
      </c>
    </row>
    <row r="444" spans="1:28" x14ac:dyDescent="0.25">
      <c r="A444" s="20">
        <f t="shared" ca="1" si="125"/>
        <v>45936</v>
      </c>
      <c r="B444" vm="1276">
        <f ca="1"/>
        <v>45937</v>
      </c>
      <c r="C444" vm="1277">
        <f ca="1"/>
        <v>114.26</v>
      </c>
      <c r="D444" vm="1278">
        <f ca="1"/>
        <v>11945032</v>
      </c>
      <c r="E444">
        <f t="shared" ca="1" si="126"/>
        <v>1364839356.3200002</v>
      </c>
      <c r="F444">
        <f ca="1">SUM($E$2:E444)/SUM($D$2:D444)</f>
        <v>111.40303986002326</v>
      </c>
      <c r="G444">
        <f ca="1">_xlfn.STDEV.P($C$2:C444)</f>
        <v>5.918087835255732</v>
      </c>
      <c r="H444">
        <f t="shared" ca="1" si="127"/>
        <v>117.32112769527899</v>
      </c>
      <c r="I444">
        <f t="shared" ca="1" si="128"/>
        <v>105.48495202476752</v>
      </c>
      <c r="J444">
        <f t="shared" ca="1" si="137"/>
        <v>113.559</v>
      </c>
      <c r="K444">
        <f t="shared" ca="1" si="138"/>
        <v>1.4909407132835029</v>
      </c>
      <c r="L444">
        <f t="shared" ca="1" si="139"/>
        <v>116.540881426567</v>
      </c>
      <c r="M444">
        <f t="shared" ca="1" si="140"/>
        <v>110.577118573433</v>
      </c>
      <c r="N444">
        <f t="shared" ca="1" si="129"/>
        <v>6.0000000000002274E-2</v>
      </c>
      <c r="O444">
        <f t="shared" ca="1" si="130"/>
        <v>6.0000000000002274E-2</v>
      </c>
      <c r="P444">
        <f t="shared" ca="1" si="131"/>
        <v>0</v>
      </c>
      <c r="Q444">
        <f t="shared" ca="1" si="135"/>
        <v>0.61658572958107682</v>
      </c>
      <c r="R444">
        <f t="shared" ca="1" si="136"/>
        <v>0.51183471277873005</v>
      </c>
      <c r="S444">
        <f t="shared" ca="1" si="133"/>
        <v>1.2046578987065135</v>
      </c>
      <c r="T444">
        <f t="shared" ca="1" si="134"/>
        <v>54.641488795758015</v>
      </c>
      <c r="U444">
        <f>70</f>
        <v>70</v>
      </c>
      <c r="V444">
        <f>30</f>
        <v>30</v>
      </c>
      <c r="W444">
        <f t="shared" ca="1" si="132"/>
        <v>113.52906308877871</v>
      </c>
      <c r="X444">
        <f t="shared" ca="1" si="142"/>
        <v>112.94512230169892</v>
      </c>
      <c r="Y444">
        <f t="shared" ca="1" si="141"/>
        <v>0.57984897240778821</v>
      </c>
      <c r="Z444">
        <f t="shared" ca="1" si="143"/>
        <v>0.70915378659824657</v>
      </c>
      <c r="AA444">
        <f t="shared" ca="1" si="144"/>
        <v>-0.12930481419045836</v>
      </c>
      <c r="AB444">
        <f t="shared" ca="1" si="145"/>
        <v>109.96720000000001</v>
      </c>
    </row>
    <row r="445" spans="1:28" x14ac:dyDescent="0.25">
      <c r="A445" s="20">
        <f t="shared" ca="1" si="125"/>
        <v>45936</v>
      </c>
      <c r="B445" vm="1279">
        <f ca="1"/>
        <v>45938</v>
      </c>
      <c r="C445" vm="1280">
        <f ca="1"/>
        <v>114.02</v>
      </c>
      <c r="D445" vm="1281">
        <f ca="1"/>
        <v>12300968</v>
      </c>
      <c r="E445">
        <f t="shared" ca="1" si="126"/>
        <v>1402556371.3599999</v>
      </c>
      <c r="F445">
        <f ca="1">SUM($E$2:E445)/SUM($D$2:D445)</f>
        <v>111.40745659835123</v>
      </c>
      <c r="G445">
        <f ca="1">_xlfn.STDEV.P($C$2:C445)</f>
        <v>5.9123344799855664</v>
      </c>
      <c r="H445">
        <f t="shared" ca="1" si="127"/>
        <v>117.31979107833679</v>
      </c>
      <c r="I445">
        <f t="shared" ca="1" si="128"/>
        <v>105.49512211836567</v>
      </c>
      <c r="J445">
        <f t="shared" ca="1" si="137"/>
        <v>113.63499999999999</v>
      </c>
      <c r="K445">
        <f t="shared" ca="1" si="138"/>
        <v>1.4727471644944083</v>
      </c>
      <c r="L445">
        <f t="shared" ca="1" si="139"/>
        <v>116.58049432898881</v>
      </c>
      <c r="M445">
        <f t="shared" ca="1" si="140"/>
        <v>110.68950567101118</v>
      </c>
      <c r="N445">
        <f t="shared" ca="1" si="129"/>
        <v>-0.24000000000000909</v>
      </c>
      <c r="O445">
        <f t="shared" ca="1" si="130"/>
        <v>0</v>
      </c>
      <c r="P445">
        <f t="shared" ca="1" si="131"/>
        <v>0.24000000000000909</v>
      </c>
      <c r="Q445">
        <f t="shared" ca="1" si="135"/>
        <v>0.572543891753857</v>
      </c>
      <c r="R445">
        <f t="shared" ca="1" si="136"/>
        <v>0.49241794758024998</v>
      </c>
      <c r="S445">
        <f t="shared" ca="1" si="133"/>
        <v>1.1627193821170558</v>
      </c>
      <c r="T445">
        <f t="shared" ca="1" si="134"/>
        <v>53.761916212120227</v>
      </c>
      <c r="U445">
        <f>70</f>
        <v>70</v>
      </c>
      <c r="V445">
        <f>30</f>
        <v>30</v>
      </c>
      <c r="W445">
        <f t="shared" ca="1" si="132"/>
        <v>113.60459184435122</v>
      </c>
      <c r="X445">
        <f t="shared" ca="1" si="142"/>
        <v>113.02474287194343</v>
      </c>
      <c r="Y445">
        <f t="shared" ca="1" si="141"/>
        <v>0.48148816065724986</v>
      </c>
      <c r="Z445">
        <f t="shared" ca="1" si="143"/>
        <v>0.66362066141004727</v>
      </c>
      <c r="AA445">
        <f t="shared" ca="1" si="144"/>
        <v>-0.18213250075279741</v>
      </c>
      <c r="AB445">
        <f t="shared" ca="1" si="145"/>
        <v>110.02159999999999</v>
      </c>
    </row>
    <row r="446" spans="1:28" x14ac:dyDescent="0.25">
      <c r="A446" s="20">
        <f t="shared" ca="1" si="125"/>
        <v>45936</v>
      </c>
      <c r="B446" vm="1282">
        <f ca="1"/>
        <v>45939</v>
      </c>
      <c r="C446" vm="1108">
        <f ca="1"/>
        <v>112.91</v>
      </c>
      <c r="D446" vm="1283">
        <f ca="1"/>
        <v>10976215</v>
      </c>
      <c r="E446">
        <f t="shared" ca="1" si="126"/>
        <v>1239324435.6499999</v>
      </c>
      <c r="F446">
        <f ca="1">SUM($E$2:E446)/SUM($D$2:D446)</f>
        <v>111.40971598917027</v>
      </c>
      <c r="G446">
        <f ca="1">_xlfn.STDEV.P($C$2:C446)</f>
        <v>5.9059087236247034</v>
      </c>
      <c r="H446">
        <f t="shared" ca="1" si="127"/>
        <v>117.31562471279497</v>
      </c>
      <c r="I446">
        <f t="shared" ca="1" si="128"/>
        <v>105.50380726554556</v>
      </c>
      <c r="J446">
        <f t="shared" ca="1" si="137"/>
        <v>113.67349999999999</v>
      </c>
      <c r="K446">
        <f t="shared" ca="1" si="138"/>
        <v>1.4413381027072705</v>
      </c>
      <c r="L446">
        <f t="shared" ca="1" si="139"/>
        <v>116.55617620541453</v>
      </c>
      <c r="M446">
        <f t="shared" ca="1" si="140"/>
        <v>110.79082379458545</v>
      </c>
      <c r="N446">
        <f t="shared" ca="1" si="129"/>
        <v>-1.1099999999999994</v>
      </c>
      <c r="O446">
        <f t="shared" ca="1" si="130"/>
        <v>0</v>
      </c>
      <c r="P446">
        <f t="shared" ca="1" si="131"/>
        <v>1.1099999999999994</v>
      </c>
      <c r="Q446">
        <f t="shared" ca="1" si="135"/>
        <v>0.53164789948572433</v>
      </c>
      <c r="R446">
        <f t="shared" ca="1" si="136"/>
        <v>0.53653095132451778</v>
      </c>
      <c r="S446">
        <f t="shared" ca="1" si="133"/>
        <v>0.99089884408953699</v>
      </c>
      <c r="T446">
        <f t="shared" ca="1" si="134"/>
        <v>49.771430981099769</v>
      </c>
      <c r="U446">
        <f>70</f>
        <v>70</v>
      </c>
      <c r="V446">
        <f>30</f>
        <v>30</v>
      </c>
      <c r="W446">
        <f t="shared" ca="1" si="132"/>
        <v>113.49773156060488</v>
      </c>
      <c r="X446">
        <f t="shared" ca="1" si="142"/>
        <v>113.01624339994763</v>
      </c>
      <c r="Y446">
        <f t="shared" ca="1" si="141"/>
        <v>0.22503466813866169</v>
      </c>
      <c r="Z446">
        <f t="shared" ca="1" si="143"/>
        <v>0.5759034627557702</v>
      </c>
      <c r="AA446">
        <f t="shared" ca="1" si="144"/>
        <v>-0.35086879461710851</v>
      </c>
      <c r="AB446">
        <f t="shared" ca="1" si="145"/>
        <v>110.0688</v>
      </c>
    </row>
    <row r="447" spans="1:28" x14ac:dyDescent="0.25">
      <c r="A447" s="20">
        <f t="shared" ca="1" si="125"/>
        <v>45936</v>
      </c>
      <c r="B447" vm="1284">
        <f ca="1"/>
        <v>45940</v>
      </c>
      <c r="C447" vm="1285">
        <f ca="1"/>
        <v>110.73</v>
      </c>
      <c r="D447" vm="1286">
        <f ca="1"/>
        <v>13811577</v>
      </c>
      <c r="E447">
        <f t="shared" ca="1" si="126"/>
        <v>1529355921.21</v>
      </c>
      <c r="F447">
        <f ca="1">SUM($E$2:E447)/SUM($D$2:D447)</f>
        <v>111.40843229517122</v>
      </c>
      <c r="G447">
        <f ca="1">_xlfn.STDEV.P($C$2:C447)</f>
        <v>5.8995148377420321</v>
      </c>
      <c r="H447">
        <f t="shared" ca="1" si="127"/>
        <v>117.30794713291326</v>
      </c>
      <c r="I447">
        <f t="shared" ca="1" si="128"/>
        <v>105.50891745742919</v>
      </c>
      <c r="J447">
        <f t="shared" ca="1" si="137"/>
        <v>113.602</v>
      </c>
      <c r="K447">
        <f t="shared" ca="1" si="138"/>
        <v>1.551619188223438</v>
      </c>
      <c r="L447">
        <f t="shared" ca="1" si="139"/>
        <v>116.70523837644689</v>
      </c>
      <c r="M447">
        <f t="shared" ca="1" si="140"/>
        <v>110.49876162355312</v>
      </c>
      <c r="N447">
        <f t="shared" ca="1" si="129"/>
        <v>-2.1799999999999926</v>
      </c>
      <c r="O447">
        <f t="shared" ca="1" si="130"/>
        <v>0</v>
      </c>
      <c r="P447">
        <f t="shared" ca="1" si="131"/>
        <v>2.1799999999999926</v>
      </c>
      <c r="Q447">
        <f t="shared" ca="1" si="135"/>
        <v>0.49367304952245833</v>
      </c>
      <c r="R447">
        <f t="shared" ca="1" si="136"/>
        <v>0.65392159765848035</v>
      </c>
      <c r="S447">
        <f t="shared" ca="1" si="133"/>
        <v>0.75494226110617924</v>
      </c>
      <c r="T447">
        <f t="shared" ca="1" si="134"/>
        <v>43.018068334072836</v>
      </c>
      <c r="U447">
        <f>70</f>
        <v>70</v>
      </c>
      <c r="V447">
        <f>30</f>
        <v>30</v>
      </c>
      <c r="W447">
        <f t="shared" ca="1" si="132"/>
        <v>113.0719267051272</v>
      </c>
      <c r="X447">
        <f t="shared" ca="1" si="142"/>
        <v>112.84689203698854</v>
      </c>
      <c r="Y447">
        <f t="shared" ca="1" si="141"/>
        <v>0.14200090997580617</v>
      </c>
      <c r="Z447">
        <f t="shared" ca="1" si="143"/>
        <v>0.48912295219977742</v>
      </c>
      <c r="AA447">
        <f t="shared" ca="1" si="144"/>
        <v>-0.34712204222397125</v>
      </c>
      <c r="AB447">
        <f t="shared" ca="1" si="145"/>
        <v>110.11139999999999</v>
      </c>
    </row>
    <row r="448" spans="1:28" x14ac:dyDescent="0.25">
      <c r="A448" s="20">
        <f t="shared" ca="1" si="125"/>
        <v>45943</v>
      </c>
      <c r="B448" vm="1287">
        <f ca="1"/>
        <v>45943</v>
      </c>
      <c r="C448" vm="1288">
        <f ca="1"/>
        <v>112.24</v>
      </c>
      <c r="D448" vm="1289">
        <f ca="1"/>
        <v>10296499</v>
      </c>
      <c r="E448">
        <f t="shared" ca="1" si="126"/>
        <v>1155679047.76</v>
      </c>
      <c r="F448">
        <f ca="1">SUM($E$2:E448)/SUM($D$2:D448)</f>
        <v>111.4096014362684</v>
      </c>
      <c r="G448">
        <f ca="1">_xlfn.STDEV.P($C$2:C448)</f>
        <v>5.8929438408737331</v>
      </c>
      <c r="H448">
        <f t="shared" ca="1" si="127"/>
        <v>117.30254527714213</v>
      </c>
      <c r="I448">
        <f t="shared" ca="1" si="128"/>
        <v>105.51665759539468</v>
      </c>
      <c r="J448">
        <f t="shared" ca="1" si="137"/>
        <v>113.59649999999999</v>
      </c>
      <c r="K448">
        <f t="shared" ca="1" si="138"/>
        <v>1.5564780587494396</v>
      </c>
      <c r="L448">
        <f t="shared" ca="1" si="139"/>
        <v>116.70945611749887</v>
      </c>
      <c r="M448">
        <f t="shared" ca="1" si="140"/>
        <v>110.48354388250111</v>
      </c>
      <c r="N448">
        <f t="shared" ca="1" si="129"/>
        <v>1.5099999999999909</v>
      </c>
      <c r="O448">
        <f t="shared" ca="1" si="130"/>
        <v>1.5099999999999909</v>
      </c>
      <c r="P448">
        <f t="shared" ca="1" si="131"/>
        <v>0</v>
      </c>
      <c r="Q448">
        <f t="shared" ca="1" si="135"/>
        <v>0.56626783169942496</v>
      </c>
      <c r="R448">
        <f t="shared" ca="1" si="136"/>
        <v>0.60721291211144612</v>
      </c>
      <c r="S448">
        <f t="shared" ca="1" si="133"/>
        <v>0.93256882455011725</v>
      </c>
      <c r="T448">
        <f t="shared" ca="1" si="134"/>
        <v>48.255400413344141</v>
      </c>
      <c r="U448">
        <f>70</f>
        <v>70</v>
      </c>
      <c r="V448">
        <f>30</f>
        <v>30</v>
      </c>
      <c r="W448">
        <f t="shared" ca="1" si="132"/>
        <v>112.94393798126148</v>
      </c>
      <c r="X448">
        <f t="shared" ca="1" si="142"/>
        <v>112.80193707128568</v>
      </c>
      <c r="Y448">
        <f t="shared" ca="1" si="141"/>
        <v>7.9316331244498883E-2</v>
      </c>
      <c r="Z448">
        <f t="shared" ca="1" si="143"/>
        <v>0.40716162800872174</v>
      </c>
      <c r="AA448">
        <f t="shared" ca="1" si="144"/>
        <v>-0.32784529676422286</v>
      </c>
      <c r="AB448">
        <f t="shared" ca="1" si="145"/>
        <v>110.18430000000001</v>
      </c>
    </row>
    <row r="449" spans="1:28" x14ac:dyDescent="0.25">
      <c r="A449" s="20">
        <f t="shared" ca="1" si="125"/>
        <v>45943</v>
      </c>
      <c r="B449" vm="1290">
        <f ca="1"/>
        <v>45944</v>
      </c>
      <c r="C449" vm="1291">
        <f ca="1"/>
        <v>112.29</v>
      </c>
      <c r="D449" vm="1292">
        <f ca="1"/>
        <v>11167154</v>
      </c>
      <c r="E449">
        <f t="shared" ca="1" si="126"/>
        <v>1253959722.6600001</v>
      </c>
      <c r="F449">
        <f ca="1">SUM($E$2:E449)/SUM($D$2:D449)</f>
        <v>111.41094185299721</v>
      </c>
      <c r="G449">
        <f ca="1">_xlfn.STDEV.P($C$2:C449)</f>
        <v>5.8864029475049859</v>
      </c>
      <c r="H449">
        <f t="shared" ca="1" si="127"/>
        <v>117.2973448005022</v>
      </c>
      <c r="I449">
        <f t="shared" ca="1" si="128"/>
        <v>105.52453890549222</v>
      </c>
      <c r="J449">
        <f t="shared" ca="1" si="137"/>
        <v>113.477</v>
      </c>
      <c r="K449">
        <f t="shared" ca="1" si="138"/>
        <v>1.5606547209087405</v>
      </c>
      <c r="L449">
        <f t="shared" ca="1" si="139"/>
        <v>116.59830944181749</v>
      </c>
      <c r="M449">
        <f t="shared" ca="1" si="140"/>
        <v>110.35569055818252</v>
      </c>
      <c r="N449">
        <f t="shared" ca="1" si="129"/>
        <v>5.0000000000011369E-2</v>
      </c>
      <c r="O449">
        <f t="shared" ca="1" si="130"/>
        <v>5.0000000000011369E-2</v>
      </c>
      <c r="P449">
        <f t="shared" ca="1" si="131"/>
        <v>0</v>
      </c>
      <c r="Q449">
        <f t="shared" ca="1" si="135"/>
        <v>0.52939155800660964</v>
      </c>
      <c r="R449">
        <f t="shared" ca="1" si="136"/>
        <v>0.56384056124634285</v>
      </c>
      <c r="S449">
        <f t="shared" ca="1" si="133"/>
        <v>0.93890293531989732</v>
      </c>
      <c r="T449">
        <f t="shared" ca="1" si="134"/>
        <v>48.42444241103739</v>
      </c>
      <c r="U449">
        <f>70</f>
        <v>70</v>
      </c>
      <c r="V449">
        <f>30</f>
        <v>30</v>
      </c>
      <c r="W449">
        <f t="shared" ca="1" si="132"/>
        <v>112.8433321379905</v>
      </c>
      <c r="X449">
        <f t="shared" ca="1" si="142"/>
        <v>112.764015806746</v>
      </c>
      <c r="Y449">
        <f t="shared" ca="1" si="141"/>
        <v>-2.4944422248637466E-2</v>
      </c>
      <c r="Z449">
        <f t="shared" ca="1" si="143"/>
        <v>0.32074041795724989</v>
      </c>
      <c r="AA449">
        <f t="shared" ca="1" si="144"/>
        <v>-0.34568484020588736</v>
      </c>
      <c r="AB449">
        <f t="shared" ca="1" si="145"/>
        <v>110.27060000000002</v>
      </c>
    </row>
    <row r="450" spans="1:28" x14ac:dyDescent="0.25">
      <c r="A450" s="20">
        <f t="shared" ca="1" si="125"/>
        <v>45943</v>
      </c>
      <c r="B450" vm="1293">
        <f ca="1"/>
        <v>45945</v>
      </c>
      <c r="C450" vm="1294">
        <f ca="1"/>
        <v>111.61</v>
      </c>
      <c r="D450" vm="1295">
        <f ca="1"/>
        <v>12182935</v>
      </c>
      <c r="E450">
        <f t="shared" ca="1" si="126"/>
        <v>1359737375.3499999</v>
      </c>
      <c r="F450">
        <f ca="1">SUM($E$2:E450)/SUM($D$2:D450)</f>
        <v>111.41127194053452</v>
      </c>
      <c r="G450">
        <f ca="1">_xlfn.STDEV.P($C$2:C450)</f>
        <v>5.8798536568858362</v>
      </c>
      <c r="H450">
        <f t="shared" ca="1" si="127"/>
        <v>117.29112559742036</v>
      </c>
      <c r="I450">
        <f t="shared" ca="1" si="128"/>
        <v>105.53141828364868</v>
      </c>
      <c r="J450">
        <f t="shared" ca="1" si="137"/>
        <v>113.29300000000001</v>
      </c>
      <c r="K450">
        <f t="shared" ca="1" si="138"/>
        <v>1.5525669745702813</v>
      </c>
      <c r="L450">
        <f t="shared" ca="1" si="139"/>
        <v>116.39813394914057</v>
      </c>
      <c r="M450">
        <f t="shared" ca="1" si="140"/>
        <v>110.18786605085944</v>
      </c>
      <c r="N450">
        <f t="shared" ca="1" si="129"/>
        <v>-0.68000000000000682</v>
      </c>
      <c r="O450">
        <f t="shared" ca="1" si="130"/>
        <v>0</v>
      </c>
      <c r="P450">
        <f t="shared" ca="1" si="131"/>
        <v>0.68000000000000682</v>
      </c>
      <c r="Q450">
        <f t="shared" ca="1" si="135"/>
        <v>0.49157787529185182</v>
      </c>
      <c r="R450">
        <f t="shared" ca="1" si="136"/>
        <v>0.57213766401446164</v>
      </c>
      <c r="S450">
        <f t="shared" ca="1" si="133"/>
        <v>0.85919509623373869</v>
      </c>
      <c r="T450">
        <f t="shared" ca="1" si="134"/>
        <v>46.21328326296964</v>
      </c>
      <c r="U450">
        <f>70</f>
        <v>70</v>
      </c>
      <c r="V450">
        <f>30</f>
        <v>30</v>
      </c>
      <c r="W450">
        <f t="shared" ca="1" si="132"/>
        <v>112.65358873214581</v>
      </c>
      <c r="X450">
        <f t="shared" ca="1" si="142"/>
        <v>112.67853315439444</v>
      </c>
      <c r="Y450">
        <f t="shared" ca="1" si="141"/>
        <v>-0.18372484823615309</v>
      </c>
      <c r="Z450">
        <f t="shared" ca="1" si="143"/>
        <v>0.2198473647185693</v>
      </c>
      <c r="AA450">
        <f t="shared" ca="1" si="144"/>
        <v>-0.4035722129547224</v>
      </c>
      <c r="AB450">
        <f t="shared" ca="1" si="145"/>
        <v>110.35700000000001</v>
      </c>
    </row>
    <row r="451" spans="1:28" x14ac:dyDescent="0.25">
      <c r="A451" s="20">
        <f t="shared" ref="A451:A514" ca="1" si="146">B451 - WEEKDAY(B451, 2) + 1</f>
        <v>45943</v>
      </c>
      <c r="B451" vm="1296">
        <f ca="1"/>
        <v>45946</v>
      </c>
      <c r="C451" vm="1297">
        <f ca="1"/>
        <v>110.64</v>
      </c>
      <c r="D451" vm="1298">
        <f ca="1"/>
        <v>11782202</v>
      </c>
      <c r="E451">
        <f t="shared" ref="E451:E514" ca="1" si="147">C451*D451</f>
        <v>1303582829.28</v>
      </c>
      <c r="F451">
        <f ca="1">SUM($E$2:E451)/SUM($D$2:D451)</f>
        <v>111.41003703050384</v>
      </c>
      <c r="G451">
        <f ca="1">_xlfn.STDEV.P($C$2:C451)</f>
        <v>5.8735851697385648</v>
      </c>
      <c r="H451">
        <f t="shared" ref="H451:H514" ca="1" si="148">F451 + G451</f>
        <v>117.28362220024241</v>
      </c>
      <c r="I451">
        <f t="shared" ref="I451:I514" ca="1" si="149">F451 - G451</f>
        <v>105.53645186076528</v>
      </c>
      <c r="J451">
        <f t="shared" ca="1" si="137"/>
        <v>113.12849999999999</v>
      </c>
      <c r="K451">
        <f t="shared" ca="1" si="138"/>
        <v>1.6525937349002566</v>
      </c>
      <c r="L451">
        <f t="shared" ca="1" si="139"/>
        <v>116.4336874698005</v>
      </c>
      <c r="M451">
        <f t="shared" ca="1" si="140"/>
        <v>109.82331253019947</v>
      </c>
      <c r="N451">
        <f t="shared" ca="1" si="129"/>
        <v>-0.96999999999999886</v>
      </c>
      <c r="O451">
        <f t="shared" ca="1" si="130"/>
        <v>0</v>
      </c>
      <c r="P451">
        <f t="shared" ca="1" si="131"/>
        <v>0.96999999999999886</v>
      </c>
      <c r="Q451">
        <f t="shared" ca="1" si="135"/>
        <v>0.45646516991386238</v>
      </c>
      <c r="R451">
        <f t="shared" ca="1" si="136"/>
        <v>0.60055640229914276</v>
      </c>
      <c r="S451">
        <f t="shared" ca="1" si="133"/>
        <v>0.76007044162105664</v>
      </c>
      <c r="T451">
        <f t="shared" ca="1" si="134"/>
        <v>43.184092161732913</v>
      </c>
      <c r="U451">
        <f>70</f>
        <v>70</v>
      </c>
      <c r="V451">
        <f>30</f>
        <v>30</v>
      </c>
      <c r="W451">
        <f t="shared" ca="1" si="132"/>
        <v>112.34380585027722</v>
      </c>
      <c r="X451">
        <f t="shared" ca="1" si="142"/>
        <v>112.52753069851337</v>
      </c>
      <c r="Y451">
        <f t="shared" ca="1" si="141"/>
        <v>-0.17839640878779051</v>
      </c>
      <c r="Z451">
        <f t="shared" ca="1" si="143"/>
        <v>0.14019861001729736</v>
      </c>
      <c r="AA451">
        <f t="shared" ca="1" si="144"/>
        <v>-0.31859501880508789</v>
      </c>
      <c r="AB451">
        <f t="shared" ca="1" si="145"/>
        <v>110.43310000000001</v>
      </c>
    </row>
    <row r="452" spans="1:28" x14ac:dyDescent="0.25">
      <c r="A452" s="20">
        <f t="shared" ca="1" si="146"/>
        <v>45943</v>
      </c>
      <c r="B452" vm="1299">
        <f ca="1"/>
        <v>45947</v>
      </c>
      <c r="C452" vm="1288">
        <f ca="1"/>
        <v>112.24</v>
      </c>
      <c r="D452" vm="1300">
        <f ca="1"/>
        <v>13460069</v>
      </c>
      <c r="E452">
        <f t="shared" ca="1" si="147"/>
        <v>1510758144.5599999</v>
      </c>
      <c r="F452">
        <f ca="1">SUM($E$2:E452)/SUM($D$2:D452)</f>
        <v>111.41155238297523</v>
      </c>
      <c r="G452">
        <f ca="1">_xlfn.STDEV.P($C$2:C452)</f>
        <v>5.867101573162758</v>
      </c>
      <c r="H452">
        <f t="shared" ca="1" si="148"/>
        <v>117.27865395613799</v>
      </c>
      <c r="I452">
        <f t="shared" ca="1" si="149"/>
        <v>105.54445080981247</v>
      </c>
      <c r="J452">
        <f t="shared" ca="1" si="137"/>
        <v>113.09949999999999</v>
      </c>
      <c r="K452">
        <f t="shared" ca="1" si="138"/>
        <v>1.6633462626505897</v>
      </c>
      <c r="L452">
        <f t="shared" ca="1" si="139"/>
        <v>116.42619252530118</v>
      </c>
      <c r="M452">
        <f t="shared" ca="1" si="140"/>
        <v>109.77280747469881</v>
      </c>
      <c r="N452">
        <f t="shared" ref="N452:N514" ca="1" si="150">C452-C451</f>
        <v>1.5999999999999943</v>
      </c>
      <c r="O452">
        <f t="shared" ref="O452:O514" ca="1" si="151">MAX(N452,0)</f>
        <v>1.5999999999999943</v>
      </c>
      <c r="P452">
        <f t="shared" ref="P452:P514" ca="1" si="152">MAX(-N452,0)</f>
        <v>0</v>
      </c>
      <c r="Q452">
        <f t="shared" ca="1" si="135"/>
        <v>0.53814622920572897</v>
      </c>
      <c r="R452">
        <f t="shared" ca="1" si="136"/>
        <v>0.5576595164206325</v>
      </c>
      <c r="S452">
        <f t="shared" ca="1" si="133"/>
        <v>0.96500859997844091</v>
      </c>
      <c r="T452">
        <f t="shared" ca="1" si="134"/>
        <v>49.109637483979888</v>
      </c>
      <c r="U452">
        <f>70</f>
        <v>70</v>
      </c>
      <c r="V452">
        <f>30</f>
        <v>30</v>
      </c>
      <c r="W452">
        <f t="shared" ca="1" si="132"/>
        <v>112.32783571946533</v>
      </c>
      <c r="X452">
        <f t="shared" ca="1" si="142"/>
        <v>112.50623212825312</v>
      </c>
      <c r="Y452">
        <f t="shared" ca="1" si="141"/>
        <v>-0.13549354131356495</v>
      </c>
      <c r="Z452">
        <f t="shared" ca="1" si="143"/>
        <v>8.5060179751124898E-2</v>
      </c>
      <c r="AA452">
        <f t="shared" ca="1" si="144"/>
        <v>-0.22055372106468984</v>
      </c>
      <c r="AB452">
        <f t="shared" ca="1" si="145"/>
        <v>110.52030000000002</v>
      </c>
    </row>
    <row r="453" spans="1:28" x14ac:dyDescent="0.25">
      <c r="A453" s="20">
        <f t="shared" ca="1" si="146"/>
        <v>45950</v>
      </c>
      <c r="B453" vm="1301">
        <f ca="1"/>
        <v>45950</v>
      </c>
      <c r="C453" vm="1302">
        <f ca="1"/>
        <v>112.7</v>
      </c>
      <c r="D453" vm="1303">
        <f ca="1"/>
        <v>9523617</v>
      </c>
      <c r="E453">
        <f t="shared" ca="1" si="147"/>
        <v>1073311635.9</v>
      </c>
      <c r="F453">
        <f ca="1">SUM($E$2:E453)/SUM($D$2:D453)</f>
        <v>111.41321470695461</v>
      </c>
      <c r="G453">
        <f ca="1">_xlfn.STDEV.P($C$2:C453)</f>
        <v>5.8607501962706428</v>
      </c>
      <c r="H453">
        <f t="shared" ca="1" si="148"/>
        <v>117.27396490322525</v>
      </c>
      <c r="I453">
        <f t="shared" ca="1" si="149"/>
        <v>105.55246451068396</v>
      </c>
      <c r="J453">
        <f t="shared" ca="1" si="137"/>
        <v>113.1335</v>
      </c>
      <c r="K453">
        <f t="shared" ca="1" si="138"/>
        <v>1.6469885597020621</v>
      </c>
      <c r="L453">
        <f t="shared" ca="1" si="139"/>
        <v>116.42747711940412</v>
      </c>
      <c r="M453">
        <f t="shared" ca="1" si="140"/>
        <v>109.83952288059588</v>
      </c>
      <c r="N453">
        <f t="shared" ca="1" si="150"/>
        <v>0.46000000000000796</v>
      </c>
      <c r="O453">
        <f t="shared" ca="1" si="151"/>
        <v>0.46000000000000796</v>
      </c>
      <c r="P453">
        <f t="shared" ca="1" si="152"/>
        <v>0</v>
      </c>
      <c r="Q453">
        <f t="shared" ca="1" si="135"/>
        <v>0.53256435569103455</v>
      </c>
      <c r="R453">
        <f t="shared" ca="1" si="136"/>
        <v>0.51782669381915869</v>
      </c>
      <c r="S453">
        <f t="shared" ca="1" si="133"/>
        <v>1.0284606067006323</v>
      </c>
      <c r="T453">
        <f t="shared" ca="1" si="134"/>
        <v>50.701532152180285</v>
      </c>
      <c r="U453">
        <f>70</f>
        <v>70</v>
      </c>
      <c r="V453">
        <f>30</f>
        <v>30</v>
      </c>
      <c r="W453">
        <f t="shared" ca="1" si="132"/>
        <v>112.38509176262451</v>
      </c>
      <c r="X453">
        <f t="shared" ca="1" si="142"/>
        <v>112.52058530393808</v>
      </c>
      <c r="Y453">
        <f t="shared" ca="1" si="141"/>
        <v>-9.9538376867229772E-2</v>
      </c>
      <c r="Z453">
        <f t="shared" ca="1" si="143"/>
        <v>4.8140468427453967E-2</v>
      </c>
      <c r="AA453">
        <f t="shared" ca="1" si="144"/>
        <v>-0.14767884529468372</v>
      </c>
      <c r="AB453">
        <f t="shared" ca="1" si="145"/>
        <v>110.62620000000001</v>
      </c>
    </row>
    <row r="454" spans="1:28" x14ac:dyDescent="0.25">
      <c r="A454" s="20">
        <f t="shared" ca="1" si="146"/>
        <v>45950</v>
      </c>
      <c r="B454" vm="1304">
        <f ca="1"/>
        <v>45951</v>
      </c>
      <c r="C454" vm="525">
        <f ca="1"/>
        <v>112.71</v>
      </c>
      <c r="D454" vm="1305">
        <f ca="1"/>
        <v>9202349</v>
      </c>
      <c r="E454">
        <f t="shared" ca="1" si="147"/>
        <v>1037196755.79</v>
      </c>
      <c r="F454">
        <f ca="1">SUM($E$2:E454)/SUM($D$2:D454)</f>
        <v>111.41482933570175</v>
      </c>
      <c r="G454">
        <f ca="1">_xlfn.STDEV.P($C$2:C454)</f>
        <v>5.8544226707740981</v>
      </c>
      <c r="H454">
        <f t="shared" ca="1" si="148"/>
        <v>117.26925200647585</v>
      </c>
      <c r="I454">
        <f t="shared" ca="1" si="149"/>
        <v>105.56040666492765</v>
      </c>
      <c r="J454">
        <f t="shared" ca="1" si="137"/>
        <v>113.07149999999999</v>
      </c>
      <c r="K454">
        <f t="shared" ca="1" si="138"/>
        <v>1.6379488938753153</v>
      </c>
      <c r="L454">
        <f t="shared" ca="1" si="139"/>
        <v>116.34739778775062</v>
      </c>
      <c r="M454">
        <f t="shared" ca="1" si="140"/>
        <v>109.79560221224935</v>
      </c>
      <c r="N454">
        <f t="shared" ca="1" si="150"/>
        <v>9.9999999999909051E-3</v>
      </c>
      <c r="O454">
        <f t="shared" ca="1" si="151"/>
        <v>9.9999999999909051E-3</v>
      </c>
      <c r="P454">
        <f t="shared" ca="1" si="152"/>
        <v>0</v>
      </c>
      <c r="Q454">
        <f t="shared" ca="1" si="135"/>
        <v>0.4952383302845314</v>
      </c>
      <c r="R454">
        <f t="shared" ca="1" si="136"/>
        <v>0.48083907283207594</v>
      </c>
      <c r="S454">
        <f t="shared" ca="1" si="133"/>
        <v>1.0299461051857659</v>
      </c>
      <c r="T454">
        <f t="shared" ca="1" si="134"/>
        <v>50.737608380568929</v>
      </c>
      <c r="U454">
        <f>70</f>
        <v>70</v>
      </c>
      <c r="V454">
        <f>30</f>
        <v>30</v>
      </c>
      <c r="W454">
        <f t="shared" ca="1" si="132"/>
        <v>112.43507764529767</v>
      </c>
      <c r="X454">
        <f t="shared" ca="1" si="142"/>
        <v>112.5346160221649</v>
      </c>
      <c r="Y454">
        <f t="shared" ca="1" si="141"/>
        <v>8.9310123788649776E-2</v>
      </c>
      <c r="Z454">
        <f t="shared" ca="1" si="143"/>
        <v>5.6374399499693126E-2</v>
      </c>
      <c r="AA454">
        <f t="shared" ca="1" si="144"/>
        <v>3.293572428895665E-2</v>
      </c>
      <c r="AB454">
        <f t="shared" ca="1" si="145"/>
        <v>110.72640000000001</v>
      </c>
    </row>
    <row r="455" spans="1:28" x14ac:dyDescent="0.25">
      <c r="A455" s="20">
        <f t="shared" ca="1" si="146"/>
        <v>45950</v>
      </c>
      <c r="B455" vm="1306">
        <f ca="1"/>
        <v>45952</v>
      </c>
      <c r="C455" vm="1307">
        <f ca="1"/>
        <v>114.71</v>
      </c>
      <c r="D455" vm="1308">
        <f ca="1"/>
        <v>12938790</v>
      </c>
      <c r="E455">
        <f t="shared" ca="1" si="147"/>
        <v>1484208600.8999999</v>
      </c>
      <c r="F455">
        <f ca="1">SUM($E$2:E455)/SUM($D$2:D455)</f>
        <v>111.42058794809498</v>
      </c>
      <c r="G455">
        <f ca="1">_xlfn.STDEV.P($C$2:C455)</f>
        <v>5.8495251624248779</v>
      </c>
      <c r="H455">
        <f t="shared" ca="1" si="148"/>
        <v>117.27011311051986</v>
      </c>
      <c r="I455">
        <f t="shared" ca="1" si="149"/>
        <v>105.57106278567009</v>
      </c>
      <c r="J455">
        <f t="shared" ca="1" si="137"/>
        <v>113.07899999999999</v>
      </c>
      <c r="K455">
        <f t="shared" ca="1" si="138"/>
        <v>1.6454495466365155</v>
      </c>
      <c r="L455">
        <f t="shared" ca="1" si="139"/>
        <v>116.36989909327302</v>
      </c>
      <c r="M455">
        <f t="shared" ca="1" si="140"/>
        <v>109.78810090672697</v>
      </c>
      <c r="N455">
        <f t="shared" ca="1" si="150"/>
        <v>2</v>
      </c>
      <c r="O455">
        <f t="shared" ca="1" si="151"/>
        <v>2</v>
      </c>
      <c r="P455">
        <f t="shared" ca="1" si="152"/>
        <v>0</v>
      </c>
      <c r="Q455">
        <f t="shared" ca="1" si="135"/>
        <v>0.60272130669277912</v>
      </c>
      <c r="R455">
        <f t="shared" ca="1" si="136"/>
        <v>0.44649342477264192</v>
      </c>
      <c r="S455">
        <f t="shared" ca="1" si="133"/>
        <v>1.3498996250609732</v>
      </c>
      <c r="T455">
        <f t="shared" ca="1" si="134"/>
        <v>57.444990869597135</v>
      </c>
      <c r="U455">
        <f>70</f>
        <v>70</v>
      </c>
      <c r="V455">
        <f>30</f>
        <v>30</v>
      </c>
      <c r="W455">
        <f t="shared" ca="1" si="132"/>
        <v>112.78506569986726</v>
      </c>
      <c r="X455">
        <f t="shared" ca="1" si="142"/>
        <v>112.69575557607861</v>
      </c>
      <c r="Y455">
        <f t="shared" ca="1" si="141"/>
        <v>0.33756111292031221</v>
      </c>
      <c r="Z455">
        <f t="shared" ca="1" si="143"/>
        <v>0.11261174218381695</v>
      </c>
      <c r="AA455">
        <f t="shared" ca="1" si="144"/>
        <v>0.22494937073649526</v>
      </c>
      <c r="AB455">
        <f t="shared" ca="1" si="145"/>
        <v>110.8505</v>
      </c>
    </row>
    <row r="456" spans="1:28" x14ac:dyDescent="0.25">
      <c r="A456" s="20">
        <f t="shared" ca="1" si="146"/>
        <v>45950</v>
      </c>
      <c r="B456" vm="1309">
        <f ca="1"/>
        <v>45953</v>
      </c>
      <c r="C456" vm="1310">
        <f ca="1"/>
        <v>115.98</v>
      </c>
      <c r="D456" vm="1311">
        <f ca="1"/>
        <v>15001088</v>
      </c>
      <c r="E456">
        <f t="shared" ca="1" si="147"/>
        <v>1739826186.24</v>
      </c>
      <c r="F456">
        <f ca="1">SUM($E$2:E456)/SUM($D$2:D456)</f>
        <v>111.42980726666316</v>
      </c>
      <c r="G456">
        <f ca="1">_xlfn.STDEV.P($C$2:C456)</f>
        <v>5.8463078958469072</v>
      </c>
      <c r="H456">
        <f t="shared" ca="1" si="148"/>
        <v>117.27611516251007</v>
      </c>
      <c r="I456">
        <f t="shared" ca="1" si="149"/>
        <v>105.58349937081626</v>
      </c>
      <c r="J456">
        <f t="shared" ca="1" si="137"/>
        <v>113.09850000000002</v>
      </c>
      <c r="K456">
        <f t="shared" ca="1" si="138"/>
        <v>1.6787472616272683</v>
      </c>
      <c r="L456">
        <f t="shared" ca="1" si="139"/>
        <v>116.45599452325455</v>
      </c>
      <c r="M456">
        <f t="shared" ca="1" si="140"/>
        <v>109.74100547674549</v>
      </c>
      <c r="N456">
        <f t="shared" ca="1" si="150"/>
        <v>1.2700000000000102</v>
      </c>
      <c r="O456">
        <f t="shared" ca="1" si="151"/>
        <v>1.2700000000000102</v>
      </c>
      <c r="P456">
        <f t="shared" ca="1" si="152"/>
        <v>0</v>
      </c>
      <c r="Q456">
        <f t="shared" ca="1" si="135"/>
        <v>0.65038407050043845</v>
      </c>
      <c r="R456">
        <f t="shared" ca="1" si="136"/>
        <v>0.41460103728888181</v>
      </c>
      <c r="S456">
        <f t="shared" ca="1" si="133"/>
        <v>1.5686986090371742</v>
      </c>
      <c r="T456">
        <f t="shared" ca="1" si="134"/>
        <v>61.069780764399205</v>
      </c>
      <c r="U456">
        <f>70</f>
        <v>70</v>
      </c>
      <c r="V456">
        <f>30</f>
        <v>30</v>
      </c>
      <c r="W456">
        <f t="shared" ca="1" si="132"/>
        <v>113.27659405373383</v>
      </c>
      <c r="X456">
        <f t="shared" ca="1" si="142"/>
        <v>112.93903294081352</v>
      </c>
      <c r="Y456">
        <f t="shared" ca="1" si="141"/>
        <v>0.48114737377366623</v>
      </c>
      <c r="Z456">
        <f t="shared" ca="1" si="143"/>
        <v>0.18631886850178681</v>
      </c>
      <c r="AA456">
        <f t="shared" ca="1" si="144"/>
        <v>0.29482850527187943</v>
      </c>
      <c r="AB456">
        <f t="shared" ca="1" si="145"/>
        <v>110.97979999999998</v>
      </c>
    </row>
    <row r="457" spans="1:28" x14ac:dyDescent="0.25">
      <c r="A457" s="20">
        <f t="shared" ca="1" si="146"/>
        <v>45950</v>
      </c>
      <c r="B457" vm="1312">
        <f ca="1"/>
        <v>45954</v>
      </c>
      <c r="C457" vm="1313">
        <f ca="1"/>
        <v>115.39</v>
      </c>
      <c r="D457" vm="1314">
        <f ca="1"/>
        <v>9919409</v>
      </c>
      <c r="E457">
        <f t="shared" ca="1" si="147"/>
        <v>1144600604.51</v>
      </c>
      <c r="F457">
        <f ca="1">SUM($E$2:E457)/SUM($D$2:D457)</f>
        <v>111.43509523745668</v>
      </c>
      <c r="G457">
        <f ca="1">_xlfn.STDEV.P($C$2:C457)</f>
        <v>5.8422414712995216</v>
      </c>
      <c r="H457">
        <f t="shared" ca="1" si="148"/>
        <v>117.2773367087562</v>
      </c>
      <c r="I457">
        <f t="shared" ca="1" si="149"/>
        <v>105.59285376615716</v>
      </c>
      <c r="J457">
        <f t="shared" ca="1" si="137"/>
        <v>113.00699999999999</v>
      </c>
      <c r="K457">
        <f t="shared" ca="1" si="138"/>
        <v>1.4804412571221708</v>
      </c>
      <c r="L457">
        <f t="shared" ca="1" si="139"/>
        <v>115.96788251424434</v>
      </c>
      <c r="M457">
        <f t="shared" ca="1" si="140"/>
        <v>110.04611748575564</v>
      </c>
      <c r="N457">
        <f t="shared" ca="1" si="150"/>
        <v>-0.59000000000000341</v>
      </c>
      <c r="O457">
        <f t="shared" ca="1" si="151"/>
        <v>0</v>
      </c>
      <c r="P457">
        <f t="shared" ca="1" si="152"/>
        <v>0.59000000000000341</v>
      </c>
      <c r="Q457">
        <f t="shared" ca="1" si="135"/>
        <v>0.60392806546469291</v>
      </c>
      <c r="R457">
        <f t="shared" ca="1" si="136"/>
        <v>0.42712953462539049</v>
      </c>
      <c r="S457">
        <f t="shared" ca="1" si="133"/>
        <v>1.413922514148692</v>
      </c>
      <c r="T457">
        <f t="shared" ca="1" si="134"/>
        <v>58.573649562539259</v>
      </c>
      <c r="U457">
        <f>70</f>
        <v>70</v>
      </c>
      <c r="V457">
        <f>30</f>
        <v>30</v>
      </c>
      <c r="W457">
        <f t="shared" ca="1" si="132"/>
        <v>113.60173343008248</v>
      </c>
      <c r="X457">
        <f t="shared" ca="1" si="142"/>
        <v>113.12058605630881</v>
      </c>
      <c r="Y457">
        <f t="shared" ca="1" si="141"/>
        <v>0.63203521491206516</v>
      </c>
      <c r="Z457">
        <f t="shared" ca="1" si="143"/>
        <v>0.27546213778384249</v>
      </c>
      <c r="AA457">
        <f t="shared" ca="1" si="144"/>
        <v>0.35657307712822267</v>
      </c>
      <c r="AB457">
        <f t="shared" ca="1" si="145"/>
        <v>111.09569999999999</v>
      </c>
    </row>
    <row r="458" spans="1:28" x14ac:dyDescent="0.25">
      <c r="A458" s="20">
        <f t="shared" ca="1" si="146"/>
        <v>45957</v>
      </c>
      <c r="B458" vm="1315">
        <f ca="1"/>
        <v>45957</v>
      </c>
      <c r="C458" vm="1316">
        <f ca="1"/>
        <v>115.94</v>
      </c>
      <c r="D458" vm="1317">
        <f ca="1"/>
        <v>10975412</v>
      </c>
      <c r="E458">
        <f t="shared" ca="1" si="147"/>
        <v>1272489267.28</v>
      </c>
      <c r="F458">
        <f ca="1">SUM($E$2:E458)/SUM($D$2:D458)</f>
        <v>111.4417411130343</v>
      </c>
      <c r="G458">
        <f ca="1">_xlfn.STDEV.P($C$2:C458)</f>
        <v>5.8389628751555973</v>
      </c>
      <c r="H458">
        <f t="shared" ca="1" si="148"/>
        <v>117.2807039881899</v>
      </c>
      <c r="I458">
        <f t="shared" ca="1" si="149"/>
        <v>105.6027782378787</v>
      </c>
      <c r="J458">
        <f t="shared" ca="1" si="137"/>
        <v>113.093</v>
      </c>
      <c r="K458">
        <f t="shared" ca="1" si="138"/>
        <v>1.5997634693587475</v>
      </c>
      <c r="L458">
        <f t="shared" ca="1" si="139"/>
        <v>116.2925269387175</v>
      </c>
      <c r="M458">
        <f t="shared" ca="1" si="140"/>
        <v>109.89347306128251</v>
      </c>
      <c r="N458">
        <f t="shared" ca="1" si="150"/>
        <v>0.54999999999999716</v>
      </c>
      <c r="O458">
        <f t="shared" ca="1" si="151"/>
        <v>0.54999999999999716</v>
      </c>
      <c r="P458">
        <f t="shared" ca="1" si="152"/>
        <v>0</v>
      </c>
      <c r="Q458">
        <f t="shared" ca="1" si="135"/>
        <v>0.60007606078864317</v>
      </c>
      <c r="R458">
        <f t="shared" ca="1" si="136"/>
        <v>0.39662028215214828</v>
      </c>
      <c r="S458">
        <f t="shared" ca="1" si="133"/>
        <v>1.5129737126212996</v>
      </c>
      <c r="T458">
        <f t="shared" ca="1" si="134"/>
        <v>60.20650773314722</v>
      </c>
      <c r="U458">
        <f>70</f>
        <v>70</v>
      </c>
      <c r="V458">
        <f>30</f>
        <v>30</v>
      </c>
      <c r="W458">
        <f t="shared" ca="1" si="132"/>
        <v>113.96146674853134</v>
      </c>
      <c r="X458">
        <f t="shared" ca="1" si="142"/>
        <v>113.32943153361927</v>
      </c>
      <c r="Y458">
        <f t="shared" ca="1" si="141"/>
        <v>0.67045691136051744</v>
      </c>
      <c r="Z458">
        <f t="shared" ca="1" si="143"/>
        <v>0.35446109249917745</v>
      </c>
      <c r="AA458">
        <f t="shared" ca="1" si="144"/>
        <v>0.31599581886133998</v>
      </c>
      <c r="AB458">
        <f t="shared" ca="1" si="145"/>
        <v>111.23209999999999</v>
      </c>
    </row>
    <row r="459" spans="1:28" x14ac:dyDescent="0.25">
      <c r="A459" s="20">
        <f t="shared" ca="1" si="146"/>
        <v>45957</v>
      </c>
      <c r="B459" vm="1318">
        <f ca="1"/>
        <v>45958</v>
      </c>
      <c r="C459" vm="1319">
        <f ca="1"/>
        <v>115.03</v>
      </c>
      <c r="D459" vm="1320">
        <f ca="1"/>
        <v>9535211</v>
      </c>
      <c r="E459">
        <f t="shared" ca="1" si="147"/>
        <v>1096835321.3299999</v>
      </c>
      <c r="F459">
        <f ca="1">SUM($E$2:E459)/SUM($D$2:D459)</f>
        <v>111.44633418839912</v>
      </c>
      <c r="G459">
        <f ca="1">_xlfn.STDEV.P($C$2:C459)</f>
        <v>5.8344537427465726</v>
      </c>
      <c r="H459">
        <f t="shared" ca="1" si="148"/>
        <v>117.2807879311457</v>
      </c>
      <c r="I459">
        <f t="shared" ca="1" si="149"/>
        <v>105.61188044565255</v>
      </c>
      <c r="J459">
        <f t="shared" ca="1" si="137"/>
        <v>113.20700000000002</v>
      </c>
      <c r="K459">
        <f t="shared" ca="1" si="138"/>
        <v>1.654340701879373</v>
      </c>
      <c r="L459">
        <f t="shared" ca="1" si="139"/>
        <v>116.51568140375876</v>
      </c>
      <c r="M459">
        <f t="shared" ca="1" si="140"/>
        <v>109.89831859624128</v>
      </c>
      <c r="N459">
        <f t="shared" ca="1" si="150"/>
        <v>-0.90999999999999659</v>
      </c>
      <c r="O459">
        <f t="shared" ca="1" si="151"/>
        <v>0</v>
      </c>
      <c r="P459">
        <f t="shared" ca="1" si="152"/>
        <v>0.90999999999999659</v>
      </c>
      <c r="Q459">
        <f t="shared" ca="1" si="135"/>
        <v>0.55721348501802581</v>
      </c>
      <c r="R459">
        <f t="shared" ca="1" si="136"/>
        <v>0.43329026199842319</v>
      </c>
      <c r="S459">
        <f t="shared" ca="1" si="133"/>
        <v>1.2860050960943443</v>
      </c>
      <c r="T459">
        <f t="shared" ca="1" si="134"/>
        <v>56.255565584324067</v>
      </c>
      <c r="U459">
        <f>70</f>
        <v>70</v>
      </c>
      <c r="V459">
        <f>30</f>
        <v>30</v>
      </c>
      <c r="W459">
        <f t="shared" ca="1" si="132"/>
        <v>114.1258564795265</v>
      </c>
      <c r="X459">
        <f t="shared" ca="1" si="142"/>
        <v>113.45539956816599</v>
      </c>
      <c r="Y459">
        <f t="shared" ca="1" si="141"/>
        <v>0.80619519876191248</v>
      </c>
      <c r="Z459">
        <f t="shared" ca="1" si="143"/>
        <v>0.44480791375172452</v>
      </c>
      <c r="AA459">
        <f t="shared" ca="1" si="144"/>
        <v>0.36138728501018796</v>
      </c>
      <c r="AB459">
        <f t="shared" ca="1" si="145"/>
        <v>111.36409999999999</v>
      </c>
    </row>
    <row r="460" spans="1:28" x14ac:dyDescent="0.25">
      <c r="A460" s="20">
        <f t="shared" ca="1" si="146"/>
        <v>45957</v>
      </c>
      <c r="B460" vm="1321">
        <f ca="1"/>
        <v>45959</v>
      </c>
      <c r="C460" vm="1322">
        <f ca="1"/>
        <v>116.45</v>
      </c>
      <c r="D460" vm="1323">
        <f ca="1"/>
        <v>12570572</v>
      </c>
      <c r="E460">
        <f t="shared" ca="1" si="147"/>
        <v>1463843109.4000001</v>
      </c>
      <c r="F460">
        <f ca="1">SUM($E$2:E460)/SUM($D$2:D460)</f>
        <v>111.45476366433103</v>
      </c>
      <c r="G460">
        <f ca="1">_xlfn.STDEV.P($C$2:C460)</f>
        <v>5.8319996417554938</v>
      </c>
      <c r="H460">
        <f t="shared" ca="1" si="148"/>
        <v>117.28676330608651</v>
      </c>
      <c r="I460">
        <f t="shared" ca="1" si="149"/>
        <v>105.62276402257554</v>
      </c>
      <c r="J460">
        <f t="shared" ca="1" si="137"/>
        <v>113.43000000000002</v>
      </c>
      <c r="K460">
        <f t="shared" ca="1" si="138"/>
        <v>1.7776596086457401</v>
      </c>
      <c r="L460">
        <f t="shared" ca="1" si="139"/>
        <v>116.9853192172915</v>
      </c>
      <c r="M460">
        <f t="shared" ca="1" si="140"/>
        <v>109.87468078270854</v>
      </c>
      <c r="N460">
        <f t="shared" ca="1" si="150"/>
        <v>1.4200000000000017</v>
      </c>
      <c r="O460">
        <f t="shared" ca="1" si="151"/>
        <v>1.4200000000000017</v>
      </c>
      <c r="P460">
        <f t="shared" ca="1" si="152"/>
        <v>0</v>
      </c>
      <c r="Q460">
        <f t="shared" ca="1" si="135"/>
        <v>0.61884109323102421</v>
      </c>
      <c r="R460">
        <f t="shared" ca="1" si="136"/>
        <v>0.40234095756996441</v>
      </c>
      <c r="S460">
        <f t="shared" ca="1" si="133"/>
        <v>1.538101159197574</v>
      </c>
      <c r="T460">
        <f t="shared" ca="1" si="134"/>
        <v>60.600467149380599</v>
      </c>
      <c r="U460">
        <f>70</f>
        <v>70</v>
      </c>
      <c r="V460">
        <f>30</f>
        <v>30</v>
      </c>
      <c r="W460">
        <f t="shared" ca="1" si="132"/>
        <v>114.48341702113783</v>
      </c>
      <c r="X460">
        <f t="shared" ca="1" si="142"/>
        <v>113.67722182237591</v>
      </c>
      <c r="Y460">
        <f t="shared" ca="1" si="141"/>
        <v>0.76295658976002301</v>
      </c>
      <c r="Z460">
        <f t="shared" ca="1" si="143"/>
        <v>0.50843764895338428</v>
      </c>
      <c r="AA460">
        <f t="shared" ca="1" si="144"/>
        <v>0.25451894080663873</v>
      </c>
      <c r="AB460">
        <f t="shared" ca="1" si="145"/>
        <v>111.4859</v>
      </c>
    </row>
    <row r="461" spans="1:28" x14ac:dyDescent="0.25">
      <c r="A461" s="20">
        <f t="shared" ca="1" si="146"/>
        <v>45957</v>
      </c>
      <c r="B461" vm="1324">
        <f ca="1"/>
        <v>45960</v>
      </c>
      <c r="C461" vm="1205">
        <f ca="1"/>
        <v>114.69</v>
      </c>
      <c r="D461" vm="1325">
        <f ca="1"/>
        <v>16172943</v>
      </c>
      <c r="E461">
        <f t="shared" ca="1" si="147"/>
        <v>1854874832.6700001</v>
      </c>
      <c r="F461">
        <f ca="1">SUM($E$2:E461)/SUM($D$2:D461)</f>
        <v>111.46176066668015</v>
      </c>
      <c r="G461">
        <f ca="1">_xlfn.STDEV.P($C$2:C461)</f>
        <v>5.8271233832752403</v>
      </c>
      <c r="H461">
        <f t="shared" ca="1" si="148"/>
        <v>117.28888404995539</v>
      </c>
      <c r="I461">
        <f t="shared" ca="1" si="149"/>
        <v>105.63463728340491</v>
      </c>
      <c r="J461">
        <f t="shared" ca="1" si="137"/>
        <v>113.60000000000002</v>
      </c>
      <c r="K461">
        <f t="shared" ca="1" si="138"/>
        <v>1.7240008548050147</v>
      </c>
      <c r="L461">
        <f t="shared" ca="1" si="139"/>
        <v>117.04800170961005</v>
      </c>
      <c r="M461">
        <f t="shared" ca="1" si="140"/>
        <v>110.15199829039</v>
      </c>
      <c r="N461">
        <f t="shared" ca="1" si="150"/>
        <v>-1.7600000000000051</v>
      </c>
      <c r="O461">
        <f t="shared" ca="1" si="151"/>
        <v>0</v>
      </c>
      <c r="P461">
        <f t="shared" ca="1" si="152"/>
        <v>1.7600000000000051</v>
      </c>
      <c r="Q461">
        <f t="shared" ca="1" si="135"/>
        <v>0.57463815800023677</v>
      </c>
      <c r="R461">
        <f t="shared" ca="1" si="136"/>
        <v>0.49931660345782447</v>
      </c>
      <c r="S461">
        <f t="shared" ca="1" si="133"/>
        <v>1.1508492888496036</v>
      </c>
      <c r="T461">
        <f t="shared" ca="1" si="134"/>
        <v>53.506737771717297</v>
      </c>
      <c r="U461">
        <f>70</f>
        <v>70</v>
      </c>
      <c r="V461">
        <f>30</f>
        <v>30</v>
      </c>
      <c r="W461">
        <f t="shared" ca="1" si="132"/>
        <v>114.51519901788586</v>
      </c>
      <c r="X461">
        <f t="shared" ca="1" si="142"/>
        <v>113.75224242812584</v>
      </c>
      <c r="Y461">
        <f t="shared" ca="1" si="141"/>
        <v>0.69406073837949123</v>
      </c>
      <c r="Z461">
        <f t="shared" ca="1" si="143"/>
        <v>0.54556226683860565</v>
      </c>
      <c r="AA461">
        <f t="shared" ca="1" si="144"/>
        <v>0.14849847154088558</v>
      </c>
      <c r="AB461">
        <f t="shared" ca="1" si="145"/>
        <v>111.5831</v>
      </c>
    </row>
    <row r="462" spans="1:28" x14ac:dyDescent="0.25">
      <c r="A462" s="20">
        <f t="shared" ca="1" si="146"/>
        <v>45957</v>
      </c>
      <c r="B462" vm="1326">
        <f ca="1"/>
        <v>45961</v>
      </c>
      <c r="C462" vm="1327">
        <f ca="1"/>
        <v>114.36</v>
      </c>
      <c r="D462" vm="1328">
        <f ca="1"/>
        <v>20213352</v>
      </c>
      <c r="E462">
        <f t="shared" ca="1" si="147"/>
        <v>2311598934.7199998</v>
      </c>
      <c r="F462">
        <f ca="1">SUM($E$2:E462)/SUM($D$2:D462)</f>
        <v>111.46957365541444</v>
      </c>
      <c r="G462">
        <f ca="1">_xlfn.STDEV.P($C$2:C462)</f>
        <v>5.8219345346992259</v>
      </c>
      <c r="H462">
        <f t="shared" ca="1" si="148"/>
        <v>117.29150819011366</v>
      </c>
      <c r="I462">
        <f t="shared" ca="1" si="149"/>
        <v>105.64763912071521</v>
      </c>
      <c r="J462">
        <f t="shared" ca="1" si="137"/>
        <v>113.65500000000002</v>
      </c>
      <c r="K462">
        <f t="shared" ca="1" si="138"/>
        <v>1.7301186451558141</v>
      </c>
      <c r="L462">
        <f t="shared" ca="1" si="139"/>
        <v>117.11523729031164</v>
      </c>
      <c r="M462">
        <f t="shared" ca="1" si="140"/>
        <v>110.19476270968839</v>
      </c>
      <c r="N462">
        <f t="shared" ca="1" si="150"/>
        <v>-0.32999999999999829</v>
      </c>
      <c r="O462">
        <f t="shared" ca="1" si="151"/>
        <v>0</v>
      </c>
      <c r="P462">
        <f t="shared" ca="1" si="152"/>
        <v>0.32999999999999829</v>
      </c>
      <c r="Q462">
        <f t="shared" ca="1" si="135"/>
        <v>0.53359257528593418</v>
      </c>
      <c r="R462">
        <f t="shared" ca="1" si="136"/>
        <v>0.48722256035369405</v>
      </c>
      <c r="S462">
        <f t="shared" ca="1" si="133"/>
        <v>1.0951721424775123</v>
      </c>
      <c r="T462">
        <f t="shared" ca="1" si="134"/>
        <v>52.271224892408426</v>
      </c>
      <c r="U462">
        <f>70</f>
        <v>70</v>
      </c>
      <c r="V462">
        <f>30</f>
        <v>30</v>
      </c>
      <c r="W462">
        <f t="shared" ca="1" si="132"/>
        <v>114.49132224590342</v>
      </c>
      <c r="X462">
        <f t="shared" ca="1" si="142"/>
        <v>113.79726150752393</v>
      </c>
      <c r="Y462">
        <f t="shared" ca="1" si="141"/>
        <v>0.58430973529355867</v>
      </c>
      <c r="Z462">
        <f t="shared" ca="1" si="143"/>
        <v>0.5533117605295963</v>
      </c>
      <c r="AA462">
        <f t="shared" ca="1" si="144"/>
        <v>3.0997974763962377E-2</v>
      </c>
      <c r="AB462">
        <f t="shared" ca="1" si="145"/>
        <v>111.65450000000001</v>
      </c>
    </row>
    <row r="463" spans="1:28" x14ac:dyDescent="0.25">
      <c r="A463" s="20">
        <f t="shared" ca="1" si="146"/>
        <v>45964</v>
      </c>
      <c r="B463" vm="1329">
        <f ca="1"/>
        <v>45964</v>
      </c>
      <c r="C463" vm="875">
        <f ca="1"/>
        <v>113.76</v>
      </c>
      <c r="D463" vm="1330">
        <f ca="1"/>
        <v>12290304</v>
      </c>
      <c r="E463">
        <f t="shared" ca="1" si="147"/>
        <v>1398144983.04</v>
      </c>
      <c r="F463">
        <f ca="1">SUM($E$2:E463)/SUM($D$2:D463)</f>
        <v>111.47332176513973</v>
      </c>
      <c r="G463">
        <f ca="1">_xlfn.STDEV.P($C$2:C463)</f>
        <v>5.8162762624065714</v>
      </c>
      <c r="H463">
        <f t="shared" ca="1" si="148"/>
        <v>117.2895980275463</v>
      </c>
      <c r="I463">
        <f t="shared" ca="1" si="149"/>
        <v>105.65704550273315</v>
      </c>
      <c r="J463">
        <f t="shared" ca="1" si="137"/>
        <v>113.63300000000001</v>
      </c>
      <c r="K463">
        <f t="shared" ca="1" si="138"/>
        <v>1.7256153745990537</v>
      </c>
      <c r="L463">
        <f t="shared" ca="1" si="139"/>
        <v>117.08423074919811</v>
      </c>
      <c r="M463">
        <f t="shared" ca="1" si="140"/>
        <v>110.18176925080191</v>
      </c>
      <c r="N463">
        <f t="shared" ca="1" si="150"/>
        <v>-0.59999999999999432</v>
      </c>
      <c r="O463">
        <f t="shared" ca="1" si="151"/>
        <v>0</v>
      </c>
      <c r="P463">
        <f t="shared" ca="1" si="152"/>
        <v>0.59999999999999432</v>
      </c>
      <c r="Q463">
        <f t="shared" ca="1" si="135"/>
        <v>0.49547881990836745</v>
      </c>
      <c r="R463">
        <f t="shared" ca="1" si="136"/>
        <v>0.49527809175700116</v>
      </c>
      <c r="S463">
        <f t="shared" ca="1" si="133"/>
        <v>1.0004052837278834</v>
      </c>
      <c r="T463">
        <f t="shared" ca="1" si="134"/>
        <v>50.010130040426816</v>
      </c>
      <c r="U463">
        <f>70</f>
        <v>70</v>
      </c>
      <c r="V463">
        <f>30</f>
        <v>30</v>
      </c>
      <c r="W463">
        <f t="shared" ref="W463:W514" ca="1" si="153">C463*(2/(12+1)) + W462*(1-(2/(12+1)))</f>
        <v>114.37881113114905</v>
      </c>
      <c r="X463">
        <f t="shared" ca="1" si="142"/>
        <v>113.79450139585549</v>
      </c>
      <c r="Y463">
        <f t="shared" ca="1" si="141"/>
        <v>0.52197707207474764</v>
      </c>
      <c r="Z463">
        <f t="shared" ca="1" si="143"/>
        <v>0.54704482283862665</v>
      </c>
      <c r="AA463">
        <f t="shared" ca="1" si="144"/>
        <v>-2.5067750763879015E-2</v>
      </c>
      <c r="AB463">
        <f t="shared" ca="1" si="145"/>
        <v>111.69900000000001</v>
      </c>
    </row>
    <row r="464" spans="1:28" x14ac:dyDescent="0.25">
      <c r="A464" s="20">
        <f t="shared" ca="1" si="146"/>
        <v>45964</v>
      </c>
      <c r="B464" vm="1331">
        <f ca="1"/>
        <v>45965</v>
      </c>
      <c r="C464" vm="1332">
        <f ca="1"/>
        <v>114.14</v>
      </c>
      <c r="D464" vm="1333">
        <f ca="1"/>
        <v>16860741</v>
      </c>
      <c r="E464">
        <f t="shared" ca="1" si="147"/>
        <v>1924484977.74</v>
      </c>
      <c r="F464">
        <f ca="1">SUM($E$2:E464)/SUM($D$2:D464)</f>
        <v>111.47929496065109</v>
      </c>
      <c r="G464">
        <f ca="1">_xlfn.STDEV.P($C$2:C464)</f>
        <v>5.810923250148913</v>
      </c>
      <c r="H464">
        <f t="shared" ca="1" si="148"/>
        <v>117.29021821080001</v>
      </c>
      <c r="I464">
        <f t="shared" ca="1" si="149"/>
        <v>105.66837171050217</v>
      </c>
      <c r="J464">
        <f t="shared" ca="1" si="137"/>
        <v>113.62700000000002</v>
      </c>
      <c r="K464">
        <f t="shared" ca="1" si="138"/>
        <v>1.7235278997024193</v>
      </c>
      <c r="L464">
        <f t="shared" ca="1" si="139"/>
        <v>117.07405579940486</v>
      </c>
      <c r="M464">
        <f t="shared" ca="1" si="140"/>
        <v>110.17994420059519</v>
      </c>
      <c r="N464">
        <f t="shared" ca="1" si="150"/>
        <v>0.37999999999999545</v>
      </c>
      <c r="O464">
        <f t="shared" ca="1" si="151"/>
        <v>0.37999999999999545</v>
      </c>
      <c r="P464">
        <f t="shared" ca="1" si="152"/>
        <v>0</v>
      </c>
      <c r="Q464">
        <f t="shared" ca="1" si="135"/>
        <v>0.48723033277205513</v>
      </c>
      <c r="R464">
        <f t="shared" ca="1" si="136"/>
        <v>0.4599010852029296</v>
      </c>
      <c r="S464">
        <f t="shared" ref="S464:S514" ca="1" si="154">IF(R464=0,NA(),Q464/R464)</f>
        <v>1.0594241858704607</v>
      </c>
      <c r="T464">
        <f t="shared" ref="T464:T514" ca="1" si="155">100-(100/(1+S464))</f>
        <v>51.442737884651571</v>
      </c>
      <c r="U464">
        <f>70</f>
        <v>70</v>
      </c>
      <c r="V464">
        <f>30</f>
        <v>30</v>
      </c>
      <c r="W464">
        <f t="shared" ca="1" si="153"/>
        <v>114.34207095712613</v>
      </c>
      <c r="X464">
        <f t="shared" ca="1" si="142"/>
        <v>113.82009388505138</v>
      </c>
      <c r="Y464">
        <f t="shared" ca="1" si="141"/>
        <v>0.43049732656626816</v>
      </c>
      <c r="Z464">
        <f t="shared" ca="1" si="143"/>
        <v>0.52373532358415498</v>
      </c>
      <c r="AA464">
        <f t="shared" ca="1" si="144"/>
        <v>-9.323799701788682E-2</v>
      </c>
      <c r="AB464">
        <f t="shared" ca="1" si="145"/>
        <v>111.74310000000001</v>
      </c>
    </row>
    <row r="465" spans="1:28" x14ac:dyDescent="0.25">
      <c r="A465" s="20">
        <f t="shared" ca="1" si="146"/>
        <v>45964</v>
      </c>
      <c r="B465" vm="1334">
        <f ca="1"/>
        <v>45966</v>
      </c>
      <c r="C465" vm="1335">
        <f ca="1"/>
        <v>113.68</v>
      </c>
      <c r="D465" vm="1336">
        <f ca="1"/>
        <v>12400921</v>
      </c>
      <c r="E465">
        <f t="shared" ca="1" si="147"/>
        <v>1409736699.28</v>
      </c>
      <c r="F465">
        <f ca="1">SUM($E$2:E465)/SUM($D$2:D465)</f>
        <v>111.48291455868591</v>
      </c>
      <c r="G465">
        <f ca="1">_xlfn.STDEV.P($C$2:C465)</f>
        <v>5.8052425303631345</v>
      </c>
      <c r="H465">
        <f t="shared" ca="1" si="148"/>
        <v>117.28815708904904</v>
      </c>
      <c r="I465">
        <f t="shared" ca="1" si="149"/>
        <v>105.67767202832277</v>
      </c>
      <c r="J465">
        <f t="shared" ca="1" si="137"/>
        <v>113.60999999999999</v>
      </c>
      <c r="K465">
        <f t="shared" ca="1" si="138"/>
        <v>1.7211226446406245</v>
      </c>
      <c r="L465">
        <f t="shared" ca="1" si="139"/>
        <v>117.05224528928123</v>
      </c>
      <c r="M465">
        <f t="shared" ca="1" si="140"/>
        <v>110.16775471071874</v>
      </c>
      <c r="N465">
        <f t="shared" ca="1" si="150"/>
        <v>-0.45999999999999375</v>
      </c>
      <c r="O465">
        <f t="shared" ca="1" si="151"/>
        <v>0</v>
      </c>
      <c r="P465">
        <f t="shared" ca="1" si="152"/>
        <v>0.45999999999999375</v>
      </c>
      <c r="Q465">
        <f t="shared" ref="Q465:Q514" ca="1" si="156">(Q464*13+O465)/14</f>
        <v>0.45242816614547976</v>
      </c>
      <c r="R465">
        <f t="shared" ref="R465:R514" ca="1" si="157">(R464*13+P465)/14</f>
        <v>0.45990815054557704</v>
      </c>
      <c r="S465">
        <f t="shared" ca="1" si="154"/>
        <v>0.98373591685378059</v>
      </c>
      <c r="T465">
        <f t="shared" ca="1" si="155"/>
        <v>49.59006430724876</v>
      </c>
      <c r="U465">
        <f>70</f>
        <v>70</v>
      </c>
      <c r="V465">
        <f>30</f>
        <v>30</v>
      </c>
      <c r="W465">
        <f t="shared" ca="1" si="153"/>
        <v>114.24021388679903</v>
      </c>
      <c r="X465">
        <f t="shared" ca="1" si="142"/>
        <v>113.80971656023276</v>
      </c>
      <c r="Y465">
        <f t="shared" ca="1" si="141"/>
        <v>0.41933231425545614</v>
      </c>
      <c r="Z465">
        <f t="shared" ca="1" si="143"/>
        <v>0.50285472171841517</v>
      </c>
      <c r="AA465">
        <f t="shared" ca="1" si="144"/>
        <v>-8.3522407462959025E-2</v>
      </c>
      <c r="AB465">
        <f t="shared" ca="1" si="145"/>
        <v>111.75870000000005</v>
      </c>
    </row>
    <row r="466" spans="1:28" x14ac:dyDescent="0.25">
      <c r="A466" s="20">
        <f t="shared" ca="1" si="146"/>
        <v>45964</v>
      </c>
      <c r="B466" vm="1337">
        <f ca="1"/>
        <v>45967</v>
      </c>
      <c r="C466" vm="1338">
        <f ca="1"/>
        <v>114.5</v>
      </c>
      <c r="D466" vm="1339">
        <f ca="1"/>
        <v>14219654</v>
      </c>
      <c r="E466">
        <f t="shared" ca="1" si="147"/>
        <v>1628150383</v>
      </c>
      <c r="F466">
        <f ca="1">SUM($E$2:E466)/SUM($D$2:D466)</f>
        <v>111.48859396461491</v>
      </c>
      <c r="G466">
        <f ca="1">_xlfn.STDEV.P($C$2:C466)</f>
        <v>5.8002403390905153</v>
      </c>
      <c r="H466">
        <f t="shared" ca="1" si="148"/>
        <v>117.28883430370543</v>
      </c>
      <c r="I466">
        <f t="shared" ca="1" si="149"/>
        <v>105.68835362552439</v>
      </c>
      <c r="J466">
        <f t="shared" ca="1" si="137"/>
        <v>113.68950000000002</v>
      </c>
      <c r="K466">
        <f t="shared" ca="1" si="138"/>
        <v>1.7238069100563134</v>
      </c>
      <c r="L466">
        <f t="shared" ca="1" si="139"/>
        <v>117.13711382011265</v>
      </c>
      <c r="M466">
        <f t="shared" ca="1" si="140"/>
        <v>110.2418861798874</v>
      </c>
      <c r="N466">
        <f t="shared" ca="1" si="150"/>
        <v>0.81999999999999318</v>
      </c>
      <c r="O466">
        <f t="shared" ca="1" si="151"/>
        <v>0.81999999999999318</v>
      </c>
      <c r="P466">
        <f t="shared" ca="1" si="152"/>
        <v>0</v>
      </c>
      <c r="Q466">
        <f t="shared" ca="1" si="156"/>
        <v>0.47868329713508784</v>
      </c>
      <c r="R466">
        <f t="shared" ca="1" si="157"/>
        <v>0.42705756836375014</v>
      </c>
      <c r="S466">
        <f t="shared" ca="1" si="154"/>
        <v>1.120887048013548</v>
      </c>
      <c r="T466">
        <f t="shared" ca="1" si="155"/>
        <v>52.84991716382946</v>
      </c>
      <c r="U466">
        <f>70</f>
        <v>70</v>
      </c>
      <c r="V466">
        <f>30</f>
        <v>30</v>
      </c>
      <c r="W466">
        <f t="shared" ca="1" si="153"/>
        <v>114.28018098113763</v>
      </c>
      <c r="X466">
        <f t="shared" ca="1" si="142"/>
        <v>113.86084866688218</v>
      </c>
      <c r="Y466">
        <f t="shared" ca="1" si="141"/>
        <v>0.62278613863581711</v>
      </c>
      <c r="Z466">
        <f t="shared" ca="1" si="143"/>
        <v>0.52684100510189558</v>
      </c>
      <c r="AA466">
        <f t="shared" ca="1" si="144"/>
        <v>9.5945133533921534E-2</v>
      </c>
      <c r="AB466">
        <f t="shared" ca="1" si="145"/>
        <v>111.77890000000004</v>
      </c>
    </row>
    <row r="467" spans="1:28" x14ac:dyDescent="0.25">
      <c r="A467" s="20">
        <f t="shared" ca="1" si="146"/>
        <v>45964</v>
      </c>
      <c r="B467" vm="1340">
        <f ca="1"/>
        <v>45968</v>
      </c>
      <c r="C467" vm="550">
        <f ca="1"/>
        <v>117.22</v>
      </c>
      <c r="D467" vm="1341">
        <f ca="1"/>
        <v>17181149</v>
      </c>
      <c r="E467">
        <f t="shared" ca="1" si="147"/>
        <v>2013974285.78</v>
      </c>
      <c r="F467">
        <f ca="1">SUM($E$2:E467)/SUM($D$2:D467)</f>
        <v>111.5016002413096</v>
      </c>
      <c r="G467">
        <f ca="1">_xlfn.STDEV.P($C$2:C467)</f>
        <v>5.7992153432047377</v>
      </c>
      <c r="H467">
        <f t="shared" ca="1" si="148"/>
        <v>117.30081558451434</v>
      </c>
      <c r="I467">
        <f t="shared" ca="1" si="149"/>
        <v>105.70238489810487</v>
      </c>
      <c r="J467">
        <f t="shared" ca="1" si="137"/>
        <v>114.01400000000001</v>
      </c>
      <c r="K467">
        <f t="shared" ca="1" si="138"/>
        <v>1.7480587729490709</v>
      </c>
      <c r="L467">
        <f t="shared" ca="1" si="139"/>
        <v>117.51011754589815</v>
      </c>
      <c r="M467">
        <f t="shared" ca="1" si="140"/>
        <v>110.51788245410187</v>
      </c>
      <c r="N467">
        <f t="shared" ca="1" si="150"/>
        <v>2.7199999999999989</v>
      </c>
      <c r="O467">
        <f t="shared" ca="1" si="151"/>
        <v>2.7199999999999989</v>
      </c>
      <c r="P467">
        <f t="shared" ca="1" si="152"/>
        <v>0</v>
      </c>
      <c r="Q467">
        <f t="shared" ca="1" si="156"/>
        <v>0.63877734733972436</v>
      </c>
      <c r="R467">
        <f t="shared" ca="1" si="157"/>
        <v>0.39655345633776801</v>
      </c>
      <c r="S467">
        <f t="shared" ca="1" si="154"/>
        <v>1.6108227960964736</v>
      </c>
      <c r="T467">
        <f t="shared" ca="1" si="155"/>
        <v>61.697898398346581</v>
      </c>
      <c r="U467">
        <f>70</f>
        <v>70</v>
      </c>
      <c r="V467">
        <f>30</f>
        <v>30</v>
      </c>
      <c r="W467">
        <f t="shared" ca="1" si="153"/>
        <v>114.73246083019339</v>
      </c>
      <c r="X467">
        <f t="shared" ca="1" si="142"/>
        <v>114.10967469155757</v>
      </c>
      <c r="Y467">
        <f t="shared" ca="1" si="141"/>
        <v>0.85486208493226457</v>
      </c>
      <c r="Z467">
        <f t="shared" ca="1" si="143"/>
        <v>0.59244522106796937</v>
      </c>
      <c r="AA467">
        <f t="shared" ca="1" si="144"/>
        <v>0.26241686386429519</v>
      </c>
      <c r="AB467">
        <f t="shared" ca="1" si="145"/>
        <v>111.81110000000002</v>
      </c>
    </row>
    <row r="468" spans="1:28" x14ac:dyDescent="0.25">
      <c r="A468" s="20">
        <f t="shared" ca="1" si="146"/>
        <v>45971</v>
      </c>
      <c r="B468" vm="1342">
        <f ca="1"/>
        <v>45971</v>
      </c>
      <c r="C468" vm="1343">
        <f ca="1"/>
        <v>118.22</v>
      </c>
      <c r="D468" vm="1344">
        <f ca="1"/>
        <v>13047958</v>
      </c>
      <c r="E468">
        <f t="shared" ca="1" si="147"/>
        <v>1542529594.76</v>
      </c>
      <c r="F468">
        <f ca="1">SUM($E$2:E468)/SUM($D$2:D468)</f>
        <v>111.51315870698689</v>
      </c>
      <c r="G468">
        <f ca="1">_xlfn.STDEV.P($C$2:C468)</f>
        <v>5.8003076873207853</v>
      </c>
      <c r="H468">
        <f t="shared" ca="1" si="148"/>
        <v>117.31346639430767</v>
      </c>
      <c r="I468">
        <f t="shared" ca="1" si="149"/>
        <v>105.7128510196661</v>
      </c>
      <c r="J468">
        <f t="shared" ca="1" si="137"/>
        <v>114.31299999999999</v>
      </c>
      <c r="K468">
        <f t="shared" ca="1" si="138"/>
        <v>1.9305551424123415</v>
      </c>
      <c r="L468">
        <f t="shared" ca="1" si="139"/>
        <v>118.17411028482468</v>
      </c>
      <c r="M468">
        <f t="shared" ca="1" si="140"/>
        <v>110.4518897151753</v>
      </c>
      <c r="N468">
        <f t="shared" ca="1" si="150"/>
        <v>1</v>
      </c>
      <c r="O468">
        <f t="shared" ca="1" si="151"/>
        <v>1</v>
      </c>
      <c r="P468">
        <f t="shared" ca="1" si="152"/>
        <v>0</v>
      </c>
      <c r="Q468">
        <f t="shared" ca="1" si="156"/>
        <v>0.66457896538688688</v>
      </c>
      <c r="R468">
        <f t="shared" ca="1" si="157"/>
        <v>0.36822820945649887</v>
      </c>
      <c r="S468">
        <f t="shared" ca="1" si="154"/>
        <v>1.8048018818759126</v>
      </c>
      <c r="T468">
        <f t="shared" ca="1" si="155"/>
        <v>64.34685792027571</v>
      </c>
      <c r="U468">
        <f>70</f>
        <v>70</v>
      </c>
      <c r="V468">
        <f>30</f>
        <v>30</v>
      </c>
      <c r="W468">
        <f t="shared" ca="1" si="153"/>
        <v>115.26900531785594</v>
      </c>
      <c r="X468">
        <f t="shared" ca="1" si="142"/>
        <v>114.41414323292368</v>
      </c>
      <c r="Y468">
        <f t="shared" ca="1" si="141"/>
        <v>1.1513903951652935</v>
      </c>
      <c r="Z468">
        <f t="shared" ca="1" si="143"/>
        <v>0.70423425588743427</v>
      </c>
      <c r="AA468">
        <f t="shared" ca="1" si="144"/>
        <v>0.44715613927785924</v>
      </c>
      <c r="AB468">
        <f t="shared" ca="1" si="145"/>
        <v>111.86140000000002</v>
      </c>
    </row>
    <row r="469" spans="1:28" x14ac:dyDescent="0.25">
      <c r="A469" s="20">
        <f t="shared" ca="1" si="146"/>
        <v>45971</v>
      </c>
      <c r="B469" vm="1345">
        <f ca="1"/>
        <v>45972</v>
      </c>
      <c r="C469" vm="1346">
        <f ca="1"/>
        <v>119.78</v>
      </c>
      <c r="D469" vm="1347">
        <f ca="1"/>
        <v>16077101</v>
      </c>
      <c r="E469">
        <f t="shared" ca="1" si="147"/>
        <v>1925715157.78</v>
      </c>
      <c r="F469">
        <f ca="1">SUM($E$2:E469)/SUM($D$2:D469)</f>
        <v>111.53064587502367</v>
      </c>
      <c r="G469">
        <f ca="1">_xlfn.STDEV.P($C$2:C469)</f>
        <v>5.8054116137087126</v>
      </c>
      <c r="H469">
        <f t="shared" ca="1" si="148"/>
        <v>117.33605748873238</v>
      </c>
      <c r="I469">
        <f t="shared" ca="1" si="149"/>
        <v>105.72523426131495</v>
      </c>
      <c r="J469">
        <f t="shared" ca="1" si="137"/>
        <v>114.6875</v>
      </c>
      <c r="K469">
        <f t="shared" ca="1" si="138"/>
        <v>2.2219523776222236</v>
      </c>
      <c r="L469">
        <f t="shared" ca="1" si="139"/>
        <v>119.13140475524445</v>
      </c>
      <c r="M469">
        <f t="shared" ca="1" si="140"/>
        <v>110.24359524475555</v>
      </c>
      <c r="N469">
        <f t="shared" ca="1" si="150"/>
        <v>1.5600000000000023</v>
      </c>
      <c r="O469">
        <f t="shared" ca="1" si="151"/>
        <v>1.5600000000000023</v>
      </c>
      <c r="P469">
        <f t="shared" ca="1" si="152"/>
        <v>0</v>
      </c>
      <c r="Q469">
        <f t="shared" ca="1" si="156"/>
        <v>0.72853761071639511</v>
      </c>
      <c r="R469">
        <f t="shared" ca="1" si="157"/>
        <v>0.34192619449532036</v>
      </c>
      <c r="S469">
        <f t="shared" ca="1" si="154"/>
        <v>2.1306867459853707</v>
      </c>
      <c r="T469">
        <f t="shared" ca="1" si="155"/>
        <v>68.058126502680352</v>
      </c>
      <c r="U469">
        <f>70</f>
        <v>70</v>
      </c>
      <c r="V469">
        <f>30</f>
        <v>30</v>
      </c>
      <c r="W469">
        <f t="shared" ca="1" si="153"/>
        <v>115.96300449972426</v>
      </c>
      <c r="X469">
        <f t="shared" ca="1" si="142"/>
        <v>114.81161410455897</v>
      </c>
      <c r="Y469">
        <f t="shared" ca="1" si="141"/>
        <v>1.2381702348616557</v>
      </c>
      <c r="Z469">
        <f t="shared" ca="1" si="143"/>
        <v>0.81102145168227857</v>
      </c>
      <c r="AA469">
        <f t="shared" ca="1" si="144"/>
        <v>0.4271487831793771</v>
      </c>
      <c r="AB469">
        <f t="shared" ca="1" si="145"/>
        <v>111.91220000000001</v>
      </c>
    </row>
    <row r="470" spans="1:28" x14ac:dyDescent="0.25">
      <c r="A470" s="20">
        <f t="shared" ca="1" si="146"/>
        <v>45971</v>
      </c>
      <c r="B470" vm="1348">
        <f ca="1"/>
        <v>45973</v>
      </c>
      <c r="C470" vm="1349">
        <f ca="1"/>
        <v>118.12</v>
      </c>
      <c r="D470" vm="1350">
        <f ca="1"/>
        <v>13790889</v>
      </c>
      <c r="E470">
        <f t="shared" ca="1" si="147"/>
        <v>1628979808.6800001</v>
      </c>
      <c r="F470">
        <f ca="1">SUM($E$2:E470)/SUM($D$2:D470)</f>
        <v>111.54258080642843</v>
      </c>
      <c r="G470">
        <f ca="1">_xlfn.STDEV.P($C$2:C470)</f>
        <v>5.8061876692005168</v>
      </c>
      <c r="H470">
        <f t="shared" ca="1" si="148"/>
        <v>117.34876847562894</v>
      </c>
      <c r="I470">
        <f t="shared" ca="1" si="149"/>
        <v>105.73639313722792</v>
      </c>
      <c r="J470">
        <f t="shared" ref="J470:J514" ca="1" si="158">AVERAGE(C451:C470)</f>
        <v>115.01300000000001</v>
      </c>
      <c r="K470">
        <f t="shared" ref="K470:K514" ca="1" si="159">_xlfn.STDEV.S(C451:C470)</f>
        <v>2.2242257079712036</v>
      </c>
      <c r="L470">
        <f t="shared" ref="L470:L514" ca="1" si="160">J470 + 2*K470</f>
        <v>119.46145141594241</v>
      </c>
      <c r="M470">
        <f t="shared" ref="M470:M514" ca="1" si="161">J470-2*K470</f>
        <v>110.5645485840576</v>
      </c>
      <c r="N470">
        <f t="shared" ca="1" si="150"/>
        <v>-1.6599999999999966</v>
      </c>
      <c r="O470">
        <f t="shared" ca="1" si="151"/>
        <v>0</v>
      </c>
      <c r="P470">
        <f t="shared" ca="1" si="152"/>
        <v>1.6599999999999966</v>
      </c>
      <c r="Q470">
        <f t="shared" ca="1" si="156"/>
        <v>0.67649920995093826</v>
      </c>
      <c r="R470">
        <f t="shared" ca="1" si="157"/>
        <v>0.43607432345994013</v>
      </c>
      <c r="S470">
        <f t="shared" ca="1" si="154"/>
        <v>1.5513392409426847</v>
      </c>
      <c r="T470">
        <f t="shared" ca="1" si="155"/>
        <v>60.804898699770177</v>
      </c>
      <c r="U470">
        <f>70</f>
        <v>70</v>
      </c>
      <c r="V470">
        <f>30</f>
        <v>30</v>
      </c>
      <c r="W470">
        <f t="shared" ca="1" si="153"/>
        <v>116.29484996130515</v>
      </c>
      <c r="X470">
        <f t="shared" ca="1" si="142"/>
        <v>115.05667972644349</v>
      </c>
      <c r="Y470">
        <f t="shared" ca="1" si="141"/>
        <v>1.3454972290982852</v>
      </c>
      <c r="Z470">
        <f t="shared" ca="1" si="143"/>
        <v>0.91791660716547996</v>
      </c>
      <c r="AA470">
        <f t="shared" ca="1" si="144"/>
        <v>0.42758062193280522</v>
      </c>
      <c r="AB470">
        <f t="shared" ca="1" si="145"/>
        <v>111.976</v>
      </c>
    </row>
    <row r="471" spans="1:28" x14ac:dyDescent="0.25">
      <c r="A471" s="20">
        <f t="shared" ca="1" si="146"/>
        <v>45971</v>
      </c>
      <c r="B471" vm="1351">
        <f ca="1"/>
        <v>45974</v>
      </c>
      <c r="C471" vm="1352">
        <f ca="1"/>
        <v>118.79</v>
      </c>
      <c r="D471" vm="1353">
        <f ca="1"/>
        <v>17291874</v>
      </c>
      <c r="E471">
        <f t="shared" ca="1" si="147"/>
        <v>2054101712.46</v>
      </c>
      <c r="F471">
        <f ca="1">SUM($E$2:E471)/SUM($D$2:D471)</f>
        <v>111.5590027695995</v>
      </c>
      <c r="G471">
        <f ca="1">_xlfn.STDEV.P($C$2:C471)</f>
        <v>5.808519647877044</v>
      </c>
      <c r="H471">
        <f t="shared" ca="1" si="148"/>
        <v>117.36752241747655</v>
      </c>
      <c r="I471">
        <f t="shared" ca="1" si="149"/>
        <v>105.75048312172245</v>
      </c>
      <c r="J471">
        <f t="shared" ca="1" si="158"/>
        <v>115.42049999999999</v>
      </c>
      <c r="K471">
        <f t="shared" ca="1" si="159"/>
        <v>2.1252602936556921</v>
      </c>
      <c r="L471">
        <f t="shared" ca="1" si="160"/>
        <v>119.67102058731138</v>
      </c>
      <c r="M471">
        <f t="shared" ca="1" si="161"/>
        <v>111.1699794126886</v>
      </c>
      <c r="N471">
        <f t="shared" ca="1" si="150"/>
        <v>0.67000000000000171</v>
      </c>
      <c r="O471">
        <f t="shared" ca="1" si="151"/>
        <v>0.67000000000000171</v>
      </c>
      <c r="P471">
        <f t="shared" ca="1" si="152"/>
        <v>0</v>
      </c>
      <c r="Q471">
        <f t="shared" ca="1" si="156"/>
        <v>0.67603498066872858</v>
      </c>
      <c r="R471">
        <f t="shared" ca="1" si="157"/>
        <v>0.40492615749851579</v>
      </c>
      <c r="S471">
        <f t="shared" ca="1" si="154"/>
        <v>1.6695265745365104</v>
      </c>
      <c r="T471">
        <f t="shared" ca="1" si="155"/>
        <v>62.540174368797118</v>
      </c>
      <c r="U471">
        <f>70</f>
        <v>70</v>
      </c>
      <c r="V471">
        <f>30</f>
        <v>30</v>
      </c>
      <c r="W471">
        <f t="shared" ca="1" si="153"/>
        <v>116.67871919802744</v>
      </c>
      <c r="X471">
        <f t="shared" ca="1" si="142"/>
        <v>115.33322196892915</v>
      </c>
      <c r="Y471">
        <f t="shared" ca="1" si="141"/>
        <v>1.4541380681258573</v>
      </c>
      <c r="Z471">
        <f t="shared" ca="1" si="143"/>
        <v>1.0251608993575554</v>
      </c>
      <c r="AA471">
        <f t="shared" ca="1" si="144"/>
        <v>0.42897716876830194</v>
      </c>
      <c r="AB471">
        <f t="shared" ca="1" si="145"/>
        <v>112.08050000000001</v>
      </c>
    </row>
    <row r="472" spans="1:28" x14ac:dyDescent="0.25">
      <c r="A472" s="20">
        <f t="shared" ca="1" si="146"/>
        <v>45971</v>
      </c>
      <c r="B472" vm="1354">
        <f ca="1"/>
        <v>45975</v>
      </c>
      <c r="C472" vm="1355">
        <f ca="1"/>
        <v>119.29</v>
      </c>
      <c r="D472" vm="1356">
        <f ca="1"/>
        <v>17064267</v>
      </c>
      <c r="E472">
        <f t="shared" ca="1" si="147"/>
        <v>2035596410.4300001</v>
      </c>
      <c r="F472">
        <f ca="1">SUM($E$2:E472)/SUM($D$2:D472)</f>
        <v>111.57625132596537</v>
      </c>
      <c r="G472">
        <f ca="1">_xlfn.STDEV.P($C$2:C472)</f>
        <v>5.8120912298033662</v>
      </c>
      <c r="H472">
        <f t="shared" ca="1" si="148"/>
        <v>117.38834255576874</v>
      </c>
      <c r="I472">
        <f t="shared" ca="1" si="149"/>
        <v>105.764160096162</v>
      </c>
      <c r="J472">
        <f t="shared" ca="1" si="158"/>
        <v>115.773</v>
      </c>
      <c r="K472">
        <f t="shared" ca="1" si="159"/>
        <v>2.1544350828734187</v>
      </c>
      <c r="L472">
        <f t="shared" ca="1" si="160"/>
        <v>120.08187016574684</v>
      </c>
      <c r="M472">
        <f t="shared" ca="1" si="161"/>
        <v>111.46412983425316</v>
      </c>
      <c r="N472">
        <f t="shared" ca="1" si="150"/>
        <v>0.5</v>
      </c>
      <c r="O472">
        <f t="shared" ca="1" si="151"/>
        <v>0.5</v>
      </c>
      <c r="P472">
        <f t="shared" ca="1" si="152"/>
        <v>0</v>
      </c>
      <c r="Q472">
        <f t="shared" ca="1" si="156"/>
        <v>0.66346105347810513</v>
      </c>
      <c r="R472">
        <f t="shared" ca="1" si="157"/>
        <v>0.37600286053433607</v>
      </c>
      <c r="S472">
        <f t="shared" ca="1" si="154"/>
        <v>1.764510654347851</v>
      </c>
      <c r="T472">
        <f t="shared" ca="1" si="155"/>
        <v>63.827232916347711</v>
      </c>
      <c r="U472">
        <f>70</f>
        <v>70</v>
      </c>
      <c r="V472">
        <f>30</f>
        <v>30</v>
      </c>
      <c r="W472">
        <f t="shared" ca="1" si="153"/>
        <v>117.08045470602322</v>
      </c>
      <c r="X472">
        <f t="shared" ca="1" si="142"/>
        <v>115.62631663789736</v>
      </c>
      <c r="Y472">
        <f t="shared" ca="1" si="141"/>
        <v>1.394251112171645</v>
      </c>
      <c r="Z472">
        <f t="shared" ca="1" si="143"/>
        <v>1.0989789419203735</v>
      </c>
      <c r="AA472">
        <f t="shared" ca="1" si="144"/>
        <v>0.2952721702512715</v>
      </c>
      <c r="AB472">
        <f t="shared" ca="1" si="145"/>
        <v>112.18970000000003</v>
      </c>
    </row>
    <row r="473" spans="1:28" x14ac:dyDescent="0.25">
      <c r="A473" s="20">
        <f t="shared" ca="1" si="146"/>
        <v>45978</v>
      </c>
      <c r="B473" vm="1357">
        <f ca="1"/>
        <v>45978</v>
      </c>
      <c r="C473" vm="487">
        <f ca="1"/>
        <v>117.68</v>
      </c>
      <c r="D473" vm="1358">
        <f ca="1"/>
        <v>16034860</v>
      </c>
      <c r="E473">
        <f t="shared" ca="1" si="147"/>
        <v>1886982324.8000002</v>
      </c>
      <c r="F473">
        <f ca="1">SUM($E$2:E473)/SUM($D$2:D473)</f>
        <v>111.58902106044539</v>
      </c>
      <c r="G473">
        <f ca="1">_xlfn.STDEV.P($C$2:C473)</f>
        <v>5.8118063463974545</v>
      </c>
      <c r="H473">
        <f t="shared" ca="1" si="148"/>
        <v>117.40082740684285</v>
      </c>
      <c r="I473">
        <f t="shared" ca="1" si="149"/>
        <v>105.77721471404793</v>
      </c>
      <c r="J473">
        <f t="shared" ca="1" si="158"/>
        <v>116.02200000000001</v>
      </c>
      <c r="K473">
        <f t="shared" ca="1" si="159"/>
        <v>2.0665700033987178</v>
      </c>
      <c r="L473">
        <f t="shared" ca="1" si="160"/>
        <v>120.15514000679744</v>
      </c>
      <c r="M473">
        <f t="shared" ca="1" si="161"/>
        <v>111.88885999320257</v>
      </c>
      <c r="N473">
        <f t="shared" ca="1" si="150"/>
        <v>-1.6099999999999994</v>
      </c>
      <c r="O473">
        <f t="shared" ca="1" si="151"/>
        <v>0</v>
      </c>
      <c r="P473">
        <f t="shared" ca="1" si="152"/>
        <v>1.6099999999999994</v>
      </c>
      <c r="Q473">
        <f t="shared" ca="1" si="156"/>
        <v>0.61607097822966905</v>
      </c>
      <c r="R473">
        <f t="shared" ca="1" si="157"/>
        <v>0.46414551335331206</v>
      </c>
      <c r="S473">
        <f t="shared" ca="1" si="154"/>
        <v>1.3273229203030341</v>
      </c>
      <c r="T473">
        <f t="shared" ca="1" si="155"/>
        <v>57.032176700696404</v>
      </c>
      <c r="U473">
        <f>70</f>
        <v>70</v>
      </c>
      <c r="V473">
        <f>30</f>
        <v>30</v>
      </c>
      <c r="W473">
        <f t="shared" ca="1" si="153"/>
        <v>117.17269244355811</v>
      </c>
      <c r="X473">
        <f t="shared" ca="1" si="142"/>
        <v>115.77844133138646</v>
      </c>
      <c r="Y473">
        <f t="shared" ca="1" si="141"/>
        <v>1.4391345385645451</v>
      </c>
      <c r="Z473">
        <f t="shared" ca="1" si="143"/>
        <v>1.1670100612492078</v>
      </c>
      <c r="AA473">
        <f t="shared" ca="1" si="144"/>
        <v>0.27212447731533729</v>
      </c>
      <c r="AB473">
        <f t="shared" ca="1" si="145"/>
        <v>112.26660000000004</v>
      </c>
    </row>
    <row r="474" spans="1:28" x14ac:dyDescent="0.25">
      <c r="A474" s="20">
        <f t="shared" ca="1" si="146"/>
        <v>45978</v>
      </c>
      <c r="B474" vm="1359">
        <f ca="1"/>
        <v>45979</v>
      </c>
      <c r="C474" vm="1360">
        <f ca="1"/>
        <v>119.03</v>
      </c>
      <c r="D474" vm="1361">
        <f ca="1"/>
        <v>15808518</v>
      </c>
      <c r="E474">
        <f t="shared" ca="1" si="147"/>
        <v>1881687897.54</v>
      </c>
      <c r="F474">
        <f ca="1">SUM($E$2:E474)/SUM($D$2:D474)</f>
        <v>111.60433709860386</v>
      </c>
      <c r="G474">
        <f ca="1">_xlfn.STDEV.P($C$2:C474)</f>
        <v>5.8146066001796193</v>
      </c>
      <c r="H474">
        <f t="shared" ca="1" si="148"/>
        <v>117.41894369878348</v>
      </c>
      <c r="I474">
        <f t="shared" ca="1" si="149"/>
        <v>105.78973049842425</v>
      </c>
      <c r="J474">
        <f t="shared" ca="1" si="158"/>
        <v>116.33800000000001</v>
      </c>
      <c r="K474">
        <f t="shared" ca="1" si="159"/>
        <v>2.0160555547900962</v>
      </c>
      <c r="L474">
        <f t="shared" ca="1" si="160"/>
        <v>120.37011110958019</v>
      </c>
      <c r="M474">
        <f t="shared" ca="1" si="161"/>
        <v>112.30588889041982</v>
      </c>
      <c r="N474">
        <f t="shared" ca="1" si="150"/>
        <v>1.3499999999999943</v>
      </c>
      <c r="O474">
        <f t="shared" ca="1" si="151"/>
        <v>1.3499999999999943</v>
      </c>
      <c r="P474">
        <f t="shared" ca="1" si="152"/>
        <v>0</v>
      </c>
      <c r="Q474">
        <f t="shared" ca="1" si="156"/>
        <v>0.66849447978469223</v>
      </c>
      <c r="R474">
        <f t="shared" ca="1" si="157"/>
        <v>0.43099226239950406</v>
      </c>
      <c r="S474">
        <f t="shared" ca="1" si="154"/>
        <v>1.5510591212541023</v>
      </c>
      <c r="T474">
        <f t="shared" ca="1" si="155"/>
        <v>60.800594871811541</v>
      </c>
      <c r="U474">
        <f>70</f>
        <v>70</v>
      </c>
      <c r="V474">
        <f>30</f>
        <v>30</v>
      </c>
      <c r="W474">
        <f t="shared" ca="1" si="153"/>
        <v>117.45843206762609</v>
      </c>
      <c r="X474">
        <f t="shared" ca="1" si="142"/>
        <v>116.01929752906155</v>
      </c>
      <c r="Y474">
        <f t="shared" ca="1" si="141"/>
        <v>1.3238821286038274</v>
      </c>
      <c r="Z474">
        <f t="shared" ca="1" si="143"/>
        <v>1.1983844747201318</v>
      </c>
      <c r="AA474">
        <f t="shared" ca="1" si="144"/>
        <v>0.1254976538836956</v>
      </c>
      <c r="AB474">
        <f t="shared" ca="1" si="145"/>
        <v>112.36310000000005</v>
      </c>
    </row>
    <row r="475" spans="1:28" x14ac:dyDescent="0.25">
      <c r="A475" s="20">
        <f t="shared" ca="1" si="146"/>
        <v>45978</v>
      </c>
      <c r="B475" vm="1362">
        <f ca="1"/>
        <v>45980</v>
      </c>
      <c r="C475" vm="1363">
        <f ca="1"/>
        <v>117.35</v>
      </c>
      <c r="D475" vm="1364">
        <f ca="1"/>
        <v>15919239</v>
      </c>
      <c r="E475">
        <f t="shared" ca="1" si="147"/>
        <v>1868122696.6499999</v>
      </c>
      <c r="F475">
        <f ca="1">SUM($E$2:E475)/SUM($D$2:D475)</f>
        <v>111.61622180338151</v>
      </c>
      <c r="G475">
        <f ca="1">_xlfn.STDEV.P($C$2:C475)</f>
        <v>5.8136065704208972</v>
      </c>
      <c r="H475">
        <f t="shared" ca="1" si="148"/>
        <v>117.42982837380241</v>
      </c>
      <c r="I475">
        <f t="shared" ca="1" si="149"/>
        <v>105.8026152329606</v>
      </c>
      <c r="J475">
        <f t="shared" ca="1" si="158"/>
        <v>116.47</v>
      </c>
      <c r="K475">
        <f t="shared" ca="1" si="159"/>
        <v>1.9901124009515276</v>
      </c>
      <c r="L475">
        <f t="shared" ca="1" si="160"/>
        <v>120.45022480190305</v>
      </c>
      <c r="M475">
        <f t="shared" ca="1" si="161"/>
        <v>112.48977519809695</v>
      </c>
      <c r="N475">
        <f t="shared" ca="1" si="150"/>
        <v>-1.6800000000000068</v>
      </c>
      <c r="O475">
        <f t="shared" ca="1" si="151"/>
        <v>0</v>
      </c>
      <c r="P475">
        <f t="shared" ca="1" si="152"/>
        <v>1.6800000000000068</v>
      </c>
      <c r="Q475">
        <f t="shared" ca="1" si="156"/>
        <v>0.6207448740857856</v>
      </c>
      <c r="R475">
        <f t="shared" ca="1" si="157"/>
        <v>0.52020710079954002</v>
      </c>
      <c r="S475">
        <f t="shared" ca="1" si="154"/>
        <v>1.1932648999441233</v>
      </c>
      <c r="T475">
        <f t="shared" ca="1" si="155"/>
        <v>54.405872267163147</v>
      </c>
      <c r="U475">
        <f>70</f>
        <v>70</v>
      </c>
      <c r="V475">
        <f>30</f>
        <v>30</v>
      </c>
      <c r="W475">
        <f t="shared" ca="1" si="153"/>
        <v>117.44175021106822</v>
      </c>
      <c r="X475">
        <f t="shared" ca="1" si="142"/>
        <v>116.1178680824644</v>
      </c>
      <c r="Y475">
        <f t="shared" ca="1" si="141"/>
        <v>1.1921728942630523</v>
      </c>
      <c r="Z475">
        <f t="shared" ca="1" si="143"/>
        <v>1.1971421586287159</v>
      </c>
      <c r="AA475">
        <f t="shared" ca="1" si="144"/>
        <v>-4.9692643656635838E-3</v>
      </c>
      <c r="AB475">
        <f t="shared" ca="1" si="145"/>
        <v>112.45860000000005</v>
      </c>
    </row>
    <row r="476" spans="1:28" x14ac:dyDescent="0.25">
      <c r="A476" s="20">
        <f t="shared" ca="1" si="146"/>
        <v>45978</v>
      </c>
      <c r="B476" vm="1365">
        <f ca="1"/>
        <v>45981</v>
      </c>
      <c r="C476" vm="1366">
        <f ca="1"/>
        <v>117.02</v>
      </c>
      <c r="D476" vm="1367">
        <f ca="1"/>
        <v>14401011</v>
      </c>
      <c r="E476">
        <f t="shared" ca="1" si="147"/>
        <v>1685206307.22</v>
      </c>
      <c r="F476">
        <f ca="1">SUM($E$2:E476)/SUM($D$2:D476)</f>
        <v>111.62631443820106</v>
      </c>
      <c r="G476">
        <f ca="1">_xlfn.STDEV.P($C$2:C476)</f>
        <v>5.8119748501075366</v>
      </c>
      <c r="H476">
        <f t="shared" ca="1" si="148"/>
        <v>117.4382892883086</v>
      </c>
      <c r="I476">
        <f t="shared" ca="1" si="149"/>
        <v>105.81433958809353</v>
      </c>
      <c r="J476">
        <f t="shared" ca="1" si="158"/>
        <v>116.52200000000001</v>
      </c>
      <c r="K476">
        <f t="shared" ca="1" si="159"/>
        <v>1.9902224154998094</v>
      </c>
      <c r="L476">
        <f t="shared" ca="1" si="160"/>
        <v>120.50244483099962</v>
      </c>
      <c r="M476">
        <f t="shared" ca="1" si="161"/>
        <v>112.54155516900039</v>
      </c>
      <c r="N476">
        <f t="shared" ca="1" si="150"/>
        <v>-0.32999999999999829</v>
      </c>
      <c r="O476">
        <f t="shared" ca="1" si="151"/>
        <v>0</v>
      </c>
      <c r="P476">
        <f t="shared" ca="1" si="152"/>
        <v>0.32999999999999829</v>
      </c>
      <c r="Q476">
        <f t="shared" ca="1" si="156"/>
        <v>0.5764059545082294</v>
      </c>
      <c r="R476">
        <f t="shared" ca="1" si="157"/>
        <v>0.50662087931385846</v>
      </c>
      <c r="S476">
        <f t="shared" ca="1" si="154"/>
        <v>1.137746149130064</v>
      </c>
      <c r="T476">
        <f t="shared" ca="1" si="155"/>
        <v>53.221761133475049</v>
      </c>
      <c r="U476">
        <f>70</f>
        <v>70</v>
      </c>
      <c r="V476">
        <f>30</f>
        <v>30</v>
      </c>
      <c r="W476">
        <f t="shared" ca="1" si="153"/>
        <v>117.37686556321157</v>
      </c>
      <c r="X476">
        <f t="shared" ca="1" si="142"/>
        <v>116.18469266894851</v>
      </c>
      <c r="Y476">
        <f t="shared" ref="Y476:Y514" ca="1" si="162">W477-X477</f>
        <v>1.0801822075942198</v>
      </c>
      <c r="Z476">
        <f t="shared" ca="1" si="143"/>
        <v>1.1737501684218168</v>
      </c>
      <c r="AA476">
        <f t="shared" ca="1" si="144"/>
        <v>-9.3567960827596997E-2</v>
      </c>
      <c r="AB476">
        <f t="shared" ca="1" si="145"/>
        <v>112.53640000000004</v>
      </c>
    </row>
    <row r="477" spans="1:28" x14ac:dyDescent="0.25">
      <c r="A477" s="20">
        <f t="shared" ca="1" si="146"/>
        <v>45978</v>
      </c>
      <c r="B477" vm="1368">
        <f ca="1"/>
        <v>45982</v>
      </c>
      <c r="C477" vm="1369">
        <f ca="1"/>
        <v>117.08</v>
      </c>
      <c r="D477" vm="1370">
        <f ca="1"/>
        <v>15667596</v>
      </c>
      <c r="E477">
        <f t="shared" ca="1" si="147"/>
        <v>1834362139.6800001</v>
      </c>
      <c r="F477">
        <f ca="1">SUM($E$2:E477)/SUM($D$2:D477)</f>
        <v>111.63737366960935</v>
      </c>
      <c r="G477">
        <f ca="1">_xlfn.STDEV.P($C$2:C477)</f>
        <v>5.8104390187140682</v>
      </c>
      <c r="H477">
        <f t="shared" ca="1" si="148"/>
        <v>117.44781268832341</v>
      </c>
      <c r="I477">
        <f t="shared" ca="1" si="149"/>
        <v>105.82693465089528</v>
      </c>
      <c r="J477">
        <f t="shared" ca="1" si="158"/>
        <v>116.60649999999998</v>
      </c>
      <c r="K477">
        <f t="shared" ca="1" si="159"/>
        <v>1.9754527129376276</v>
      </c>
      <c r="L477">
        <f t="shared" ca="1" si="160"/>
        <v>120.55740542587523</v>
      </c>
      <c r="M477">
        <f t="shared" ca="1" si="161"/>
        <v>112.65559457412473</v>
      </c>
      <c r="N477">
        <f t="shared" ca="1" si="150"/>
        <v>6.0000000000002274E-2</v>
      </c>
      <c r="O477">
        <f t="shared" ca="1" si="151"/>
        <v>6.0000000000002274E-2</v>
      </c>
      <c r="P477">
        <f t="shared" ca="1" si="152"/>
        <v>0</v>
      </c>
      <c r="Q477">
        <f t="shared" ca="1" si="156"/>
        <v>0.53951981490049883</v>
      </c>
      <c r="R477">
        <f t="shared" ca="1" si="157"/>
        <v>0.47043367364858291</v>
      </c>
      <c r="S477">
        <f t="shared" ca="1" si="154"/>
        <v>1.1468562841518095</v>
      </c>
      <c r="T477">
        <f t="shared" ca="1" si="155"/>
        <v>53.420263508924862</v>
      </c>
      <c r="U477">
        <f>70</f>
        <v>70</v>
      </c>
      <c r="V477">
        <f>30</f>
        <v>30</v>
      </c>
      <c r="W477">
        <f t="shared" ca="1" si="153"/>
        <v>117.3311939381021</v>
      </c>
      <c r="X477">
        <f t="shared" ref="X477:X514" ca="1" si="163">C477*(2/(26+1)) + X476*(1-(2/(26+1)))</f>
        <v>116.25101173050788</v>
      </c>
      <c r="Y477">
        <f t="shared" ca="1" si="162"/>
        <v>0.89158343931984518</v>
      </c>
      <c r="Z477">
        <f t="shared" ca="1" si="143"/>
        <v>1.1173168226014225</v>
      </c>
      <c r="AA477">
        <f t="shared" ca="1" si="144"/>
        <v>-0.22573338328157733</v>
      </c>
      <c r="AB477">
        <f t="shared" ca="1" si="145"/>
        <v>112.59670000000004</v>
      </c>
    </row>
    <row r="478" spans="1:28" x14ac:dyDescent="0.25">
      <c r="A478" s="20">
        <f t="shared" ca="1" si="146"/>
        <v>45985</v>
      </c>
      <c r="B478" vm="1371">
        <f ca="1"/>
        <v>45985</v>
      </c>
      <c r="C478" vm="1372">
        <f ca="1"/>
        <v>115.97</v>
      </c>
      <c r="D478" vm="1373">
        <f ca="1"/>
        <v>18034923</v>
      </c>
      <c r="E478">
        <f t="shared" ca="1" si="147"/>
        <v>2091510020.3099999</v>
      </c>
      <c r="F478">
        <f ca="1">SUM($E$2:E478)/SUM($D$2:D478)</f>
        <v>111.64746353667529</v>
      </c>
      <c r="G478">
        <f ca="1">_xlfn.STDEV.P($C$2:C478)</f>
        <v>5.8071037381147823</v>
      </c>
      <c r="H478">
        <f t="shared" ca="1" si="148"/>
        <v>117.45456727479007</v>
      </c>
      <c r="I478">
        <f t="shared" ca="1" si="149"/>
        <v>105.84035979856051</v>
      </c>
      <c r="J478">
        <f t="shared" ca="1" si="158"/>
        <v>116.60799999999999</v>
      </c>
      <c r="K478">
        <f t="shared" ca="1" si="159"/>
        <v>1.9749313112638949</v>
      </c>
      <c r="L478">
        <f t="shared" ca="1" si="160"/>
        <v>120.55786262252778</v>
      </c>
      <c r="M478">
        <f t="shared" ca="1" si="161"/>
        <v>112.6581373774722</v>
      </c>
      <c r="N478">
        <f t="shared" ca="1" si="150"/>
        <v>-1.1099999999999994</v>
      </c>
      <c r="O478">
        <f t="shared" ca="1" si="151"/>
        <v>0</v>
      </c>
      <c r="P478">
        <f t="shared" ca="1" si="152"/>
        <v>1.1099999999999994</v>
      </c>
      <c r="Q478">
        <f t="shared" ca="1" si="156"/>
        <v>0.50098268526474887</v>
      </c>
      <c r="R478">
        <f t="shared" ca="1" si="157"/>
        <v>0.51611698267368411</v>
      </c>
      <c r="S478">
        <f t="shared" ca="1" si="154"/>
        <v>0.97067661418437778</v>
      </c>
      <c r="T478">
        <f t="shared" ca="1" si="155"/>
        <v>49.256007160064698</v>
      </c>
      <c r="U478">
        <f>70</f>
        <v>70</v>
      </c>
      <c r="V478">
        <f>30</f>
        <v>30</v>
      </c>
      <c r="W478">
        <f t="shared" ca="1" si="153"/>
        <v>117.1217794860864</v>
      </c>
      <c r="X478">
        <f t="shared" ca="1" si="163"/>
        <v>116.23019604676655</v>
      </c>
      <c r="Y478">
        <f t="shared" ca="1" si="162"/>
        <v>0.61719314008128379</v>
      </c>
      <c r="Z478">
        <f t="shared" ca="1" si="143"/>
        <v>1.0172920860973949</v>
      </c>
      <c r="AA478">
        <f t="shared" ca="1" si="144"/>
        <v>-0.40009894601611107</v>
      </c>
      <c r="AB478">
        <f t="shared" ca="1" si="145"/>
        <v>112.63440000000004</v>
      </c>
    </row>
    <row r="479" spans="1:28" x14ac:dyDescent="0.25">
      <c r="A479" s="20">
        <f t="shared" ca="1" si="146"/>
        <v>45985</v>
      </c>
      <c r="B479" vm="1374">
        <f ca="1"/>
        <v>45986</v>
      </c>
      <c r="C479" vm="1375">
        <f ca="1"/>
        <v>114.51</v>
      </c>
      <c r="D479" vm="1376">
        <f ca="1"/>
        <v>14434558</v>
      </c>
      <c r="E479">
        <f t="shared" ca="1" si="147"/>
        <v>1652901236.5800002</v>
      </c>
      <c r="F479">
        <f ca="1">SUM($E$2:E479)/SUM($D$2:D479)</f>
        <v>111.65278910186463</v>
      </c>
      <c r="G479">
        <f ca="1">_xlfn.STDEV.P($C$2:C479)</f>
        <v>5.8021014818901504</v>
      </c>
      <c r="H479">
        <f t="shared" ca="1" si="148"/>
        <v>117.45489058375477</v>
      </c>
      <c r="I479">
        <f t="shared" ca="1" si="149"/>
        <v>105.85068761997448</v>
      </c>
      <c r="J479">
        <f t="shared" ca="1" si="158"/>
        <v>116.58199999999999</v>
      </c>
      <c r="K479">
        <f t="shared" ca="1" si="159"/>
        <v>2.0000621042989222</v>
      </c>
      <c r="L479">
        <f t="shared" ca="1" si="160"/>
        <v>120.58212420859783</v>
      </c>
      <c r="M479">
        <f t="shared" ca="1" si="161"/>
        <v>112.58187579140215</v>
      </c>
      <c r="N479">
        <f t="shared" ca="1" si="150"/>
        <v>-1.4599999999999937</v>
      </c>
      <c r="O479">
        <f t="shared" ca="1" si="151"/>
        <v>0</v>
      </c>
      <c r="P479">
        <f t="shared" ca="1" si="152"/>
        <v>1.4599999999999937</v>
      </c>
      <c r="Q479">
        <f t="shared" ca="1" si="156"/>
        <v>0.46519820774583825</v>
      </c>
      <c r="R479">
        <f t="shared" ca="1" si="157"/>
        <v>0.58353719819699201</v>
      </c>
      <c r="S479">
        <f t="shared" ca="1" si="154"/>
        <v>0.79720403289319597</v>
      </c>
      <c r="T479">
        <f t="shared" ca="1" si="155"/>
        <v>44.358014911074491</v>
      </c>
      <c r="U479">
        <f>70</f>
        <v>70</v>
      </c>
      <c r="V479">
        <f>30</f>
        <v>30</v>
      </c>
      <c r="W479">
        <f t="shared" ca="1" si="153"/>
        <v>116.71996725745771</v>
      </c>
      <c r="X479">
        <f t="shared" ca="1" si="163"/>
        <v>116.10277411737643</v>
      </c>
      <c r="Y479">
        <f t="shared" ca="1" si="162"/>
        <v>0.41592218609004306</v>
      </c>
      <c r="Z479">
        <f t="shared" ca="1" si="143"/>
        <v>0.89701810609592458</v>
      </c>
      <c r="AA479">
        <f t="shared" ca="1" si="144"/>
        <v>-0.48109592000588153</v>
      </c>
      <c r="AB479">
        <f t="shared" ca="1" si="145"/>
        <v>112.66840000000003</v>
      </c>
    </row>
    <row r="480" spans="1:28" x14ac:dyDescent="0.25">
      <c r="A480" s="20">
        <f t="shared" ca="1" si="146"/>
        <v>45985</v>
      </c>
      <c r="B480" vm="1377">
        <f ca="1"/>
        <v>45987</v>
      </c>
      <c r="C480" vm="440">
        <f ca="1"/>
        <v>114.77</v>
      </c>
      <c r="D480" vm="1378">
        <f ca="1"/>
        <v>11650597</v>
      </c>
      <c r="E480">
        <f t="shared" ca="1" si="147"/>
        <v>1337139017.6900001</v>
      </c>
      <c r="F480">
        <f ca="1">SUM($E$2:E480)/SUM($D$2:D480)</f>
        <v>111.65746294248426</v>
      </c>
      <c r="G480">
        <f ca="1">_xlfn.STDEV.P($C$2:C480)</f>
        <v>5.7973514255876184</v>
      </c>
      <c r="H480">
        <f t="shared" ca="1" si="148"/>
        <v>117.45481436807188</v>
      </c>
      <c r="I480">
        <f t="shared" ca="1" si="149"/>
        <v>105.86011151689664</v>
      </c>
      <c r="J480">
        <f t="shared" ca="1" si="158"/>
        <v>116.498</v>
      </c>
      <c r="K480">
        <f t="shared" ca="1" si="159"/>
        <v>2.0407624993975588</v>
      </c>
      <c r="L480">
        <f t="shared" ca="1" si="160"/>
        <v>120.57952499879512</v>
      </c>
      <c r="M480">
        <f t="shared" ca="1" si="161"/>
        <v>112.41647500120489</v>
      </c>
      <c r="N480">
        <f t="shared" ca="1" si="150"/>
        <v>0.25999999999999091</v>
      </c>
      <c r="O480">
        <f t="shared" ca="1" si="151"/>
        <v>0.25999999999999091</v>
      </c>
      <c r="P480">
        <f t="shared" ca="1" si="152"/>
        <v>0</v>
      </c>
      <c r="Q480">
        <f t="shared" ca="1" si="156"/>
        <v>0.45054119290684913</v>
      </c>
      <c r="R480">
        <f t="shared" ca="1" si="157"/>
        <v>0.5418559697543498</v>
      </c>
      <c r="S480">
        <f t="shared" ca="1" si="154"/>
        <v>0.83147776910366389</v>
      </c>
      <c r="T480">
        <f t="shared" ca="1" si="155"/>
        <v>45.399282651986219</v>
      </c>
      <c r="U480">
        <f>70</f>
        <v>70</v>
      </c>
      <c r="V480">
        <f>30</f>
        <v>30</v>
      </c>
      <c r="W480">
        <f t="shared" ca="1" si="153"/>
        <v>116.41997229477191</v>
      </c>
      <c r="X480">
        <f t="shared" ca="1" si="163"/>
        <v>116.00405010868187</v>
      </c>
      <c r="Y480">
        <f t="shared" ca="1" si="162"/>
        <v>0.34522930548617126</v>
      </c>
      <c r="Z480">
        <f t="shared" ca="1" si="143"/>
        <v>0.78666034597397394</v>
      </c>
      <c r="AA480">
        <f t="shared" ca="1" si="144"/>
        <v>-0.44143104048780268</v>
      </c>
      <c r="AB480">
        <f t="shared" ca="1" si="145"/>
        <v>112.67420000000004</v>
      </c>
    </row>
    <row r="481" spans="1:28" x14ac:dyDescent="0.25">
      <c r="A481" s="20">
        <f t="shared" ca="1" si="146"/>
        <v>45985</v>
      </c>
      <c r="B481" vm="1379">
        <f ca="1"/>
        <v>45989</v>
      </c>
      <c r="C481" vm="1380">
        <f ca="1"/>
        <v>115.92</v>
      </c>
      <c r="D481" vm="1381">
        <f ca="1"/>
        <v>7240825</v>
      </c>
      <c r="E481">
        <f t="shared" ca="1" si="147"/>
        <v>839356434</v>
      </c>
      <c r="F481">
        <f ca="1">SUM($E$2:E481)/SUM($D$2:D481)</f>
        <v>111.66143130411029</v>
      </c>
      <c r="G481">
        <f ca="1">_xlfn.STDEV.P($C$2:C481)</f>
        <v>5.7939608999131336</v>
      </c>
      <c r="H481">
        <f t="shared" ca="1" si="148"/>
        <v>117.45539220402343</v>
      </c>
      <c r="I481">
        <f t="shared" ca="1" si="149"/>
        <v>105.86747040419716</v>
      </c>
      <c r="J481">
        <f t="shared" ca="1" si="158"/>
        <v>116.5595</v>
      </c>
      <c r="K481">
        <f t="shared" ca="1" si="159"/>
        <v>2.0015664260510411</v>
      </c>
      <c r="L481">
        <f t="shared" ca="1" si="160"/>
        <v>120.56263285210208</v>
      </c>
      <c r="M481">
        <f t="shared" ca="1" si="161"/>
        <v>112.55636714789792</v>
      </c>
      <c r="N481">
        <f t="shared" ca="1" si="150"/>
        <v>1.1500000000000057</v>
      </c>
      <c r="O481">
        <f t="shared" ca="1" si="151"/>
        <v>1.1500000000000057</v>
      </c>
      <c r="P481">
        <f t="shared" ca="1" si="152"/>
        <v>0</v>
      </c>
      <c r="Q481">
        <f t="shared" ca="1" si="156"/>
        <v>0.500502536270646</v>
      </c>
      <c r="R481">
        <f t="shared" ca="1" si="157"/>
        <v>0.50315197191475336</v>
      </c>
      <c r="S481">
        <f t="shared" ca="1" si="154"/>
        <v>0.99473432324229027</v>
      </c>
      <c r="T481">
        <f t="shared" ca="1" si="155"/>
        <v>49.868010574231491</v>
      </c>
      <c r="U481">
        <f>70</f>
        <v>70</v>
      </c>
      <c r="V481">
        <f>30</f>
        <v>30</v>
      </c>
      <c r="W481">
        <f t="shared" ca="1" si="153"/>
        <v>116.34305348019161</v>
      </c>
      <c r="X481">
        <f t="shared" ca="1" si="163"/>
        <v>115.99782417470544</v>
      </c>
      <c r="Y481">
        <f t="shared" ca="1" si="162"/>
        <v>0.34254708500752429</v>
      </c>
      <c r="Z481">
        <f t="shared" ca="1" si="143"/>
        <v>0.69783769378068405</v>
      </c>
      <c r="AA481">
        <f t="shared" ca="1" si="144"/>
        <v>-0.35529060877315977</v>
      </c>
      <c r="AB481">
        <f t="shared" ca="1" si="145"/>
        <v>112.69540000000005</v>
      </c>
    </row>
    <row r="482" spans="1:28" x14ac:dyDescent="0.25">
      <c r="A482" s="20">
        <f t="shared" ca="1" si="146"/>
        <v>45992</v>
      </c>
      <c r="B482" vm="1382">
        <f ca="1"/>
        <v>45992</v>
      </c>
      <c r="C482" vm="1383">
        <f ca="1"/>
        <v>116.63</v>
      </c>
      <c r="D482" vm="1384">
        <f ca="1"/>
        <v>12658100</v>
      </c>
      <c r="E482">
        <f t="shared" ca="1" si="147"/>
        <v>1476314203</v>
      </c>
      <c r="F482">
        <f ca="1">SUM($E$2:E482)/SUM($D$2:D482)</f>
        <v>111.66950455779708</v>
      </c>
      <c r="G482">
        <f ca="1">_xlfn.STDEV.P($C$2:C482)</f>
        <v>5.791637492762808</v>
      </c>
      <c r="H482">
        <f t="shared" ca="1" si="148"/>
        <v>117.46114205055989</v>
      </c>
      <c r="I482">
        <f t="shared" ca="1" si="149"/>
        <v>105.87786706503428</v>
      </c>
      <c r="J482">
        <f t="shared" ca="1" si="158"/>
        <v>116.673</v>
      </c>
      <c r="K482">
        <f t="shared" ca="1" si="159"/>
        <v>1.9334809078583195</v>
      </c>
      <c r="L482">
        <f t="shared" ca="1" si="160"/>
        <v>120.53996181571664</v>
      </c>
      <c r="M482">
        <f t="shared" ca="1" si="161"/>
        <v>112.80603818428337</v>
      </c>
      <c r="N482">
        <f t="shared" ca="1" si="150"/>
        <v>0.70999999999999375</v>
      </c>
      <c r="O482">
        <f t="shared" ca="1" si="151"/>
        <v>0.70999999999999375</v>
      </c>
      <c r="P482">
        <f t="shared" ca="1" si="152"/>
        <v>0</v>
      </c>
      <c r="Q482">
        <f t="shared" ca="1" si="156"/>
        <v>0.51546664082274229</v>
      </c>
      <c r="R482">
        <f t="shared" ca="1" si="157"/>
        <v>0.46721254534941387</v>
      </c>
      <c r="S482">
        <f t="shared" ca="1" si="154"/>
        <v>1.1032808214454959</v>
      </c>
      <c r="T482">
        <f t="shared" ca="1" si="155"/>
        <v>52.455231379291412</v>
      </c>
      <c r="U482">
        <f>70</f>
        <v>70</v>
      </c>
      <c r="V482">
        <f>30</f>
        <v>30</v>
      </c>
      <c r="W482">
        <f t="shared" ca="1" si="153"/>
        <v>116.38719909862368</v>
      </c>
      <c r="X482">
        <f t="shared" ca="1" si="163"/>
        <v>116.04465201361616</v>
      </c>
      <c r="Y482">
        <f t="shared" ca="1" si="162"/>
        <v>0.23682686001704667</v>
      </c>
      <c r="Z482">
        <f t="shared" ca="1" si="143"/>
        <v>0.60563552702795653</v>
      </c>
      <c r="AA482">
        <f t="shared" ca="1" si="144"/>
        <v>-0.36880866701090986</v>
      </c>
      <c r="AB482">
        <f t="shared" ca="1" si="145"/>
        <v>112.71240000000006</v>
      </c>
    </row>
    <row r="483" spans="1:28" x14ac:dyDescent="0.25">
      <c r="A483" s="20">
        <f t="shared" ca="1" si="146"/>
        <v>45992</v>
      </c>
      <c r="B483" vm="1385">
        <f ca="1"/>
        <v>45993</v>
      </c>
      <c r="C483" vm="1386">
        <f ca="1"/>
        <v>115.38</v>
      </c>
      <c r="D483" vm="1387">
        <f ca="1"/>
        <v>14607704</v>
      </c>
      <c r="E483">
        <f t="shared" ca="1" si="147"/>
        <v>1685436887.52</v>
      </c>
      <c r="F483">
        <f ca="1">SUM($E$2:E483)/SUM($D$2:D483)</f>
        <v>111.67644918674233</v>
      </c>
      <c r="G483">
        <f ca="1">_xlfn.STDEV.P($C$2:C483)</f>
        <v>5.7875586694895098</v>
      </c>
      <c r="H483">
        <f t="shared" ca="1" si="148"/>
        <v>117.46400785623185</v>
      </c>
      <c r="I483">
        <f t="shared" ca="1" si="149"/>
        <v>105.88889051725282</v>
      </c>
      <c r="J483">
        <f t="shared" ca="1" si="158"/>
        <v>116.75399999999999</v>
      </c>
      <c r="K483">
        <f t="shared" ca="1" si="159"/>
        <v>1.836525323309727</v>
      </c>
      <c r="L483">
        <f t="shared" ca="1" si="160"/>
        <v>120.42705064661945</v>
      </c>
      <c r="M483">
        <f t="shared" ca="1" si="161"/>
        <v>113.08094935338053</v>
      </c>
      <c r="N483">
        <f t="shared" ca="1" si="150"/>
        <v>-1.25</v>
      </c>
      <c r="O483">
        <f t="shared" ca="1" si="151"/>
        <v>0</v>
      </c>
      <c r="P483">
        <f t="shared" ca="1" si="152"/>
        <v>1.25</v>
      </c>
      <c r="Q483">
        <f t="shared" ca="1" si="156"/>
        <v>0.47864759504968923</v>
      </c>
      <c r="R483">
        <f t="shared" ca="1" si="157"/>
        <v>0.52312593496731286</v>
      </c>
      <c r="S483">
        <f t="shared" ca="1" si="154"/>
        <v>0.91497584626462303</v>
      </c>
      <c r="T483">
        <f t="shared" ca="1" si="155"/>
        <v>47.780020204922522</v>
      </c>
      <c r="U483">
        <f>70</f>
        <v>70</v>
      </c>
      <c r="V483">
        <f>30</f>
        <v>30</v>
      </c>
      <c r="W483">
        <f t="shared" ca="1" si="153"/>
        <v>116.23224539114312</v>
      </c>
      <c r="X483">
        <f t="shared" ca="1" si="163"/>
        <v>115.99541853112608</v>
      </c>
      <c r="Y483">
        <f t="shared" ca="1" si="162"/>
        <v>0.34434717536618109</v>
      </c>
      <c r="Z483">
        <f t="shared" ca="1" si="143"/>
        <v>0.55337785669560147</v>
      </c>
      <c r="AA483">
        <f t="shared" ca="1" si="144"/>
        <v>-0.20903068132942038</v>
      </c>
      <c r="AB483">
        <f t="shared" ca="1" si="145"/>
        <v>112.71190000000004</v>
      </c>
    </row>
    <row r="484" spans="1:28" x14ac:dyDescent="0.25">
      <c r="A484" s="20">
        <f t="shared" ca="1" si="146"/>
        <v>45992</v>
      </c>
      <c r="B484" vm="1388">
        <f ca="1"/>
        <v>45994</v>
      </c>
      <c r="C484" vm="1389">
        <f ca="1"/>
        <v>117.8</v>
      </c>
      <c r="D484" vm="1390">
        <f ca="1"/>
        <v>16819130</v>
      </c>
      <c r="E484">
        <f t="shared" ca="1" si="147"/>
        <v>1981293514</v>
      </c>
      <c r="F484">
        <f ca="1">SUM($E$2:E484)/SUM($D$2:D484)</f>
        <v>111.68961680288822</v>
      </c>
      <c r="G484">
        <f ca="1">_xlfn.STDEV.P($C$2:C484)</f>
        <v>5.7873660072245947</v>
      </c>
      <c r="H484">
        <f t="shared" ca="1" si="148"/>
        <v>117.47698281011282</v>
      </c>
      <c r="I484">
        <f t="shared" ca="1" si="149"/>
        <v>105.90225079566363</v>
      </c>
      <c r="J484">
        <f t="shared" ca="1" si="158"/>
        <v>116.93700000000001</v>
      </c>
      <c r="K484">
        <f t="shared" ca="1" si="159"/>
        <v>1.7422764902336985</v>
      </c>
      <c r="L484">
        <f t="shared" ca="1" si="160"/>
        <v>120.42155298046741</v>
      </c>
      <c r="M484">
        <f t="shared" ca="1" si="161"/>
        <v>113.45244701953261</v>
      </c>
      <c r="N484">
        <f t="shared" ca="1" si="150"/>
        <v>2.4200000000000017</v>
      </c>
      <c r="O484">
        <f t="shared" ca="1" si="151"/>
        <v>2.4200000000000017</v>
      </c>
      <c r="P484">
        <f t="shared" ca="1" si="152"/>
        <v>0</v>
      </c>
      <c r="Q484">
        <f t="shared" ca="1" si="156"/>
        <v>0.61731562397471151</v>
      </c>
      <c r="R484">
        <f t="shared" ca="1" si="157"/>
        <v>0.48575979675536196</v>
      </c>
      <c r="S484">
        <f t="shared" ca="1" si="154"/>
        <v>1.2708248564374371</v>
      </c>
      <c r="T484">
        <f t="shared" ca="1" si="155"/>
        <v>55.963138365111924</v>
      </c>
      <c r="U484">
        <f>70</f>
        <v>70</v>
      </c>
      <c r="V484">
        <f>30</f>
        <v>30</v>
      </c>
      <c r="W484">
        <f t="shared" ca="1" si="153"/>
        <v>116.47343840789033</v>
      </c>
      <c r="X484">
        <f t="shared" ca="1" si="163"/>
        <v>116.12909123252415</v>
      </c>
      <c r="Y484">
        <f t="shared" ca="1" si="162"/>
        <v>0.37201298168969288</v>
      </c>
      <c r="Z484">
        <f t="shared" ca="1" si="143"/>
        <v>0.51710488169441982</v>
      </c>
      <c r="AA484">
        <f t="shared" ca="1" si="144"/>
        <v>-0.14509190000472694</v>
      </c>
      <c r="AB484">
        <f t="shared" ca="1" si="145"/>
        <v>112.75070000000005</v>
      </c>
    </row>
    <row r="485" spans="1:28" x14ac:dyDescent="0.25">
      <c r="A485" s="20">
        <f t="shared" ca="1" si="146"/>
        <v>45992</v>
      </c>
      <c r="B485" vm="1391">
        <f ca="1"/>
        <v>45995</v>
      </c>
      <c r="C485" vm="1392">
        <f ca="1"/>
        <v>117.14</v>
      </c>
      <c r="D485" vm="1393">
        <f ca="1"/>
        <v>13686897</v>
      </c>
      <c r="E485">
        <f t="shared" ca="1" si="147"/>
        <v>1603283114.5799999</v>
      </c>
      <c r="F485">
        <f ca="1">SUM($E$2:E485)/SUM($D$2:D485)</f>
        <v>111.69913759421574</v>
      </c>
      <c r="G485">
        <f ca="1">_xlfn.STDEV.P($C$2:C485)</f>
        <v>5.7858902138283179</v>
      </c>
      <c r="H485">
        <f t="shared" ca="1" si="148"/>
        <v>117.48502780804407</v>
      </c>
      <c r="I485">
        <f t="shared" ca="1" si="149"/>
        <v>105.91324738038742</v>
      </c>
      <c r="J485">
        <f t="shared" ca="1" si="158"/>
        <v>117.10999999999999</v>
      </c>
      <c r="K485">
        <f t="shared" ca="1" si="159"/>
        <v>1.5645682101495384</v>
      </c>
      <c r="L485">
        <f t="shared" ca="1" si="160"/>
        <v>120.23913642029906</v>
      </c>
      <c r="M485">
        <f t="shared" ca="1" si="161"/>
        <v>113.98086357970091</v>
      </c>
      <c r="N485">
        <f t="shared" ca="1" si="150"/>
        <v>-0.65999999999999659</v>
      </c>
      <c r="O485">
        <f t="shared" ca="1" si="151"/>
        <v>0</v>
      </c>
      <c r="P485">
        <f t="shared" ca="1" si="152"/>
        <v>0.65999999999999659</v>
      </c>
      <c r="Q485">
        <f t="shared" ca="1" si="156"/>
        <v>0.57322165083366072</v>
      </c>
      <c r="R485">
        <f t="shared" ca="1" si="157"/>
        <v>0.49820552555855013</v>
      </c>
      <c r="S485">
        <f t="shared" ca="1" si="154"/>
        <v>1.1505726480873697</v>
      </c>
      <c r="T485">
        <f t="shared" ca="1" si="155"/>
        <v>53.50075707094301</v>
      </c>
      <c r="U485">
        <f>70</f>
        <v>70</v>
      </c>
      <c r="V485">
        <f>30</f>
        <v>30</v>
      </c>
      <c r="W485">
        <f t="shared" ca="1" si="153"/>
        <v>116.57598634513798</v>
      </c>
      <c r="X485">
        <f t="shared" ca="1" si="163"/>
        <v>116.20397336344828</v>
      </c>
      <c r="Y485">
        <f t="shared" ca="1" si="162"/>
        <v>0.34158575893243892</v>
      </c>
      <c r="Z485">
        <f t="shared" ca="1" si="143"/>
        <v>0.48200105714202368</v>
      </c>
      <c r="AA485">
        <f t="shared" ca="1" si="144"/>
        <v>-0.14041529820958476</v>
      </c>
      <c r="AB485">
        <f t="shared" ca="1" si="145"/>
        <v>112.79300000000003</v>
      </c>
    </row>
    <row r="486" spans="1:28" x14ac:dyDescent="0.25">
      <c r="A486" s="20">
        <f t="shared" ca="1" si="146"/>
        <v>45992</v>
      </c>
      <c r="B486" vm="1394">
        <f ca="1"/>
        <v>45996</v>
      </c>
      <c r="C486" vm="1395">
        <f ca="1"/>
        <v>116.54</v>
      </c>
      <c r="D486" vm="1396">
        <f ca="1"/>
        <v>12516864</v>
      </c>
      <c r="E486">
        <f t="shared" ca="1" si="147"/>
        <v>1458715330.5600002</v>
      </c>
      <c r="F486">
        <f ca="1">SUM($E$2:E486)/SUM($D$2:D486)</f>
        <v>111.70685846097332</v>
      </c>
      <c r="G486">
        <f ca="1">_xlfn.STDEV.P($C$2:C486)</f>
        <v>5.7833946583339877</v>
      </c>
      <c r="H486">
        <f t="shared" ca="1" si="148"/>
        <v>117.49025311930731</v>
      </c>
      <c r="I486">
        <f t="shared" ca="1" si="149"/>
        <v>105.92346380263933</v>
      </c>
      <c r="J486">
        <f t="shared" ca="1" si="158"/>
        <v>117.21199999999999</v>
      </c>
      <c r="K486">
        <f t="shared" ca="1" si="159"/>
        <v>1.447580922199444</v>
      </c>
      <c r="L486">
        <f t="shared" ca="1" si="160"/>
        <v>120.10716184439887</v>
      </c>
      <c r="M486">
        <f t="shared" ca="1" si="161"/>
        <v>114.3168381556011</v>
      </c>
      <c r="N486">
        <f t="shared" ca="1" si="150"/>
        <v>-0.59999999999999432</v>
      </c>
      <c r="O486">
        <f t="shared" ca="1" si="151"/>
        <v>0</v>
      </c>
      <c r="P486">
        <f t="shared" ca="1" si="152"/>
        <v>0.59999999999999432</v>
      </c>
      <c r="Q486">
        <f t="shared" ca="1" si="156"/>
        <v>0.53227724720268499</v>
      </c>
      <c r="R486">
        <f t="shared" ca="1" si="157"/>
        <v>0.50547655944722469</v>
      </c>
      <c r="S486">
        <f t="shared" ca="1" si="154"/>
        <v>1.0530206342006616</v>
      </c>
      <c r="T486">
        <f t="shared" ca="1" si="155"/>
        <v>51.291283519449507</v>
      </c>
      <c r="U486">
        <f>70</f>
        <v>70</v>
      </c>
      <c r="V486">
        <f>30</f>
        <v>30</v>
      </c>
      <c r="W486">
        <f t="shared" ca="1" si="153"/>
        <v>116.57044998434752</v>
      </c>
      <c r="X486">
        <f t="shared" ca="1" si="163"/>
        <v>116.22886422541508</v>
      </c>
      <c r="Y486">
        <f t="shared" ca="1" si="162"/>
        <v>0.26918168686982824</v>
      </c>
      <c r="Z486">
        <f t="shared" ref="Z486:Z514" ca="1" si="164">Y486*(2/(9+1)) + Z485*(1-(2/(9+1)))</f>
        <v>0.43943718308758462</v>
      </c>
      <c r="AA486">
        <f t="shared" ref="AA486:AA514" ca="1" si="165">Y486-Z486</f>
        <v>-0.17025549621775637</v>
      </c>
      <c r="AB486">
        <f t="shared" ref="AB486:AB514" ca="1" si="166">AVERAGE(C387:C486)</f>
        <v>112.83610000000003</v>
      </c>
    </row>
    <row r="487" spans="1:28" x14ac:dyDescent="0.25">
      <c r="A487" s="20">
        <f t="shared" ca="1" si="146"/>
        <v>45999</v>
      </c>
      <c r="B487" vm="1397">
        <f ca="1"/>
        <v>45999</v>
      </c>
      <c r="C487" vm="1310">
        <f ca="1"/>
        <v>115.98</v>
      </c>
      <c r="D487" vm="1398">
        <f ca="1"/>
        <v>14904164</v>
      </c>
      <c r="E487">
        <f t="shared" ca="1" si="147"/>
        <v>1728584940.72</v>
      </c>
      <c r="F487">
        <f ca="1">SUM($E$2:E487)/SUM($D$2:D487)</f>
        <v>111.71495834281566</v>
      </c>
      <c r="G487">
        <f ca="1">_xlfn.STDEV.P($C$2:C487)</f>
        <v>5.7800728008250895</v>
      </c>
      <c r="H487">
        <f t="shared" ca="1" si="148"/>
        <v>117.49503114364076</v>
      </c>
      <c r="I487">
        <f t="shared" ca="1" si="149"/>
        <v>105.93488554199057</v>
      </c>
      <c r="J487">
        <f t="shared" ca="1" si="158"/>
        <v>117.15000000000002</v>
      </c>
      <c r="K487">
        <f t="shared" ca="1" si="159"/>
        <v>1.4735420984109944</v>
      </c>
      <c r="L487">
        <f t="shared" ca="1" si="160"/>
        <v>120.09708419682201</v>
      </c>
      <c r="M487">
        <f t="shared" ca="1" si="161"/>
        <v>114.20291580317803</v>
      </c>
      <c r="N487">
        <f t="shared" ca="1" si="150"/>
        <v>-0.56000000000000227</v>
      </c>
      <c r="O487">
        <f t="shared" ca="1" si="151"/>
        <v>0</v>
      </c>
      <c r="P487">
        <f t="shared" ca="1" si="152"/>
        <v>0.56000000000000227</v>
      </c>
      <c r="Q487">
        <f t="shared" ca="1" si="156"/>
        <v>0.49425744383106462</v>
      </c>
      <c r="R487">
        <f t="shared" ca="1" si="157"/>
        <v>0.50937109091528021</v>
      </c>
      <c r="S487">
        <f t="shared" ca="1" si="154"/>
        <v>0.97032880869415239</v>
      </c>
      <c r="T487">
        <f t="shared" ca="1" si="155"/>
        <v>49.247049751926625</v>
      </c>
      <c r="U487">
        <f>70</f>
        <v>70</v>
      </c>
      <c r="V487">
        <f>30</f>
        <v>30</v>
      </c>
      <c r="W487">
        <f t="shared" ca="1" si="153"/>
        <v>116.47961152521712</v>
      </c>
      <c r="X487">
        <f t="shared" ca="1" si="163"/>
        <v>116.2104298383473</v>
      </c>
      <c r="Y487">
        <f t="shared" ca="1" si="162"/>
        <v>0.39046987329520277</v>
      </c>
      <c r="Z487">
        <f t="shared" ca="1" si="164"/>
        <v>0.42964372112910826</v>
      </c>
      <c r="AA487">
        <f t="shared" ca="1" si="165"/>
        <v>-3.9173847833905484E-2</v>
      </c>
      <c r="AB487">
        <f t="shared" ca="1" si="166"/>
        <v>112.87930000000001</v>
      </c>
    </row>
    <row r="488" spans="1:28" x14ac:dyDescent="0.25">
      <c r="A488" s="20">
        <f t="shared" ca="1" si="146"/>
        <v>45999</v>
      </c>
      <c r="B488" vm="1399">
        <f ca="1"/>
        <v>46000</v>
      </c>
      <c r="C488" vm="1400">
        <f ca="1"/>
        <v>118.25</v>
      </c>
      <c r="D488" vm="1401">
        <f ca="1"/>
        <v>23790815</v>
      </c>
      <c r="E488">
        <f t="shared" ca="1" si="147"/>
        <v>2813263873.75</v>
      </c>
      <c r="F488">
        <f ca="1">SUM($E$2:E488)/SUM($D$2:D488)</f>
        <v>111.73467209905546</v>
      </c>
      <c r="G488">
        <f ca="1">_xlfn.STDEV.P($C$2:C488)</f>
        <v>5.780756883569973</v>
      </c>
      <c r="H488">
        <f t="shared" ca="1" si="148"/>
        <v>117.51542898262544</v>
      </c>
      <c r="I488">
        <f t="shared" ca="1" si="149"/>
        <v>105.95391521548548</v>
      </c>
      <c r="J488">
        <f t="shared" ca="1" si="158"/>
        <v>117.15150000000001</v>
      </c>
      <c r="K488">
        <f t="shared" ca="1" si="159"/>
        <v>1.4747034492256055</v>
      </c>
      <c r="L488">
        <f t="shared" ca="1" si="160"/>
        <v>120.10090689845123</v>
      </c>
      <c r="M488">
        <f t="shared" ca="1" si="161"/>
        <v>114.2020931015488</v>
      </c>
      <c r="N488">
        <f t="shared" ca="1" si="150"/>
        <v>2.269999999999996</v>
      </c>
      <c r="O488">
        <f t="shared" ca="1" si="151"/>
        <v>2.269999999999996</v>
      </c>
      <c r="P488">
        <f t="shared" ca="1" si="152"/>
        <v>0</v>
      </c>
      <c r="Q488">
        <f t="shared" ca="1" si="156"/>
        <v>0.62109619784313119</v>
      </c>
      <c r="R488">
        <f t="shared" ca="1" si="157"/>
        <v>0.47298744156418876</v>
      </c>
      <c r="S488">
        <f t="shared" ca="1" si="154"/>
        <v>1.3131346485419164</v>
      </c>
      <c r="T488">
        <f t="shared" ca="1" si="155"/>
        <v>56.76862128928164</v>
      </c>
      <c r="U488">
        <f>70</f>
        <v>70</v>
      </c>
      <c r="V488">
        <f>30</f>
        <v>30</v>
      </c>
      <c r="W488">
        <f t="shared" ca="1" si="153"/>
        <v>116.75197898287603</v>
      </c>
      <c r="X488">
        <f t="shared" ca="1" si="163"/>
        <v>116.36150910958082</v>
      </c>
      <c r="Y488">
        <f t="shared" ca="1" si="162"/>
        <v>0.58395241396129904</v>
      </c>
      <c r="Z488">
        <f t="shared" ca="1" si="164"/>
        <v>0.46050545969554646</v>
      </c>
      <c r="AA488">
        <f t="shared" ca="1" si="165"/>
        <v>0.12344695426575258</v>
      </c>
      <c r="AB488">
        <f t="shared" ca="1" si="166"/>
        <v>112.9841</v>
      </c>
    </row>
    <row r="489" spans="1:28" x14ac:dyDescent="0.25">
      <c r="A489" s="20">
        <f t="shared" ca="1" si="146"/>
        <v>45999</v>
      </c>
      <c r="B489" vm="1402">
        <f ca="1"/>
        <v>46001</v>
      </c>
      <c r="C489" vm="1403">
        <f ca="1"/>
        <v>119.54</v>
      </c>
      <c r="D489" vm="1404">
        <f ca="1"/>
        <v>19845192</v>
      </c>
      <c r="E489">
        <f t="shared" ca="1" si="147"/>
        <v>2372294251.6800003</v>
      </c>
      <c r="F489">
        <f ca="1">SUM($E$2:E489)/SUM($D$2:D489)</f>
        <v>111.75426355470528</v>
      </c>
      <c r="G489">
        <f ca="1">_xlfn.STDEV.P($C$2:C489)</f>
        <v>5.7844869419280078</v>
      </c>
      <c r="H489">
        <f t="shared" ca="1" si="148"/>
        <v>117.53875049663328</v>
      </c>
      <c r="I489">
        <f t="shared" ca="1" si="149"/>
        <v>105.96977661277727</v>
      </c>
      <c r="J489">
        <f t="shared" ca="1" si="158"/>
        <v>117.13950000000003</v>
      </c>
      <c r="K489">
        <f t="shared" ca="1" si="159"/>
        <v>1.4530058680650892</v>
      </c>
      <c r="L489">
        <f t="shared" ca="1" si="160"/>
        <v>120.04551173613021</v>
      </c>
      <c r="M489">
        <f t="shared" ca="1" si="161"/>
        <v>114.23348826386984</v>
      </c>
      <c r="N489">
        <f t="shared" ca="1" si="150"/>
        <v>1.2900000000000063</v>
      </c>
      <c r="O489">
        <f t="shared" ca="1" si="151"/>
        <v>1.2900000000000063</v>
      </c>
      <c r="P489">
        <f t="shared" ca="1" si="152"/>
        <v>0</v>
      </c>
      <c r="Q489">
        <f t="shared" ca="1" si="156"/>
        <v>0.66887504085433658</v>
      </c>
      <c r="R489">
        <f t="shared" ca="1" si="157"/>
        <v>0.43920262430960383</v>
      </c>
      <c r="S489">
        <f t="shared" ca="1" si="154"/>
        <v>1.5229304285368557</v>
      </c>
      <c r="T489">
        <f t="shared" ca="1" si="155"/>
        <v>60.363552292643341</v>
      </c>
      <c r="U489">
        <f>70</f>
        <v>70</v>
      </c>
      <c r="V489">
        <f>30</f>
        <v>30</v>
      </c>
      <c r="W489">
        <f t="shared" ca="1" si="153"/>
        <v>117.1809052932028</v>
      </c>
      <c r="X489">
        <f t="shared" ca="1" si="163"/>
        <v>116.5969528792415</v>
      </c>
      <c r="Y489">
        <f t="shared" ca="1" si="162"/>
        <v>0.72888657073431773</v>
      </c>
      <c r="Z489">
        <f t="shared" ca="1" si="164"/>
        <v>0.51418168190330071</v>
      </c>
      <c r="AA489">
        <f t="shared" ca="1" si="165"/>
        <v>0.21470488883101702</v>
      </c>
      <c r="AB489">
        <f t="shared" ca="1" si="166"/>
        <v>113.09900000000002</v>
      </c>
    </row>
    <row r="490" spans="1:28" x14ac:dyDescent="0.25">
      <c r="A490" s="20">
        <f t="shared" ca="1" si="146"/>
        <v>45999</v>
      </c>
      <c r="B490" vm="1405">
        <f ca="1"/>
        <v>46002</v>
      </c>
      <c r="C490" vm="1403">
        <f ca="1"/>
        <v>119.54</v>
      </c>
      <c r="D490" vm="1406">
        <f ca="1"/>
        <v>14781787</v>
      </c>
      <c r="E490">
        <f t="shared" ca="1" si="147"/>
        <v>1767014817.98</v>
      </c>
      <c r="F490">
        <f ca="1">SUM($E$2:E490)/SUM($D$2:D490)</f>
        <v>111.76879255358097</v>
      </c>
      <c r="G490">
        <f ca="1">_xlfn.STDEV.P($C$2:C490)</f>
        <v>5.788160001337773</v>
      </c>
      <c r="H490">
        <f t="shared" ca="1" si="148"/>
        <v>117.55695255491874</v>
      </c>
      <c r="I490">
        <f t="shared" ca="1" si="149"/>
        <v>105.98063255224319</v>
      </c>
      <c r="J490">
        <f t="shared" ca="1" si="158"/>
        <v>117.2105</v>
      </c>
      <c r="K490">
        <f t="shared" ca="1" si="159"/>
        <v>1.5357750486317994</v>
      </c>
      <c r="L490">
        <f t="shared" ca="1" si="160"/>
        <v>120.28205009726359</v>
      </c>
      <c r="M490">
        <f t="shared" ca="1" si="161"/>
        <v>114.1389499027364</v>
      </c>
      <c r="N490">
        <f t="shared" ca="1" si="150"/>
        <v>0</v>
      </c>
      <c r="O490">
        <f t="shared" ca="1" si="151"/>
        <v>0</v>
      </c>
      <c r="P490">
        <f t="shared" ca="1" si="152"/>
        <v>0</v>
      </c>
      <c r="Q490">
        <f t="shared" ca="1" si="156"/>
        <v>0.62109825222188397</v>
      </c>
      <c r="R490">
        <f t="shared" ca="1" si="157"/>
        <v>0.40783100828748925</v>
      </c>
      <c r="S490">
        <f t="shared" ca="1" si="154"/>
        <v>1.5229304285368557</v>
      </c>
      <c r="T490">
        <f t="shared" ca="1" si="155"/>
        <v>60.363552292643341</v>
      </c>
      <c r="U490">
        <f>70</f>
        <v>70</v>
      </c>
      <c r="V490">
        <f>30</f>
        <v>30</v>
      </c>
      <c r="W490">
        <f t="shared" ca="1" si="153"/>
        <v>117.54384294040237</v>
      </c>
      <c r="X490">
        <f t="shared" ca="1" si="163"/>
        <v>116.81495636966805</v>
      </c>
      <c r="Y490">
        <f t="shared" ca="1" si="162"/>
        <v>0.77669667566208034</v>
      </c>
      <c r="Z490">
        <f t="shared" ca="1" si="164"/>
        <v>0.56668468065505662</v>
      </c>
      <c r="AA490">
        <f t="shared" ca="1" si="165"/>
        <v>0.21001199500702372</v>
      </c>
      <c r="AB490">
        <f t="shared" ca="1" si="166"/>
        <v>113.20900000000002</v>
      </c>
    </row>
    <row r="491" spans="1:28" x14ac:dyDescent="0.25">
      <c r="A491" s="20">
        <f t="shared" ca="1" si="146"/>
        <v>45999</v>
      </c>
      <c r="B491" vm="1407">
        <f ca="1"/>
        <v>46003</v>
      </c>
      <c r="C491" vm="1408">
        <f ca="1"/>
        <v>118.82</v>
      </c>
      <c r="D491" vm="1409">
        <f ca="1"/>
        <v>14459538</v>
      </c>
      <c r="E491">
        <f t="shared" ca="1" si="147"/>
        <v>1718082305.1599998</v>
      </c>
      <c r="F491">
        <f ca="1">SUM($E$2:E491)/SUM($D$2:D491)</f>
        <v>111.78164053536638</v>
      </c>
      <c r="G491">
        <f ca="1">_xlfn.STDEV.P($C$2:C491)</f>
        <v>5.7900047711821792</v>
      </c>
      <c r="H491">
        <f t="shared" ca="1" si="148"/>
        <v>117.57164530654856</v>
      </c>
      <c r="I491">
        <f t="shared" ca="1" si="149"/>
        <v>105.9916357641842</v>
      </c>
      <c r="J491">
        <f t="shared" ca="1" si="158"/>
        <v>117.21200000000002</v>
      </c>
      <c r="K491">
        <f t="shared" ca="1" si="159"/>
        <v>1.5374127275188161</v>
      </c>
      <c r="L491">
        <f t="shared" ca="1" si="160"/>
        <v>120.28682545503764</v>
      </c>
      <c r="M491">
        <f t="shared" ca="1" si="161"/>
        <v>114.13717454496239</v>
      </c>
      <c r="N491">
        <f t="shared" ca="1" si="150"/>
        <v>-0.72000000000001307</v>
      </c>
      <c r="O491">
        <f t="shared" ca="1" si="151"/>
        <v>0</v>
      </c>
      <c r="P491">
        <f t="shared" ca="1" si="152"/>
        <v>0.72000000000001307</v>
      </c>
      <c r="Q491">
        <f t="shared" ca="1" si="156"/>
        <v>0.5767340913488922</v>
      </c>
      <c r="R491">
        <f t="shared" ca="1" si="157"/>
        <v>0.43012879340981236</v>
      </c>
      <c r="S491">
        <f t="shared" ca="1" si="154"/>
        <v>1.3408404649613848</v>
      </c>
      <c r="T491">
        <f t="shared" ca="1" si="155"/>
        <v>57.280301029976592</v>
      </c>
      <c r="U491">
        <f>70</f>
        <v>70</v>
      </c>
      <c r="V491">
        <f>30</f>
        <v>30</v>
      </c>
      <c r="W491">
        <f t="shared" ca="1" si="153"/>
        <v>117.74017479572508</v>
      </c>
      <c r="X491">
        <f t="shared" ca="1" si="163"/>
        <v>116.963478120063</v>
      </c>
      <c r="Y491">
        <f t="shared" ca="1" si="162"/>
        <v>0.72074508635292034</v>
      </c>
      <c r="Z491">
        <f t="shared" ca="1" si="164"/>
        <v>0.59749676179462941</v>
      </c>
      <c r="AA491">
        <f t="shared" ca="1" si="165"/>
        <v>0.12324832455829093</v>
      </c>
      <c r="AB491">
        <f t="shared" ca="1" si="166"/>
        <v>113.29790000000001</v>
      </c>
    </row>
    <row r="492" spans="1:28" x14ac:dyDescent="0.25">
      <c r="A492" s="20">
        <f t="shared" ca="1" si="146"/>
        <v>46006</v>
      </c>
      <c r="B492" vm="1410">
        <f ca="1"/>
        <v>46006</v>
      </c>
      <c r="C492" vm="1411">
        <f ca="1"/>
        <v>117.76</v>
      </c>
      <c r="D492" vm="1412">
        <f ca="1"/>
        <v>16358669</v>
      </c>
      <c r="E492">
        <f t="shared" ca="1" si="147"/>
        <v>1926396861.4400001</v>
      </c>
      <c r="F492">
        <f ca="1">SUM($E$2:E492)/SUM($D$2:D492)</f>
        <v>111.79393904977793</v>
      </c>
      <c r="G492">
        <f ca="1">_xlfn.STDEV.P($C$2:C492)</f>
        <v>5.7895425912829399</v>
      </c>
      <c r="H492">
        <f t="shared" ca="1" si="148"/>
        <v>117.58348164106087</v>
      </c>
      <c r="I492">
        <f t="shared" ca="1" si="149"/>
        <v>106.00439645849499</v>
      </c>
      <c r="J492">
        <f t="shared" ca="1" si="158"/>
        <v>117.13550000000002</v>
      </c>
      <c r="K492">
        <f t="shared" ca="1" si="159"/>
        <v>1.4649285055304888</v>
      </c>
      <c r="L492">
        <f t="shared" ca="1" si="160"/>
        <v>120.065357011061</v>
      </c>
      <c r="M492">
        <f t="shared" ca="1" si="161"/>
        <v>114.20564298893905</v>
      </c>
      <c r="N492">
        <f t="shared" ca="1" si="150"/>
        <v>-1.0599999999999881</v>
      </c>
      <c r="O492">
        <f t="shared" ca="1" si="151"/>
        <v>0</v>
      </c>
      <c r="P492">
        <f t="shared" ca="1" si="152"/>
        <v>1.0599999999999881</v>
      </c>
      <c r="Q492">
        <f t="shared" ca="1" si="156"/>
        <v>0.5355387991096856</v>
      </c>
      <c r="R492">
        <f t="shared" ca="1" si="157"/>
        <v>0.4751195938805392</v>
      </c>
      <c r="S492">
        <f t="shared" ca="1" si="154"/>
        <v>1.1271663092984074</v>
      </c>
      <c r="T492">
        <f t="shared" ca="1" si="155"/>
        <v>52.989101245693149</v>
      </c>
      <c r="U492">
        <f>70</f>
        <v>70</v>
      </c>
      <c r="V492">
        <f>30</f>
        <v>30</v>
      </c>
      <c r="W492">
        <f t="shared" ca="1" si="153"/>
        <v>117.74322482715201</v>
      </c>
      <c r="X492">
        <f t="shared" ca="1" si="163"/>
        <v>117.02247974079908</v>
      </c>
      <c r="Y492">
        <f t="shared" ca="1" si="162"/>
        <v>0.42299674616651828</v>
      </c>
      <c r="Z492">
        <f t="shared" ca="1" si="164"/>
        <v>0.56259675866900727</v>
      </c>
      <c r="AA492">
        <f t="shared" ca="1" si="165"/>
        <v>-0.13960001250248899</v>
      </c>
      <c r="AB492">
        <f t="shared" ca="1" si="166"/>
        <v>113.36760000000002</v>
      </c>
    </row>
    <row r="493" spans="1:28" x14ac:dyDescent="0.25">
      <c r="A493" s="20">
        <f t="shared" ca="1" si="146"/>
        <v>46006</v>
      </c>
      <c r="B493" vm="1413">
        <f ca="1"/>
        <v>46007</v>
      </c>
      <c r="C493" vm="1234">
        <f ca="1"/>
        <v>114.68</v>
      </c>
      <c r="D493" vm="1414">
        <f ca="1"/>
        <v>17638716</v>
      </c>
      <c r="E493">
        <f t="shared" ca="1" si="147"/>
        <v>2022807950.8800001</v>
      </c>
      <c r="F493">
        <f ca="1">SUM($E$2:E493)/SUM($D$2:D493)</f>
        <v>111.80032657856646</v>
      </c>
      <c r="G493">
        <f ca="1">_xlfn.STDEV.P($C$2:C493)</f>
        <v>5.7847280611243406</v>
      </c>
      <c r="H493">
        <f t="shared" ca="1" si="148"/>
        <v>117.5850546396908</v>
      </c>
      <c r="I493">
        <f t="shared" ca="1" si="149"/>
        <v>106.01559851744211</v>
      </c>
      <c r="J493">
        <f t="shared" ca="1" si="158"/>
        <v>116.9855</v>
      </c>
      <c r="K493">
        <f t="shared" ca="1" si="159"/>
        <v>1.5569419250231322</v>
      </c>
      <c r="L493">
        <f t="shared" ca="1" si="160"/>
        <v>120.09938385004627</v>
      </c>
      <c r="M493">
        <f t="shared" ca="1" si="161"/>
        <v>113.87161614995374</v>
      </c>
      <c r="N493">
        <f t="shared" ca="1" si="150"/>
        <v>-3.0799999999999983</v>
      </c>
      <c r="O493">
        <f t="shared" ca="1" si="151"/>
        <v>0</v>
      </c>
      <c r="P493">
        <f t="shared" ca="1" si="152"/>
        <v>3.0799999999999983</v>
      </c>
      <c r="Q493">
        <f t="shared" ca="1" si="156"/>
        <v>0.49728602774470809</v>
      </c>
      <c r="R493">
        <f t="shared" ca="1" si="157"/>
        <v>0.66118248003192914</v>
      </c>
      <c r="S493">
        <f t="shared" ca="1" si="154"/>
        <v>0.75211615970328438</v>
      </c>
      <c r="T493">
        <f t="shared" ca="1" si="155"/>
        <v>42.92615849343305</v>
      </c>
      <c r="U493">
        <f>70</f>
        <v>70</v>
      </c>
      <c r="V493">
        <f>30</f>
        <v>30</v>
      </c>
      <c r="W493">
        <f t="shared" ca="1" si="153"/>
        <v>117.27195946912863</v>
      </c>
      <c r="X493">
        <f t="shared" ca="1" si="163"/>
        <v>116.84896272296211</v>
      </c>
      <c r="Y493">
        <f t="shared" ca="1" si="162"/>
        <v>0.40267543409834161</v>
      </c>
      <c r="Z493">
        <f t="shared" ca="1" si="164"/>
        <v>0.53061249375487418</v>
      </c>
      <c r="AA493">
        <f t="shared" ca="1" si="165"/>
        <v>-0.12793705965653257</v>
      </c>
      <c r="AB493">
        <f t="shared" ca="1" si="166"/>
        <v>113.41040000000002</v>
      </c>
    </row>
    <row r="494" spans="1:28" x14ac:dyDescent="0.25">
      <c r="A494" s="20">
        <f t="shared" ca="1" si="146"/>
        <v>46006</v>
      </c>
      <c r="B494" vm="1415">
        <f ca="1"/>
        <v>46008</v>
      </c>
      <c r="C494" vm="1416">
        <f ca="1"/>
        <v>117.41</v>
      </c>
      <c r="D494" vm="1417">
        <f ca="1"/>
        <v>18502152</v>
      </c>
      <c r="E494">
        <f t="shared" ca="1" si="147"/>
        <v>2172337666.3200002</v>
      </c>
      <c r="F494">
        <f ca="1">SUM($E$2:E494)/SUM($D$2:D494)</f>
        <v>111.81331968957018</v>
      </c>
      <c r="G494">
        <f ca="1">_xlfn.STDEV.P($C$2:C494)</f>
        <v>5.7835881485466558</v>
      </c>
      <c r="H494">
        <f t="shared" ca="1" si="148"/>
        <v>117.59690783811683</v>
      </c>
      <c r="I494">
        <f t="shared" ca="1" si="149"/>
        <v>106.02973154102352</v>
      </c>
      <c r="J494">
        <f t="shared" ca="1" si="158"/>
        <v>116.90449999999998</v>
      </c>
      <c r="K494">
        <f t="shared" ca="1" si="159"/>
        <v>1.4854787461499268</v>
      </c>
      <c r="L494">
        <f t="shared" ca="1" si="160"/>
        <v>119.87545749229984</v>
      </c>
      <c r="M494">
        <f t="shared" ca="1" si="161"/>
        <v>113.93354250770012</v>
      </c>
      <c r="N494">
        <f t="shared" ca="1" si="150"/>
        <v>2.7299999999999898</v>
      </c>
      <c r="O494">
        <f t="shared" ca="1" si="151"/>
        <v>2.7299999999999898</v>
      </c>
      <c r="P494">
        <f t="shared" ca="1" si="152"/>
        <v>0</v>
      </c>
      <c r="Q494">
        <f t="shared" ca="1" si="156"/>
        <v>0.65676559719151395</v>
      </c>
      <c r="R494">
        <f t="shared" ca="1" si="157"/>
        <v>0.61395516002964856</v>
      </c>
      <c r="S494">
        <f t="shared" ca="1" si="154"/>
        <v>1.0697289312786262</v>
      </c>
      <c r="T494">
        <f t="shared" ca="1" si="155"/>
        <v>51.684494288717062</v>
      </c>
      <c r="U494">
        <f>70</f>
        <v>70</v>
      </c>
      <c r="V494">
        <f>30</f>
        <v>30</v>
      </c>
      <c r="W494">
        <f t="shared" ca="1" si="153"/>
        <v>117.29319647387807</v>
      </c>
      <c r="X494">
        <f t="shared" ca="1" si="163"/>
        <v>116.89052103977973</v>
      </c>
      <c r="Y494">
        <f t="shared" ca="1" si="162"/>
        <v>0.31276357496687979</v>
      </c>
      <c r="Z494">
        <f t="shared" ca="1" si="164"/>
        <v>0.48704270999727534</v>
      </c>
      <c r="AA494">
        <f t="shared" ca="1" si="165"/>
        <v>-0.17427913503039555</v>
      </c>
      <c r="AB494">
        <f t="shared" ca="1" si="166"/>
        <v>113.47010000000002</v>
      </c>
    </row>
    <row r="495" spans="1:28" x14ac:dyDescent="0.25">
      <c r="A495" s="20">
        <f t="shared" ca="1" si="146"/>
        <v>46006</v>
      </c>
      <c r="B495" vm="1418">
        <f ca="1"/>
        <v>46009</v>
      </c>
      <c r="C495" vm="1395">
        <f ca="1"/>
        <v>116.54</v>
      </c>
      <c r="D495" vm="1419">
        <f ca="1"/>
        <v>13705560</v>
      </c>
      <c r="E495">
        <f t="shared" ca="1" si="147"/>
        <v>1597245962.4000001</v>
      </c>
      <c r="F495">
        <f ca="1">SUM($E$2:E495)/SUM($D$2:D495)</f>
        <v>111.82141552823728</v>
      </c>
      <c r="G495">
        <f ca="1">_xlfn.STDEV.P($C$2:C495)</f>
        <v>5.7809889046127036</v>
      </c>
      <c r="H495">
        <f t="shared" ca="1" si="148"/>
        <v>117.60240443284998</v>
      </c>
      <c r="I495">
        <f t="shared" ca="1" si="149"/>
        <v>106.04042662362458</v>
      </c>
      <c r="J495">
        <f t="shared" ca="1" si="158"/>
        <v>116.86399999999999</v>
      </c>
      <c r="K495">
        <f t="shared" ca="1" si="159"/>
        <v>1.4837342647593783</v>
      </c>
      <c r="L495">
        <f t="shared" ca="1" si="160"/>
        <v>119.83146852951874</v>
      </c>
      <c r="M495">
        <f t="shared" ca="1" si="161"/>
        <v>113.89653147048124</v>
      </c>
      <c r="N495">
        <f t="shared" ca="1" si="150"/>
        <v>-0.86999999999999034</v>
      </c>
      <c r="O495">
        <f t="shared" ca="1" si="151"/>
        <v>0</v>
      </c>
      <c r="P495">
        <f t="shared" ca="1" si="152"/>
        <v>0.86999999999999034</v>
      </c>
      <c r="Q495">
        <f t="shared" ca="1" si="156"/>
        <v>0.60985376882069153</v>
      </c>
      <c r="R495">
        <f t="shared" ca="1" si="157"/>
        <v>0.63224407717038722</v>
      </c>
      <c r="S495">
        <f t="shared" ca="1" si="154"/>
        <v>0.96458597374307775</v>
      </c>
      <c r="T495">
        <f t="shared" ca="1" si="155"/>
        <v>49.098689832610155</v>
      </c>
      <c r="U495">
        <f>70</f>
        <v>70</v>
      </c>
      <c r="V495">
        <f>30</f>
        <v>30</v>
      </c>
      <c r="W495">
        <f t="shared" ca="1" si="153"/>
        <v>117.17732009328144</v>
      </c>
      <c r="X495">
        <f t="shared" ca="1" si="163"/>
        <v>116.86455651831456</v>
      </c>
      <c r="Y495">
        <f t="shared" ca="1" si="162"/>
        <v>0.25072136539131407</v>
      </c>
      <c r="Z495">
        <f t="shared" ca="1" si="164"/>
        <v>0.4397784410760831</v>
      </c>
      <c r="AA495">
        <f t="shared" ca="1" si="165"/>
        <v>-0.18905707568476904</v>
      </c>
      <c r="AB495">
        <f t="shared" ca="1" si="166"/>
        <v>113.50670000000004</v>
      </c>
    </row>
    <row r="496" spans="1:28" x14ac:dyDescent="0.25">
      <c r="A496" s="20">
        <f t="shared" ca="1" si="146"/>
        <v>46006</v>
      </c>
      <c r="B496" vm="1420">
        <f ca="1"/>
        <v>46010</v>
      </c>
      <c r="C496" vm="615">
        <f ca="1"/>
        <v>116.69</v>
      </c>
      <c r="D496" vm="1421">
        <f ca="1"/>
        <v>45412814</v>
      </c>
      <c r="E496">
        <f t="shared" ca="1" si="147"/>
        <v>5299221265.6599998</v>
      </c>
      <c r="F496">
        <f ca="1">SUM($E$2:E496)/SUM($D$2:D496)</f>
        <v>111.84889017886528</v>
      </c>
      <c r="G496">
        <f ca="1">_xlfn.STDEV.P($C$2:C496)</f>
        <v>5.7786152728473406</v>
      </c>
      <c r="H496">
        <f t="shared" ca="1" si="148"/>
        <v>117.62750545171262</v>
      </c>
      <c r="I496">
        <f t="shared" ca="1" si="149"/>
        <v>106.07027490601793</v>
      </c>
      <c r="J496">
        <f t="shared" ca="1" si="158"/>
        <v>116.8475</v>
      </c>
      <c r="K496">
        <f t="shared" ca="1" si="159"/>
        <v>1.4837430441463346</v>
      </c>
      <c r="L496">
        <f t="shared" ca="1" si="160"/>
        <v>119.81498608829267</v>
      </c>
      <c r="M496">
        <f t="shared" ca="1" si="161"/>
        <v>113.88001391170732</v>
      </c>
      <c r="N496">
        <f t="shared" ca="1" si="150"/>
        <v>0.14999999999999147</v>
      </c>
      <c r="O496">
        <f t="shared" ca="1" si="151"/>
        <v>0.14999999999999147</v>
      </c>
      <c r="P496">
        <f t="shared" ca="1" si="152"/>
        <v>0</v>
      </c>
      <c r="Q496">
        <f t="shared" ca="1" si="156"/>
        <v>0.57700707104778437</v>
      </c>
      <c r="R496">
        <f t="shared" ca="1" si="157"/>
        <v>0.58708378594393096</v>
      </c>
      <c r="S496">
        <f t="shared" ca="1" si="154"/>
        <v>0.98283598502052827</v>
      </c>
      <c r="T496">
        <f t="shared" ca="1" si="155"/>
        <v>49.56718520570692</v>
      </c>
      <c r="U496">
        <f>70</f>
        <v>70</v>
      </c>
      <c r="V496">
        <f>30</f>
        <v>30</v>
      </c>
      <c r="W496">
        <f t="shared" ca="1" si="153"/>
        <v>117.10234777123813</v>
      </c>
      <c r="X496">
        <f t="shared" ca="1" si="163"/>
        <v>116.85162640584682</v>
      </c>
      <c r="Y496">
        <f t="shared" ca="1" si="162"/>
        <v>0.31572280956554266</v>
      </c>
      <c r="Z496">
        <f t="shared" ca="1" si="164"/>
        <v>0.41496731477397503</v>
      </c>
      <c r="AA496">
        <f t="shared" ca="1" si="165"/>
        <v>-9.9244505208432365E-2</v>
      </c>
      <c r="AB496">
        <f t="shared" ca="1" si="166"/>
        <v>113.55460000000005</v>
      </c>
    </row>
    <row r="497" spans="1:28" x14ac:dyDescent="0.25">
      <c r="A497" s="20">
        <f t="shared" ca="1" si="146"/>
        <v>46013</v>
      </c>
      <c r="B497" vm="1422">
        <f ca="1"/>
        <v>46013</v>
      </c>
      <c r="C497" vm="1423">
        <f ca="1"/>
        <v>118.15</v>
      </c>
      <c r="D497" vm="1424">
        <f ca="1"/>
        <v>11768611</v>
      </c>
      <c r="E497">
        <f t="shared" ca="1" si="147"/>
        <v>1390461389.6500001</v>
      </c>
      <c r="F497">
        <f ca="1">SUM($E$2:E497)/SUM($D$2:D497)</f>
        <v>111.85809167925935</v>
      </c>
      <c r="G497">
        <f ca="1">_xlfn.STDEV.P($C$2:C497)</f>
        <v>5.7788698017742055</v>
      </c>
      <c r="H497">
        <f t="shared" ca="1" si="148"/>
        <v>117.63696148103355</v>
      </c>
      <c r="I497">
        <f t="shared" ca="1" si="149"/>
        <v>106.07922187748514</v>
      </c>
      <c r="J497">
        <f t="shared" ca="1" si="158"/>
        <v>116.901</v>
      </c>
      <c r="K497">
        <f t="shared" ca="1" si="159"/>
        <v>1.5115969248307881</v>
      </c>
      <c r="L497">
        <f t="shared" ca="1" si="160"/>
        <v>119.92419384966158</v>
      </c>
      <c r="M497">
        <f t="shared" ca="1" si="161"/>
        <v>113.87780615033842</v>
      </c>
      <c r="N497">
        <f t="shared" ca="1" si="150"/>
        <v>1.460000000000008</v>
      </c>
      <c r="O497">
        <f t="shared" ca="1" si="151"/>
        <v>1.460000000000008</v>
      </c>
      <c r="P497">
        <f t="shared" ca="1" si="152"/>
        <v>0</v>
      </c>
      <c r="Q497">
        <f t="shared" ca="1" si="156"/>
        <v>0.64007799454437175</v>
      </c>
      <c r="R497">
        <f t="shared" ca="1" si="157"/>
        <v>0.54514922980507874</v>
      </c>
      <c r="S497">
        <f t="shared" ca="1" si="154"/>
        <v>1.174133539128791</v>
      </c>
      <c r="T497">
        <f t="shared" ca="1" si="155"/>
        <v>54.004665214781809</v>
      </c>
      <c r="U497">
        <f>70</f>
        <v>70</v>
      </c>
      <c r="V497">
        <f>30</f>
        <v>30</v>
      </c>
      <c r="W497">
        <f t="shared" ca="1" si="153"/>
        <v>117.26352503720149</v>
      </c>
      <c r="X497">
        <f t="shared" ca="1" si="163"/>
        <v>116.94780222763595</v>
      </c>
      <c r="Y497">
        <f t="shared" ca="1" si="162"/>
        <v>0.46436242754177215</v>
      </c>
      <c r="Z497">
        <f t="shared" ca="1" si="164"/>
        <v>0.42484633732753446</v>
      </c>
      <c r="AA497">
        <f t="shared" ca="1" si="165"/>
        <v>3.9516090214237687E-2</v>
      </c>
      <c r="AB497">
        <f t="shared" ca="1" si="166"/>
        <v>113.61970000000002</v>
      </c>
    </row>
    <row r="498" spans="1:28" x14ac:dyDescent="0.25">
      <c r="A498" s="20">
        <f t="shared" ca="1" si="146"/>
        <v>46013</v>
      </c>
      <c r="B498" vm="1425">
        <f ca="1"/>
        <v>46014</v>
      </c>
      <c r="C498" vm="1426">
        <f ca="1"/>
        <v>119.42</v>
      </c>
      <c r="D498" vm="1427">
        <f ca="1"/>
        <v>12567630</v>
      </c>
      <c r="E498">
        <f t="shared" ca="1" si="147"/>
        <v>1500826374.5999999</v>
      </c>
      <c r="F498">
        <f ca="1">SUM($E$2:E498)/SUM($D$2:D498)</f>
        <v>111.86986569076443</v>
      </c>
      <c r="G498">
        <f ca="1">_xlfn.STDEV.P($C$2:C498)</f>
        <v>5.78198083889676</v>
      </c>
      <c r="H498">
        <f t="shared" ca="1" si="148"/>
        <v>117.65184652966119</v>
      </c>
      <c r="I498">
        <f t="shared" ca="1" si="149"/>
        <v>106.08788485186767</v>
      </c>
      <c r="J498">
        <f t="shared" ca="1" si="158"/>
        <v>117.0735</v>
      </c>
      <c r="K498">
        <f t="shared" ca="1" si="159"/>
        <v>1.5943494796179085</v>
      </c>
      <c r="L498">
        <f t="shared" ca="1" si="160"/>
        <v>120.26219895923582</v>
      </c>
      <c r="M498">
        <f t="shared" ca="1" si="161"/>
        <v>113.88480104076417</v>
      </c>
      <c r="N498">
        <f t="shared" ca="1" si="150"/>
        <v>1.269999999999996</v>
      </c>
      <c r="O498">
        <f t="shared" ca="1" si="151"/>
        <v>1.269999999999996</v>
      </c>
      <c r="P498">
        <f t="shared" ca="1" si="152"/>
        <v>0</v>
      </c>
      <c r="Q498">
        <f t="shared" ca="1" si="156"/>
        <v>0.68507242350548769</v>
      </c>
      <c r="R498">
        <f t="shared" ca="1" si="157"/>
        <v>0.50620999910471598</v>
      </c>
      <c r="S498">
        <f t="shared" ca="1" si="154"/>
        <v>1.353336411207025</v>
      </c>
      <c r="T498">
        <f t="shared" ca="1" si="155"/>
        <v>57.507137728468642</v>
      </c>
      <c r="U498">
        <f>70</f>
        <v>70</v>
      </c>
      <c r="V498">
        <f>30</f>
        <v>30</v>
      </c>
      <c r="W498">
        <f t="shared" ca="1" si="153"/>
        <v>117.59529041609358</v>
      </c>
      <c r="X498">
        <f t="shared" ca="1" si="163"/>
        <v>117.1309279885518</v>
      </c>
      <c r="Y498">
        <f t="shared" ca="1" si="162"/>
        <v>0.55957167322067392</v>
      </c>
      <c r="Z498">
        <f t="shared" ca="1" si="164"/>
        <v>0.4517914045061624</v>
      </c>
      <c r="AA498">
        <f t="shared" ca="1" si="165"/>
        <v>0.10778026871451152</v>
      </c>
      <c r="AB498">
        <f t="shared" ca="1" si="166"/>
        <v>113.71750000000002</v>
      </c>
    </row>
    <row r="499" spans="1:28" x14ac:dyDescent="0.25">
      <c r="A499" s="20">
        <f t="shared" ca="1" si="146"/>
        <v>46013</v>
      </c>
      <c r="B499" vm="1428">
        <f ca="1"/>
        <v>46015</v>
      </c>
      <c r="C499" vm="1429">
        <f ca="1"/>
        <v>119.22</v>
      </c>
      <c r="D499" vm="1430">
        <f ca="1"/>
        <v>6137406</v>
      </c>
      <c r="E499">
        <f t="shared" ca="1" si="147"/>
        <v>731701543.32000005</v>
      </c>
      <c r="F499">
        <f ca="1">SUM($E$2:E499)/SUM($D$2:D499)</f>
        <v>111.87545026015705</v>
      </c>
      <c r="G499">
        <f ca="1">_xlfn.STDEV.P($C$2:C499)</f>
        <v>5.7845533062381325</v>
      </c>
      <c r="H499">
        <f t="shared" ca="1" si="148"/>
        <v>117.66000356639519</v>
      </c>
      <c r="I499">
        <f t="shared" ca="1" si="149"/>
        <v>106.09089695391891</v>
      </c>
      <c r="J499">
        <f t="shared" ca="1" si="158"/>
        <v>117.309</v>
      </c>
      <c r="K499">
        <f t="shared" ca="1" si="159"/>
        <v>1.5427893399192332</v>
      </c>
      <c r="L499">
        <f t="shared" ca="1" si="160"/>
        <v>120.39457867983846</v>
      </c>
      <c r="M499">
        <f t="shared" ca="1" si="161"/>
        <v>114.22342132016153</v>
      </c>
      <c r="N499">
        <f t="shared" ca="1" si="150"/>
        <v>-0.20000000000000284</v>
      </c>
      <c r="O499">
        <f t="shared" ca="1" si="151"/>
        <v>0</v>
      </c>
      <c r="P499">
        <f t="shared" ca="1" si="152"/>
        <v>0.20000000000000284</v>
      </c>
      <c r="Q499">
        <f t="shared" ca="1" si="156"/>
        <v>0.63613867896938137</v>
      </c>
      <c r="R499">
        <f t="shared" ca="1" si="157"/>
        <v>0.48433785631152215</v>
      </c>
      <c r="S499">
        <f t="shared" ca="1" si="154"/>
        <v>1.3134192809414058</v>
      </c>
      <c r="T499">
        <f t="shared" ca="1" si="155"/>
        <v>56.773940277999785</v>
      </c>
      <c r="U499">
        <f>70</f>
        <v>70</v>
      </c>
      <c r="V499">
        <f>30</f>
        <v>30</v>
      </c>
      <c r="W499">
        <f t="shared" ca="1" si="153"/>
        <v>117.84524573669457</v>
      </c>
      <c r="X499">
        <f t="shared" ca="1" si="163"/>
        <v>117.28567406347389</v>
      </c>
      <c r="Y499">
        <f t="shared" ca="1" si="162"/>
        <v>0.61901399763326026</v>
      </c>
      <c r="Z499">
        <f t="shared" ca="1" si="164"/>
        <v>0.48523592313158204</v>
      </c>
      <c r="AA499">
        <f t="shared" ca="1" si="165"/>
        <v>0.13377807450167822</v>
      </c>
      <c r="AB499">
        <f t="shared" ca="1" si="166"/>
        <v>113.836</v>
      </c>
    </row>
    <row r="500" spans="1:28" x14ac:dyDescent="0.25">
      <c r="A500" s="20">
        <f t="shared" ca="1" si="146"/>
        <v>46013</v>
      </c>
      <c r="B500" vm="1431">
        <f ca="1"/>
        <v>46017</v>
      </c>
      <c r="C500" vm="1432">
        <f ca="1"/>
        <v>119.11</v>
      </c>
      <c r="D500" vm="1433">
        <f ca="1"/>
        <v>8066129</v>
      </c>
      <c r="E500">
        <f t="shared" ca="1" si="147"/>
        <v>960756625.18999994</v>
      </c>
      <c r="F500">
        <f ca="1">SUM($E$2:E500)/SUM($D$2:D500)</f>
        <v>111.88266719492925</v>
      </c>
      <c r="G500">
        <f ca="1">_xlfn.STDEV.P($C$2:C500)</f>
        <v>5.7868191315039645</v>
      </c>
      <c r="H500">
        <f t="shared" ca="1" si="148"/>
        <v>117.66948632643322</v>
      </c>
      <c r="I500">
        <f t="shared" ca="1" si="149"/>
        <v>106.09584806342529</v>
      </c>
      <c r="J500">
        <f t="shared" ca="1" si="158"/>
        <v>117.526</v>
      </c>
      <c r="K500">
        <f t="shared" ca="1" si="159"/>
        <v>1.4703934310602937</v>
      </c>
      <c r="L500">
        <f t="shared" ca="1" si="160"/>
        <v>120.46678686212059</v>
      </c>
      <c r="M500">
        <f t="shared" ca="1" si="161"/>
        <v>114.58521313787941</v>
      </c>
      <c r="N500">
        <f t="shared" ca="1" si="150"/>
        <v>-0.10999999999999943</v>
      </c>
      <c r="O500">
        <f t="shared" ca="1" si="151"/>
        <v>0</v>
      </c>
      <c r="P500">
        <f t="shared" ca="1" si="152"/>
        <v>0.10999999999999943</v>
      </c>
      <c r="Q500">
        <f t="shared" ca="1" si="156"/>
        <v>0.59070020190013983</v>
      </c>
      <c r="R500">
        <f t="shared" ca="1" si="157"/>
        <v>0.45759943800355624</v>
      </c>
      <c r="S500">
        <f t="shared" ca="1" si="154"/>
        <v>1.2908674111954421</v>
      </c>
      <c r="T500">
        <f t="shared" ca="1" si="155"/>
        <v>56.348412172917044</v>
      </c>
      <c r="U500">
        <f>70</f>
        <v>70</v>
      </c>
      <c r="V500">
        <f>30</f>
        <v>30</v>
      </c>
      <c r="W500">
        <f t="shared" ca="1" si="153"/>
        <v>118.03982331566463</v>
      </c>
      <c r="X500">
        <f t="shared" ca="1" si="163"/>
        <v>117.42080931803137</v>
      </c>
      <c r="Y500">
        <f t="shared" ca="1" si="162"/>
        <v>0.77180768202906336</v>
      </c>
      <c r="Z500">
        <f t="shared" ca="1" si="164"/>
        <v>0.54255027491107832</v>
      </c>
      <c r="AA500">
        <f t="shared" ca="1" si="165"/>
        <v>0.22925740711798503</v>
      </c>
      <c r="AB500">
        <f t="shared" ca="1" si="166"/>
        <v>113.95469999999999</v>
      </c>
    </row>
    <row r="501" spans="1:28" x14ac:dyDescent="0.25">
      <c r="A501" s="20">
        <f t="shared" ca="1" si="146"/>
        <v>46020</v>
      </c>
      <c r="B501" vm="1434">
        <f ca="1"/>
        <v>46020</v>
      </c>
      <c r="C501" vm="1435">
        <f ca="1"/>
        <v>120.53</v>
      </c>
      <c r="D501" vm="1436">
        <f ca="1"/>
        <v>14782512</v>
      </c>
      <c r="E501">
        <f t="shared" ca="1" si="147"/>
        <v>1781736171.3600001</v>
      </c>
      <c r="F501">
        <f ca="1">SUM($E$2:E501)/SUM($D$2:D501)</f>
        <v>111.89844742280499</v>
      </c>
      <c r="G501">
        <f ca="1">_xlfn.STDEV.P($C$2:C501)</f>
        <v>5.7927261664608336</v>
      </c>
      <c r="H501">
        <f t="shared" ca="1" si="148"/>
        <v>117.69117358926583</v>
      </c>
      <c r="I501">
        <f t="shared" ca="1" si="149"/>
        <v>106.10572125634415</v>
      </c>
      <c r="J501">
        <f t="shared" ca="1" si="158"/>
        <v>117.75650000000003</v>
      </c>
      <c r="K501">
        <f t="shared" ca="1" si="159"/>
        <v>1.563754843486125</v>
      </c>
      <c r="L501">
        <f t="shared" ca="1" si="160"/>
        <v>120.88400968697228</v>
      </c>
      <c r="M501">
        <f t="shared" ca="1" si="161"/>
        <v>114.62899031302778</v>
      </c>
      <c r="N501">
        <f t="shared" ca="1" si="150"/>
        <v>1.4200000000000017</v>
      </c>
      <c r="O501">
        <f t="shared" ca="1" si="151"/>
        <v>1.4200000000000017</v>
      </c>
      <c r="P501">
        <f t="shared" ca="1" si="152"/>
        <v>0</v>
      </c>
      <c r="Q501">
        <f t="shared" ca="1" si="156"/>
        <v>0.64993590176441562</v>
      </c>
      <c r="R501">
        <f t="shared" ca="1" si="157"/>
        <v>0.4249137638604451</v>
      </c>
      <c r="S501">
        <f t="shared" ca="1" si="154"/>
        <v>1.5295713084452467</v>
      </c>
      <c r="T501">
        <f t="shared" ca="1" si="155"/>
        <v>60.467609801653268</v>
      </c>
      <c r="U501">
        <f>70</f>
        <v>70</v>
      </c>
      <c r="V501">
        <f>30</f>
        <v>30</v>
      </c>
      <c r="W501">
        <f t="shared" ca="1" si="153"/>
        <v>118.422927420947</v>
      </c>
      <c r="X501">
        <f t="shared" ca="1" si="163"/>
        <v>117.65111973891794</v>
      </c>
      <c r="Y501">
        <f t="shared" ca="1" si="162"/>
        <v>0.91941746117643675</v>
      </c>
      <c r="Z501">
        <f t="shared" ca="1" si="164"/>
        <v>0.61792371216414999</v>
      </c>
      <c r="AA501">
        <f t="shared" ca="1" si="165"/>
        <v>0.30149374901228676</v>
      </c>
      <c r="AB501">
        <f t="shared" ca="1" si="166"/>
        <v>114.0949</v>
      </c>
    </row>
    <row r="502" spans="1:28" x14ac:dyDescent="0.25">
      <c r="A502" s="20">
        <f t="shared" ca="1" si="146"/>
        <v>46020</v>
      </c>
      <c r="B502" vm="1437">
        <f ca="1"/>
        <v>46021</v>
      </c>
      <c r="C502" vm="1438">
        <f ca="1"/>
        <v>120.99</v>
      </c>
      <c r="D502" vm="1439">
        <f ca="1"/>
        <v>11150486</v>
      </c>
      <c r="E502">
        <f t="shared" ca="1" si="147"/>
        <v>1349097301.1399999</v>
      </c>
      <c r="F502">
        <f ca="1">SUM($E$2:E502)/SUM($D$2:D502)</f>
        <v>111.91094475493794</v>
      </c>
      <c r="G502">
        <f ca="1">_xlfn.STDEV.P($C$2:C502)</f>
        <v>5.7998921556985001</v>
      </c>
      <c r="H502">
        <f t="shared" ca="1" si="148"/>
        <v>117.71083691063644</v>
      </c>
      <c r="I502">
        <f t="shared" ca="1" si="149"/>
        <v>106.11105259923944</v>
      </c>
      <c r="J502">
        <f t="shared" ca="1" si="158"/>
        <v>117.97450000000001</v>
      </c>
      <c r="K502">
        <f t="shared" ca="1" si="159"/>
        <v>1.6967041580664546</v>
      </c>
      <c r="L502">
        <f t="shared" ca="1" si="160"/>
        <v>121.36790831613291</v>
      </c>
      <c r="M502">
        <f t="shared" ca="1" si="161"/>
        <v>114.5810916838671</v>
      </c>
      <c r="N502">
        <f t="shared" ca="1" si="150"/>
        <v>0.45999999999999375</v>
      </c>
      <c r="O502">
        <f t="shared" ca="1" si="151"/>
        <v>0.45999999999999375</v>
      </c>
      <c r="P502">
        <f t="shared" ca="1" si="152"/>
        <v>0</v>
      </c>
      <c r="Q502">
        <f t="shared" ca="1" si="156"/>
        <v>0.63636905163838542</v>
      </c>
      <c r="R502">
        <f t="shared" ca="1" si="157"/>
        <v>0.39456278072755613</v>
      </c>
      <c r="S502">
        <f t="shared" ca="1" si="154"/>
        <v>1.6128461241705296</v>
      </c>
      <c r="T502">
        <f t="shared" ca="1" si="155"/>
        <v>61.727558666798316</v>
      </c>
      <c r="U502">
        <f>70</f>
        <v>70</v>
      </c>
      <c r="V502">
        <f>30</f>
        <v>30</v>
      </c>
      <c r="W502">
        <f t="shared" ca="1" si="153"/>
        <v>118.81786166387823</v>
      </c>
      <c r="X502">
        <f t="shared" ca="1" si="163"/>
        <v>117.8984442027018</v>
      </c>
      <c r="Y502">
        <f t="shared" ca="1" si="162"/>
        <v>0.97273660482549928</v>
      </c>
      <c r="Z502">
        <f t="shared" ca="1" si="164"/>
        <v>0.68888629069641993</v>
      </c>
      <c r="AA502">
        <f t="shared" ca="1" si="165"/>
        <v>0.28385031412907935</v>
      </c>
      <c r="AB502">
        <f t="shared" ca="1" si="166"/>
        <v>114.24529999999999</v>
      </c>
    </row>
    <row r="503" spans="1:28" x14ac:dyDescent="0.25">
      <c r="A503" s="20">
        <f t="shared" ca="1" si="146"/>
        <v>46020</v>
      </c>
      <c r="B503" vm="1440">
        <f ca="1"/>
        <v>46022</v>
      </c>
      <c r="C503" vm="1441">
        <f ca="1"/>
        <v>120.34</v>
      </c>
      <c r="D503" vm="1442">
        <f ca="1"/>
        <v>10559866</v>
      </c>
      <c r="E503">
        <f t="shared" ca="1" si="147"/>
        <v>1270774274.4400001</v>
      </c>
      <c r="F503">
        <f ca="1">SUM($E$2:E503)/SUM($D$2:D503)</f>
        <v>111.9219034229825</v>
      </c>
      <c r="G503">
        <f ca="1">_xlfn.STDEV.P($C$2:C503)</f>
        <v>5.8051139491598942</v>
      </c>
      <c r="H503">
        <f t="shared" ca="1" si="148"/>
        <v>117.72701737214238</v>
      </c>
      <c r="I503">
        <f t="shared" ca="1" si="149"/>
        <v>106.11678947382261</v>
      </c>
      <c r="J503">
        <f t="shared" ca="1" si="158"/>
        <v>118.22250000000001</v>
      </c>
      <c r="K503">
        <f t="shared" ca="1" si="159"/>
        <v>1.6596032341306273</v>
      </c>
      <c r="L503">
        <f t="shared" ca="1" si="160"/>
        <v>121.54170646826127</v>
      </c>
      <c r="M503">
        <f t="shared" ca="1" si="161"/>
        <v>114.90329353173875</v>
      </c>
      <c r="N503">
        <f t="shared" ca="1" si="150"/>
        <v>-0.64999999999999147</v>
      </c>
      <c r="O503">
        <f t="shared" ca="1" si="151"/>
        <v>0</v>
      </c>
      <c r="P503">
        <f t="shared" ca="1" si="152"/>
        <v>0.64999999999999147</v>
      </c>
      <c r="Q503">
        <f t="shared" ca="1" si="156"/>
        <v>0.59091411937850069</v>
      </c>
      <c r="R503">
        <f t="shared" ca="1" si="157"/>
        <v>0.41280829638987299</v>
      </c>
      <c r="S503">
        <f t="shared" ca="1" si="154"/>
        <v>1.4314492333274651</v>
      </c>
      <c r="T503">
        <f t="shared" ca="1" si="155"/>
        <v>58.872264890701054</v>
      </c>
      <c r="U503">
        <f>70</f>
        <v>70</v>
      </c>
      <c r="V503">
        <f>30</f>
        <v>30</v>
      </c>
      <c r="W503">
        <f t="shared" ca="1" si="153"/>
        <v>119.05203679251235</v>
      </c>
      <c r="X503">
        <f t="shared" ca="1" si="163"/>
        <v>118.07930018768685</v>
      </c>
      <c r="Y503">
        <f t="shared" ca="1" si="162"/>
        <v>1.1876990495098028</v>
      </c>
      <c r="Z503">
        <f t="shared" ca="1" si="164"/>
        <v>0.7886488424590965</v>
      </c>
      <c r="AA503">
        <f t="shared" ca="1" si="165"/>
        <v>0.39905020705070626</v>
      </c>
      <c r="AB503">
        <f t="shared" ca="1" si="166"/>
        <v>114.38069999999999</v>
      </c>
    </row>
    <row r="504" spans="1:28" x14ac:dyDescent="0.25">
      <c r="A504" s="20">
        <f t="shared" ca="1" si="146"/>
        <v>46020</v>
      </c>
      <c r="B504" vm="1443">
        <f ca="1"/>
        <v>46024</v>
      </c>
      <c r="C504" vm="1444">
        <f ca="1"/>
        <v>122.65</v>
      </c>
      <c r="D504" vm="1445">
        <f ca="1"/>
        <v>14175055</v>
      </c>
      <c r="E504">
        <f t="shared" ca="1" si="147"/>
        <v>1738570495.75</v>
      </c>
      <c r="F504">
        <f ca="1">SUM($E$2:E504)/SUM($D$2:D504)</f>
        <v>111.94059347977986</v>
      </c>
      <c r="G504">
        <f ca="1">_xlfn.STDEV.P($C$2:C504)</f>
        <v>5.8174806404371999</v>
      </c>
      <c r="H504">
        <f t="shared" ca="1" si="148"/>
        <v>117.75807412021706</v>
      </c>
      <c r="I504">
        <f t="shared" ca="1" si="149"/>
        <v>106.12311283934267</v>
      </c>
      <c r="J504">
        <f t="shared" ca="1" si="158"/>
        <v>118.465</v>
      </c>
      <c r="K504">
        <f t="shared" ca="1" si="159"/>
        <v>1.9273584322371866</v>
      </c>
      <c r="L504">
        <f t="shared" ca="1" si="160"/>
        <v>122.31971686447437</v>
      </c>
      <c r="M504">
        <f t="shared" ca="1" si="161"/>
        <v>114.61028313552563</v>
      </c>
      <c r="N504">
        <f t="shared" ca="1" si="150"/>
        <v>2.3100000000000023</v>
      </c>
      <c r="O504">
        <f t="shared" ca="1" si="151"/>
        <v>2.3100000000000023</v>
      </c>
      <c r="P504">
        <f t="shared" ca="1" si="152"/>
        <v>0</v>
      </c>
      <c r="Q504">
        <f t="shared" ca="1" si="156"/>
        <v>0.71370596799432229</v>
      </c>
      <c r="R504">
        <f t="shared" ca="1" si="157"/>
        <v>0.38332198950488205</v>
      </c>
      <c r="S504">
        <f t="shared" ca="1" si="154"/>
        <v>1.8618967539957225</v>
      </c>
      <c r="T504">
        <f t="shared" ca="1" si="155"/>
        <v>65.058138501893183</v>
      </c>
      <c r="U504">
        <f>70</f>
        <v>70</v>
      </c>
      <c r="V504">
        <f>30</f>
        <v>30</v>
      </c>
      <c r="W504">
        <f t="shared" ca="1" si="153"/>
        <v>119.6055695936643</v>
      </c>
      <c r="X504">
        <f t="shared" ca="1" si="163"/>
        <v>118.4178705441545</v>
      </c>
      <c r="Y504">
        <f t="shared" ca="1" si="162"/>
        <v>1.5587642235558121</v>
      </c>
      <c r="Z504">
        <f t="shared" ca="1" si="164"/>
        <v>0.94267191867843958</v>
      </c>
      <c r="AA504">
        <f t="shared" ca="1" si="165"/>
        <v>0.61609230487737254</v>
      </c>
      <c r="AB504">
        <f t="shared" ca="1" si="166"/>
        <v>114.54889999999999</v>
      </c>
    </row>
    <row r="505" spans="1:28" x14ac:dyDescent="0.25">
      <c r="A505" s="20">
        <f t="shared" ca="1" si="146"/>
        <v>46027</v>
      </c>
      <c r="B505" vm="1446">
        <f ca="1"/>
        <v>46027</v>
      </c>
      <c r="C505" vm="1447">
        <f ca="1"/>
        <v>125.36</v>
      </c>
      <c r="D505" vm="1448">
        <f ca="1"/>
        <v>30112238</v>
      </c>
      <c r="E505">
        <f t="shared" ca="1" si="147"/>
        <v>3774870155.6799998</v>
      </c>
      <c r="F505">
        <f ca="1">SUM($E$2:E505)/SUM($D$2:D505)</f>
        <v>111.99007411066121</v>
      </c>
      <c r="G505">
        <f ca="1">_xlfn.STDEV.P($C$2:C505)</f>
        <v>5.8404057730574346</v>
      </c>
      <c r="H505">
        <f t="shared" ca="1" si="148"/>
        <v>117.83047988371865</v>
      </c>
      <c r="I505">
        <f t="shared" ca="1" si="149"/>
        <v>106.14966833760377</v>
      </c>
      <c r="J505">
        <f t="shared" ca="1" si="158"/>
        <v>118.87600000000002</v>
      </c>
      <c r="K505">
        <f t="shared" ca="1" si="159"/>
        <v>2.4385768066856657</v>
      </c>
      <c r="L505">
        <f t="shared" ca="1" si="160"/>
        <v>123.75315361337135</v>
      </c>
      <c r="M505">
        <f t="shared" ca="1" si="161"/>
        <v>113.99884638662868</v>
      </c>
      <c r="N505">
        <f t="shared" ca="1" si="150"/>
        <v>2.7099999999999937</v>
      </c>
      <c r="O505">
        <f t="shared" ca="1" si="151"/>
        <v>2.7099999999999937</v>
      </c>
      <c r="P505">
        <f t="shared" ca="1" si="152"/>
        <v>0</v>
      </c>
      <c r="Q505">
        <f t="shared" ca="1" si="156"/>
        <v>0.85629839885187031</v>
      </c>
      <c r="R505">
        <f t="shared" ca="1" si="157"/>
        <v>0.35594184739739049</v>
      </c>
      <c r="S505">
        <f t="shared" ca="1" si="154"/>
        <v>2.4057255563318405</v>
      </c>
      <c r="T505">
        <f t="shared" ca="1" si="155"/>
        <v>70.6376810620919</v>
      </c>
      <c r="U505">
        <f>70</f>
        <v>70</v>
      </c>
      <c r="V505">
        <f>30</f>
        <v>30</v>
      </c>
      <c r="W505">
        <f t="shared" ca="1" si="153"/>
        <v>120.49086657925442</v>
      </c>
      <c r="X505">
        <f t="shared" ca="1" si="163"/>
        <v>118.9321023556986</v>
      </c>
      <c r="Y505">
        <f t="shared" ca="1" si="162"/>
        <v>1.4879034428390696</v>
      </c>
      <c r="Z505">
        <f t="shared" ca="1" si="164"/>
        <v>1.0517182235105658</v>
      </c>
      <c r="AA505">
        <f t="shared" ca="1" si="165"/>
        <v>0.43618521932850385</v>
      </c>
      <c r="AB505">
        <f t="shared" ca="1" si="166"/>
        <v>114.74119999999999</v>
      </c>
    </row>
    <row r="506" spans="1:28" x14ac:dyDescent="0.25">
      <c r="A506" s="20">
        <f t="shared" ca="1" si="146"/>
        <v>46027</v>
      </c>
      <c r="B506" vm="1449">
        <f ca="1"/>
        <v>46028</v>
      </c>
      <c r="C506" vm="233">
        <f ca="1"/>
        <v>121.05</v>
      </c>
      <c r="D506" vm="1450">
        <f ca="1"/>
        <v>23328636</v>
      </c>
      <c r="E506">
        <f t="shared" ca="1" si="147"/>
        <v>2823931387.7999997</v>
      </c>
      <c r="F506">
        <f ca="1">SUM($E$2:E506)/SUM($D$2:D506)</f>
        <v>112.01588090393638</v>
      </c>
      <c r="G506">
        <f ca="1">_xlfn.STDEV.P($C$2:C506)</f>
        <v>5.8473060547261833</v>
      </c>
      <c r="H506">
        <f t="shared" ca="1" si="148"/>
        <v>117.86318695866257</v>
      </c>
      <c r="I506">
        <f t="shared" ca="1" si="149"/>
        <v>106.16857484921019</v>
      </c>
      <c r="J506">
        <f t="shared" ca="1" si="158"/>
        <v>119.10150000000003</v>
      </c>
      <c r="K506">
        <f t="shared" ca="1" si="159"/>
        <v>2.4196438950695542</v>
      </c>
      <c r="L506">
        <f t="shared" ca="1" si="160"/>
        <v>123.94078779013914</v>
      </c>
      <c r="M506">
        <f t="shared" ca="1" si="161"/>
        <v>114.26221220986092</v>
      </c>
      <c r="N506">
        <f t="shared" ca="1" si="150"/>
        <v>-4.3100000000000023</v>
      </c>
      <c r="O506">
        <f t="shared" ca="1" si="151"/>
        <v>0</v>
      </c>
      <c r="P506">
        <f t="shared" ca="1" si="152"/>
        <v>4.3100000000000023</v>
      </c>
      <c r="Q506">
        <f t="shared" ca="1" si="156"/>
        <v>0.79513422750530816</v>
      </c>
      <c r="R506">
        <f t="shared" ca="1" si="157"/>
        <v>0.63837457258329144</v>
      </c>
      <c r="S506">
        <f t="shared" ca="1" si="154"/>
        <v>1.245560618568597</v>
      </c>
      <c r="T506">
        <f t="shared" ca="1" si="155"/>
        <v>55.467690708014075</v>
      </c>
      <c r="U506">
        <f>70</f>
        <v>70</v>
      </c>
      <c r="V506">
        <f>30</f>
        <v>30</v>
      </c>
      <c r="W506">
        <f t="shared" ca="1" si="153"/>
        <v>120.57688710552297</v>
      </c>
      <c r="X506">
        <f t="shared" ca="1" si="163"/>
        <v>119.0889836626839</v>
      </c>
      <c r="Y506">
        <f t="shared" ca="1" si="162"/>
        <v>1.2112130483420316</v>
      </c>
      <c r="Z506">
        <f t="shared" ca="1" si="164"/>
        <v>1.0836171884768591</v>
      </c>
      <c r="AA506">
        <f t="shared" ca="1" si="165"/>
        <v>0.12759585986517252</v>
      </c>
      <c r="AB506">
        <f t="shared" ca="1" si="166"/>
        <v>114.87569999999999</v>
      </c>
    </row>
    <row r="507" spans="1:28" x14ac:dyDescent="0.25">
      <c r="A507" s="20">
        <f t="shared" ca="1" si="146"/>
        <v>46027</v>
      </c>
      <c r="B507" vm="1451">
        <f ca="1"/>
        <v>46029</v>
      </c>
      <c r="C507" vm="1452">
        <f ca="1"/>
        <v>118.49</v>
      </c>
      <c r="D507" vm="1453">
        <f ca="1"/>
        <v>20352950</v>
      </c>
      <c r="E507">
        <f t="shared" ca="1" si="147"/>
        <v>2411621045.5</v>
      </c>
      <c r="F507">
        <f ca="1">SUM($E$2:E507)/SUM($D$2:D507)</f>
        <v>112.03192998481916</v>
      </c>
      <c r="G507">
        <f ca="1">_xlfn.STDEV.P($C$2:C507)</f>
        <v>5.8477674628419978</v>
      </c>
      <c r="H507">
        <f t="shared" ca="1" si="148"/>
        <v>117.87969744766116</v>
      </c>
      <c r="I507">
        <f t="shared" ca="1" si="149"/>
        <v>106.18416252197716</v>
      </c>
      <c r="J507">
        <f t="shared" ca="1" si="158"/>
        <v>119.227</v>
      </c>
      <c r="K507">
        <f t="shared" ca="1" si="159"/>
        <v>2.3119144493368755</v>
      </c>
      <c r="L507">
        <f t="shared" ca="1" si="160"/>
        <v>123.85082889867375</v>
      </c>
      <c r="M507">
        <f t="shared" ca="1" si="161"/>
        <v>114.60317110132625</v>
      </c>
      <c r="N507">
        <f t="shared" ca="1" si="150"/>
        <v>-2.5600000000000023</v>
      </c>
      <c r="O507">
        <f t="shared" ca="1" si="151"/>
        <v>0</v>
      </c>
      <c r="P507">
        <f t="shared" ca="1" si="152"/>
        <v>2.5600000000000023</v>
      </c>
      <c r="Q507">
        <f t="shared" ca="1" si="156"/>
        <v>0.73833892554064329</v>
      </c>
      <c r="R507">
        <f t="shared" ca="1" si="157"/>
        <v>0.77563353168448501</v>
      </c>
      <c r="S507">
        <f t="shared" ca="1" si="154"/>
        <v>0.95191723330624056</v>
      </c>
      <c r="T507">
        <f t="shared" ca="1" si="155"/>
        <v>48.768319530323659</v>
      </c>
      <c r="U507">
        <f>70</f>
        <v>70</v>
      </c>
      <c r="V507">
        <f>30</f>
        <v>30</v>
      </c>
      <c r="W507">
        <f t="shared" ca="1" si="153"/>
        <v>120.25582755082712</v>
      </c>
      <c r="X507">
        <f t="shared" ca="1" si="163"/>
        <v>119.04461450248509</v>
      </c>
      <c r="Y507">
        <f t="shared" ca="1" si="162"/>
        <v>1.3332224196239366</v>
      </c>
      <c r="Z507">
        <f t="shared" ca="1" si="164"/>
        <v>1.1335382347062746</v>
      </c>
      <c r="AA507">
        <f t="shared" ca="1" si="165"/>
        <v>0.19968418491766204</v>
      </c>
      <c r="AB507">
        <f t="shared" ca="1" si="166"/>
        <v>114.98679999999999</v>
      </c>
    </row>
    <row r="508" spans="1:28" x14ac:dyDescent="0.25">
      <c r="A508" s="20">
        <f t="shared" ca="1" si="146"/>
        <v>46027</v>
      </c>
      <c r="B508" vm="1454">
        <f ca="1"/>
        <v>46030</v>
      </c>
      <c r="C508" vm="1455">
        <f ca="1"/>
        <v>122.91</v>
      </c>
      <c r="D508" vm="1456">
        <f ca="1"/>
        <v>20232721</v>
      </c>
      <c r="E508">
        <f t="shared" ca="1" si="147"/>
        <v>2486803738.1100001</v>
      </c>
      <c r="F508">
        <f ca="1">SUM($E$2:E508)/SUM($D$2:D508)</f>
        <v>112.05867108900567</v>
      </c>
      <c r="G508">
        <f ca="1">_xlfn.STDEV.P($C$2:C508)</f>
        <v>5.8605086451679131</v>
      </c>
      <c r="H508">
        <f t="shared" ca="1" si="148"/>
        <v>117.91917973417358</v>
      </c>
      <c r="I508">
        <f t="shared" ca="1" si="149"/>
        <v>106.19816244383776</v>
      </c>
      <c r="J508">
        <f t="shared" ca="1" si="158"/>
        <v>119.45999999999997</v>
      </c>
      <c r="K508">
        <f t="shared" ca="1" si="159"/>
        <v>2.4395663980564888</v>
      </c>
      <c r="L508">
        <f t="shared" ca="1" si="160"/>
        <v>124.33913279611295</v>
      </c>
      <c r="M508">
        <f t="shared" ca="1" si="161"/>
        <v>114.58086720388698</v>
      </c>
      <c r="N508">
        <f t="shared" ca="1" si="150"/>
        <v>4.4200000000000017</v>
      </c>
      <c r="O508">
        <f t="shared" ca="1" si="151"/>
        <v>4.4200000000000017</v>
      </c>
      <c r="P508">
        <f t="shared" ca="1" si="152"/>
        <v>0</v>
      </c>
      <c r="Q508">
        <f t="shared" ca="1" si="156"/>
        <v>1.0013147165734546</v>
      </c>
      <c r="R508">
        <f t="shared" ca="1" si="157"/>
        <v>0.7202311365641646</v>
      </c>
      <c r="S508">
        <f t="shared" ca="1" si="154"/>
        <v>1.3902685759327049</v>
      </c>
      <c r="T508">
        <f t="shared" ca="1" si="155"/>
        <v>58.163697164876517</v>
      </c>
      <c r="U508">
        <f>70</f>
        <v>70</v>
      </c>
      <c r="V508">
        <f>30</f>
        <v>30</v>
      </c>
      <c r="W508">
        <f t="shared" ca="1" si="153"/>
        <v>120.6641617737768</v>
      </c>
      <c r="X508">
        <f t="shared" ca="1" si="163"/>
        <v>119.33093935415286</v>
      </c>
      <c r="Y508">
        <f t="shared" ca="1" si="162"/>
        <v>1.5492329251054997</v>
      </c>
      <c r="Z508">
        <f t="shared" ca="1" si="164"/>
        <v>1.2166771727861196</v>
      </c>
      <c r="AA508">
        <f t="shared" ca="1" si="165"/>
        <v>0.33255575231938006</v>
      </c>
      <c r="AB508">
        <f t="shared" ca="1" si="166"/>
        <v>115.15099999999998</v>
      </c>
    </row>
    <row r="509" spans="1:28" x14ac:dyDescent="0.25">
      <c r="A509" s="20">
        <f t="shared" ca="1" si="146"/>
        <v>46027</v>
      </c>
      <c r="B509" vm="1457">
        <f ca="1"/>
        <v>46031</v>
      </c>
      <c r="C509" vm="1458">
        <f ca="1"/>
        <v>124.61</v>
      </c>
      <c r="D509" vm="1459">
        <f ca="1"/>
        <v>16137674</v>
      </c>
      <c r="E509">
        <f t="shared" ca="1" si="147"/>
        <v>2010915557.1400001</v>
      </c>
      <c r="F509">
        <f ca="1">SUM($E$2:E509)/SUM($D$2:D509)</f>
        <v>112.08323249073945</v>
      </c>
      <c r="G509">
        <f ca="1">_xlfn.STDEV.P($C$2:C509)</f>
        <v>5.8795333465579747</v>
      </c>
      <c r="H509">
        <f t="shared" ca="1" si="148"/>
        <v>117.96276583729743</v>
      </c>
      <c r="I509">
        <f t="shared" ca="1" si="149"/>
        <v>106.20369914418147</v>
      </c>
      <c r="J509">
        <f t="shared" ca="1" si="158"/>
        <v>119.71349999999998</v>
      </c>
      <c r="K509">
        <f t="shared" ca="1" si="159"/>
        <v>2.6980407608797194</v>
      </c>
      <c r="L509">
        <f t="shared" ca="1" si="160"/>
        <v>125.10958152175942</v>
      </c>
      <c r="M509">
        <f t="shared" ca="1" si="161"/>
        <v>114.31741847824054</v>
      </c>
      <c r="N509">
        <f t="shared" ca="1" si="150"/>
        <v>1.7000000000000028</v>
      </c>
      <c r="O509">
        <f t="shared" ca="1" si="151"/>
        <v>1.7000000000000028</v>
      </c>
      <c r="P509">
        <f t="shared" ca="1" si="152"/>
        <v>0</v>
      </c>
      <c r="Q509">
        <f t="shared" ca="1" si="156"/>
        <v>1.0512208082467793</v>
      </c>
      <c r="R509">
        <f t="shared" ca="1" si="157"/>
        <v>0.66878605538100999</v>
      </c>
      <c r="S509">
        <f t="shared" ca="1" si="154"/>
        <v>1.5718342208075717</v>
      </c>
      <c r="T509">
        <f t="shared" ca="1" si="155"/>
        <v>61.117244964335462</v>
      </c>
      <c r="U509">
        <f>70</f>
        <v>70</v>
      </c>
      <c r="V509">
        <f>30</f>
        <v>30</v>
      </c>
      <c r="W509">
        <f t="shared" ca="1" si="153"/>
        <v>121.27121380858037</v>
      </c>
      <c r="X509">
        <f t="shared" ca="1" si="163"/>
        <v>119.72198088347487</v>
      </c>
      <c r="Y509">
        <f t="shared" ca="1" si="162"/>
        <v>1.6545490427892844</v>
      </c>
      <c r="Z509">
        <f t="shared" ca="1" si="164"/>
        <v>1.3042515467867526</v>
      </c>
      <c r="AA509">
        <f t="shared" ca="1" si="165"/>
        <v>0.35029749600253179</v>
      </c>
      <c r="AB509">
        <f t="shared" ca="1" si="166"/>
        <v>115.32989999999999</v>
      </c>
    </row>
    <row r="510" spans="1:28" x14ac:dyDescent="0.25">
      <c r="A510" s="20">
        <f t="shared" ca="1" si="146"/>
        <v>46034</v>
      </c>
      <c r="B510" vm="1460">
        <f ca="1"/>
        <v>46034</v>
      </c>
      <c r="C510" vm="1461">
        <f ca="1"/>
        <v>124.03</v>
      </c>
      <c r="D510" vm="1462">
        <f ca="1"/>
        <v>15314895</v>
      </c>
      <c r="E510">
        <f t="shared" ca="1" si="147"/>
        <v>1899506426.8499999</v>
      </c>
      <c r="F510">
        <f ca="1">SUM($E$2:E510)/SUM($D$2:D510)</f>
        <v>112.10537776959318</v>
      </c>
      <c r="G510">
        <f ca="1">_xlfn.STDEV.P($C$2:C510)</f>
        <v>5.8960392516664442</v>
      </c>
      <c r="H510">
        <f t="shared" ca="1" si="148"/>
        <v>118.00141702125961</v>
      </c>
      <c r="I510">
        <f t="shared" ca="1" si="149"/>
        <v>106.20933851792674</v>
      </c>
      <c r="J510">
        <f t="shared" ca="1" si="158"/>
        <v>119.93799999999999</v>
      </c>
      <c r="K510">
        <f t="shared" ca="1" si="159"/>
        <v>2.8645117155321684</v>
      </c>
      <c r="L510">
        <f t="shared" ca="1" si="160"/>
        <v>125.66702343106432</v>
      </c>
      <c r="M510">
        <f t="shared" ca="1" si="161"/>
        <v>114.20897656893565</v>
      </c>
      <c r="N510">
        <f t="shared" ca="1" si="150"/>
        <v>-0.57999999999999829</v>
      </c>
      <c r="O510">
        <f t="shared" ca="1" si="151"/>
        <v>0</v>
      </c>
      <c r="P510">
        <f t="shared" ca="1" si="152"/>
        <v>0.57999999999999829</v>
      </c>
      <c r="Q510">
        <f t="shared" ca="1" si="156"/>
        <v>0.97613360765772372</v>
      </c>
      <c r="R510">
        <f t="shared" ca="1" si="157"/>
        <v>0.66244419428236623</v>
      </c>
      <c r="S510">
        <f t="shared" ca="1" si="154"/>
        <v>1.4735333422541064</v>
      </c>
      <c r="T510">
        <f t="shared" ca="1" si="155"/>
        <v>59.572002409771045</v>
      </c>
      <c r="U510">
        <f>70</f>
        <v>70</v>
      </c>
      <c r="V510">
        <f>30</f>
        <v>30</v>
      </c>
      <c r="W510">
        <f t="shared" ca="1" si="153"/>
        <v>121.69564245341417</v>
      </c>
      <c r="X510">
        <f t="shared" ca="1" si="163"/>
        <v>120.04109341062488</v>
      </c>
      <c r="Y510">
        <f t="shared" ca="1" si="162"/>
        <v>1.918434331085237</v>
      </c>
      <c r="Z510">
        <f t="shared" ca="1" si="164"/>
        <v>1.4270881036464496</v>
      </c>
      <c r="AA510">
        <f t="shared" ca="1" si="165"/>
        <v>0.49134622743878742</v>
      </c>
      <c r="AB510">
        <f t="shared" ca="1" si="166"/>
        <v>115.49600000000002</v>
      </c>
    </row>
    <row r="511" spans="1:28" x14ac:dyDescent="0.25">
      <c r="A511" s="20">
        <f t="shared" ca="1" si="146"/>
        <v>46034</v>
      </c>
      <c r="B511" vm="1463">
        <f ca="1"/>
        <v>46035</v>
      </c>
      <c r="C511" vm="1464">
        <f ca="1"/>
        <v>126.54</v>
      </c>
      <c r="D511" vm="1465">
        <f ca="1"/>
        <v>21619727</v>
      </c>
      <c r="E511">
        <f t="shared" ca="1" si="147"/>
        <v>2735760254.5799999</v>
      </c>
      <c r="F511">
        <f ca="1">SUM($E$2:E511)/SUM($D$2:D511)</f>
        <v>112.14305139173477</v>
      </c>
      <c r="G511">
        <f ca="1">_xlfn.STDEV.P($C$2:C511)</f>
        <v>5.9229706509314646</v>
      </c>
      <c r="H511">
        <f t="shared" ca="1" si="148"/>
        <v>118.06602204266623</v>
      </c>
      <c r="I511">
        <f t="shared" ca="1" si="149"/>
        <v>106.22008074080331</v>
      </c>
      <c r="J511">
        <f t="shared" ca="1" si="158"/>
        <v>120.324</v>
      </c>
      <c r="K511">
        <f t="shared" ca="1" si="159"/>
        <v>3.205748783538394</v>
      </c>
      <c r="L511">
        <f t="shared" ca="1" si="160"/>
        <v>126.73549756707679</v>
      </c>
      <c r="M511">
        <f t="shared" ca="1" si="161"/>
        <v>113.9125024329232</v>
      </c>
      <c r="N511">
        <f t="shared" ca="1" si="150"/>
        <v>2.5100000000000051</v>
      </c>
      <c r="O511">
        <f t="shared" ca="1" si="151"/>
        <v>2.5100000000000051</v>
      </c>
      <c r="P511">
        <f t="shared" ca="1" si="152"/>
        <v>0</v>
      </c>
      <c r="Q511">
        <f t="shared" ca="1" si="156"/>
        <v>1.0856954928250295</v>
      </c>
      <c r="R511">
        <f t="shared" ca="1" si="157"/>
        <v>0.61512675183362575</v>
      </c>
      <c r="S511">
        <f t="shared" ca="1" si="154"/>
        <v>1.7649947585415358</v>
      </c>
      <c r="T511">
        <f t="shared" ca="1" si="155"/>
        <v>63.833566160990685</v>
      </c>
      <c r="U511">
        <f>70</f>
        <v>70</v>
      </c>
      <c r="V511">
        <f>30</f>
        <v>30</v>
      </c>
      <c r="W511">
        <f t="shared" ca="1" si="153"/>
        <v>122.44092822981199</v>
      </c>
      <c r="X511">
        <f t="shared" ca="1" si="163"/>
        <v>120.52249389872675</v>
      </c>
      <c r="Y511">
        <f t="shared" ca="1" si="162"/>
        <v>2.3952853765469087</v>
      </c>
      <c r="Z511">
        <f t="shared" ca="1" si="164"/>
        <v>1.6207275582265415</v>
      </c>
      <c r="AA511">
        <f t="shared" ca="1" si="165"/>
        <v>0.77455781832036719</v>
      </c>
      <c r="AB511">
        <f t="shared" ca="1" si="166"/>
        <v>115.67610000000005</v>
      </c>
    </row>
    <row r="512" spans="1:28" x14ac:dyDescent="0.25">
      <c r="A512" s="20">
        <f t="shared" ca="1" si="146"/>
        <v>46034</v>
      </c>
      <c r="B512" vm="1466">
        <f ca="1"/>
        <v>46036</v>
      </c>
      <c r="C512" vm="1467">
        <f ca="1"/>
        <v>130.19999999999999</v>
      </c>
      <c r="D512" vm="1468">
        <f ca="1"/>
        <v>27593938</v>
      </c>
      <c r="E512">
        <f t="shared" ca="1" si="147"/>
        <v>3592730727.5999999</v>
      </c>
      <c r="F512">
        <f ca="1">SUM($E$2:E512)/SUM($D$2:D512)</f>
        <v>112.20300226253725</v>
      </c>
      <c r="G512">
        <f ca="1">_xlfn.STDEV.P($C$2:C512)</f>
        <v>5.9685684874458298</v>
      </c>
      <c r="H512">
        <f t="shared" ca="1" si="148"/>
        <v>118.17157074998309</v>
      </c>
      <c r="I512">
        <f t="shared" ca="1" si="149"/>
        <v>106.23443377509142</v>
      </c>
      <c r="J512">
        <f t="shared" ca="1" si="158"/>
        <v>120.94599999999998</v>
      </c>
      <c r="K512">
        <f t="shared" ca="1" si="159"/>
        <v>3.8284480846476279</v>
      </c>
      <c r="L512">
        <f t="shared" ca="1" si="160"/>
        <v>128.60289616929524</v>
      </c>
      <c r="M512">
        <f t="shared" ca="1" si="161"/>
        <v>113.28910383070473</v>
      </c>
      <c r="N512">
        <f t="shared" ca="1" si="150"/>
        <v>3.6599999999999824</v>
      </c>
      <c r="O512">
        <f t="shared" ca="1" si="151"/>
        <v>3.6599999999999824</v>
      </c>
      <c r="P512">
        <f t="shared" ca="1" si="152"/>
        <v>0</v>
      </c>
      <c r="Q512">
        <f t="shared" ca="1" si="156"/>
        <v>1.2695743861946691</v>
      </c>
      <c r="R512">
        <f t="shared" ca="1" si="157"/>
        <v>0.57118912670265254</v>
      </c>
      <c r="S512">
        <f t="shared" ca="1" si="154"/>
        <v>2.2226865443388935</v>
      </c>
      <c r="T512">
        <f t="shared" ca="1" si="155"/>
        <v>68.969988664996237</v>
      </c>
      <c r="U512">
        <f>70</f>
        <v>70</v>
      </c>
      <c r="V512">
        <f>30</f>
        <v>30</v>
      </c>
      <c r="W512">
        <f t="shared" ca="1" si="153"/>
        <v>123.63463157907168</v>
      </c>
      <c r="X512">
        <f t="shared" ca="1" si="163"/>
        <v>121.23934620252477</v>
      </c>
      <c r="Y512">
        <f t="shared" ca="1" si="162"/>
        <v>2.6562337981872872</v>
      </c>
      <c r="Z512">
        <f t="shared" ca="1" si="164"/>
        <v>1.8278288062186907</v>
      </c>
      <c r="AA512">
        <f t="shared" ca="1" si="165"/>
        <v>0.82840499196859652</v>
      </c>
      <c r="AB512">
        <f t="shared" ca="1" si="166"/>
        <v>115.88580000000006</v>
      </c>
    </row>
    <row r="513" spans="1:28" x14ac:dyDescent="0.25">
      <c r="A513" s="20">
        <f t="shared" ca="1" si="146"/>
        <v>46034</v>
      </c>
      <c r="B513" vm="1469">
        <f ca="1"/>
        <v>46037</v>
      </c>
      <c r="C513" vm="1470">
        <f ca="1"/>
        <v>129.13</v>
      </c>
      <c r="D513" vm="1471">
        <f ca="1"/>
        <v>17400039</v>
      </c>
      <c r="E513">
        <f t="shared" ca="1" si="147"/>
        <v>2246867036.0699997</v>
      </c>
      <c r="F513">
        <f ca="1">SUM($E$2:E513)/SUM($D$2:D513)</f>
        <v>112.23836609558256</v>
      </c>
      <c r="G513">
        <f ca="1">_xlfn.STDEV.P($C$2:C513)</f>
        <v>6.0075069500473788</v>
      </c>
      <c r="H513">
        <f t="shared" ca="1" si="148"/>
        <v>118.24587304562993</v>
      </c>
      <c r="I513">
        <f t="shared" ca="1" si="149"/>
        <v>106.23085914553519</v>
      </c>
      <c r="J513">
        <f t="shared" ca="1" si="158"/>
        <v>121.66849999999999</v>
      </c>
      <c r="K513">
        <f t="shared" ca="1" si="159"/>
        <v>3.9454054224335944</v>
      </c>
      <c r="L513">
        <f t="shared" ca="1" si="160"/>
        <v>129.55931084486718</v>
      </c>
      <c r="M513">
        <f t="shared" ca="1" si="161"/>
        <v>113.7776891551328</v>
      </c>
      <c r="N513">
        <f t="shared" ca="1" si="150"/>
        <v>-1.0699999999999932</v>
      </c>
      <c r="O513">
        <f t="shared" ca="1" si="151"/>
        <v>0</v>
      </c>
      <c r="P513">
        <f t="shared" ca="1" si="152"/>
        <v>1.0699999999999932</v>
      </c>
      <c r="Q513">
        <f t="shared" ca="1" si="156"/>
        <v>1.1788905014664783</v>
      </c>
      <c r="R513">
        <f t="shared" ca="1" si="157"/>
        <v>0.60681847479531981</v>
      </c>
      <c r="S513">
        <f t="shared" ca="1" si="154"/>
        <v>1.9427399633211873</v>
      </c>
      <c r="T513">
        <f t="shared" ca="1" si="155"/>
        <v>66.018064373197404</v>
      </c>
      <c r="U513">
        <f>70</f>
        <v>70</v>
      </c>
      <c r="V513">
        <f>30</f>
        <v>30</v>
      </c>
      <c r="W513">
        <f t="shared" ca="1" si="153"/>
        <v>124.48007287459912</v>
      </c>
      <c r="X513">
        <f t="shared" ca="1" si="163"/>
        <v>121.82383907641183</v>
      </c>
      <c r="Y513">
        <f t="shared" ca="1" si="162"/>
        <v>2.8910368772709205</v>
      </c>
      <c r="Z513">
        <f t="shared" ca="1" si="164"/>
        <v>2.0404704204291368</v>
      </c>
      <c r="AA513">
        <f t="shared" ca="1" si="165"/>
        <v>0.85056645684178367</v>
      </c>
      <c r="AB513">
        <f t="shared" ca="1" si="166"/>
        <v>116.06430000000006</v>
      </c>
    </row>
    <row r="514" spans="1:28" x14ac:dyDescent="0.25">
      <c r="A514" s="20">
        <f t="shared" ca="1" si="146"/>
        <v>46034</v>
      </c>
      <c r="B514" vm="1472">
        <f ca="1"/>
        <v>46038</v>
      </c>
      <c r="C514" vm="1473">
        <f ca="1"/>
        <v>129.88999999999999</v>
      </c>
      <c r="D514" vm="1474">
        <f ca="1"/>
        <v>16592354</v>
      </c>
      <c r="E514">
        <f t="shared" ca="1" si="147"/>
        <v>2155180861.0599999</v>
      </c>
      <c r="F514">
        <f ca="1">SUM($E$2:E514)/SUM($D$2:D514)</f>
        <v>112.27346210524431</v>
      </c>
      <c r="G514">
        <f ca="1">_xlfn.STDEV.P($C$2:C514)</f>
        <v>6.0500104809221806</v>
      </c>
      <c r="H514">
        <f t="shared" ca="1" si="148"/>
        <v>118.32347258616649</v>
      </c>
      <c r="I514">
        <f t="shared" ca="1" si="149"/>
        <v>106.22345162432212</v>
      </c>
      <c r="J514">
        <f t="shared" ca="1" si="158"/>
        <v>122.29249999999999</v>
      </c>
      <c r="K514">
        <f t="shared" ca="1" si="159"/>
        <v>4.214192655401753</v>
      </c>
      <c r="L514">
        <f t="shared" ca="1" si="160"/>
        <v>130.72088531080351</v>
      </c>
      <c r="M514">
        <f t="shared" ca="1" si="161"/>
        <v>113.86411468919648</v>
      </c>
      <c r="N514">
        <f t="shared" ca="1" si="150"/>
        <v>0.75999999999999091</v>
      </c>
      <c r="O514">
        <f t="shared" ca="1" si="151"/>
        <v>0.75999999999999091</v>
      </c>
      <c r="P514">
        <f t="shared" ca="1" si="152"/>
        <v>0</v>
      </c>
      <c r="Q514">
        <f t="shared" ca="1" si="156"/>
        <v>1.1489697513617294</v>
      </c>
      <c r="R514">
        <f t="shared" ca="1" si="157"/>
        <v>0.56347429802422555</v>
      </c>
      <c r="S514">
        <f t="shared" ca="1" si="154"/>
        <v>2.0390810288783245</v>
      </c>
      <c r="T514">
        <f t="shared" ca="1" si="155"/>
        <v>67.095316297996703</v>
      </c>
      <c r="U514">
        <f>70</f>
        <v>70</v>
      </c>
      <c r="V514">
        <f>30</f>
        <v>30</v>
      </c>
      <c r="W514">
        <f t="shared" ca="1" si="153"/>
        <v>125.31236935543002</v>
      </c>
      <c r="X514">
        <f t="shared" ca="1" si="163"/>
        <v>122.4213324781591</v>
      </c>
      <c r="Y514">
        <f t="shared" ca="1" si="162"/>
        <v>3.0875231998889063</v>
      </c>
      <c r="Z514">
        <f t="shared" ca="1" si="164"/>
        <v>2.2498809763210907</v>
      </c>
      <c r="AA514">
        <f t="shared" ca="1" si="165"/>
        <v>0.83764222356781559</v>
      </c>
      <c r="AB514">
        <f t="shared" ca="1" si="166"/>
        <v>116.24580000000006</v>
      </c>
    </row>
    <row r="515" spans="1:28" x14ac:dyDescent="0.25">
      <c r="A515" s="20">
        <f t="shared" ref="A515:A523" ca="1" si="167">B515 - WEEKDAY(B515, 2) + 1</f>
        <v>46041</v>
      </c>
      <c r="B515" vm="1475">
        <f ca="1"/>
        <v>46042</v>
      </c>
      <c r="C515" vm="1476">
        <f ca="1"/>
        <v>130.46</v>
      </c>
      <c r="D515" vm="1477">
        <f ca="1"/>
        <v>16477282</v>
      </c>
      <c r="E515">
        <f t="shared" ref="E515:E523" ca="1" si="168">C515*D515</f>
        <v>2149626209.7200003</v>
      </c>
      <c r="F515">
        <f ca="1">SUM($E$2:E515)/SUM($D$2:D515)</f>
        <v>112.30930010607092</v>
      </c>
      <c r="G515">
        <f ca="1">_xlfn.STDEV.P($C$2:C515)</f>
        <v>6.0950575111300465</v>
      </c>
      <c r="H515">
        <f t="shared" ref="H515:H523" ca="1" si="169">F515 + G515</f>
        <v>118.40435761720097</v>
      </c>
      <c r="I515">
        <f t="shared" ref="I515:I523" ca="1" si="170">F515 - G515</f>
        <v>106.21424259494087</v>
      </c>
      <c r="J515">
        <f t="shared" ref="J515:J523" ca="1" si="171">AVERAGE(C496:C515)</f>
        <v>122.9885</v>
      </c>
      <c r="K515">
        <f t="shared" ref="K515:K523" ca="1" si="172">_xlfn.STDEV.S(C496:C515)</f>
        <v>4.3610564569898216</v>
      </c>
      <c r="L515">
        <f t="shared" ref="L515:L523" ca="1" si="173">J515 + 2*K515</f>
        <v>131.71061291397965</v>
      </c>
      <c r="M515">
        <f t="shared" ref="M515:M523" ca="1" si="174">J515-2*K515</f>
        <v>114.26638708602036</v>
      </c>
      <c r="N515">
        <f t="shared" ref="N515:N523" ca="1" si="175">C515-C514</f>
        <v>0.5700000000000216</v>
      </c>
      <c r="O515">
        <f t="shared" ref="O515:O523" ca="1" si="176">MAX(N515,0)</f>
        <v>0.5700000000000216</v>
      </c>
      <c r="P515">
        <f t="shared" ref="P515:P523" ca="1" si="177">MAX(-N515,0)</f>
        <v>0</v>
      </c>
      <c r="Q515">
        <f t="shared" ref="Q515:Q523" ca="1" si="178">(Q514*13+O515)/14</f>
        <v>1.1076147691216074</v>
      </c>
      <c r="R515">
        <f t="shared" ref="R515:R523" ca="1" si="179">(R514*13+P515)/14</f>
        <v>0.52322613387963801</v>
      </c>
      <c r="S515">
        <f t="shared" ref="S515:S523" ca="1" si="180">IF(R515=0,NA(),Q515/R515)</f>
        <v>2.116894966443708</v>
      </c>
      <c r="T515">
        <f t="shared" ref="T515:T523" ca="1" si="181">100-(100/(1+S515))</f>
        <v>67.916788638502865</v>
      </c>
      <c r="U515">
        <f>70</f>
        <v>70</v>
      </c>
      <c r="V515">
        <f>30</f>
        <v>30</v>
      </c>
      <c r="W515">
        <f t="shared" ref="W515:W523" ca="1" si="182">C515*(2/(12+1)) + W514*(1-(2/(12+1)))</f>
        <v>126.10431253151771</v>
      </c>
      <c r="X515">
        <f t="shared" ref="X515:X523" ca="1" si="183">C515*(2/(26+1)) + X514*(1-(2/(26+1)))</f>
        <v>123.0167893316288</v>
      </c>
      <c r="Y515">
        <f t="shared" ref="Y515:Y523" ca="1" si="184">W516-X516</f>
        <v>3.4575620771549893</v>
      </c>
      <c r="Z515">
        <f t="shared" ref="Z515:Z523" ca="1" si="185">Y515*(2/(9+1)) + Z514*(1-(2/(9+1)))</f>
        <v>2.4914171964878706</v>
      </c>
      <c r="AA515">
        <f t="shared" ref="AA515:AA523" ca="1" si="186">Y515-Z515</f>
        <v>0.96614488066711868</v>
      </c>
      <c r="AB515">
        <f t="shared" ref="AB515:AB523" ca="1" si="187">AVERAGE(C416:C515)</f>
        <v>116.43550000000005</v>
      </c>
    </row>
    <row r="516" spans="1:28" x14ac:dyDescent="0.25">
      <c r="A516" s="20">
        <f t="shared" ca="1" si="167"/>
        <v>46041</v>
      </c>
      <c r="B516" vm="1478">
        <f ca="1"/>
        <v>46043</v>
      </c>
      <c r="C516" vm="1479">
        <f ca="1"/>
        <v>133.61000000000001</v>
      </c>
      <c r="D516" vm="1480">
        <f ca="1"/>
        <v>18879887</v>
      </c>
      <c r="E516">
        <f t="shared" ca="1" si="168"/>
        <v>2522541702.0700002</v>
      </c>
      <c r="F516">
        <f ca="1">SUM($E$2:E516)/SUM($D$2:D516)</f>
        <v>112.35728692248107</v>
      </c>
      <c r="G516">
        <f ca="1">_xlfn.STDEV.P($C$2:C516)</f>
        <v>6.1586507930644503</v>
      </c>
      <c r="H516">
        <f t="shared" ca="1" si="169"/>
        <v>118.51593771554552</v>
      </c>
      <c r="I516">
        <f t="shared" ca="1" si="170"/>
        <v>106.19863612941661</v>
      </c>
      <c r="J516">
        <f t="shared" ca="1" si="171"/>
        <v>123.83450000000001</v>
      </c>
      <c r="K516">
        <f t="shared" ca="1" si="172"/>
        <v>4.7026772609921501</v>
      </c>
      <c r="L516">
        <f t="shared" ca="1" si="173"/>
        <v>133.23985452198431</v>
      </c>
      <c r="M516">
        <f t="shared" ca="1" si="174"/>
        <v>114.4291454780157</v>
      </c>
      <c r="N516">
        <f t="shared" ca="1" si="175"/>
        <v>3.1500000000000057</v>
      </c>
      <c r="O516">
        <f t="shared" ca="1" si="176"/>
        <v>3.1500000000000057</v>
      </c>
      <c r="P516">
        <f t="shared" ca="1" si="177"/>
        <v>0</v>
      </c>
      <c r="Q516">
        <f t="shared" ca="1" si="178"/>
        <v>1.2534994284700645</v>
      </c>
      <c r="R516">
        <f t="shared" ca="1" si="179"/>
        <v>0.48585283860252104</v>
      </c>
      <c r="S516">
        <f t="shared" ca="1" si="180"/>
        <v>2.5799981576222906</v>
      </c>
      <c r="T516">
        <f t="shared" ca="1" si="181"/>
        <v>72.067024730980165</v>
      </c>
      <c r="U516">
        <f>70</f>
        <v>70</v>
      </c>
      <c r="V516">
        <f>30</f>
        <v>30</v>
      </c>
      <c r="W516">
        <f t="shared" ca="1" si="182"/>
        <v>127.25903368051499</v>
      </c>
      <c r="X516">
        <f t="shared" ca="1" si="183"/>
        <v>123.80147160336</v>
      </c>
      <c r="Y516">
        <f t="shared" ca="1" si="184"/>
        <v>3.7104693219970102</v>
      </c>
      <c r="Z516">
        <f t="shared" ca="1" si="185"/>
        <v>2.7352276215896985</v>
      </c>
      <c r="AA516">
        <f t="shared" ca="1" si="186"/>
        <v>0.97524170040731173</v>
      </c>
      <c r="AB516">
        <f t="shared" ca="1" si="187"/>
        <v>116.64410000000005</v>
      </c>
    </row>
    <row r="517" spans="1:28" x14ac:dyDescent="0.25">
      <c r="A517" s="20">
        <f t="shared" ca="1" si="167"/>
        <v>46041</v>
      </c>
      <c r="B517" vm="1481">
        <f ca="1"/>
        <v>46044</v>
      </c>
      <c r="C517" vm="1482">
        <f ca="1"/>
        <v>133.63999999999999</v>
      </c>
      <c r="D517" vm="1483">
        <f ca="1"/>
        <v>16600126</v>
      </c>
      <c r="E517">
        <f t="shared" ca="1" si="168"/>
        <v>2218440838.6399999</v>
      </c>
      <c r="F517">
        <f ca="1">SUM($E$2:E517)/SUM($D$2:D517)</f>
        <v>112.39936032645851</v>
      </c>
      <c r="G517">
        <f ca="1">_xlfn.STDEV.P($C$2:C517)</f>
        <v>6.2212819167840854</v>
      </c>
      <c r="H517">
        <f t="shared" ca="1" si="169"/>
        <v>118.62064224324259</v>
      </c>
      <c r="I517">
        <f t="shared" ca="1" si="170"/>
        <v>106.17807840967443</v>
      </c>
      <c r="J517">
        <f t="shared" ca="1" si="171"/>
        <v>124.60899999999999</v>
      </c>
      <c r="K517">
        <f t="shared" ca="1" si="172"/>
        <v>4.9843205734530525</v>
      </c>
      <c r="L517">
        <f t="shared" ca="1" si="173"/>
        <v>134.5776411469061</v>
      </c>
      <c r="M517">
        <f t="shared" ca="1" si="174"/>
        <v>114.64035885309389</v>
      </c>
      <c r="N517">
        <f t="shared" ca="1" si="175"/>
        <v>2.9999999999972715E-2</v>
      </c>
      <c r="O517">
        <f t="shared" ca="1" si="176"/>
        <v>2.9999999999972715E-2</v>
      </c>
      <c r="P517">
        <f t="shared" ca="1" si="177"/>
        <v>0</v>
      </c>
      <c r="Q517">
        <f t="shared" ca="1" si="178"/>
        <v>1.1661066121507722</v>
      </c>
      <c r="R517">
        <f t="shared" ca="1" si="179"/>
        <v>0.45114906441662667</v>
      </c>
      <c r="S517">
        <f t="shared" ca="1" si="180"/>
        <v>2.5847479339420669</v>
      </c>
      <c r="T517">
        <f t="shared" ca="1" si="181"/>
        <v>72.10403580872358</v>
      </c>
      <c r="U517">
        <f>70</f>
        <v>70</v>
      </c>
      <c r="V517">
        <f>30</f>
        <v>30</v>
      </c>
      <c r="W517">
        <f t="shared" ca="1" si="182"/>
        <v>128.24072080658959</v>
      </c>
      <c r="X517">
        <f t="shared" ca="1" si="183"/>
        <v>124.53025148459258</v>
      </c>
      <c r="Y517">
        <f t="shared" ca="1" si="184"/>
        <v>3.9724283392151563</v>
      </c>
      <c r="Z517">
        <f t="shared" ca="1" si="185"/>
        <v>2.9826677651147904</v>
      </c>
      <c r="AA517">
        <f t="shared" ca="1" si="186"/>
        <v>0.98976057410036589</v>
      </c>
      <c r="AB517">
        <f t="shared" ca="1" si="187"/>
        <v>116.84700000000002</v>
      </c>
    </row>
    <row r="518" spans="1:28" x14ac:dyDescent="0.25">
      <c r="A518" s="20">
        <f t="shared" ca="1" si="167"/>
        <v>46041</v>
      </c>
      <c r="B518" vm="1484">
        <f ca="1"/>
        <v>46045</v>
      </c>
      <c r="C518" vm="1485">
        <f ca="1"/>
        <v>134.97</v>
      </c>
      <c r="D518" vm="1486">
        <f ca="1"/>
        <v>17758214</v>
      </c>
      <c r="E518">
        <f t="shared" ca="1" si="168"/>
        <v>2396826143.5799999</v>
      </c>
      <c r="F518">
        <f ca="1">SUM($E$2:E518)/SUM($D$2:D518)</f>
        <v>112.44699190273906</v>
      </c>
      <c r="G518">
        <f ca="1">_xlfn.STDEV.P($C$2:C518)</f>
        <v>6.2915994671528663</v>
      </c>
      <c r="H518">
        <f t="shared" ca="1" si="169"/>
        <v>118.73859136989192</v>
      </c>
      <c r="I518">
        <f t="shared" ca="1" si="170"/>
        <v>106.15539243558619</v>
      </c>
      <c r="J518">
        <f t="shared" ca="1" si="171"/>
        <v>125.38649999999998</v>
      </c>
      <c r="K518">
        <f t="shared" ca="1" si="172"/>
        <v>5.3329169217921297</v>
      </c>
      <c r="L518">
        <f t="shared" ca="1" si="173"/>
        <v>136.05233384358425</v>
      </c>
      <c r="M518">
        <f t="shared" ca="1" si="174"/>
        <v>114.72066615641572</v>
      </c>
      <c r="N518">
        <f t="shared" ca="1" si="175"/>
        <v>1.3300000000000125</v>
      </c>
      <c r="O518">
        <f t="shared" ca="1" si="176"/>
        <v>1.3300000000000125</v>
      </c>
      <c r="P518">
        <f t="shared" ca="1" si="177"/>
        <v>0</v>
      </c>
      <c r="Q518">
        <f t="shared" ca="1" si="178"/>
        <v>1.1778132827114323</v>
      </c>
      <c r="R518">
        <f t="shared" ca="1" si="179"/>
        <v>0.41892413124401046</v>
      </c>
      <c r="S518">
        <f t="shared" ca="1" si="180"/>
        <v>2.8115193059274786</v>
      </c>
      <c r="T518">
        <f t="shared" ca="1" si="181"/>
        <v>73.763743018568704</v>
      </c>
      <c r="U518">
        <f>70</f>
        <v>70</v>
      </c>
      <c r="V518">
        <f>30</f>
        <v>30</v>
      </c>
      <c r="W518">
        <f t="shared" ca="1" si="182"/>
        <v>129.27599452865275</v>
      </c>
      <c r="X518">
        <f t="shared" ca="1" si="183"/>
        <v>125.30356618943759</v>
      </c>
      <c r="Y518">
        <f t="shared" ca="1" si="184"/>
        <v>4.1220266764747748</v>
      </c>
      <c r="Z518">
        <f t="shared" ca="1" si="185"/>
        <v>3.2105395473867873</v>
      </c>
      <c r="AA518">
        <f t="shared" ca="1" si="186"/>
        <v>0.91148712908798757</v>
      </c>
      <c r="AB518">
        <f t="shared" ca="1" si="187"/>
        <v>117.05380000000001</v>
      </c>
    </row>
    <row r="519" spans="1:28" x14ac:dyDescent="0.25">
      <c r="A519" s="20">
        <f t="shared" ca="1" si="167"/>
        <v>46048</v>
      </c>
      <c r="B519" vm="1487">
        <f ca="1"/>
        <v>46048</v>
      </c>
      <c r="C519" vm="1488">
        <f ca="1"/>
        <v>134.84</v>
      </c>
      <c r="D519" vm="1489">
        <f ca="1"/>
        <v>16056066</v>
      </c>
      <c r="E519">
        <f t="shared" ca="1" si="168"/>
        <v>2164999939.4400001</v>
      </c>
      <c r="F519">
        <f ca="1">SUM($E$2:E519)/SUM($D$2:D519)</f>
        <v>112.48963762897409</v>
      </c>
      <c r="G519">
        <f ca="1">_xlfn.STDEV.P($C$2:C519)</f>
        <v>6.3597119513475535</v>
      </c>
      <c r="H519">
        <f t="shared" ca="1" si="169"/>
        <v>118.84934958032164</v>
      </c>
      <c r="I519">
        <f t="shared" ca="1" si="170"/>
        <v>106.12992567762655</v>
      </c>
      <c r="J519">
        <f t="shared" ca="1" si="171"/>
        <v>126.16749999999999</v>
      </c>
      <c r="K519">
        <f t="shared" ca="1" si="172"/>
        <v>5.5226984965875632</v>
      </c>
      <c r="L519">
        <f t="shared" ca="1" si="173"/>
        <v>137.21289699317512</v>
      </c>
      <c r="M519">
        <f t="shared" ca="1" si="174"/>
        <v>115.12210300682486</v>
      </c>
      <c r="N519">
        <f t="shared" ca="1" si="175"/>
        <v>-0.12999999999999545</v>
      </c>
      <c r="O519">
        <f t="shared" ca="1" si="176"/>
        <v>0</v>
      </c>
      <c r="P519">
        <f t="shared" ca="1" si="177"/>
        <v>0.12999999999999545</v>
      </c>
      <c r="Q519">
        <f t="shared" ca="1" si="178"/>
        <v>1.0936837625177585</v>
      </c>
      <c r="R519">
        <f t="shared" ca="1" si="179"/>
        <v>0.39828669329800936</v>
      </c>
      <c r="S519">
        <f t="shared" ca="1" si="180"/>
        <v>2.7459711331591823</v>
      </c>
      <c r="T519">
        <f t="shared" ca="1" si="181"/>
        <v>73.304652800230059</v>
      </c>
      <c r="U519">
        <f>70</f>
        <v>70</v>
      </c>
      <c r="V519">
        <f>30</f>
        <v>30</v>
      </c>
      <c r="W519">
        <f t="shared" ca="1" si="182"/>
        <v>130.13199537039847</v>
      </c>
      <c r="X519">
        <f t="shared" ca="1" si="183"/>
        <v>126.0099686939237</v>
      </c>
      <c r="Y519">
        <f t="shared" ca="1" si="184"/>
        <v>4.351005126732602</v>
      </c>
      <c r="Z519">
        <f t="shared" ca="1" si="185"/>
        <v>3.4386326632559507</v>
      </c>
      <c r="AA519">
        <f t="shared" ca="1" si="186"/>
        <v>0.91237246347665124</v>
      </c>
      <c r="AB519">
        <f t="shared" ca="1" si="187"/>
        <v>117.25530000000002</v>
      </c>
    </row>
    <row r="520" spans="1:28" x14ac:dyDescent="0.25">
      <c r="A520" s="20">
        <f t="shared" ca="1" si="167"/>
        <v>46048</v>
      </c>
      <c r="B520" vm="1490">
        <f ca="1"/>
        <v>46049</v>
      </c>
      <c r="C520" vm="1491">
        <f ca="1"/>
        <v>136.83000000000001</v>
      </c>
      <c r="D520" vm="1492">
        <f ca="1"/>
        <v>14517025</v>
      </c>
      <c r="E520">
        <f t="shared" ca="1" si="168"/>
        <v>1986364530.7500002</v>
      </c>
      <c r="F520">
        <f ca="1">SUM($E$2:E520)/SUM($D$2:D520)</f>
        <v>112.53147664281002</v>
      </c>
      <c r="G520">
        <f ca="1">_xlfn.STDEV.P($C$2:C520)</f>
        <v>6.440255831650191</v>
      </c>
      <c r="H520">
        <f t="shared" ca="1" si="169"/>
        <v>118.97173247446021</v>
      </c>
      <c r="I520">
        <f t="shared" ca="1" si="170"/>
        <v>106.09122081115983</v>
      </c>
      <c r="J520">
        <f t="shared" ca="1" si="171"/>
        <v>127.05349999999999</v>
      </c>
      <c r="K520">
        <f t="shared" ca="1" si="172"/>
        <v>5.7476972734625154</v>
      </c>
      <c r="L520">
        <f t="shared" ca="1" si="173"/>
        <v>138.54889454692503</v>
      </c>
      <c r="M520">
        <f t="shared" ca="1" si="174"/>
        <v>115.55810545307496</v>
      </c>
      <c r="N520">
        <f t="shared" ca="1" si="175"/>
        <v>1.9900000000000091</v>
      </c>
      <c r="O520">
        <f t="shared" ca="1" si="176"/>
        <v>1.9900000000000091</v>
      </c>
      <c r="P520">
        <f t="shared" ca="1" si="177"/>
        <v>0</v>
      </c>
      <c r="Q520">
        <f t="shared" ca="1" si="178"/>
        <v>1.1577063509093477</v>
      </c>
      <c r="R520">
        <f t="shared" ca="1" si="179"/>
        <v>0.36983764377672301</v>
      </c>
      <c r="S520">
        <f t="shared" ca="1" si="180"/>
        <v>3.1303096653089044</v>
      </c>
      <c r="T520">
        <f t="shared" ca="1" si="181"/>
        <v>75.788740287461948</v>
      </c>
      <c r="U520">
        <f>70</f>
        <v>70</v>
      </c>
      <c r="V520">
        <f>30</f>
        <v>30</v>
      </c>
      <c r="W520">
        <f t="shared" ca="1" si="182"/>
        <v>131.1624576211064</v>
      </c>
      <c r="X520">
        <f t="shared" ca="1" si="183"/>
        <v>126.8114524943738</v>
      </c>
      <c r="Y520">
        <f t="shared" ca="1" si="184"/>
        <v>4.5406491532681343</v>
      </c>
      <c r="Z520">
        <f t="shared" ca="1" si="185"/>
        <v>3.6590359612583878</v>
      </c>
      <c r="AA520">
        <f t="shared" ca="1" si="186"/>
        <v>0.88161319200974653</v>
      </c>
      <c r="AB520">
        <f t="shared" ca="1" si="187"/>
        <v>117.50450000000001</v>
      </c>
    </row>
    <row r="521" spans="1:28" x14ac:dyDescent="0.25">
      <c r="A521" s="20">
        <f t="shared" ca="1" si="167"/>
        <v>46048</v>
      </c>
      <c r="B521" vm="1493">
        <f ca="1"/>
        <v>46050</v>
      </c>
      <c r="C521" vm="1494">
        <f ca="1"/>
        <v>137.58000000000001</v>
      </c>
      <c r="D521" vm="1495">
        <f ca="1"/>
        <v>15637279</v>
      </c>
      <c r="E521">
        <f t="shared" ca="1" si="168"/>
        <v>2151376844.8200002</v>
      </c>
      <c r="F521">
        <f ca="1">SUM($E$2:E521)/SUM($D$2:D521)</f>
        <v>112.5777697903083</v>
      </c>
      <c r="G521">
        <f ca="1">_xlfn.STDEV.P($C$2:C521)</f>
        <v>6.5245470188669312</v>
      </c>
      <c r="H521">
        <f t="shared" ca="1" si="169"/>
        <v>119.10231680917522</v>
      </c>
      <c r="I521">
        <f t="shared" ca="1" si="170"/>
        <v>106.05322277144137</v>
      </c>
      <c r="J521">
        <f t="shared" ca="1" si="171"/>
        <v>127.90599999999999</v>
      </c>
      <c r="K521">
        <f t="shared" ca="1" si="172"/>
        <v>5.9885877431907737</v>
      </c>
      <c r="L521">
        <f t="shared" ca="1" si="173"/>
        <v>139.88317548638153</v>
      </c>
      <c r="M521">
        <f t="shared" ca="1" si="174"/>
        <v>115.92882451361845</v>
      </c>
      <c r="N521">
        <f t="shared" ca="1" si="175"/>
        <v>0.75</v>
      </c>
      <c r="O521">
        <f t="shared" ca="1" si="176"/>
        <v>0.75</v>
      </c>
      <c r="P521">
        <f t="shared" ca="1" si="177"/>
        <v>0</v>
      </c>
      <c r="Q521">
        <f t="shared" ca="1" si="178"/>
        <v>1.1285844687015372</v>
      </c>
      <c r="R521">
        <f t="shared" ca="1" si="179"/>
        <v>0.34342066922124281</v>
      </c>
      <c r="S521">
        <f t="shared" ca="1" si="180"/>
        <v>3.2863032713225135</v>
      </c>
      <c r="T521">
        <f t="shared" ca="1" si="181"/>
        <v>76.669872925453177</v>
      </c>
      <c r="U521">
        <f>70</f>
        <v>70</v>
      </c>
      <c r="V521">
        <f>30</f>
        <v>30</v>
      </c>
      <c r="W521">
        <f t="shared" ca="1" si="182"/>
        <v>132.14977183324388</v>
      </c>
      <c r="X521">
        <f t="shared" ca="1" si="183"/>
        <v>127.60912267997574</v>
      </c>
      <c r="Y521">
        <f t="shared" ca="1" si="184"/>
        <v>4.8712175597758289</v>
      </c>
      <c r="Z521">
        <f t="shared" ca="1" si="185"/>
        <v>3.901472280961876</v>
      </c>
      <c r="AA521">
        <f t="shared" ca="1" si="186"/>
        <v>0.96974527881395289</v>
      </c>
      <c r="AB521">
        <f t="shared" ca="1" si="187"/>
        <v>117.75630000000001</v>
      </c>
    </row>
    <row r="522" spans="1:28" x14ac:dyDescent="0.25">
      <c r="A522" s="20">
        <f t="shared" ca="1" si="167"/>
        <v>46048</v>
      </c>
      <c r="B522" vm="1496">
        <f ca="1"/>
        <v>46051</v>
      </c>
      <c r="C522" vm="1497">
        <f ca="1"/>
        <v>140.51</v>
      </c>
      <c r="D522" vm="1498">
        <f ca="1"/>
        <v>35760620</v>
      </c>
      <c r="E522">
        <f t="shared" ca="1" si="168"/>
        <v>5024724716.1999998</v>
      </c>
      <c r="F522">
        <f ca="1">SUM($E$2:E522)/SUM($D$2:D522)</f>
        <v>112.6953278423909</v>
      </c>
      <c r="G522">
        <f ca="1">_xlfn.STDEV.P($C$2:C522)</f>
        <v>6.6292705247255741</v>
      </c>
      <c r="H522">
        <f t="shared" ca="1" si="169"/>
        <v>119.32459836711647</v>
      </c>
      <c r="I522">
        <f t="shared" ca="1" si="170"/>
        <v>106.06605731766533</v>
      </c>
      <c r="J522">
        <f t="shared" ca="1" si="171"/>
        <v>128.88199999999998</v>
      </c>
      <c r="K522">
        <f t="shared" ca="1" si="172"/>
        <v>6.3799798712766131</v>
      </c>
      <c r="L522">
        <f t="shared" ca="1" si="173"/>
        <v>141.64195974255321</v>
      </c>
      <c r="M522">
        <f t="shared" ca="1" si="174"/>
        <v>116.12204025744676</v>
      </c>
      <c r="N522">
        <f t="shared" ca="1" si="175"/>
        <v>2.9299999999999784</v>
      </c>
      <c r="O522">
        <f t="shared" ca="1" si="176"/>
        <v>2.9299999999999784</v>
      </c>
      <c r="P522">
        <f t="shared" ca="1" si="177"/>
        <v>0</v>
      </c>
      <c r="Q522">
        <f t="shared" ca="1" si="178"/>
        <v>1.2572570066514257</v>
      </c>
      <c r="R522">
        <f t="shared" ca="1" si="179"/>
        <v>0.31889062141972546</v>
      </c>
      <c r="S522">
        <f t="shared" ca="1" si="180"/>
        <v>3.9425963706741243</v>
      </c>
      <c r="T522">
        <f t="shared" ca="1" si="181"/>
        <v>79.767718725055246</v>
      </c>
      <c r="U522">
        <f>70</f>
        <v>70</v>
      </c>
      <c r="V522">
        <f>30</f>
        <v>30</v>
      </c>
      <c r="W522">
        <f t="shared" ca="1" si="182"/>
        <v>133.43596078197558</v>
      </c>
      <c r="X522">
        <f t="shared" ca="1" si="183"/>
        <v>128.56474322219975</v>
      </c>
      <c r="Y522">
        <f t="shared" ca="1" si="184"/>
        <v>5.1456946012302467</v>
      </c>
      <c r="Z522">
        <f t="shared" ca="1" si="185"/>
        <v>4.1503167450155507</v>
      </c>
      <c r="AA522">
        <f t="shared" ca="1" si="186"/>
        <v>0.99537785621469599</v>
      </c>
      <c r="AB522">
        <f t="shared" ca="1" si="187"/>
        <v>118.06910000000003</v>
      </c>
    </row>
    <row r="523" spans="1:28" x14ac:dyDescent="0.25">
      <c r="A523" s="20">
        <f t="shared" ca="1" si="167"/>
        <v>46048</v>
      </c>
      <c r="B523" vm="1499">
        <f ca="1"/>
        <v>46052</v>
      </c>
      <c r="C523" vm="1500">
        <f ca="1"/>
        <v>141.4</v>
      </c>
      <c r="D523" vm="1501">
        <f ca="1"/>
        <v>29657667</v>
      </c>
      <c r="E523">
        <f t="shared" ca="1" si="168"/>
        <v>4193594113.8000002</v>
      </c>
      <c r="F523">
        <f ca="1">SUM($E$2:E523)/SUM($D$2:D523)</f>
        <v>112.79517094543189</v>
      </c>
      <c r="G523">
        <f ca="1">_xlfn.STDEV.P($C$2:C523)</f>
        <v>6.7386311493749114</v>
      </c>
      <c r="H523">
        <f t="shared" ca="1" si="169"/>
        <v>119.5338020948068</v>
      </c>
      <c r="I523">
        <f t="shared" ca="1" si="170"/>
        <v>106.05653979605698</v>
      </c>
      <c r="J523">
        <f t="shared" ca="1" si="171"/>
        <v>129.93499999999997</v>
      </c>
      <c r="K523">
        <f t="shared" ca="1" si="172"/>
        <v>6.6290314446936254</v>
      </c>
      <c r="L523">
        <f t="shared" ca="1" si="173"/>
        <v>143.19306288938722</v>
      </c>
      <c r="M523">
        <f t="shared" ca="1" si="174"/>
        <v>116.67693711061273</v>
      </c>
      <c r="N523">
        <f t="shared" ca="1" si="175"/>
        <v>0.89000000000001478</v>
      </c>
      <c r="O523">
        <f t="shared" ca="1" si="176"/>
        <v>0.89000000000001478</v>
      </c>
      <c r="P523">
        <f t="shared" ca="1" si="177"/>
        <v>0</v>
      </c>
      <c r="Q523">
        <f t="shared" ca="1" si="178"/>
        <v>1.2310243633191822</v>
      </c>
      <c r="R523">
        <f t="shared" ca="1" si="179"/>
        <v>0.29611271988974508</v>
      </c>
      <c r="S523">
        <f t="shared" ca="1" si="180"/>
        <v>4.1572829555499782</v>
      </c>
      <c r="T523">
        <f t="shared" ca="1" si="181"/>
        <v>80.609945030767491</v>
      </c>
      <c r="U523">
        <f>70</f>
        <v>70</v>
      </c>
      <c r="V523">
        <f>30</f>
        <v>30</v>
      </c>
      <c r="W523">
        <f t="shared" ca="1" si="182"/>
        <v>134.66119758474855</v>
      </c>
      <c r="X523">
        <f t="shared" ca="1" si="183"/>
        <v>129.5155029835183</v>
      </c>
      <c r="Y523">
        <f t="shared" si="184"/>
        <v>0</v>
      </c>
      <c r="Z523">
        <f t="shared" ca="1" si="185"/>
        <v>3.3202533960124407</v>
      </c>
      <c r="AA523">
        <f t="shared" ca="1" si="186"/>
        <v>-3.3202533960124407</v>
      </c>
      <c r="AB523">
        <f t="shared" ca="1" si="187"/>
        <v>118.38460000000001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33AD-87E5-4482-B5EE-D877F9568BB0}">
  <dimension ref="A1:D120"/>
  <sheetViews>
    <sheetView workbookViewId="0">
      <selection sqref="A1:D1048576"/>
    </sheetView>
  </sheetViews>
  <sheetFormatPr defaultRowHeight="15" x14ac:dyDescent="0.25"/>
  <cols>
    <col min="1" max="1" width="10.42578125" style="20" bestFit="1" customWidth="1"/>
    <col min="2" max="2" width="10.42578125" bestFit="1" customWidth="1"/>
    <col min="4" max="4" width="13.5703125" bestFit="1" customWidth="1"/>
    <col min="5" max="5" width="15.5703125" bestFit="1" customWidth="1"/>
  </cols>
  <sheetData>
    <row r="1" spans="1:4" x14ac:dyDescent="0.25">
      <c r="A1" s="20" t="s">
        <v>45</v>
      </c>
      <c r="B1" t="s">
        <v>46</v>
      </c>
      <c r="C1" t="s">
        <v>47</v>
      </c>
      <c r="D1" t="s">
        <v>48</v>
      </c>
    </row>
    <row r="2" spans="1:4" x14ac:dyDescent="0.25">
      <c r="A2" s="20">
        <v>45292</v>
      </c>
      <c r="B2">
        <v>59.802500000000002</v>
      </c>
    </row>
    <row r="3" spans="1:4" x14ac:dyDescent="0.25">
      <c r="A3" s="20">
        <v>45299</v>
      </c>
      <c r="B3">
        <v>60.102000000000004</v>
      </c>
    </row>
    <row r="4" spans="1:4" x14ac:dyDescent="0.25">
      <c r="A4" s="20">
        <v>45306</v>
      </c>
      <c r="B4">
        <v>59.9925</v>
      </c>
    </row>
    <row r="5" spans="1:4" x14ac:dyDescent="0.25">
      <c r="A5" s="20">
        <v>45313</v>
      </c>
      <c r="B5">
        <v>59.372</v>
      </c>
    </row>
    <row r="6" spans="1:4" x14ac:dyDescent="0.25">
      <c r="A6" s="20">
        <v>45320</v>
      </c>
      <c r="B6">
        <v>60.128</v>
      </c>
    </row>
    <row r="7" spans="1:4" x14ac:dyDescent="0.25">
      <c r="A7" s="20">
        <v>45327</v>
      </c>
      <c r="B7">
        <v>59.872</v>
      </c>
    </row>
    <row r="8" spans="1:4" x14ac:dyDescent="0.25">
      <c r="A8" s="20">
        <v>45334</v>
      </c>
      <c r="B8">
        <v>59.426000000000002</v>
      </c>
    </row>
    <row r="9" spans="1:4" x14ac:dyDescent="0.25">
      <c r="A9" s="20">
        <v>45341</v>
      </c>
      <c r="B9">
        <v>61.072500000000005</v>
      </c>
    </row>
    <row r="10" spans="1:4" x14ac:dyDescent="0.25">
      <c r="A10" s="20">
        <v>45348</v>
      </c>
      <c r="B10">
        <v>60.2</v>
      </c>
    </row>
    <row r="11" spans="1:4" x14ac:dyDescent="0.25">
      <c r="A11" s="20">
        <v>45355</v>
      </c>
      <c r="B11">
        <v>59.567999999999998</v>
      </c>
    </row>
    <row r="12" spans="1:4" x14ac:dyDescent="0.25">
      <c r="A12" s="20">
        <v>45362</v>
      </c>
      <c r="B12">
        <v>60.448</v>
      </c>
    </row>
    <row r="13" spans="1:4" x14ac:dyDescent="0.25">
      <c r="A13" s="20">
        <v>45369</v>
      </c>
      <c r="B13">
        <v>60.414000000000001</v>
      </c>
    </row>
    <row r="14" spans="1:4" x14ac:dyDescent="0.25">
      <c r="A14" s="20">
        <v>45376</v>
      </c>
      <c r="B14">
        <v>60.787500000000001</v>
      </c>
    </row>
    <row r="15" spans="1:4" x14ac:dyDescent="0.25">
      <c r="A15" s="20">
        <v>45383</v>
      </c>
      <c r="B15">
        <v>59.893999999999998</v>
      </c>
    </row>
    <row r="16" spans="1:4" x14ac:dyDescent="0.25">
      <c r="A16" s="20">
        <v>45390</v>
      </c>
      <c r="B16">
        <v>59.048000000000002</v>
      </c>
    </row>
    <row r="17" spans="1:2" x14ac:dyDescent="0.25">
      <c r="A17" s="20">
        <v>45397</v>
      </c>
      <c r="B17">
        <v>58.758000000000003</v>
      </c>
    </row>
    <row r="18" spans="1:2" x14ac:dyDescent="0.25">
      <c r="A18" s="20">
        <v>45404</v>
      </c>
      <c r="B18">
        <v>61.244</v>
      </c>
    </row>
    <row r="19" spans="1:2" x14ac:dyDescent="0.25">
      <c r="A19" s="20">
        <v>45411</v>
      </c>
      <c r="B19">
        <v>61.980000000000004</v>
      </c>
    </row>
    <row r="20" spans="1:2" x14ac:dyDescent="0.25">
      <c r="A20" s="20">
        <v>45418</v>
      </c>
      <c r="B20">
        <v>62.792000000000002</v>
      </c>
    </row>
    <row r="21" spans="1:2" x14ac:dyDescent="0.25">
      <c r="A21" s="20">
        <v>45425</v>
      </c>
      <c r="B21">
        <v>63.231999999999999</v>
      </c>
    </row>
    <row r="22" spans="1:2" x14ac:dyDescent="0.25">
      <c r="A22" s="20">
        <v>45432</v>
      </c>
      <c r="B22">
        <v>62.514000000000003</v>
      </c>
    </row>
    <row r="23" spans="1:2" x14ac:dyDescent="0.25">
      <c r="A23" s="20">
        <v>45439</v>
      </c>
      <c r="B23">
        <v>62.105000000000004</v>
      </c>
    </row>
    <row r="24" spans="1:2" x14ac:dyDescent="0.25">
      <c r="A24" s="20">
        <v>45446</v>
      </c>
      <c r="B24">
        <v>63.77</v>
      </c>
    </row>
    <row r="25" spans="1:2" x14ac:dyDescent="0.25">
      <c r="A25" s="20">
        <v>45453</v>
      </c>
      <c r="B25">
        <v>63.112000000000002</v>
      </c>
    </row>
    <row r="26" spans="1:2" x14ac:dyDescent="0.25">
      <c r="A26" s="20">
        <v>45460</v>
      </c>
      <c r="B26">
        <v>62.55</v>
      </c>
    </row>
    <row r="27" spans="1:2" x14ac:dyDescent="0.25">
      <c r="A27" s="20">
        <v>45467</v>
      </c>
      <c r="B27">
        <v>63.884</v>
      </c>
    </row>
    <row r="28" spans="1:2" x14ac:dyDescent="0.25">
      <c r="A28" s="20">
        <v>45474</v>
      </c>
      <c r="B28">
        <v>63.379999999999995</v>
      </c>
    </row>
    <row r="29" spans="1:2" x14ac:dyDescent="0.25">
      <c r="A29" s="20">
        <v>45481</v>
      </c>
      <c r="B29">
        <v>63.055999999999997</v>
      </c>
    </row>
    <row r="30" spans="1:2" x14ac:dyDescent="0.25">
      <c r="A30" s="20">
        <v>45488</v>
      </c>
      <c r="B30">
        <v>64.673999999999992</v>
      </c>
    </row>
    <row r="31" spans="1:2" x14ac:dyDescent="0.25">
      <c r="A31" s="20">
        <v>45495</v>
      </c>
      <c r="B31">
        <v>65.731999999999999</v>
      </c>
    </row>
    <row r="32" spans="1:2" x14ac:dyDescent="0.25">
      <c r="A32" s="20">
        <v>45502</v>
      </c>
      <c r="B32">
        <v>67.707999999999998</v>
      </c>
    </row>
    <row r="33" spans="1:2" x14ac:dyDescent="0.25">
      <c r="A33" s="20">
        <v>45509</v>
      </c>
      <c r="B33">
        <v>68.403999999999996</v>
      </c>
    </row>
    <row r="34" spans="1:2" x14ac:dyDescent="0.25">
      <c r="A34" s="20">
        <v>45516</v>
      </c>
      <c r="B34">
        <v>68.608000000000004</v>
      </c>
    </row>
    <row r="35" spans="1:2" x14ac:dyDescent="0.25">
      <c r="A35" s="20">
        <v>45523</v>
      </c>
      <c r="B35">
        <v>69.41</v>
      </c>
    </row>
    <row r="36" spans="1:2" x14ac:dyDescent="0.25">
      <c r="A36" s="20">
        <v>45530</v>
      </c>
      <c r="B36">
        <v>71.721999999999994</v>
      </c>
    </row>
    <row r="37" spans="1:2" x14ac:dyDescent="0.25">
      <c r="A37" s="20">
        <v>45537</v>
      </c>
      <c r="B37">
        <v>71.97</v>
      </c>
    </row>
    <row r="38" spans="1:2" x14ac:dyDescent="0.25">
      <c r="A38" s="20">
        <v>45544</v>
      </c>
      <c r="B38">
        <v>71.423999999999992</v>
      </c>
    </row>
    <row r="39" spans="1:2" x14ac:dyDescent="0.25">
      <c r="A39" s="20">
        <v>45551</v>
      </c>
      <c r="B39">
        <v>71.581999999999994</v>
      </c>
    </row>
    <row r="40" spans="1:2" x14ac:dyDescent="0.25">
      <c r="A40" s="20">
        <v>45558</v>
      </c>
      <c r="B40">
        <v>71.540000000000006</v>
      </c>
    </row>
    <row r="41" spans="1:2" x14ac:dyDescent="0.25">
      <c r="A41" s="20">
        <v>45565</v>
      </c>
      <c r="B41">
        <v>71.054000000000002</v>
      </c>
    </row>
    <row r="42" spans="1:2" x14ac:dyDescent="0.25">
      <c r="A42" s="20">
        <v>45572</v>
      </c>
      <c r="B42">
        <v>69.316000000000003</v>
      </c>
    </row>
    <row r="43" spans="1:2" x14ac:dyDescent="0.25">
      <c r="A43" s="20">
        <v>45579</v>
      </c>
      <c r="B43">
        <v>70.317999999999998</v>
      </c>
    </row>
    <row r="44" spans="1:2" x14ac:dyDescent="0.25">
      <c r="A44" s="20">
        <v>45586</v>
      </c>
      <c r="B44">
        <v>68.225999999999999</v>
      </c>
    </row>
    <row r="45" spans="1:2" x14ac:dyDescent="0.25">
      <c r="A45" s="20">
        <v>45593</v>
      </c>
      <c r="B45">
        <v>65.694000000000003</v>
      </c>
    </row>
    <row r="46" spans="1:2" x14ac:dyDescent="0.25">
      <c r="A46" s="20">
        <v>45600</v>
      </c>
      <c r="B46">
        <v>64.352000000000004</v>
      </c>
    </row>
    <row r="47" spans="1:2" x14ac:dyDescent="0.25">
      <c r="A47" s="20">
        <v>45607</v>
      </c>
      <c r="B47">
        <v>62.77</v>
      </c>
    </row>
    <row r="48" spans="1:2" x14ac:dyDescent="0.25">
      <c r="A48" s="20">
        <v>45614</v>
      </c>
      <c r="B48">
        <v>63.024000000000001</v>
      </c>
    </row>
    <row r="49" spans="1:2" x14ac:dyDescent="0.25">
      <c r="A49" s="20">
        <v>45621</v>
      </c>
      <c r="B49">
        <v>64.36</v>
      </c>
    </row>
    <row r="50" spans="1:2" x14ac:dyDescent="0.25">
      <c r="A50" s="20">
        <v>45628</v>
      </c>
      <c r="B50">
        <v>62.966000000000001</v>
      </c>
    </row>
    <row r="51" spans="1:2" x14ac:dyDescent="0.25">
      <c r="A51" s="20">
        <v>45635</v>
      </c>
      <c r="B51">
        <v>63.021999999999998</v>
      </c>
    </row>
    <row r="52" spans="1:2" x14ac:dyDescent="0.25">
      <c r="A52" s="20">
        <v>45642</v>
      </c>
      <c r="B52">
        <v>62.76</v>
      </c>
    </row>
    <row r="53" spans="1:2" x14ac:dyDescent="0.25">
      <c r="A53" s="20">
        <v>45649</v>
      </c>
      <c r="B53">
        <v>62.56</v>
      </c>
    </row>
    <row r="54" spans="1:2" x14ac:dyDescent="0.25">
      <c r="A54" s="20">
        <v>45656</v>
      </c>
      <c r="B54">
        <v>61.97</v>
      </c>
    </row>
    <row r="55" spans="1:2" x14ac:dyDescent="0.25">
      <c r="A55" s="20">
        <v>45663</v>
      </c>
      <c r="B55">
        <v>61.107500000000002</v>
      </c>
    </row>
    <row r="56" spans="1:2" x14ac:dyDescent="0.25">
      <c r="A56" s="20">
        <v>45670</v>
      </c>
      <c r="B56">
        <v>62.084000000000003</v>
      </c>
    </row>
    <row r="57" spans="1:2" x14ac:dyDescent="0.25">
      <c r="A57" s="20">
        <v>45677</v>
      </c>
      <c r="B57">
        <v>61.912500000000001</v>
      </c>
    </row>
    <row r="58" spans="1:2" x14ac:dyDescent="0.25">
      <c r="A58" s="20">
        <v>45684</v>
      </c>
      <c r="B58">
        <v>63.317999999999998</v>
      </c>
    </row>
    <row r="59" spans="1:2" x14ac:dyDescent="0.25">
      <c r="A59" s="20">
        <v>45691</v>
      </c>
      <c r="B59">
        <v>63.268000000000001</v>
      </c>
    </row>
    <row r="60" spans="1:2" x14ac:dyDescent="0.25">
      <c r="A60" s="20">
        <v>45698</v>
      </c>
      <c r="B60">
        <v>67.846000000000004</v>
      </c>
    </row>
    <row r="61" spans="1:2" x14ac:dyDescent="0.25">
      <c r="A61" s="20">
        <v>45705</v>
      </c>
      <c r="B61">
        <v>70.127499999999998</v>
      </c>
    </row>
    <row r="62" spans="1:2" x14ac:dyDescent="0.25">
      <c r="A62" s="20">
        <v>45712</v>
      </c>
      <c r="B62">
        <v>70.992000000000004</v>
      </c>
    </row>
    <row r="63" spans="1:2" x14ac:dyDescent="0.25">
      <c r="A63" s="20">
        <v>45719</v>
      </c>
      <c r="B63">
        <v>70.896000000000001</v>
      </c>
    </row>
    <row r="64" spans="1:2" x14ac:dyDescent="0.25">
      <c r="A64" s="20">
        <v>45726</v>
      </c>
      <c r="B64">
        <v>70.242000000000004</v>
      </c>
    </row>
    <row r="65" spans="1:2" x14ac:dyDescent="0.25">
      <c r="A65" s="20">
        <v>45733</v>
      </c>
      <c r="B65">
        <v>69.432000000000002</v>
      </c>
    </row>
    <row r="66" spans="1:2" x14ac:dyDescent="0.25">
      <c r="A66" s="20">
        <v>45740</v>
      </c>
      <c r="B66">
        <v>69.778000000000006</v>
      </c>
    </row>
    <row r="67" spans="1:2" x14ac:dyDescent="0.25">
      <c r="A67" s="20">
        <v>45747</v>
      </c>
      <c r="B67">
        <v>71.585999999999999</v>
      </c>
    </row>
    <row r="68" spans="1:2" x14ac:dyDescent="0.25">
      <c r="A68" s="20">
        <v>45754</v>
      </c>
      <c r="B68">
        <v>69.786000000000001</v>
      </c>
    </row>
    <row r="69" spans="1:2" x14ac:dyDescent="0.25">
      <c r="A69" s="20">
        <v>45761</v>
      </c>
      <c r="B69">
        <v>72.247500000000002</v>
      </c>
    </row>
    <row r="70" spans="1:2" x14ac:dyDescent="0.25">
      <c r="A70" s="20">
        <v>45768</v>
      </c>
      <c r="B70">
        <v>72.88</v>
      </c>
    </row>
    <row r="71" spans="1:2" x14ac:dyDescent="0.25">
      <c r="A71" s="20">
        <v>45775</v>
      </c>
      <c r="B71">
        <v>71.926000000000002</v>
      </c>
    </row>
    <row r="72" spans="1:2" x14ac:dyDescent="0.25">
      <c r="A72" s="20">
        <v>45782</v>
      </c>
      <c r="B72">
        <v>71.501999999999995</v>
      </c>
    </row>
    <row r="73" spans="1:2" x14ac:dyDescent="0.25">
      <c r="A73" s="20">
        <v>45789</v>
      </c>
      <c r="B73">
        <v>70.251999999999995</v>
      </c>
    </row>
    <row r="74" spans="1:2" x14ac:dyDescent="0.25">
      <c r="A74" s="20">
        <v>45796</v>
      </c>
      <c r="B74">
        <v>71.676000000000002</v>
      </c>
    </row>
    <row r="75" spans="1:2" x14ac:dyDescent="0.25">
      <c r="A75" s="20">
        <v>45803</v>
      </c>
      <c r="B75">
        <v>71.63</v>
      </c>
    </row>
    <row r="76" spans="1:2" x14ac:dyDescent="0.25">
      <c r="A76" s="20">
        <v>45810</v>
      </c>
      <c r="B76">
        <v>71.358000000000004</v>
      </c>
    </row>
    <row r="77" spans="1:2" x14ac:dyDescent="0.25">
      <c r="A77" s="20">
        <v>45817</v>
      </c>
      <c r="B77">
        <v>71.89</v>
      </c>
    </row>
    <row r="78" spans="1:2" x14ac:dyDescent="0.25">
      <c r="A78" s="20">
        <v>45824</v>
      </c>
      <c r="B78">
        <v>69.547499999999999</v>
      </c>
    </row>
    <row r="79" spans="1:2" x14ac:dyDescent="0.25">
      <c r="A79" s="20">
        <v>45831</v>
      </c>
      <c r="B79">
        <v>69.875999999999991</v>
      </c>
    </row>
    <row r="80" spans="1:2" x14ac:dyDescent="0.25">
      <c r="A80" s="20">
        <v>45838</v>
      </c>
      <c r="B80">
        <v>71.17</v>
      </c>
    </row>
    <row r="81" spans="1:2" x14ac:dyDescent="0.25">
      <c r="A81" s="20">
        <v>45845</v>
      </c>
      <c r="B81">
        <v>70.073999999999998</v>
      </c>
    </row>
    <row r="82" spans="1:2" x14ac:dyDescent="0.25">
      <c r="A82" s="20">
        <v>45852</v>
      </c>
      <c r="B82">
        <v>69.707999999999998</v>
      </c>
    </row>
    <row r="83" spans="1:2" x14ac:dyDescent="0.25">
      <c r="A83" s="20">
        <v>45859</v>
      </c>
      <c r="B83">
        <v>69.432000000000002</v>
      </c>
    </row>
    <row r="84" spans="1:2" x14ac:dyDescent="0.25">
      <c r="A84" s="20">
        <v>45866</v>
      </c>
      <c r="B84">
        <v>68.593999999999994</v>
      </c>
    </row>
    <row r="85" spans="1:2" x14ac:dyDescent="0.25">
      <c r="A85" s="20">
        <v>45873</v>
      </c>
      <c r="B85">
        <v>69.658000000000001</v>
      </c>
    </row>
    <row r="86" spans="1:2" x14ac:dyDescent="0.25">
      <c r="A86" s="20">
        <v>45880</v>
      </c>
      <c r="B86">
        <v>70.277999999999992</v>
      </c>
    </row>
    <row r="87" spans="1:2" x14ac:dyDescent="0.25">
      <c r="A87" s="20">
        <v>45887</v>
      </c>
      <c r="B87">
        <v>70.149999999999991</v>
      </c>
    </row>
    <row r="88" spans="1:2" x14ac:dyDescent="0.25">
      <c r="A88" s="20">
        <v>45894</v>
      </c>
      <c r="B88">
        <v>68.768000000000001</v>
      </c>
    </row>
    <row r="89" spans="1:2" x14ac:dyDescent="0.25">
      <c r="A89" s="20">
        <v>45901</v>
      </c>
      <c r="B89">
        <v>68.564999999999998</v>
      </c>
    </row>
    <row r="90" spans="1:2" x14ac:dyDescent="0.25">
      <c r="A90" s="20">
        <v>45908</v>
      </c>
      <c r="B90">
        <v>67.548000000000002</v>
      </c>
    </row>
    <row r="91" spans="1:2" x14ac:dyDescent="0.25">
      <c r="A91" s="20">
        <v>45915</v>
      </c>
      <c r="B91">
        <v>66.475999999999999</v>
      </c>
    </row>
    <row r="92" spans="1:2" x14ac:dyDescent="0.25">
      <c r="A92" s="20">
        <v>45922</v>
      </c>
      <c r="B92">
        <v>66.203999999999994</v>
      </c>
    </row>
    <row r="93" spans="1:2" x14ac:dyDescent="0.25">
      <c r="A93" s="20">
        <v>45929</v>
      </c>
      <c r="B93">
        <v>66.378</v>
      </c>
    </row>
    <row r="94" spans="1:2" x14ac:dyDescent="0.25">
      <c r="A94" s="20">
        <v>45936</v>
      </c>
      <c r="B94">
        <v>66.484000000000009</v>
      </c>
    </row>
    <row r="95" spans="1:2" x14ac:dyDescent="0.25">
      <c r="A95" s="20">
        <v>45943</v>
      </c>
      <c r="B95">
        <v>67.483999999999995</v>
      </c>
    </row>
    <row r="96" spans="1:2" x14ac:dyDescent="0.25">
      <c r="A96" s="20">
        <v>45950</v>
      </c>
      <c r="B96">
        <v>70.024000000000001</v>
      </c>
    </row>
    <row r="97" spans="1:4" x14ac:dyDescent="0.25">
      <c r="A97" s="20">
        <v>45957</v>
      </c>
      <c r="B97">
        <v>69.290000000000006</v>
      </c>
    </row>
    <row r="98" spans="1:4" x14ac:dyDescent="0.25">
      <c r="A98" s="20">
        <v>45964</v>
      </c>
      <c r="B98">
        <v>68.95</v>
      </c>
    </row>
    <row r="99" spans="1:4" x14ac:dyDescent="0.25">
      <c r="A99" s="20">
        <v>45971</v>
      </c>
      <c r="B99">
        <v>71.173999999999992</v>
      </c>
    </row>
    <row r="100" spans="1:4" x14ac:dyDescent="0.25">
      <c r="A100" s="20">
        <v>45978</v>
      </c>
      <c r="B100">
        <v>71.433999999999997</v>
      </c>
    </row>
    <row r="101" spans="1:4" x14ac:dyDescent="0.25">
      <c r="A101" s="20">
        <v>45985</v>
      </c>
      <c r="B101">
        <v>72.8</v>
      </c>
    </row>
    <row r="102" spans="1:4" x14ac:dyDescent="0.25">
      <c r="A102" s="20">
        <v>45992</v>
      </c>
      <c r="B102">
        <v>70.775999999999996</v>
      </c>
    </row>
    <row r="103" spans="1:4" x14ac:dyDescent="0.25">
      <c r="A103" s="20">
        <v>45999</v>
      </c>
      <c r="B103">
        <v>70.036000000000001</v>
      </c>
    </row>
    <row r="104" spans="1:4" x14ac:dyDescent="0.25">
      <c r="A104" s="20">
        <v>46006</v>
      </c>
      <c r="B104">
        <v>70.486000000000004</v>
      </c>
    </row>
    <row r="105" spans="1:4" x14ac:dyDescent="0.25">
      <c r="A105" s="20">
        <v>46013</v>
      </c>
      <c r="B105">
        <v>70.015000000000001</v>
      </c>
    </row>
    <row r="106" spans="1:4" x14ac:dyDescent="0.25">
      <c r="A106" s="20">
        <v>46020</v>
      </c>
      <c r="B106">
        <v>69.814999999999998</v>
      </c>
      <c r="C106">
        <f>_xlfn.FORECAST.ETS(Weekly[[#This Row],[Week]],B2:B105,A2:A105,1,1,1)</f>
        <v>70.737918403452525</v>
      </c>
      <c r="D106">
        <v>70.695881840304907</v>
      </c>
    </row>
    <row r="107" spans="1:4" x14ac:dyDescent="0.25">
      <c r="A107" s="20">
        <v>46027</v>
      </c>
      <c r="B107">
        <v>68.64</v>
      </c>
      <c r="C107">
        <f>_xlfn.FORECAST.ETS(Weekly[[#This Row],[Week]],B3:B106,A3:A106,1,1,1)</f>
        <v>69.299355964734005</v>
      </c>
      <c r="D107">
        <v>72.508321074466096</v>
      </c>
    </row>
    <row r="108" spans="1:4" x14ac:dyDescent="0.25">
      <c r="A108" s="20">
        <v>46034</v>
      </c>
      <c r="B108">
        <v>70.819999999999993</v>
      </c>
      <c r="C108">
        <f>_xlfn.FORECAST.ETS(Weekly[[#This Row],[Week]],B4:B107,A4:A107,1,1,1)</f>
        <v>72.076313519028986</v>
      </c>
      <c r="D108">
        <v>74.087365609396599</v>
      </c>
    </row>
    <row r="109" spans="1:4" x14ac:dyDescent="0.25">
      <c r="A109" s="20">
        <v>46041</v>
      </c>
      <c r="B109">
        <v>72.127499999999998</v>
      </c>
      <c r="C109">
        <f>_xlfn.FORECAST.ETS(Weekly[[#This Row],[Week]],B5:B108,A5:A108,1,1,1)</f>
        <v>71.65889819274922</v>
      </c>
      <c r="D109">
        <v>74.643224090964793</v>
      </c>
    </row>
    <row r="110" spans="1:4" x14ac:dyDescent="0.25">
      <c r="A110" s="20">
        <v>46048</v>
      </c>
      <c r="B110">
        <v>73.481999999999999</v>
      </c>
      <c r="C110">
        <f>_xlfn.FORECAST.ETS(Weekly[[#This Row],[Week]],B6:B109,A6:A109,1,1,1)</f>
        <v>72.635076111396046</v>
      </c>
      <c r="D110">
        <v>75.022906835339697</v>
      </c>
    </row>
    <row r="111" spans="1:4" x14ac:dyDescent="0.25">
      <c r="A111" s="20">
        <v>46055</v>
      </c>
      <c r="C111">
        <f>_xlfn.FORECAST.ETS(Weekly[[#This Row],[Week]],B7:B110,A7:A110,1,1,1)</f>
        <v>73.613568120931461</v>
      </c>
      <c r="D111">
        <v>75.576218632070706</v>
      </c>
    </row>
    <row r="112" spans="1:4" x14ac:dyDescent="0.25">
      <c r="A112" s="20">
        <v>46062</v>
      </c>
      <c r="C112">
        <f>_xlfn.FORECAST.ETS(Weekly[[#This Row],[Week]],B8:B111,A8:A111,1,1,1)</f>
        <v>75.098180315539182</v>
      </c>
      <c r="D112">
        <v>78.070565904075707</v>
      </c>
    </row>
    <row r="113" spans="1:4" x14ac:dyDescent="0.25">
      <c r="A113" s="20">
        <v>46069</v>
      </c>
      <c r="C113">
        <f>_xlfn.FORECAST.ETS(Weekly[[#This Row],[Week]],B9:B112,A9:A112,1,1,1)</f>
        <v>75.187586451774465</v>
      </c>
      <c r="D113">
        <v>78.473228837170396</v>
      </c>
    </row>
    <row r="114" spans="1:4" x14ac:dyDescent="0.25">
      <c r="A114" s="20">
        <v>46076</v>
      </c>
      <c r="C114">
        <f>_xlfn.FORECAST.ETS(Weekly[[#This Row],[Week]],B10:B113,A10:A113,1,1,1)</f>
        <v>74.755804460548831</v>
      </c>
      <c r="D114">
        <v>78.071196843372903</v>
      </c>
    </row>
    <row r="115" spans="1:4" x14ac:dyDescent="0.25">
      <c r="A115" s="20">
        <v>46083</v>
      </c>
      <c r="C115">
        <f>_xlfn.FORECAST.ETS(Weekly[[#This Row],[Week]],B11:B114,A11:A114,1,1,1)</f>
        <v>75.06750631438328</v>
      </c>
      <c r="D115">
        <v>78.277799844608495</v>
      </c>
    </row>
    <row r="116" spans="1:4" x14ac:dyDescent="0.25">
      <c r="A116" s="20">
        <v>46090</v>
      </c>
      <c r="C116">
        <f>_xlfn.FORECAST.ETS(Weekly[[#This Row],[Week]],B12:B115,A12:A115,1,1,1)</f>
        <v>73.524886399141721</v>
      </c>
      <c r="D116">
        <v>77.712671926886003</v>
      </c>
    </row>
    <row r="117" spans="1:4" x14ac:dyDescent="0.25">
      <c r="A117" s="20">
        <v>46097</v>
      </c>
      <c r="C117">
        <f>_xlfn.FORECAST.ETS(Weekly[[#This Row],[Week]],B13:B116,A13:A116,1,1,1)</f>
        <v>73.191957992407978</v>
      </c>
      <c r="D117">
        <v>73.553883080994893</v>
      </c>
    </row>
    <row r="118" spans="1:4" x14ac:dyDescent="0.25">
      <c r="A118" s="20">
        <v>46104</v>
      </c>
      <c r="C118">
        <f>_xlfn.FORECAST.ETS(Weekly[[#This Row],[Week]],B14:B117,A14:A117,1,1,1)</f>
        <v>71.480367122011685</v>
      </c>
      <c r="D118">
        <v>71.735683967074195</v>
      </c>
    </row>
    <row r="119" spans="1:4" x14ac:dyDescent="0.25">
      <c r="A119" s="20">
        <v>46111</v>
      </c>
      <c r="C119">
        <f>_xlfn.FORECAST.ETS(Weekly[[#This Row],[Week]],B15:B118,A15:A118,1,1,1)</f>
        <v>70.051402173618115</v>
      </c>
      <c r="D119">
        <v>70.701065994135107</v>
      </c>
    </row>
    <row r="120" spans="1:4" x14ac:dyDescent="0.25">
      <c r="A120" s="20">
        <v>46118</v>
      </c>
      <c r="C120">
        <f>_xlfn.FORECAST.ETS(Weekly[[#This Row],[Week]],B16:B119,A16:A119,1,1,1)</f>
        <v>69.206166402454855</v>
      </c>
      <c r="D120">
        <v>70.592478216210296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306E-4F50-43F4-9EE2-3E27228FC754}">
  <dimension ref="A1:B523"/>
  <sheetViews>
    <sheetView topLeftCell="A515" workbookViewId="0">
      <selection activeCell="J5" sqref="J5"/>
    </sheetView>
  </sheetViews>
  <sheetFormatPr defaultRowHeight="15" x14ac:dyDescent="0.25"/>
  <cols>
    <col min="1" max="1" width="10.42578125" style="20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1502">
        <v>59.82</v>
      </c>
    </row>
    <row r="3" spans="1:2" x14ac:dyDescent="0.25">
      <c r="A3" s="20">
        <v>45292</v>
      </c>
      <c r="B3" vm="1503">
        <v>59.96</v>
      </c>
    </row>
    <row r="4" spans="1:2" x14ac:dyDescent="0.25">
      <c r="A4" s="20">
        <v>45292</v>
      </c>
      <c r="B4" vm="1504">
        <v>59.76</v>
      </c>
    </row>
    <row r="5" spans="1:2" x14ac:dyDescent="0.25">
      <c r="A5" s="20">
        <v>45292</v>
      </c>
      <c r="B5" vm="1505">
        <v>59.67</v>
      </c>
    </row>
    <row r="6" spans="1:2" x14ac:dyDescent="0.25">
      <c r="A6" s="20">
        <v>45299</v>
      </c>
      <c r="B6" vm="1506">
        <v>60.11</v>
      </c>
    </row>
    <row r="7" spans="1:2" x14ac:dyDescent="0.25">
      <c r="A7" s="20">
        <v>45299</v>
      </c>
      <c r="B7" vm="1507">
        <v>60</v>
      </c>
    </row>
    <row r="8" spans="1:2" x14ac:dyDescent="0.25">
      <c r="A8" s="20">
        <v>45299</v>
      </c>
      <c r="B8" vm="1508">
        <v>60.2</v>
      </c>
    </row>
    <row r="9" spans="1:2" x14ac:dyDescent="0.25">
      <c r="A9" s="20">
        <v>45299</v>
      </c>
      <c r="B9" vm="1509">
        <v>59.81</v>
      </c>
    </row>
    <row r="10" spans="1:2" x14ac:dyDescent="0.25">
      <c r="A10" s="20">
        <v>45299</v>
      </c>
      <c r="B10" vm="1510">
        <v>60.39</v>
      </c>
    </row>
    <row r="11" spans="1:2" x14ac:dyDescent="0.25">
      <c r="A11" s="20">
        <v>45306</v>
      </c>
      <c r="B11" vm="1511">
        <v>59.99</v>
      </c>
    </row>
    <row r="12" spans="1:2" x14ac:dyDescent="0.25">
      <c r="A12" s="20">
        <v>45306</v>
      </c>
      <c r="B12" vm="1511">
        <v>59.99</v>
      </c>
    </row>
    <row r="13" spans="1:2" x14ac:dyDescent="0.25">
      <c r="A13" s="20">
        <v>45306</v>
      </c>
      <c r="B13" vm="1512">
        <v>60.16</v>
      </c>
    </row>
    <row r="14" spans="1:2" x14ac:dyDescent="0.25">
      <c r="A14" s="20">
        <v>45306</v>
      </c>
      <c r="B14" vm="1513">
        <v>59.83</v>
      </c>
    </row>
    <row r="15" spans="1:2" x14ac:dyDescent="0.25">
      <c r="A15" s="20">
        <v>45313</v>
      </c>
      <c r="B15" vm="1514">
        <v>59.57</v>
      </c>
    </row>
    <row r="16" spans="1:2" x14ac:dyDescent="0.25">
      <c r="A16" s="20">
        <v>45313</v>
      </c>
      <c r="B16" vm="1515">
        <v>59.85</v>
      </c>
    </row>
    <row r="17" spans="1:2" x14ac:dyDescent="0.25">
      <c r="A17" s="20">
        <v>45313</v>
      </c>
      <c r="B17" vm="1516">
        <v>58.91</v>
      </c>
    </row>
    <row r="18" spans="1:2" x14ac:dyDescent="0.25">
      <c r="A18" s="20">
        <v>45313</v>
      </c>
      <c r="B18" vm="1517">
        <v>59.16</v>
      </c>
    </row>
    <row r="19" spans="1:2" x14ac:dyDescent="0.25">
      <c r="A19" s="20">
        <v>45313</v>
      </c>
      <c r="B19" vm="1518">
        <v>59.37</v>
      </c>
    </row>
    <row r="20" spans="1:2" x14ac:dyDescent="0.25">
      <c r="A20" s="20">
        <v>45320</v>
      </c>
      <c r="B20" vm="1519">
        <v>59.73</v>
      </c>
    </row>
    <row r="21" spans="1:2" x14ac:dyDescent="0.25">
      <c r="A21" s="20">
        <v>45320</v>
      </c>
      <c r="B21" vm="1520">
        <v>59.9</v>
      </c>
    </row>
    <row r="22" spans="1:2" x14ac:dyDescent="0.25">
      <c r="A22" s="20">
        <v>45320</v>
      </c>
      <c r="B22" vm="1521">
        <v>59.49</v>
      </c>
    </row>
    <row r="23" spans="1:2" x14ac:dyDescent="0.25">
      <c r="A23" s="20">
        <v>45320</v>
      </c>
      <c r="B23" vm="1522">
        <v>60.98</v>
      </c>
    </row>
    <row r="24" spans="1:2" x14ac:dyDescent="0.25">
      <c r="A24" s="20">
        <v>45320</v>
      </c>
      <c r="B24" vm="1523">
        <v>60.54</v>
      </c>
    </row>
    <row r="25" spans="1:2" x14ac:dyDescent="0.25">
      <c r="A25" s="20">
        <v>45327</v>
      </c>
      <c r="B25" vm="1524">
        <v>60.04</v>
      </c>
    </row>
    <row r="26" spans="1:2" x14ac:dyDescent="0.25">
      <c r="A26" s="20">
        <v>45327</v>
      </c>
      <c r="B26" vm="1525">
        <v>59.94</v>
      </c>
    </row>
    <row r="27" spans="1:2" x14ac:dyDescent="0.25">
      <c r="A27" s="20">
        <v>45327</v>
      </c>
      <c r="B27" vm="1511">
        <v>59.99</v>
      </c>
    </row>
    <row r="28" spans="1:2" x14ac:dyDescent="0.25">
      <c r="A28" s="20">
        <v>45327</v>
      </c>
      <c r="B28" vm="1513">
        <v>59.83</v>
      </c>
    </row>
    <row r="29" spans="1:2" x14ac:dyDescent="0.25">
      <c r="A29" s="20">
        <v>45327</v>
      </c>
      <c r="B29" vm="1526">
        <v>59.56</v>
      </c>
    </row>
    <row r="30" spans="1:2" x14ac:dyDescent="0.25">
      <c r="A30" s="20">
        <v>45334</v>
      </c>
      <c r="B30" vm="1527">
        <v>59.7</v>
      </c>
    </row>
    <row r="31" spans="1:2" x14ac:dyDescent="0.25">
      <c r="A31" s="20">
        <v>45334</v>
      </c>
      <c r="B31" vm="1528">
        <v>59.35</v>
      </c>
    </row>
    <row r="32" spans="1:2" x14ac:dyDescent="0.25">
      <c r="A32" s="20">
        <v>45334</v>
      </c>
      <c r="B32" vm="1529">
        <v>59.29</v>
      </c>
    </row>
    <row r="33" spans="1:2" x14ac:dyDescent="0.25">
      <c r="A33" s="20">
        <v>45334</v>
      </c>
      <c r="B33" vm="1530">
        <v>59.4</v>
      </c>
    </row>
    <row r="34" spans="1:2" x14ac:dyDescent="0.25">
      <c r="A34" s="20">
        <v>45334</v>
      </c>
      <c r="B34" vm="1531">
        <v>59.39</v>
      </c>
    </row>
    <row r="35" spans="1:2" x14ac:dyDescent="0.25">
      <c r="A35" s="20">
        <v>45341</v>
      </c>
      <c r="B35" vm="1532">
        <v>60.7</v>
      </c>
    </row>
    <row r="36" spans="1:2" x14ac:dyDescent="0.25">
      <c r="A36" s="20">
        <v>45341</v>
      </c>
      <c r="B36" vm="1533">
        <v>61.24</v>
      </c>
    </row>
    <row r="37" spans="1:2" x14ac:dyDescent="0.25">
      <c r="A37" s="20">
        <v>45341</v>
      </c>
      <c r="B37" vm="1534">
        <v>61.15</v>
      </c>
    </row>
    <row r="38" spans="1:2" x14ac:dyDescent="0.25">
      <c r="A38" s="20">
        <v>45341</v>
      </c>
      <c r="B38" vm="1535">
        <v>61.2</v>
      </c>
    </row>
    <row r="39" spans="1:2" x14ac:dyDescent="0.25">
      <c r="A39" s="20">
        <v>45348</v>
      </c>
      <c r="B39" vm="1536">
        <v>60.71</v>
      </c>
    </row>
    <row r="40" spans="1:2" x14ac:dyDescent="0.25">
      <c r="A40" s="20">
        <v>45348</v>
      </c>
      <c r="B40" vm="1537">
        <v>60.34</v>
      </c>
    </row>
    <row r="41" spans="1:2" x14ac:dyDescent="0.25">
      <c r="A41" s="20">
        <v>45348</v>
      </c>
      <c r="B41" vm="1538">
        <v>60.4</v>
      </c>
    </row>
    <row r="42" spans="1:2" x14ac:dyDescent="0.25">
      <c r="A42" s="20">
        <v>45348</v>
      </c>
      <c r="B42" vm="1539">
        <v>60.02</v>
      </c>
    </row>
    <row r="43" spans="1:2" x14ac:dyDescent="0.25">
      <c r="A43" s="20">
        <v>45348</v>
      </c>
      <c r="B43" vm="1540">
        <v>59.53</v>
      </c>
    </row>
    <row r="44" spans="1:2" x14ac:dyDescent="0.25">
      <c r="A44" s="20">
        <v>45355</v>
      </c>
      <c r="B44" vm="1509">
        <v>59.81</v>
      </c>
    </row>
    <row r="45" spans="1:2" x14ac:dyDescent="0.25">
      <c r="A45" s="20">
        <v>45355</v>
      </c>
      <c r="B45" vm="1541">
        <v>59.52</v>
      </c>
    </row>
    <row r="46" spans="1:2" x14ac:dyDescent="0.25">
      <c r="A46" s="20">
        <v>45355</v>
      </c>
      <c r="B46" vm="1542">
        <v>59.55</v>
      </c>
    </row>
    <row r="47" spans="1:2" x14ac:dyDescent="0.25">
      <c r="A47" s="20">
        <v>45355</v>
      </c>
      <c r="B47" vm="1543">
        <v>59.44</v>
      </c>
    </row>
    <row r="48" spans="1:2" x14ac:dyDescent="0.25">
      <c r="A48" s="20">
        <v>45355</v>
      </c>
      <c r="B48" vm="1541">
        <v>59.52</v>
      </c>
    </row>
    <row r="49" spans="1:2" x14ac:dyDescent="0.25">
      <c r="A49" s="20">
        <v>45362</v>
      </c>
      <c r="B49" vm="1544">
        <v>60.24</v>
      </c>
    </row>
    <row r="50" spans="1:2" x14ac:dyDescent="0.25">
      <c r="A50" s="20">
        <v>45362</v>
      </c>
      <c r="B50" vm="1545">
        <v>60.5</v>
      </c>
    </row>
    <row r="51" spans="1:2" x14ac:dyDescent="0.25">
      <c r="A51" s="20">
        <v>45362</v>
      </c>
      <c r="B51" vm="1546">
        <v>61.12</v>
      </c>
    </row>
    <row r="52" spans="1:2" x14ac:dyDescent="0.25">
      <c r="A52" s="20">
        <v>45362</v>
      </c>
      <c r="B52" vm="1545">
        <v>60.5</v>
      </c>
    </row>
    <row r="53" spans="1:2" x14ac:dyDescent="0.25">
      <c r="A53" s="20">
        <v>45362</v>
      </c>
      <c r="B53" vm="1547">
        <v>59.88</v>
      </c>
    </row>
    <row r="54" spans="1:2" x14ac:dyDescent="0.25">
      <c r="A54" s="20">
        <v>45369</v>
      </c>
      <c r="B54" vm="1548">
        <v>60.13</v>
      </c>
    </row>
    <row r="55" spans="1:2" x14ac:dyDescent="0.25">
      <c r="A55" s="20">
        <v>45369</v>
      </c>
      <c r="B55" vm="1549">
        <v>60.23</v>
      </c>
    </row>
    <row r="56" spans="1:2" x14ac:dyDescent="0.25">
      <c r="A56" s="20">
        <v>45369</v>
      </c>
      <c r="B56" vm="1550">
        <v>60.75</v>
      </c>
    </row>
    <row r="57" spans="1:2" x14ac:dyDescent="0.25">
      <c r="A57" s="20">
        <v>45369</v>
      </c>
      <c r="B57" vm="1551">
        <v>60.47</v>
      </c>
    </row>
    <row r="58" spans="1:2" x14ac:dyDescent="0.25">
      <c r="A58" s="20">
        <v>45369</v>
      </c>
      <c r="B58" vm="1552">
        <v>60.49</v>
      </c>
    </row>
    <row r="59" spans="1:2" x14ac:dyDescent="0.25">
      <c r="A59" s="20">
        <v>45376</v>
      </c>
      <c r="B59" vm="1538">
        <v>60.4</v>
      </c>
    </row>
    <row r="60" spans="1:2" x14ac:dyDescent="0.25">
      <c r="A60" s="20">
        <v>45376</v>
      </c>
      <c r="B60" vm="1523">
        <v>60.54</v>
      </c>
    </row>
    <row r="61" spans="1:2" x14ac:dyDescent="0.25">
      <c r="A61" s="20">
        <v>45376</v>
      </c>
      <c r="B61" vm="1553">
        <v>61.03</v>
      </c>
    </row>
    <row r="62" spans="1:2" x14ac:dyDescent="0.25">
      <c r="A62" s="20">
        <v>45376</v>
      </c>
      <c r="B62" vm="1554">
        <v>61.18</v>
      </c>
    </row>
    <row r="63" spans="1:2" x14ac:dyDescent="0.25">
      <c r="A63" s="20">
        <v>45383</v>
      </c>
      <c r="B63" vm="1555">
        <v>60.68</v>
      </c>
    </row>
    <row r="64" spans="1:2" x14ac:dyDescent="0.25">
      <c r="A64" s="20">
        <v>45383</v>
      </c>
      <c r="B64" vm="1556">
        <v>60.15</v>
      </c>
    </row>
    <row r="65" spans="1:2" x14ac:dyDescent="0.25">
      <c r="A65" s="20">
        <v>45383</v>
      </c>
      <c r="B65" vm="1513">
        <v>59.83</v>
      </c>
    </row>
    <row r="66" spans="1:2" x14ac:dyDescent="0.25">
      <c r="A66" s="20">
        <v>45383</v>
      </c>
      <c r="B66" vm="1557">
        <v>59.3</v>
      </c>
    </row>
    <row r="67" spans="1:2" x14ac:dyDescent="0.25">
      <c r="A67" s="20">
        <v>45383</v>
      </c>
      <c r="B67" vm="1558">
        <v>59.51</v>
      </c>
    </row>
    <row r="68" spans="1:2" x14ac:dyDescent="0.25">
      <c r="A68" s="20">
        <v>45390</v>
      </c>
      <c r="B68" vm="1559">
        <v>59.27</v>
      </c>
    </row>
    <row r="69" spans="1:2" x14ac:dyDescent="0.25">
      <c r="A69" s="20">
        <v>45390</v>
      </c>
      <c r="B69" vm="1560">
        <v>59.72</v>
      </c>
    </row>
    <row r="70" spans="1:2" x14ac:dyDescent="0.25">
      <c r="A70" s="20">
        <v>45390</v>
      </c>
      <c r="B70" vm="1561">
        <v>58.92</v>
      </c>
    </row>
    <row r="71" spans="1:2" x14ac:dyDescent="0.25">
      <c r="A71" s="20">
        <v>45390</v>
      </c>
      <c r="B71" vm="1562">
        <v>59.05</v>
      </c>
    </row>
    <row r="72" spans="1:2" x14ac:dyDescent="0.25">
      <c r="A72" s="20">
        <v>45390</v>
      </c>
      <c r="B72" vm="1563">
        <v>58.28</v>
      </c>
    </row>
    <row r="73" spans="1:2" x14ac:dyDescent="0.25">
      <c r="A73" s="20">
        <v>45397</v>
      </c>
      <c r="B73" vm="1564">
        <v>58.14</v>
      </c>
    </row>
    <row r="74" spans="1:2" x14ac:dyDescent="0.25">
      <c r="A74" s="20">
        <v>45397</v>
      </c>
      <c r="B74" vm="1565">
        <v>58.06</v>
      </c>
    </row>
    <row r="75" spans="1:2" x14ac:dyDescent="0.25">
      <c r="A75" s="20">
        <v>45397</v>
      </c>
      <c r="B75" vm="1566">
        <v>58.51</v>
      </c>
    </row>
    <row r="76" spans="1:2" x14ac:dyDescent="0.25">
      <c r="A76" s="20">
        <v>45397</v>
      </c>
      <c r="B76" vm="1516">
        <v>58.91</v>
      </c>
    </row>
    <row r="77" spans="1:2" x14ac:dyDescent="0.25">
      <c r="A77" s="20">
        <v>45397</v>
      </c>
      <c r="B77" vm="1567">
        <v>60.17</v>
      </c>
    </row>
    <row r="78" spans="1:2" x14ac:dyDescent="0.25">
      <c r="A78" s="20">
        <v>45404</v>
      </c>
      <c r="B78" vm="1568">
        <v>60.55</v>
      </c>
    </row>
    <row r="79" spans="1:2" x14ac:dyDescent="0.25">
      <c r="A79" s="20">
        <v>45404</v>
      </c>
      <c r="B79" vm="1569">
        <v>60.64</v>
      </c>
    </row>
    <row r="80" spans="1:2" x14ac:dyDescent="0.25">
      <c r="A80" s="20">
        <v>45404</v>
      </c>
      <c r="B80" vm="1570">
        <v>61.55</v>
      </c>
    </row>
    <row r="81" spans="1:2" x14ac:dyDescent="0.25">
      <c r="A81" s="20">
        <v>45404</v>
      </c>
      <c r="B81" vm="1571">
        <v>61.74</v>
      </c>
    </row>
    <row r="82" spans="1:2" x14ac:dyDescent="0.25">
      <c r="A82" s="20">
        <v>45404</v>
      </c>
      <c r="B82" vm="1571">
        <v>61.74</v>
      </c>
    </row>
    <row r="83" spans="1:2" x14ac:dyDescent="0.25">
      <c r="A83" s="20">
        <v>45411</v>
      </c>
      <c r="B83" vm="1572">
        <v>62.04</v>
      </c>
    </row>
    <row r="84" spans="1:2" x14ac:dyDescent="0.25">
      <c r="A84" s="20">
        <v>45411</v>
      </c>
      <c r="B84" vm="1573">
        <v>61.77</v>
      </c>
    </row>
    <row r="85" spans="1:2" x14ac:dyDescent="0.25">
      <c r="A85" s="20">
        <v>45411</v>
      </c>
      <c r="B85" vm="1574">
        <v>61.93</v>
      </c>
    </row>
    <row r="86" spans="1:2" x14ac:dyDescent="0.25">
      <c r="A86" s="20">
        <v>45411</v>
      </c>
      <c r="B86" vm="1575">
        <v>61.99</v>
      </c>
    </row>
    <row r="87" spans="1:2" x14ac:dyDescent="0.25">
      <c r="A87" s="20">
        <v>45411</v>
      </c>
      <c r="B87" vm="1576">
        <v>62.17</v>
      </c>
    </row>
    <row r="88" spans="1:2" x14ac:dyDescent="0.25">
      <c r="A88" s="20">
        <v>45418</v>
      </c>
      <c r="B88" vm="1577">
        <v>62.35</v>
      </c>
    </row>
    <row r="89" spans="1:2" x14ac:dyDescent="0.25">
      <c r="A89" s="20">
        <v>45418</v>
      </c>
      <c r="B89" vm="1578">
        <v>62.62</v>
      </c>
    </row>
    <row r="90" spans="1:2" x14ac:dyDescent="0.25">
      <c r="A90" s="20">
        <v>45418</v>
      </c>
      <c r="B90" vm="1579">
        <v>62.85</v>
      </c>
    </row>
    <row r="91" spans="1:2" x14ac:dyDescent="0.25">
      <c r="A91" s="20">
        <v>45418</v>
      </c>
      <c r="B91" vm="1580">
        <v>62.88</v>
      </c>
    </row>
    <row r="92" spans="1:2" x14ac:dyDescent="0.25">
      <c r="A92" s="20">
        <v>45418</v>
      </c>
      <c r="B92" vm="1581">
        <v>63.26</v>
      </c>
    </row>
    <row r="93" spans="1:2" x14ac:dyDescent="0.25">
      <c r="A93" s="20">
        <v>45425</v>
      </c>
      <c r="B93" vm="1582">
        <v>63.58</v>
      </c>
    </row>
    <row r="94" spans="1:2" x14ac:dyDescent="0.25">
      <c r="A94" s="20">
        <v>45425</v>
      </c>
      <c r="B94" vm="1583">
        <v>63.1</v>
      </c>
    </row>
    <row r="95" spans="1:2" x14ac:dyDescent="0.25">
      <c r="A95" s="20">
        <v>45425</v>
      </c>
      <c r="B95" vm="1584">
        <v>63.13</v>
      </c>
    </row>
    <row r="96" spans="1:2" x14ac:dyDescent="0.25">
      <c r="A96" s="20">
        <v>45425</v>
      </c>
      <c r="B96" vm="1585">
        <v>63.32</v>
      </c>
    </row>
    <row r="97" spans="1:2" x14ac:dyDescent="0.25">
      <c r="A97" s="20">
        <v>45425</v>
      </c>
      <c r="B97" vm="1586">
        <v>63.03</v>
      </c>
    </row>
    <row r="98" spans="1:2" x14ac:dyDescent="0.25">
      <c r="A98" s="20">
        <v>45432</v>
      </c>
      <c r="B98" vm="1587">
        <v>62.57</v>
      </c>
    </row>
    <row r="99" spans="1:2" x14ac:dyDescent="0.25">
      <c r="A99" s="20">
        <v>45432</v>
      </c>
      <c r="B99" vm="1588">
        <v>62.91</v>
      </c>
    </row>
    <row r="100" spans="1:2" x14ac:dyDescent="0.25">
      <c r="A100" s="20">
        <v>45432</v>
      </c>
      <c r="B100" vm="1589">
        <v>63</v>
      </c>
    </row>
    <row r="101" spans="1:2" x14ac:dyDescent="0.25">
      <c r="A101" s="20">
        <v>45432</v>
      </c>
      <c r="B101" vm="1590">
        <v>62.09</v>
      </c>
    </row>
    <row r="102" spans="1:2" x14ac:dyDescent="0.25">
      <c r="A102" s="20">
        <v>45432</v>
      </c>
      <c r="B102" vm="1591">
        <v>62</v>
      </c>
    </row>
    <row r="103" spans="1:2" x14ac:dyDescent="0.25">
      <c r="A103" s="20">
        <v>45439</v>
      </c>
      <c r="B103" vm="1592">
        <v>61.82</v>
      </c>
    </row>
    <row r="104" spans="1:2" x14ac:dyDescent="0.25">
      <c r="A104" s="20">
        <v>45439</v>
      </c>
      <c r="B104" vm="1593">
        <v>61.7</v>
      </c>
    </row>
    <row r="105" spans="1:2" x14ac:dyDescent="0.25">
      <c r="A105" s="20">
        <v>45439</v>
      </c>
      <c r="B105" vm="1594">
        <v>61.97</v>
      </c>
    </row>
    <row r="106" spans="1:2" x14ac:dyDescent="0.25">
      <c r="A106" s="20">
        <v>45439</v>
      </c>
      <c r="B106" vm="1595">
        <v>62.93</v>
      </c>
    </row>
    <row r="107" spans="1:2" x14ac:dyDescent="0.25">
      <c r="A107" s="20">
        <v>45446</v>
      </c>
      <c r="B107" vm="1595">
        <v>62.93</v>
      </c>
    </row>
    <row r="108" spans="1:2" x14ac:dyDescent="0.25">
      <c r="A108" s="20">
        <v>45446</v>
      </c>
      <c r="B108" vm="1596">
        <v>63.94</v>
      </c>
    </row>
    <row r="109" spans="1:2" x14ac:dyDescent="0.25">
      <c r="A109" s="20">
        <v>45446</v>
      </c>
      <c r="B109" vm="1597">
        <v>63.92</v>
      </c>
    </row>
    <row r="110" spans="1:2" x14ac:dyDescent="0.25">
      <c r="A110" s="20">
        <v>45446</v>
      </c>
      <c r="B110" vm="1598">
        <v>64.150000000000006</v>
      </c>
    </row>
    <row r="111" spans="1:2" x14ac:dyDescent="0.25">
      <c r="A111" s="20">
        <v>45446</v>
      </c>
      <c r="B111" vm="1599">
        <v>63.91</v>
      </c>
    </row>
    <row r="112" spans="1:2" x14ac:dyDescent="0.25">
      <c r="A112" s="20">
        <v>45453</v>
      </c>
      <c r="B112" vm="1600">
        <v>63.59</v>
      </c>
    </row>
    <row r="113" spans="1:2" x14ac:dyDescent="0.25">
      <c r="A113" s="20">
        <v>45453</v>
      </c>
      <c r="B113" vm="1601">
        <v>63.55</v>
      </c>
    </row>
    <row r="114" spans="1:2" x14ac:dyDescent="0.25">
      <c r="A114" s="20">
        <v>45453</v>
      </c>
      <c r="B114" vm="1580">
        <v>62.88</v>
      </c>
    </row>
    <row r="115" spans="1:2" x14ac:dyDescent="0.25">
      <c r="A115" s="20">
        <v>45453</v>
      </c>
      <c r="B115" vm="1602">
        <v>62.99</v>
      </c>
    </row>
    <row r="116" spans="1:2" x14ac:dyDescent="0.25">
      <c r="A116" s="20">
        <v>45453</v>
      </c>
      <c r="B116" vm="1603">
        <v>62.55</v>
      </c>
    </row>
    <row r="117" spans="1:2" x14ac:dyDescent="0.25">
      <c r="A117" s="20">
        <v>45460</v>
      </c>
      <c r="B117" vm="1578">
        <v>62.62</v>
      </c>
    </row>
    <row r="118" spans="1:2" x14ac:dyDescent="0.25">
      <c r="A118" s="20">
        <v>45460</v>
      </c>
      <c r="B118" vm="1604">
        <v>62.63</v>
      </c>
    </row>
    <row r="119" spans="1:2" x14ac:dyDescent="0.25">
      <c r="A119" s="20">
        <v>45460</v>
      </c>
      <c r="B119" vm="1605">
        <v>62.18</v>
      </c>
    </row>
    <row r="120" spans="1:2" x14ac:dyDescent="0.25">
      <c r="A120" s="20">
        <v>45460</v>
      </c>
      <c r="B120" vm="1606">
        <v>62.77</v>
      </c>
    </row>
    <row r="121" spans="1:2" x14ac:dyDescent="0.25">
      <c r="A121" s="20">
        <v>45467</v>
      </c>
      <c r="B121" vm="1607">
        <v>63.97</v>
      </c>
    </row>
    <row r="122" spans="1:2" x14ac:dyDescent="0.25">
      <c r="A122" s="20">
        <v>45467</v>
      </c>
      <c r="B122" vm="1608">
        <v>63.84</v>
      </c>
    </row>
    <row r="123" spans="1:2" x14ac:dyDescent="0.25">
      <c r="A123" s="20">
        <v>45467</v>
      </c>
      <c r="B123" vm="1609">
        <v>64.05</v>
      </c>
    </row>
    <row r="124" spans="1:2" x14ac:dyDescent="0.25">
      <c r="A124" s="20">
        <v>45467</v>
      </c>
      <c r="B124" vm="1599">
        <v>63.91</v>
      </c>
    </row>
    <row r="125" spans="1:2" x14ac:dyDescent="0.25">
      <c r="A125" s="20">
        <v>45467</v>
      </c>
      <c r="B125" vm="1610">
        <v>63.65</v>
      </c>
    </row>
    <row r="126" spans="1:2" x14ac:dyDescent="0.25">
      <c r="A126" s="20">
        <v>45474</v>
      </c>
      <c r="B126" vm="1611">
        <v>63.28</v>
      </c>
    </row>
    <row r="127" spans="1:2" x14ac:dyDescent="0.25">
      <c r="A127" s="20">
        <v>45474</v>
      </c>
      <c r="B127" vm="1612">
        <v>63.15</v>
      </c>
    </row>
    <row r="128" spans="1:2" x14ac:dyDescent="0.25">
      <c r="A128" s="20">
        <v>45474</v>
      </c>
      <c r="B128" vm="1613">
        <v>63.33</v>
      </c>
    </row>
    <row r="129" spans="1:2" x14ac:dyDescent="0.25">
      <c r="A129" s="20">
        <v>45474</v>
      </c>
      <c r="B129" vm="1614">
        <v>63.76</v>
      </c>
    </row>
    <row r="130" spans="1:2" x14ac:dyDescent="0.25">
      <c r="A130" s="20">
        <v>45481</v>
      </c>
      <c r="B130" vm="1615">
        <v>62.96</v>
      </c>
    </row>
    <row r="131" spans="1:2" x14ac:dyDescent="0.25">
      <c r="A131" s="20">
        <v>45481</v>
      </c>
      <c r="B131" vm="1616">
        <v>62.69</v>
      </c>
    </row>
    <row r="132" spans="1:2" x14ac:dyDescent="0.25">
      <c r="A132" s="20">
        <v>45481</v>
      </c>
      <c r="B132" vm="1617">
        <v>62.83</v>
      </c>
    </row>
    <row r="133" spans="1:2" x14ac:dyDescent="0.25">
      <c r="A133" s="20">
        <v>45481</v>
      </c>
      <c r="B133" vm="1583">
        <v>63.1</v>
      </c>
    </row>
    <row r="134" spans="1:2" x14ac:dyDescent="0.25">
      <c r="A134" s="20">
        <v>45481</v>
      </c>
      <c r="B134" vm="1618">
        <v>63.7</v>
      </c>
    </row>
    <row r="135" spans="1:2" x14ac:dyDescent="0.25">
      <c r="A135" s="20">
        <v>45488</v>
      </c>
      <c r="B135" vm="1619">
        <v>63.41</v>
      </c>
    </row>
    <row r="136" spans="1:2" x14ac:dyDescent="0.25">
      <c r="A136" s="20">
        <v>45488</v>
      </c>
      <c r="B136" vm="1620">
        <v>64.27</v>
      </c>
    </row>
    <row r="137" spans="1:2" x14ac:dyDescent="0.25">
      <c r="A137" s="20">
        <v>45488</v>
      </c>
      <c r="B137" vm="1621">
        <v>65.209999999999994</v>
      </c>
    </row>
    <row r="138" spans="1:2" x14ac:dyDescent="0.25">
      <c r="A138" s="20">
        <v>45488</v>
      </c>
      <c r="B138" vm="1622">
        <v>65.19</v>
      </c>
    </row>
    <row r="139" spans="1:2" x14ac:dyDescent="0.25">
      <c r="A139" s="20">
        <v>45488</v>
      </c>
      <c r="B139" vm="1623">
        <v>65.290000000000006</v>
      </c>
    </row>
    <row r="140" spans="1:2" x14ac:dyDescent="0.25">
      <c r="A140" s="20">
        <v>45495</v>
      </c>
      <c r="B140" vm="1624">
        <v>64.77</v>
      </c>
    </row>
    <row r="141" spans="1:2" x14ac:dyDescent="0.25">
      <c r="A141" s="20">
        <v>45495</v>
      </c>
      <c r="B141" vm="1625">
        <v>64.959999999999994</v>
      </c>
    </row>
    <row r="142" spans="1:2" x14ac:dyDescent="0.25">
      <c r="A142" s="20">
        <v>45495</v>
      </c>
      <c r="B142" vm="1626">
        <v>65.81</v>
      </c>
    </row>
    <row r="143" spans="1:2" x14ac:dyDescent="0.25">
      <c r="A143" s="20">
        <v>45495</v>
      </c>
      <c r="B143" vm="1627">
        <v>66.069999999999993</v>
      </c>
    </row>
    <row r="144" spans="1:2" x14ac:dyDescent="0.25">
      <c r="A144" s="20">
        <v>45495</v>
      </c>
      <c r="B144" vm="1628">
        <v>67.05</v>
      </c>
    </row>
    <row r="145" spans="1:2" x14ac:dyDescent="0.25">
      <c r="A145" s="20">
        <v>45502</v>
      </c>
      <c r="B145" vm="1629">
        <v>66.83</v>
      </c>
    </row>
    <row r="146" spans="1:2" x14ac:dyDescent="0.25">
      <c r="A146" s="20">
        <v>45502</v>
      </c>
      <c r="B146" vm="1630">
        <v>67.680000000000007</v>
      </c>
    </row>
    <row r="147" spans="1:2" x14ac:dyDescent="0.25">
      <c r="A147" s="20">
        <v>45502</v>
      </c>
      <c r="B147" vm="1631">
        <v>66.739999999999995</v>
      </c>
    </row>
    <row r="148" spans="1:2" x14ac:dyDescent="0.25">
      <c r="A148" s="20">
        <v>45502</v>
      </c>
      <c r="B148" vm="1632">
        <v>67.959999999999994</v>
      </c>
    </row>
    <row r="149" spans="1:2" x14ac:dyDescent="0.25">
      <c r="A149" s="20">
        <v>45502</v>
      </c>
      <c r="B149" vm="1633">
        <v>69.33</v>
      </c>
    </row>
    <row r="150" spans="1:2" x14ac:dyDescent="0.25">
      <c r="A150" s="20">
        <v>45509</v>
      </c>
      <c r="B150" vm="1634">
        <v>68.099999999999994</v>
      </c>
    </row>
    <row r="151" spans="1:2" x14ac:dyDescent="0.25">
      <c r="A151" s="20">
        <v>45509</v>
      </c>
      <c r="B151" vm="1635">
        <v>68.05</v>
      </c>
    </row>
    <row r="152" spans="1:2" x14ac:dyDescent="0.25">
      <c r="A152" s="20">
        <v>45509</v>
      </c>
      <c r="B152" vm="1636">
        <v>68.459999999999994</v>
      </c>
    </row>
    <row r="153" spans="1:2" x14ac:dyDescent="0.25">
      <c r="A153" s="20">
        <v>45509</v>
      </c>
      <c r="B153" vm="1637">
        <v>68.73</v>
      </c>
    </row>
    <row r="154" spans="1:2" x14ac:dyDescent="0.25">
      <c r="A154" s="20">
        <v>45509</v>
      </c>
      <c r="B154" vm="1638">
        <v>68.680000000000007</v>
      </c>
    </row>
    <row r="155" spans="1:2" x14ac:dyDescent="0.25">
      <c r="A155" s="20">
        <v>45516</v>
      </c>
      <c r="B155" vm="1639">
        <v>68.17</v>
      </c>
    </row>
    <row r="156" spans="1:2" x14ac:dyDescent="0.25">
      <c r="A156" s="20">
        <v>45516</v>
      </c>
      <c r="B156" vm="1636">
        <v>68.459999999999994</v>
      </c>
    </row>
    <row r="157" spans="1:2" x14ac:dyDescent="0.25">
      <c r="A157" s="20">
        <v>45516</v>
      </c>
      <c r="B157" vm="1640">
        <v>68.58</v>
      </c>
    </row>
    <row r="158" spans="1:2" x14ac:dyDescent="0.25">
      <c r="A158" s="20">
        <v>45516</v>
      </c>
      <c r="B158" vm="1641">
        <v>68.650000000000006</v>
      </c>
    </row>
    <row r="159" spans="1:2" x14ac:dyDescent="0.25">
      <c r="A159" s="20">
        <v>45516</v>
      </c>
      <c r="B159" vm="1642">
        <v>69.180000000000007</v>
      </c>
    </row>
    <row r="160" spans="1:2" x14ac:dyDescent="0.25">
      <c r="A160" s="20">
        <v>45523</v>
      </c>
      <c r="B160" vm="1643">
        <v>68.98</v>
      </c>
    </row>
    <row r="161" spans="1:2" x14ac:dyDescent="0.25">
      <c r="A161" s="20">
        <v>45523</v>
      </c>
      <c r="B161" vm="1644">
        <v>69.38</v>
      </c>
    </row>
    <row r="162" spans="1:2" x14ac:dyDescent="0.25">
      <c r="A162" s="20">
        <v>45523</v>
      </c>
      <c r="B162" vm="1645">
        <v>69.569999999999993</v>
      </c>
    </row>
    <row r="163" spans="1:2" x14ac:dyDescent="0.25">
      <c r="A163" s="20">
        <v>45523</v>
      </c>
      <c r="B163" vm="1633">
        <v>69.33</v>
      </c>
    </row>
    <row r="164" spans="1:2" x14ac:dyDescent="0.25">
      <c r="A164" s="20">
        <v>45523</v>
      </c>
      <c r="B164" vm="1646">
        <v>69.790000000000006</v>
      </c>
    </row>
    <row r="165" spans="1:2" x14ac:dyDescent="0.25">
      <c r="A165" s="20">
        <v>45530</v>
      </c>
      <c r="B165" vm="1647">
        <v>70.84</v>
      </c>
    </row>
    <row r="166" spans="1:2" x14ac:dyDescent="0.25">
      <c r="A166" s="20">
        <v>45530</v>
      </c>
      <c r="B166" vm="1648">
        <v>71.5</v>
      </c>
    </row>
    <row r="167" spans="1:2" x14ac:dyDescent="0.25">
      <c r="A167" s="20">
        <v>45530</v>
      </c>
      <c r="B167" vm="1649">
        <v>71.75</v>
      </c>
    </row>
    <row r="168" spans="1:2" x14ac:dyDescent="0.25">
      <c r="A168" s="20">
        <v>45530</v>
      </c>
      <c r="B168" vm="1650">
        <v>72.05</v>
      </c>
    </row>
    <row r="169" spans="1:2" x14ac:dyDescent="0.25">
      <c r="A169" s="20">
        <v>45530</v>
      </c>
      <c r="B169" vm="1651">
        <v>72.47</v>
      </c>
    </row>
    <row r="170" spans="1:2" x14ac:dyDescent="0.25">
      <c r="A170" s="20">
        <v>45537</v>
      </c>
      <c r="B170" vm="1652">
        <v>73.010000000000005</v>
      </c>
    </row>
    <row r="171" spans="1:2" x14ac:dyDescent="0.25">
      <c r="A171" s="20">
        <v>45537</v>
      </c>
      <c r="B171" vm="1653">
        <v>72.56</v>
      </c>
    </row>
    <row r="172" spans="1:2" x14ac:dyDescent="0.25">
      <c r="A172" s="20">
        <v>45537</v>
      </c>
      <c r="B172" vm="1654">
        <v>71.17</v>
      </c>
    </row>
    <row r="173" spans="1:2" x14ac:dyDescent="0.25">
      <c r="A173" s="20">
        <v>45537</v>
      </c>
      <c r="B173" vm="1655">
        <v>71.14</v>
      </c>
    </row>
    <row r="174" spans="1:2" x14ac:dyDescent="0.25">
      <c r="A174" s="20">
        <v>45544</v>
      </c>
      <c r="B174" vm="1656">
        <v>71.849999999999994</v>
      </c>
    </row>
    <row r="175" spans="1:2" x14ac:dyDescent="0.25">
      <c r="A175" s="20">
        <v>45544</v>
      </c>
      <c r="B175" vm="1657">
        <v>71.55</v>
      </c>
    </row>
    <row r="176" spans="1:2" x14ac:dyDescent="0.25">
      <c r="A176" s="20">
        <v>45544</v>
      </c>
      <c r="B176" vm="1658">
        <v>71.08</v>
      </c>
    </row>
    <row r="177" spans="1:2" x14ac:dyDescent="0.25">
      <c r="A177" s="20">
        <v>45544</v>
      </c>
      <c r="B177" vm="1659">
        <v>71.23</v>
      </c>
    </row>
    <row r="178" spans="1:2" x14ac:dyDescent="0.25">
      <c r="A178" s="20">
        <v>45544</v>
      </c>
      <c r="B178" vm="1660">
        <v>71.41</v>
      </c>
    </row>
    <row r="179" spans="1:2" x14ac:dyDescent="0.25">
      <c r="A179" s="20">
        <v>45551</v>
      </c>
      <c r="B179" vm="1661">
        <v>72.099999999999994</v>
      </c>
    </row>
    <row r="180" spans="1:2" x14ac:dyDescent="0.25">
      <c r="A180" s="20">
        <v>45551</v>
      </c>
      <c r="B180" vm="1662">
        <v>71.8</v>
      </c>
    </row>
    <row r="181" spans="1:2" x14ac:dyDescent="0.25">
      <c r="A181" s="20">
        <v>45551</v>
      </c>
      <c r="B181" vm="1649">
        <v>71.75</v>
      </c>
    </row>
    <row r="182" spans="1:2" x14ac:dyDescent="0.25">
      <c r="A182" s="20">
        <v>45551</v>
      </c>
      <c r="B182" vm="1663">
        <v>70.62</v>
      </c>
    </row>
    <row r="183" spans="1:2" x14ac:dyDescent="0.25">
      <c r="A183" s="20">
        <v>45551</v>
      </c>
      <c r="B183" vm="1664">
        <v>71.64</v>
      </c>
    </row>
    <row r="184" spans="1:2" x14ac:dyDescent="0.25">
      <c r="A184" s="20">
        <v>45558</v>
      </c>
      <c r="B184" vm="1665">
        <v>71.73</v>
      </c>
    </row>
    <row r="185" spans="1:2" x14ac:dyDescent="0.25">
      <c r="A185" s="20">
        <v>45558</v>
      </c>
      <c r="B185" vm="1666">
        <v>71.33</v>
      </c>
    </row>
    <row r="186" spans="1:2" x14ac:dyDescent="0.25">
      <c r="A186" s="20">
        <v>45558</v>
      </c>
      <c r="B186" vm="1667">
        <v>71.45</v>
      </c>
    </row>
    <row r="187" spans="1:2" x14ac:dyDescent="0.25">
      <c r="A187" s="20">
        <v>45558</v>
      </c>
      <c r="B187" vm="1668">
        <v>71.400000000000006</v>
      </c>
    </row>
    <row r="188" spans="1:2" x14ac:dyDescent="0.25">
      <c r="A188" s="20">
        <v>45558</v>
      </c>
      <c r="B188" vm="1669">
        <v>71.790000000000006</v>
      </c>
    </row>
    <row r="189" spans="1:2" x14ac:dyDescent="0.25">
      <c r="A189" s="20">
        <v>45565</v>
      </c>
      <c r="B189" vm="1670">
        <v>71.86</v>
      </c>
    </row>
    <row r="190" spans="1:2" x14ac:dyDescent="0.25">
      <c r="A190" s="20">
        <v>45565</v>
      </c>
      <c r="B190" vm="1671">
        <v>71.709999999999994</v>
      </c>
    </row>
    <row r="191" spans="1:2" x14ac:dyDescent="0.25">
      <c r="A191" s="20">
        <v>45565</v>
      </c>
      <c r="B191" vm="1672">
        <v>71.010000000000005</v>
      </c>
    </row>
    <row r="192" spans="1:2" x14ac:dyDescent="0.25">
      <c r="A192" s="20">
        <v>45565</v>
      </c>
      <c r="B192" vm="1673">
        <v>70.52</v>
      </c>
    </row>
    <row r="193" spans="1:2" x14ac:dyDescent="0.25">
      <c r="A193" s="20">
        <v>45565</v>
      </c>
      <c r="B193" vm="1674">
        <v>70.17</v>
      </c>
    </row>
    <row r="194" spans="1:2" x14ac:dyDescent="0.25">
      <c r="A194" s="20">
        <v>45572</v>
      </c>
      <c r="B194" vm="1675">
        <v>69.010000000000005</v>
      </c>
    </row>
    <row r="195" spans="1:2" x14ac:dyDescent="0.25">
      <c r="A195" s="20">
        <v>45572</v>
      </c>
      <c r="B195" vm="1642">
        <v>69.180000000000007</v>
      </c>
    </row>
    <row r="196" spans="1:2" x14ac:dyDescent="0.25">
      <c r="A196" s="20">
        <v>45572</v>
      </c>
      <c r="B196" vm="1645">
        <v>69.569999999999993</v>
      </c>
    </row>
    <row r="197" spans="1:2" x14ac:dyDescent="0.25">
      <c r="A197" s="20">
        <v>45572</v>
      </c>
      <c r="B197" vm="1676">
        <v>69.25</v>
      </c>
    </row>
    <row r="198" spans="1:2" x14ac:dyDescent="0.25">
      <c r="A198" s="20">
        <v>45572</v>
      </c>
      <c r="B198" vm="1645">
        <v>69.569999999999993</v>
      </c>
    </row>
    <row r="199" spans="1:2" x14ac:dyDescent="0.25">
      <c r="A199" s="20">
        <v>45579</v>
      </c>
      <c r="B199" vm="1677">
        <v>70.34</v>
      </c>
    </row>
    <row r="200" spans="1:2" x14ac:dyDescent="0.25">
      <c r="A200" s="20">
        <v>45579</v>
      </c>
      <c r="B200" vm="1677">
        <v>70.34</v>
      </c>
    </row>
    <row r="201" spans="1:2" x14ac:dyDescent="0.25">
      <c r="A201" s="20">
        <v>45579</v>
      </c>
      <c r="B201" vm="1678">
        <v>70.569999999999993</v>
      </c>
    </row>
    <row r="202" spans="1:2" x14ac:dyDescent="0.25">
      <c r="A202" s="20">
        <v>45579</v>
      </c>
      <c r="B202" vm="1679">
        <v>69.900000000000006</v>
      </c>
    </row>
    <row r="203" spans="1:2" x14ac:dyDescent="0.25">
      <c r="A203" s="20">
        <v>45579</v>
      </c>
      <c r="B203" vm="1680">
        <v>70.44</v>
      </c>
    </row>
    <row r="204" spans="1:2" x14ac:dyDescent="0.25">
      <c r="A204" s="20">
        <v>45586</v>
      </c>
      <c r="B204" vm="1681">
        <v>69.45</v>
      </c>
    </row>
    <row r="205" spans="1:2" x14ac:dyDescent="0.25">
      <c r="A205" s="20">
        <v>45586</v>
      </c>
      <c r="B205" vm="1681">
        <v>69.45</v>
      </c>
    </row>
    <row r="206" spans="1:2" x14ac:dyDescent="0.25">
      <c r="A206" s="20">
        <v>45586</v>
      </c>
      <c r="B206" vm="1682">
        <v>68.010000000000005</v>
      </c>
    </row>
    <row r="207" spans="1:2" x14ac:dyDescent="0.25">
      <c r="A207" s="20">
        <v>45586</v>
      </c>
      <c r="B207" vm="1683">
        <v>67.3</v>
      </c>
    </row>
    <row r="208" spans="1:2" x14ac:dyDescent="0.25">
      <c r="A208" s="20">
        <v>45586</v>
      </c>
      <c r="B208" vm="1684">
        <v>66.92</v>
      </c>
    </row>
    <row r="209" spans="1:2" x14ac:dyDescent="0.25">
      <c r="A209" s="20">
        <v>45593</v>
      </c>
      <c r="B209" vm="1685">
        <v>66.67</v>
      </c>
    </row>
    <row r="210" spans="1:2" x14ac:dyDescent="0.25">
      <c r="A210" s="20">
        <v>45593</v>
      </c>
      <c r="B210" vm="1686">
        <v>65.56</v>
      </c>
    </row>
    <row r="211" spans="1:2" x14ac:dyDescent="0.25">
      <c r="A211" s="20">
        <v>45593</v>
      </c>
      <c r="B211" vm="1687">
        <v>65.92</v>
      </c>
    </row>
    <row r="212" spans="1:2" x14ac:dyDescent="0.25">
      <c r="A212" s="20">
        <v>45593</v>
      </c>
      <c r="B212" vm="1688">
        <v>65.31</v>
      </c>
    </row>
    <row r="213" spans="1:2" x14ac:dyDescent="0.25">
      <c r="A213" s="20">
        <v>45593</v>
      </c>
      <c r="B213" vm="1689">
        <v>65.010000000000005</v>
      </c>
    </row>
    <row r="214" spans="1:2" x14ac:dyDescent="0.25">
      <c r="A214" s="20">
        <v>45600</v>
      </c>
      <c r="B214" vm="1690">
        <v>65.11</v>
      </c>
    </row>
    <row r="215" spans="1:2" x14ac:dyDescent="0.25">
      <c r="A215" s="20">
        <v>45600</v>
      </c>
      <c r="B215" vm="1691">
        <v>65.37</v>
      </c>
    </row>
    <row r="216" spans="1:2" x14ac:dyDescent="0.25">
      <c r="A216" s="20">
        <v>45600</v>
      </c>
      <c r="B216" vm="1618">
        <v>63.7</v>
      </c>
    </row>
    <row r="217" spans="1:2" x14ac:dyDescent="0.25">
      <c r="A217" s="20">
        <v>45600</v>
      </c>
      <c r="B217" vm="1692">
        <v>63.66</v>
      </c>
    </row>
    <row r="218" spans="1:2" x14ac:dyDescent="0.25">
      <c r="A218" s="20">
        <v>45600</v>
      </c>
      <c r="B218" vm="1597">
        <v>63.92</v>
      </c>
    </row>
    <row r="219" spans="1:2" x14ac:dyDescent="0.25">
      <c r="A219" s="20">
        <v>45607</v>
      </c>
      <c r="B219" vm="1693">
        <v>63.36</v>
      </c>
    </row>
    <row r="220" spans="1:2" x14ac:dyDescent="0.25">
      <c r="A220" s="20">
        <v>45607</v>
      </c>
      <c r="B220" vm="1694">
        <v>63.2</v>
      </c>
    </row>
    <row r="221" spans="1:2" x14ac:dyDescent="0.25">
      <c r="A221" s="20">
        <v>45607</v>
      </c>
      <c r="B221" vm="1589">
        <v>63</v>
      </c>
    </row>
    <row r="222" spans="1:2" x14ac:dyDescent="0.25">
      <c r="A222" s="20">
        <v>45607</v>
      </c>
      <c r="B222" vm="1603">
        <v>62.55</v>
      </c>
    </row>
    <row r="223" spans="1:2" x14ac:dyDescent="0.25">
      <c r="A223" s="20">
        <v>45607</v>
      </c>
      <c r="B223" vm="1571">
        <v>61.74</v>
      </c>
    </row>
    <row r="224" spans="1:2" x14ac:dyDescent="0.25">
      <c r="A224" s="20">
        <v>45614</v>
      </c>
      <c r="B224" vm="1695">
        <v>61.86</v>
      </c>
    </row>
    <row r="225" spans="1:2" x14ac:dyDescent="0.25">
      <c r="A225" s="20">
        <v>45614</v>
      </c>
      <c r="B225" vm="1696">
        <v>62.59</v>
      </c>
    </row>
    <row r="226" spans="1:2" x14ac:dyDescent="0.25">
      <c r="A226" s="20">
        <v>45614</v>
      </c>
      <c r="B226" vm="1602">
        <v>62.99</v>
      </c>
    </row>
    <row r="227" spans="1:2" x14ac:dyDescent="0.25">
      <c r="A227" s="20">
        <v>45614</v>
      </c>
      <c r="B227" vm="1614">
        <v>63.76</v>
      </c>
    </row>
    <row r="228" spans="1:2" x14ac:dyDescent="0.25">
      <c r="A228" s="20">
        <v>45614</v>
      </c>
      <c r="B228" vm="1597">
        <v>63.92</v>
      </c>
    </row>
    <row r="229" spans="1:2" x14ac:dyDescent="0.25">
      <c r="A229" s="20">
        <v>45621</v>
      </c>
      <c r="B229" vm="1697">
        <v>64.38</v>
      </c>
    </row>
    <row r="230" spans="1:2" x14ac:dyDescent="0.25">
      <c r="A230" s="20">
        <v>45621</v>
      </c>
      <c r="B230" vm="1698">
        <v>64.55</v>
      </c>
    </row>
    <row r="231" spans="1:2" x14ac:dyDescent="0.25">
      <c r="A231" s="20">
        <v>45621</v>
      </c>
      <c r="B231" vm="1699">
        <v>64.430000000000007</v>
      </c>
    </row>
    <row r="232" spans="1:2" x14ac:dyDescent="0.25">
      <c r="A232" s="20">
        <v>45621</v>
      </c>
      <c r="B232" vm="1700">
        <v>64.08</v>
      </c>
    </row>
    <row r="233" spans="1:2" x14ac:dyDescent="0.25">
      <c r="A233" s="20">
        <v>45628</v>
      </c>
      <c r="B233" vm="1610">
        <v>63.65</v>
      </c>
    </row>
    <row r="234" spans="1:2" x14ac:dyDescent="0.25">
      <c r="A234" s="20">
        <v>45628</v>
      </c>
      <c r="B234" vm="1701">
        <v>63.52</v>
      </c>
    </row>
    <row r="235" spans="1:2" x14ac:dyDescent="0.25">
      <c r="A235" s="20">
        <v>45628</v>
      </c>
      <c r="B235" vm="1702">
        <v>62.21</v>
      </c>
    </row>
    <row r="236" spans="1:2" x14ac:dyDescent="0.25">
      <c r="A236" s="20">
        <v>45628</v>
      </c>
      <c r="B236" vm="1703">
        <v>62.92</v>
      </c>
    </row>
    <row r="237" spans="1:2" x14ac:dyDescent="0.25">
      <c r="A237" s="20">
        <v>45628</v>
      </c>
      <c r="B237" vm="1704">
        <v>62.53</v>
      </c>
    </row>
    <row r="238" spans="1:2" x14ac:dyDescent="0.25">
      <c r="A238" s="20">
        <v>45635</v>
      </c>
      <c r="B238" vm="1705">
        <v>62.6</v>
      </c>
    </row>
    <row r="239" spans="1:2" x14ac:dyDescent="0.25">
      <c r="A239" s="20">
        <v>45635</v>
      </c>
      <c r="B239" vm="1588">
        <v>62.91</v>
      </c>
    </row>
    <row r="240" spans="1:2" x14ac:dyDescent="0.25">
      <c r="A240" s="20">
        <v>45635</v>
      </c>
      <c r="B240" vm="1706">
        <v>62.64</v>
      </c>
    </row>
    <row r="241" spans="1:2" x14ac:dyDescent="0.25">
      <c r="A241" s="20">
        <v>45635</v>
      </c>
      <c r="B241" vm="1608">
        <v>63.84</v>
      </c>
    </row>
    <row r="242" spans="1:2" x14ac:dyDescent="0.25">
      <c r="A242" s="20">
        <v>45635</v>
      </c>
      <c r="B242" vm="1707">
        <v>63.12</v>
      </c>
    </row>
    <row r="243" spans="1:2" x14ac:dyDescent="0.25">
      <c r="A243" s="20">
        <v>45642</v>
      </c>
      <c r="B243" vm="1603">
        <v>62.55</v>
      </c>
    </row>
    <row r="244" spans="1:2" x14ac:dyDescent="0.25">
      <c r="A244" s="20">
        <v>45642</v>
      </c>
      <c r="B244" vm="1708">
        <v>63.4</v>
      </c>
    </row>
    <row r="245" spans="1:2" x14ac:dyDescent="0.25">
      <c r="A245" s="20">
        <v>45642</v>
      </c>
      <c r="B245" vm="1579">
        <v>62.85</v>
      </c>
    </row>
    <row r="246" spans="1:2" x14ac:dyDescent="0.25">
      <c r="A246" s="20">
        <v>45642</v>
      </c>
      <c r="B246" vm="1709">
        <v>62.45</v>
      </c>
    </row>
    <row r="247" spans="1:2" x14ac:dyDescent="0.25">
      <c r="A247" s="20">
        <v>45642</v>
      </c>
      <c r="B247" vm="1603">
        <v>62.55</v>
      </c>
    </row>
    <row r="248" spans="1:2" x14ac:dyDescent="0.25">
      <c r="A248" s="20">
        <v>45649</v>
      </c>
      <c r="B248" vm="1710">
        <v>62.38</v>
      </c>
    </row>
    <row r="249" spans="1:2" x14ac:dyDescent="0.25">
      <c r="A249" s="20">
        <v>45649</v>
      </c>
      <c r="B249" vm="1711">
        <v>62.84</v>
      </c>
    </row>
    <row r="250" spans="1:2" x14ac:dyDescent="0.25">
      <c r="A250" s="20">
        <v>45649</v>
      </c>
      <c r="B250" vm="1587">
        <v>62.57</v>
      </c>
    </row>
    <row r="251" spans="1:2" x14ac:dyDescent="0.25">
      <c r="A251" s="20">
        <v>45649</v>
      </c>
      <c r="B251" vm="1709">
        <v>62.45</v>
      </c>
    </row>
    <row r="252" spans="1:2" x14ac:dyDescent="0.25">
      <c r="A252" s="20">
        <v>45656</v>
      </c>
      <c r="B252" vm="1712">
        <v>62.03</v>
      </c>
    </row>
    <row r="253" spans="1:2" x14ac:dyDescent="0.25">
      <c r="A253" s="20">
        <v>45656</v>
      </c>
      <c r="B253" vm="1713">
        <v>62.26</v>
      </c>
    </row>
    <row r="254" spans="1:2" x14ac:dyDescent="0.25">
      <c r="A254" s="20">
        <v>45656</v>
      </c>
      <c r="B254" vm="1714">
        <v>61.84</v>
      </c>
    </row>
    <row r="255" spans="1:2" x14ac:dyDescent="0.25">
      <c r="A255" s="20">
        <v>45656</v>
      </c>
      <c r="B255" vm="1715">
        <v>61.75</v>
      </c>
    </row>
    <row r="256" spans="1:2" x14ac:dyDescent="0.25">
      <c r="A256" s="20">
        <v>45663</v>
      </c>
      <c r="B256" vm="1716">
        <v>60.81</v>
      </c>
    </row>
    <row r="257" spans="1:2" x14ac:dyDescent="0.25">
      <c r="A257" s="20">
        <v>45663</v>
      </c>
      <c r="B257" vm="1717">
        <v>60.84</v>
      </c>
    </row>
    <row r="258" spans="1:2" x14ac:dyDescent="0.25">
      <c r="A258" s="20">
        <v>45663</v>
      </c>
      <c r="B258" vm="1718">
        <v>61.71</v>
      </c>
    </row>
    <row r="259" spans="1:2" x14ac:dyDescent="0.25">
      <c r="A259" s="20">
        <v>45663</v>
      </c>
      <c r="B259" vm="1719">
        <v>61.07</v>
      </c>
    </row>
    <row r="260" spans="1:2" x14ac:dyDescent="0.25">
      <c r="A260" s="20">
        <v>45670</v>
      </c>
      <c r="B260" vm="1720">
        <v>61.65</v>
      </c>
    </row>
    <row r="261" spans="1:2" x14ac:dyDescent="0.25">
      <c r="A261" s="20">
        <v>45670</v>
      </c>
      <c r="B261" vm="1572">
        <v>62.04</v>
      </c>
    </row>
    <row r="262" spans="1:2" x14ac:dyDescent="0.25">
      <c r="A262" s="20">
        <v>45670</v>
      </c>
      <c r="B262" vm="1573">
        <v>61.77</v>
      </c>
    </row>
    <row r="263" spans="1:2" x14ac:dyDescent="0.25">
      <c r="A263" s="20">
        <v>45670</v>
      </c>
      <c r="B263" vm="1721">
        <v>62.25</v>
      </c>
    </row>
    <row r="264" spans="1:2" x14ac:dyDescent="0.25">
      <c r="A264" s="20">
        <v>45670</v>
      </c>
      <c r="B264" vm="1722">
        <v>62.71</v>
      </c>
    </row>
    <row r="265" spans="1:2" x14ac:dyDescent="0.25">
      <c r="A265" s="20">
        <v>45677</v>
      </c>
      <c r="B265" vm="1723">
        <v>62.42</v>
      </c>
    </row>
    <row r="266" spans="1:2" x14ac:dyDescent="0.25">
      <c r="A266" s="20">
        <v>45677</v>
      </c>
      <c r="B266" vm="1724">
        <v>61.78</v>
      </c>
    </row>
    <row r="267" spans="1:2" x14ac:dyDescent="0.25">
      <c r="A267" s="20">
        <v>45677</v>
      </c>
      <c r="B267" vm="1725">
        <v>61.53</v>
      </c>
    </row>
    <row r="268" spans="1:2" x14ac:dyDescent="0.25">
      <c r="A268" s="20">
        <v>45677</v>
      </c>
      <c r="B268" vm="1726">
        <v>61.92</v>
      </c>
    </row>
    <row r="269" spans="1:2" x14ac:dyDescent="0.25">
      <c r="A269" s="20">
        <v>45684</v>
      </c>
      <c r="B269" vm="1727">
        <v>63.87</v>
      </c>
    </row>
    <row r="270" spans="1:2" x14ac:dyDescent="0.25">
      <c r="A270" s="20">
        <v>45684</v>
      </c>
      <c r="B270" vm="1728">
        <v>62.36</v>
      </c>
    </row>
    <row r="271" spans="1:2" x14ac:dyDescent="0.25">
      <c r="A271" s="20">
        <v>45684</v>
      </c>
      <c r="B271" vm="1617">
        <v>62.83</v>
      </c>
    </row>
    <row r="272" spans="1:2" x14ac:dyDescent="0.25">
      <c r="A272" s="20">
        <v>45684</v>
      </c>
      <c r="B272" vm="1609">
        <v>64.05</v>
      </c>
    </row>
    <row r="273" spans="1:2" x14ac:dyDescent="0.25">
      <c r="A273" s="20">
        <v>45684</v>
      </c>
      <c r="B273" vm="1729">
        <v>63.48</v>
      </c>
    </row>
    <row r="274" spans="1:2" x14ac:dyDescent="0.25">
      <c r="A274" s="20">
        <v>45691</v>
      </c>
      <c r="B274" vm="1730">
        <v>63.35</v>
      </c>
    </row>
    <row r="275" spans="1:2" x14ac:dyDescent="0.25">
      <c r="A275" s="20">
        <v>45691</v>
      </c>
      <c r="B275" vm="1731">
        <v>62.67</v>
      </c>
    </row>
    <row r="276" spans="1:2" x14ac:dyDescent="0.25">
      <c r="A276" s="20">
        <v>45691</v>
      </c>
      <c r="B276" vm="1707">
        <v>63.12</v>
      </c>
    </row>
    <row r="277" spans="1:2" x14ac:dyDescent="0.25">
      <c r="A277" s="20">
        <v>45691</v>
      </c>
      <c r="B277" vm="1693">
        <v>63.36</v>
      </c>
    </row>
    <row r="278" spans="1:2" x14ac:dyDescent="0.25">
      <c r="A278" s="20">
        <v>45691</v>
      </c>
      <c r="B278" vm="1608">
        <v>63.84</v>
      </c>
    </row>
    <row r="279" spans="1:2" x14ac:dyDescent="0.25">
      <c r="A279" s="20">
        <v>45698</v>
      </c>
      <c r="B279" vm="1698">
        <v>64.55</v>
      </c>
    </row>
    <row r="280" spans="1:2" x14ac:dyDescent="0.25">
      <c r="A280" s="20">
        <v>45698</v>
      </c>
      <c r="B280" vm="1732">
        <v>67.599999999999994</v>
      </c>
    </row>
    <row r="281" spans="1:2" x14ac:dyDescent="0.25">
      <c r="A281" s="20">
        <v>45698</v>
      </c>
      <c r="B281" vm="1733">
        <v>68.709999999999994</v>
      </c>
    </row>
    <row r="282" spans="1:2" x14ac:dyDescent="0.25">
      <c r="A282" s="20">
        <v>45698</v>
      </c>
      <c r="B282" vm="1734">
        <v>69.5</v>
      </c>
    </row>
    <row r="283" spans="1:2" x14ac:dyDescent="0.25">
      <c r="A283" s="20">
        <v>45698</v>
      </c>
      <c r="B283" vm="1735">
        <v>68.87</v>
      </c>
    </row>
    <row r="284" spans="1:2" x14ac:dyDescent="0.25">
      <c r="A284" s="20">
        <v>45705</v>
      </c>
      <c r="B284" vm="1736">
        <v>69.05</v>
      </c>
    </row>
    <row r="285" spans="1:2" x14ac:dyDescent="0.25">
      <c r="A285" s="20">
        <v>45705</v>
      </c>
      <c r="B285" vm="1737">
        <v>70.069999999999993</v>
      </c>
    </row>
    <row r="286" spans="1:2" x14ac:dyDescent="0.25">
      <c r="A286" s="20">
        <v>45705</v>
      </c>
      <c r="B286" vm="1738">
        <v>70.040000000000006</v>
      </c>
    </row>
    <row r="287" spans="1:2" x14ac:dyDescent="0.25">
      <c r="A287" s="20">
        <v>45705</v>
      </c>
      <c r="B287" vm="1739">
        <v>71.349999999999994</v>
      </c>
    </row>
    <row r="288" spans="1:2" x14ac:dyDescent="0.25">
      <c r="A288" s="20">
        <v>45712</v>
      </c>
      <c r="B288" vm="1740">
        <v>70.59</v>
      </c>
    </row>
    <row r="289" spans="1:2" x14ac:dyDescent="0.25">
      <c r="A289" s="20">
        <v>45712</v>
      </c>
      <c r="B289" vm="1741">
        <v>71.489999999999995</v>
      </c>
    </row>
    <row r="290" spans="1:2" x14ac:dyDescent="0.25">
      <c r="A290" s="20">
        <v>45712</v>
      </c>
      <c r="B290" vm="1742">
        <v>70.8</v>
      </c>
    </row>
    <row r="291" spans="1:2" x14ac:dyDescent="0.25">
      <c r="A291" s="20">
        <v>45712</v>
      </c>
      <c r="B291" vm="1743">
        <v>70.87</v>
      </c>
    </row>
    <row r="292" spans="1:2" x14ac:dyDescent="0.25">
      <c r="A292" s="20">
        <v>45712</v>
      </c>
      <c r="B292" vm="1744">
        <v>71.209999999999994</v>
      </c>
    </row>
    <row r="293" spans="1:2" x14ac:dyDescent="0.25">
      <c r="A293" s="20">
        <v>45719</v>
      </c>
      <c r="B293" vm="1745">
        <v>72.319999999999993</v>
      </c>
    </row>
    <row r="294" spans="1:2" x14ac:dyDescent="0.25">
      <c r="A294" s="20">
        <v>45719</v>
      </c>
      <c r="B294" vm="1746">
        <v>70.19</v>
      </c>
    </row>
    <row r="295" spans="1:2" x14ac:dyDescent="0.25">
      <c r="A295" s="20">
        <v>45719</v>
      </c>
      <c r="B295" vm="1747">
        <v>70.08</v>
      </c>
    </row>
    <row r="296" spans="1:2" x14ac:dyDescent="0.25">
      <c r="A296" s="20">
        <v>45719</v>
      </c>
      <c r="B296" vm="1748">
        <v>70.459999999999994</v>
      </c>
    </row>
    <row r="297" spans="1:2" x14ac:dyDescent="0.25">
      <c r="A297" s="20">
        <v>45719</v>
      </c>
      <c r="B297" vm="1749">
        <v>71.430000000000007</v>
      </c>
    </row>
    <row r="298" spans="1:2" x14ac:dyDescent="0.25">
      <c r="A298" s="20">
        <v>45726</v>
      </c>
      <c r="B298" vm="1667">
        <v>71.45</v>
      </c>
    </row>
    <row r="299" spans="1:2" x14ac:dyDescent="0.25">
      <c r="A299" s="20">
        <v>45726</v>
      </c>
      <c r="B299" vm="1750">
        <v>71.040000000000006</v>
      </c>
    </row>
    <row r="300" spans="1:2" x14ac:dyDescent="0.25">
      <c r="A300" s="20">
        <v>45726</v>
      </c>
      <c r="B300" vm="1751">
        <v>69.94</v>
      </c>
    </row>
    <row r="301" spans="1:2" x14ac:dyDescent="0.25">
      <c r="A301" s="20">
        <v>45726</v>
      </c>
      <c r="B301" vm="1752">
        <v>69.62</v>
      </c>
    </row>
    <row r="302" spans="1:2" x14ac:dyDescent="0.25">
      <c r="A302" s="20">
        <v>45726</v>
      </c>
      <c r="B302" vm="1753">
        <v>69.16</v>
      </c>
    </row>
    <row r="303" spans="1:2" x14ac:dyDescent="0.25">
      <c r="A303" s="20">
        <v>45733</v>
      </c>
      <c r="B303" vm="1754">
        <v>70.12</v>
      </c>
    </row>
    <row r="304" spans="1:2" x14ac:dyDescent="0.25">
      <c r="A304" s="20">
        <v>45733</v>
      </c>
      <c r="B304" vm="1644">
        <v>69.38</v>
      </c>
    </row>
    <row r="305" spans="1:2" x14ac:dyDescent="0.25">
      <c r="A305" s="20">
        <v>45733</v>
      </c>
      <c r="B305" vm="1755">
        <v>69.28</v>
      </c>
    </row>
    <row r="306" spans="1:2" x14ac:dyDescent="0.25">
      <c r="A306" s="20">
        <v>45733</v>
      </c>
      <c r="B306" vm="1756">
        <v>69.709999999999994</v>
      </c>
    </row>
    <row r="307" spans="1:2" x14ac:dyDescent="0.25">
      <c r="A307" s="20">
        <v>45733</v>
      </c>
      <c r="B307" vm="1757">
        <v>68.67</v>
      </c>
    </row>
    <row r="308" spans="1:2" x14ac:dyDescent="0.25">
      <c r="A308" s="20">
        <v>45740</v>
      </c>
      <c r="B308" vm="1758">
        <v>68.95</v>
      </c>
    </row>
    <row r="309" spans="1:2" x14ac:dyDescent="0.25">
      <c r="A309" s="20">
        <v>45740</v>
      </c>
      <c r="B309" vm="1759">
        <v>68.81</v>
      </c>
    </row>
    <row r="310" spans="1:2" x14ac:dyDescent="0.25">
      <c r="A310" s="20">
        <v>45740</v>
      </c>
      <c r="B310" vm="1760">
        <v>70.02</v>
      </c>
    </row>
    <row r="311" spans="1:2" x14ac:dyDescent="0.25">
      <c r="A311" s="20">
        <v>45740</v>
      </c>
      <c r="B311" vm="1761">
        <v>70.739999999999995</v>
      </c>
    </row>
    <row r="312" spans="1:2" x14ac:dyDescent="0.25">
      <c r="A312" s="20">
        <v>45740</v>
      </c>
      <c r="B312" vm="1762">
        <v>70.37</v>
      </c>
    </row>
    <row r="313" spans="1:2" x14ac:dyDescent="0.25">
      <c r="A313" s="20">
        <v>45747</v>
      </c>
      <c r="B313" vm="1763">
        <v>71.62</v>
      </c>
    </row>
    <row r="314" spans="1:2" x14ac:dyDescent="0.25">
      <c r="A314" s="20">
        <v>45747</v>
      </c>
      <c r="B314" vm="1764">
        <v>71.87</v>
      </c>
    </row>
    <row r="315" spans="1:2" x14ac:dyDescent="0.25">
      <c r="A315" s="20">
        <v>45747</v>
      </c>
      <c r="B315" vm="1666">
        <v>71.33</v>
      </c>
    </row>
    <row r="316" spans="1:2" x14ac:dyDescent="0.25">
      <c r="A316" s="20">
        <v>45747</v>
      </c>
      <c r="B316" vm="1765">
        <v>73.180000000000007</v>
      </c>
    </row>
    <row r="317" spans="1:2" x14ac:dyDescent="0.25">
      <c r="A317" s="20">
        <v>45747</v>
      </c>
      <c r="B317" vm="1766">
        <v>69.930000000000007</v>
      </c>
    </row>
    <row r="318" spans="1:2" x14ac:dyDescent="0.25">
      <c r="A318" s="20">
        <v>45754</v>
      </c>
      <c r="B318" vm="1767">
        <v>68.37</v>
      </c>
    </row>
    <row r="319" spans="1:2" x14ac:dyDescent="0.25">
      <c r="A319" s="20">
        <v>45754</v>
      </c>
      <c r="B319" vm="1768">
        <v>68.42</v>
      </c>
    </row>
    <row r="320" spans="1:2" x14ac:dyDescent="0.25">
      <c r="A320" s="20">
        <v>45754</v>
      </c>
      <c r="B320" vm="1769">
        <v>69.95</v>
      </c>
    </row>
    <row r="321" spans="1:2" x14ac:dyDescent="0.25">
      <c r="A321" s="20">
        <v>45754</v>
      </c>
      <c r="B321" vm="1770">
        <v>70.760000000000005</v>
      </c>
    </row>
    <row r="322" spans="1:2" x14ac:dyDescent="0.25">
      <c r="A322" s="20">
        <v>45754</v>
      </c>
      <c r="B322" vm="1749">
        <v>71.430000000000007</v>
      </c>
    </row>
    <row r="323" spans="1:2" x14ac:dyDescent="0.25">
      <c r="A323" s="20">
        <v>45761</v>
      </c>
      <c r="B323" vm="1771">
        <v>72.45</v>
      </c>
    </row>
    <row r="324" spans="1:2" x14ac:dyDescent="0.25">
      <c r="A324" s="20">
        <v>45761</v>
      </c>
      <c r="B324" vm="1670">
        <v>71.86</v>
      </c>
    </row>
    <row r="325" spans="1:2" x14ac:dyDescent="0.25">
      <c r="A325" s="20">
        <v>45761</v>
      </c>
      <c r="B325" vm="1772">
        <v>71.680000000000007</v>
      </c>
    </row>
    <row r="326" spans="1:2" x14ac:dyDescent="0.25">
      <c r="A326" s="20">
        <v>45761</v>
      </c>
      <c r="B326" vm="1773">
        <v>73</v>
      </c>
    </row>
    <row r="327" spans="1:2" x14ac:dyDescent="0.25">
      <c r="A327" s="20">
        <v>45768</v>
      </c>
      <c r="B327" vm="1774">
        <v>72.77</v>
      </c>
    </row>
    <row r="328" spans="1:2" x14ac:dyDescent="0.25">
      <c r="A328" s="20">
        <v>45768</v>
      </c>
      <c r="B328" vm="1775">
        <v>73.900000000000006</v>
      </c>
    </row>
    <row r="329" spans="1:2" x14ac:dyDescent="0.25">
      <c r="A329" s="20">
        <v>45768</v>
      </c>
      <c r="B329" vm="1776">
        <v>73.3</v>
      </c>
    </row>
    <row r="330" spans="1:2" x14ac:dyDescent="0.25">
      <c r="A330" s="20">
        <v>45768</v>
      </c>
      <c r="B330" vm="1777">
        <v>72.52</v>
      </c>
    </row>
    <row r="331" spans="1:2" x14ac:dyDescent="0.25">
      <c r="A331" s="20">
        <v>45768</v>
      </c>
      <c r="B331" vm="1778">
        <v>71.91</v>
      </c>
    </row>
    <row r="332" spans="1:2" x14ac:dyDescent="0.25">
      <c r="A332" s="20">
        <v>45775</v>
      </c>
      <c r="B332" vm="1669">
        <v>71.790000000000006</v>
      </c>
    </row>
    <row r="333" spans="1:2" x14ac:dyDescent="0.25">
      <c r="A333" s="20">
        <v>45775</v>
      </c>
      <c r="B333" vm="1779">
        <v>72.349999999999994</v>
      </c>
    </row>
    <row r="334" spans="1:2" x14ac:dyDescent="0.25">
      <c r="A334" s="20">
        <v>45775</v>
      </c>
      <c r="B334" vm="1780">
        <v>72.55</v>
      </c>
    </row>
    <row r="335" spans="1:2" x14ac:dyDescent="0.25">
      <c r="A335" s="20">
        <v>45775</v>
      </c>
      <c r="B335" vm="1781">
        <v>71.290000000000006</v>
      </c>
    </row>
    <row r="336" spans="1:2" x14ac:dyDescent="0.25">
      <c r="A336" s="20">
        <v>45775</v>
      </c>
      <c r="B336" vm="1782">
        <v>71.650000000000006</v>
      </c>
    </row>
    <row r="337" spans="1:2" x14ac:dyDescent="0.25">
      <c r="A337" s="20">
        <v>45782</v>
      </c>
      <c r="B337" vm="1783">
        <v>71.7</v>
      </c>
    </row>
    <row r="338" spans="1:2" x14ac:dyDescent="0.25">
      <c r="A338" s="20">
        <v>45782</v>
      </c>
      <c r="B338" vm="1784">
        <v>71.72</v>
      </c>
    </row>
    <row r="339" spans="1:2" x14ac:dyDescent="0.25">
      <c r="A339" s="20">
        <v>45782</v>
      </c>
      <c r="B339" vm="1785">
        <v>72.400000000000006</v>
      </c>
    </row>
    <row r="340" spans="1:2" x14ac:dyDescent="0.25">
      <c r="A340" s="20">
        <v>45782</v>
      </c>
      <c r="B340" vm="1654">
        <v>71.17</v>
      </c>
    </row>
    <row r="341" spans="1:2" x14ac:dyDescent="0.25">
      <c r="A341" s="20">
        <v>45782</v>
      </c>
      <c r="B341" vm="1673">
        <v>70.52</v>
      </c>
    </row>
    <row r="342" spans="1:2" x14ac:dyDescent="0.25">
      <c r="A342" s="20">
        <v>45789</v>
      </c>
      <c r="B342" vm="1786">
        <v>69.53</v>
      </c>
    </row>
    <row r="343" spans="1:2" x14ac:dyDescent="0.25">
      <c r="A343" s="20">
        <v>45789</v>
      </c>
      <c r="B343" vm="1787">
        <v>68.959999999999994</v>
      </c>
    </row>
    <row r="344" spans="1:2" x14ac:dyDescent="0.25">
      <c r="A344" s="20">
        <v>45789</v>
      </c>
      <c r="B344" vm="1753">
        <v>69.16</v>
      </c>
    </row>
    <row r="345" spans="1:2" x14ac:dyDescent="0.25">
      <c r="A345" s="20">
        <v>45789</v>
      </c>
      <c r="B345" vm="1788">
        <v>71.61</v>
      </c>
    </row>
    <row r="346" spans="1:2" x14ac:dyDescent="0.25">
      <c r="A346" s="20">
        <v>45789</v>
      </c>
      <c r="B346" vm="1789">
        <v>72</v>
      </c>
    </row>
    <row r="347" spans="1:2" x14ac:dyDescent="0.25">
      <c r="A347" s="20">
        <v>45796</v>
      </c>
      <c r="B347" vm="1790">
        <v>71.930000000000007</v>
      </c>
    </row>
    <row r="348" spans="1:2" x14ac:dyDescent="0.25">
      <c r="A348" s="20">
        <v>45796</v>
      </c>
      <c r="B348" vm="1791">
        <v>71.69</v>
      </c>
    </row>
    <row r="349" spans="1:2" x14ac:dyDescent="0.25">
      <c r="A349" s="20">
        <v>45796</v>
      </c>
      <c r="B349" vm="1656">
        <v>71.849999999999994</v>
      </c>
    </row>
    <row r="350" spans="1:2" x14ac:dyDescent="0.25">
      <c r="A350" s="20">
        <v>45796</v>
      </c>
      <c r="B350" vm="1655">
        <v>71.14</v>
      </c>
    </row>
    <row r="351" spans="1:2" x14ac:dyDescent="0.25">
      <c r="A351" s="20">
        <v>45796</v>
      </c>
      <c r="B351" vm="1792">
        <v>71.77</v>
      </c>
    </row>
    <row r="352" spans="1:2" x14ac:dyDescent="0.25">
      <c r="A352" s="20">
        <v>45803</v>
      </c>
      <c r="B352" vm="1793">
        <v>71.78</v>
      </c>
    </row>
    <row r="353" spans="1:2" x14ac:dyDescent="0.25">
      <c r="A353" s="20">
        <v>45803</v>
      </c>
      <c r="B353" vm="1794">
        <v>71.150000000000006</v>
      </c>
    </row>
    <row r="354" spans="1:2" x14ac:dyDescent="0.25">
      <c r="A354" s="20">
        <v>45803</v>
      </c>
      <c r="B354" vm="1741">
        <v>71.489999999999995</v>
      </c>
    </row>
    <row r="355" spans="1:2" x14ac:dyDescent="0.25">
      <c r="A355" s="20">
        <v>45803</v>
      </c>
      <c r="B355" vm="1661">
        <v>72.099999999999994</v>
      </c>
    </row>
    <row r="356" spans="1:2" x14ac:dyDescent="0.25">
      <c r="A356" s="20">
        <v>45810</v>
      </c>
      <c r="B356" vm="1789">
        <v>72</v>
      </c>
    </row>
    <row r="357" spans="1:2" x14ac:dyDescent="0.25">
      <c r="A357" s="20">
        <v>45810</v>
      </c>
      <c r="B357" vm="1795">
        <v>71.16</v>
      </c>
    </row>
    <row r="358" spans="1:2" x14ac:dyDescent="0.25">
      <c r="A358" s="20">
        <v>45810</v>
      </c>
      <c r="B358" vm="1796">
        <v>71.37</v>
      </c>
    </row>
    <row r="359" spans="1:2" x14ac:dyDescent="0.25">
      <c r="A359" s="20">
        <v>45810</v>
      </c>
      <c r="B359" vm="1797">
        <v>70.91</v>
      </c>
    </row>
    <row r="360" spans="1:2" x14ac:dyDescent="0.25">
      <c r="A360" s="20">
        <v>45810</v>
      </c>
      <c r="B360" vm="1739">
        <v>71.349999999999994</v>
      </c>
    </row>
    <row r="361" spans="1:2" x14ac:dyDescent="0.25">
      <c r="A361" s="20">
        <v>45817</v>
      </c>
      <c r="B361" vm="1792">
        <v>71.77</v>
      </c>
    </row>
    <row r="362" spans="1:2" x14ac:dyDescent="0.25">
      <c r="A362" s="20">
        <v>45817</v>
      </c>
      <c r="B362" vm="1779">
        <v>72.349999999999994</v>
      </c>
    </row>
    <row r="363" spans="1:2" x14ac:dyDescent="0.25">
      <c r="A363" s="20">
        <v>45817</v>
      </c>
      <c r="B363" vm="1798">
        <v>72.069999999999993</v>
      </c>
    </row>
    <row r="364" spans="1:2" x14ac:dyDescent="0.25">
      <c r="A364" s="20">
        <v>45817</v>
      </c>
      <c r="B364" vm="1799">
        <v>72.239999999999995</v>
      </c>
    </row>
    <row r="365" spans="1:2" x14ac:dyDescent="0.25">
      <c r="A365" s="20">
        <v>45817</v>
      </c>
      <c r="B365" vm="1800">
        <v>71.02</v>
      </c>
    </row>
    <row r="366" spans="1:2" x14ac:dyDescent="0.25">
      <c r="A366" s="20">
        <v>45824</v>
      </c>
      <c r="B366" vm="1673">
        <v>70.52</v>
      </c>
    </row>
    <row r="367" spans="1:2" x14ac:dyDescent="0.25">
      <c r="A367" s="20">
        <v>45824</v>
      </c>
      <c r="B367" vm="1752">
        <v>69.62</v>
      </c>
    </row>
    <row r="368" spans="1:2" x14ac:dyDescent="0.25">
      <c r="A368" s="20">
        <v>45824</v>
      </c>
      <c r="B368" vm="1801">
        <v>69.209999999999994</v>
      </c>
    </row>
    <row r="369" spans="1:2" x14ac:dyDescent="0.25">
      <c r="A369" s="20">
        <v>45824</v>
      </c>
      <c r="B369" vm="1802">
        <v>68.84</v>
      </c>
    </row>
    <row r="370" spans="1:2" x14ac:dyDescent="0.25">
      <c r="A370" s="20">
        <v>45831</v>
      </c>
      <c r="B370" vm="1803">
        <v>69.739999999999995</v>
      </c>
    </row>
    <row r="371" spans="1:2" x14ac:dyDescent="0.25">
      <c r="A371" s="20">
        <v>45831</v>
      </c>
      <c r="B371" vm="1804">
        <v>70.209999999999994</v>
      </c>
    </row>
    <row r="372" spans="1:2" x14ac:dyDescent="0.25">
      <c r="A372" s="20">
        <v>45831</v>
      </c>
      <c r="B372" vm="1805">
        <v>69.63</v>
      </c>
    </row>
    <row r="373" spans="1:2" x14ac:dyDescent="0.25">
      <c r="A373" s="20">
        <v>45831</v>
      </c>
      <c r="B373" vm="1806">
        <v>69.47</v>
      </c>
    </row>
    <row r="374" spans="1:2" x14ac:dyDescent="0.25">
      <c r="A374" s="20">
        <v>45831</v>
      </c>
      <c r="B374" vm="1807">
        <v>70.33</v>
      </c>
    </row>
    <row r="375" spans="1:2" x14ac:dyDescent="0.25">
      <c r="A375" s="20">
        <v>45838</v>
      </c>
      <c r="B375" vm="1808">
        <v>70.75</v>
      </c>
    </row>
    <row r="376" spans="1:2" x14ac:dyDescent="0.25">
      <c r="A376" s="20">
        <v>45838</v>
      </c>
      <c r="B376" vm="1809">
        <v>71.67</v>
      </c>
    </row>
    <row r="377" spans="1:2" x14ac:dyDescent="0.25">
      <c r="A377" s="20">
        <v>45838</v>
      </c>
      <c r="B377" vm="1797">
        <v>70.91</v>
      </c>
    </row>
    <row r="378" spans="1:2" x14ac:dyDescent="0.25">
      <c r="A378" s="20">
        <v>45838</v>
      </c>
      <c r="B378" vm="1739">
        <v>71.349999999999994</v>
      </c>
    </row>
    <row r="379" spans="1:2" x14ac:dyDescent="0.25">
      <c r="A379" s="20">
        <v>45845</v>
      </c>
      <c r="B379" vm="1672">
        <v>71.010000000000005</v>
      </c>
    </row>
    <row r="380" spans="1:2" x14ac:dyDescent="0.25">
      <c r="A380" s="20">
        <v>45845</v>
      </c>
      <c r="B380" vm="1810">
        <v>70.239999999999995</v>
      </c>
    </row>
    <row r="381" spans="1:2" x14ac:dyDescent="0.25">
      <c r="A381" s="20">
        <v>45845</v>
      </c>
      <c r="B381" vm="1811">
        <v>69.48</v>
      </c>
    </row>
    <row r="382" spans="1:2" x14ac:dyDescent="0.25">
      <c r="A382" s="20">
        <v>45845</v>
      </c>
      <c r="B382" vm="1812">
        <v>69.77</v>
      </c>
    </row>
    <row r="383" spans="1:2" x14ac:dyDescent="0.25">
      <c r="A383" s="20">
        <v>45845</v>
      </c>
      <c r="B383" vm="1813">
        <v>69.87</v>
      </c>
    </row>
    <row r="384" spans="1:2" x14ac:dyDescent="0.25">
      <c r="A384" s="20">
        <v>45852</v>
      </c>
      <c r="B384" vm="1806">
        <v>69.47</v>
      </c>
    </row>
    <row r="385" spans="1:2" x14ac:dyDescent="0.25">
      <c r="A385" s="20">
        <v>45852</v>
      </c>
      <c r="B385" vm="1814">
        <v>69.36</v>
      </c>
    </row>
    <row r="386" spans="1:2" x14ac:dyDescent="0.25">
      <c r="A386" s="20">
        <v>45852</v>
      </c>
      <c r="B386" vm="1815">
        <v>69.27</v>
      </c>
    </row>
    <row r="387" spans="1:2" x14ac:dyDescent="0.25">
      <c r="A387" s="20">
        <v>45852</v>
      </c>
      <c r="B387" vm="1740">
        <v>70.59</v>
      </c>
    </row>
    <row r="388" spans="1:2" x14ac:dyDescent="0.25">
      <c r="A388" s="20">
        <v>45852</v>
      </c>
      <c r="B388" vm="1816">
        <v>69.849999999999994</v>
      </c>
    </row>
    <row r="389" spans="1:2" x14ac:dyDescent="0.25">
      <c r="A389" s="20">
        <v>45859</v>
      </c>
      <c r="B389" vm="1737">
        <v>70.069999999999993</v>
      </c>
    </row>
    <row r="390" spans="1:2" x14ac:dyDescent="0.25">
      <c r="A390" s="20">
        <v>45859</v>
      </c>
      <c r="B390" vm="1817">
        <v>69.66</v>
      </c>
    </row>
    <row r="391" spans="1:2" x14ac:dyDescent="0.25">
      <c r="A391" s="20">
        <v>45859</v>
      </c>
      <c r="B391" vm="1753">
        <v>69.16</v>
      </c>
    </row>
    <row r="392" spans="1:2" x14ac:dyDescent="0.25">
      <c r="A392" s="20">
        <v>45859</v>
      </c>
      <c r="B392" vm="1818">
        <v>69.099999999999994</v>
      </c>
    </row>
    <row r="393" spans="1:2" x14ac:dyDescent="0.25">
      <c r="A393" s="20">
        <v>45859</v>
      </c>
      <c r="B393" vm="1819">
        <v>69.17</v>
      </c>
    </row>
    <row r="394" spans="1:2" x14ac:dyDescent="0.25">
      <c r="A394" s="20">
        <v>45866</v>
      </c>
      <c r="B394" vm="1820">
        <v>68.09</v>
      </c>
    </row>
    <row r="395" spans="1:2" x14ac:dyDescent="0.25">
      <c r="A395" s="20">
        <v>45866</v>
      </c>
      <c r="B395" vm="1644">
        <v>69.38</v>
      </c>
    </row>
    <row r="396" spans="1:2" x14ac:dyDescent="0.25">
      <c r="A396" s="20">
        <v>45866</v>
      </c>
      <c r="B396" vm="1821">
        <v>68.75</v>
      </c>
    </row>
    <row r="397" spans="1:2" x14ac:dyDescent="0.25">
      <c r="A397" s="20">
        <v>45866</v>
      </c>
      <c r="B397" vm="1822">
        <v>67.89</v>
      </c>
    </row>
    <row r="398" spans="1:2" x14ac:dyDescent="0.25">
      <c r="A398" s="20">
        <v>45866</v>
      </c>
      <c r="B398" vm="1823">
        <v>68.86</v>
      </c>
    </row>
    <row r="399" spans="1:2" x14ac:dyDescent="0.25">
      <c r="A399" s="20">
        <v>45873</v>
      </c>
      <c r="B399" vm="1787">
        <v>68.959999999999994</v>
      </c>
    </row>
    <row r="400" spans="1:2" x14ac:dyDescent="0.25">
      <c r="A400" s="20">
        <v>45873</v>
      </c>
      <c r="B400" vm="1736">
        <v>69.05</v>
      </c>
    </row>
    <row r="401" spans="1:2" x14ac:dyDescent="0.25">
      <c r="A401" s="20">
        <v>45873</v>
      </c>
      <c r="B401" vm="1824">
        <v>69.510000000000005</v>
      </c>
    </row>
    <row r="402" spans="1:2" x14ac:dyDescent="0.25">
      <c r="A402" s="20">
        <v>45873</v>
      </c>
      <c r="B402" vm="1825">
        <v>70.430000000000007</v>
      </c>
    </row>
    <row r="403" spans="1:2" x14ac:dyDescent="0.25">
      <c r="A403" s="20">
        <v>45873</v>
      </c>
      <c r="B403" vm="1677">
        <v>70.34</v>
      </c>
    </row>
    <row r="404" spans="1:2" x14ac:dyDescent="0.25">
      <c r="A404" s="20">
        <v>45880</v>
      </c>
      <c r="B404" vm="1808">
        <v>70.75</v>
      </c>
    </row>
    <row r="405" spans="1:2" x14ac:dyDescent="0.25">
      <c r="A405" s="20">
        <v>45880</v>
      </c>
      <c r="B405" vm="1826">
        <v>70.709999999999994</v>
      </c>
    </row>
    <row r="406" spans="1:2" x14ac:dyDescent="0.25">
      <c r="A406" s="20">
        <v>45880</v>
      </c>
      <c r="B406" vm="1748">
        <v>70.459999999999994</v>
      </c>
    </row>
    <row r="407" spans="1:2" x14ac:dyDescent="0.25">
      <c r="A407" s="20">
        <v>45880</v>
      </c>
      <c r="B407" vm="1827">
        <v>69.55</v>
      </c>
    </row>
    <row r="408" spans="1:2" x14ac:dyDescent="0.25">
      <c r="A408" s="20">
        <v>45880</v>
      </c>
      <c r="B408" vm="1828">
        <v>69.92</v>
      </c>
    </row>
    <row r="409" spans="1:2" x14ac:dyDescent="0.25">
      <c r="A409" s="20">
        <v>45887</v>
      </c>
      <c r="B409" vm="1829">
        <v>69.13</v>
      </c>
    </row>
    <row r="410" spans="1:2" x14ac:dyDescent="0.25">
      <c r="A410" s="20">
        <v>45887</v>
      </c>
      <c r="B410" vm="1830">
        <v>70.13</v>
      </c>
    </row>
    <row r="411" spans="1:2" x14ac:dyDescent="0.25">
      <c r="A411" s="20">
        <v>45887</v>
      </c>
      <c r="B411" vm="1831">
        <v>70.7</v>
      </c>
    </row>
    <row r="412" spans="1:2" x14ac:dyDescent="0.25">
      <c r="A412" s="20">
        <v>45887</v>
      </c>
      <c r="B412" vm="1832">
        <v>70.66</v>
      </c>
    </row>
    <row r="413" spans="1:2" x14ac:dyDescent="0.25">
      <c r="A413" s="20">
        <v>45887</v>
      </c>
      <c r="B413" vm="1830">
        <v>70.13</v>
      </c>
    </row>
    <row r="414" spans="1:2" x14ac:dyDescent="0.25">
      <c r="A414" s="20">
        <v>45894</v>
      </c>
      <c r="B414" vm="1833">
        <v>68.930000000000007</v>
      </c>
    </row>
    <row r="415" spans="1:2" x14ac:dyDescent="0.25">
      <c r="A415" s="20">
        <v>45894</v>
      </c>
      <c r="B415" vm="1637">
        <v>68.73</v>
      </c>
    </row>
    <row r="416" spans="1:2" x14ac:dyDescent="0.25">
      <c r="A416" s="20">
        <v>45894</v>
      </c>
      <c r="B416" vm="1834">
        <v>68.83</v>
      </c>
    </row>
    <row r="417" spans="1:2" x14ac:dyDescent="0.25">
      <c r="A417" s="20">
        <v>45894</v>
      </c>
      <c r="B417" vm="1835">
        <v>68.36</v>
      </c>
    </row>
    <row r="418" spans="1:2" x14ac:dyDescent="0.25">
      <c r="A418" s="20">
        <v>45894</v>
      </c>
      <c r="B418" vm="1836">
        <v>68.989999999999995</v>
      </c>
    </row>
    <row r="419" spans="1:2" x14ac:dyDescent="0.25">
      <c r="A419" s="20">
        <v>45901</v>
      </c>
      <c r="B419" vm="1837">
        <v>69.06</v>
      </c>
    </row>
    <row r="420" spans="1:2" x14ac:dyDescent="0.25">
      <c r="A420" s="20">
        <v>45901</v>
      </c>
      <c r="B420" vm="1836">
        <v>68.989999999999995</v>
      </c>
    </row>
    <row r="421" spans="1:2" x14ac:dyDescent="0.25">
      <c r="A421" s="20">
        <v>45901</v>
      </c>
      <c r="B421" vm="1838">
        <v>68.25</v>
      </c>
    </row>
    <row r="422" spans="1:2" x14ac:dyDescent="0.25">
      <c r="A422" s="20">
        <v>45901</v>
      </c>
      <c r="B422" vm="1632">
        <v>67.959999999999994</v>
      </c>
    </row>
    <row r="423" spans="1:2" x14ac:dyDescent="0.25">
      <c r="A423" s="20">
        <v>45908</v>
      </c>
      <c r="B423" vm="1839">
        <v>67.430000000000007</v>
      </c>
    </row>
    <row r="424" spans="1:2" x14ac:dyDescent="0.25">
      <c r="A424" s="20">
        <v>45908</v>
      </c>
      <c r="B424" vm="1840">
        <v>67.86</v>
      </c>
    </row>
    <row r="425" spans="1:2" x14ac:dyDescent="0.25">
      <c r="A425" s="20">
        <v>45908</v>
      </c>
      <c r="B425" vm="1841">
        <v>67.819999999999993</v>
      </c>
    </row>
    <row r="426" spans="1:2" x14ac:dyDescent="0.25">
      <c r="A426" s="20">
        <v>45908</v>
      </c>
      <c r="B426" vm="1842">
        <v>67.62</v>
      </c>
    </row>
    <row r="427" spans="1:2" x14ac:dyDescent="0.25">
      <c r="A427" s="20">
        <v>45908</v>
      </c>
      <c r="B427" vm="1843">
        <v>67.010000000000005</v>
      </c>
    </row>
    <row r="428" spans="1:2" x14ac:dyDescent="0.25">
      <c r="A428" s="20">
        <v>45915</v>
      </c>
      <c r="B428" vm="1844">
        <v>66.209999999999994</v>
      </c>
    </row>
    <row r="429" spans="1:2" x14ac:dyDescent="0.25">
      <c r="A429" s="20">
        <v>45915</v>
      </c>
      <c r="B429" vm="1845">
        <v>66.239999999999995</v>
      </c>
    </row>
    <row r="430" spans="1:2" x14ac:dyDescent="0.25">
      <c r="A430" s="20">
        <v>45915</v>
      </c>
      <c r="B430" vm="1846">
        <v>67.040000000000006</v>
      </c>
    </row>
    <row r="431" spans="1:2" x14ac:dyDescent="0.25">
      <c r="A431" s="20">
        <v>45915</v>
      </c>
      <c r="B431" vm="1847">
        <v>66.459999999999994</v>
      </c>
    </row>
    <row r="432" spans="1:2" x14ac:dyDescent="0.25">
      <c r="A432" s="20">
        <v>45915</v>
      </c>
      <c r="B432" vm="1848">
        <v>66.430000000000007</v>
      </c>
    </row>
    <row r="433" spans="1:2" x14ac:dyDescent="0.25">
      <c r="A433" s="20">
        <v>45922</v>
      </c>
      <c r="B433" vm="1844">
        <v>66.209999999999994</v>
      </c>
    </row>
    <row r="434" spans="1:2" x14ac:dyDescent="0.25">
      <c r="A434" s="20">
        <v>45922</v>
      </c>
      <c r="B434" vm="1849">
        <v>66.709999999999994</v>
      </c>
    </row>
    <row r="435" spans="1:2" x14ac:dyDescent="0.25">
      <c r="A435" s="20">
        <v>45922</v>
      </c>
      <c r="B435" vm="1850">
        <v>66.45</v>
      </c>
    </row>
    <row r="436" spans="1:2" x14ac:dyDescent="0.25">
      <c r="A436" s="20">
        <v>45922</v>
      </c>
      <c r="B436" vm="1851">
        <v>65.98</v>
      </c>
    </row>
    <row r="437" spans="1:2" x14ac:dyDescent="0.25">
      <c r="A437" s="20">
        <v>45922</v>
      </c>
      <c r="B437" vm="1852">
        <v>65.67</v>
      </c>
    </row>
    <row r="438" spans="1:2" x14ac:dyDescent="0.25">
      <c r="A438" s="20">
        <v>45929</v>
      </c>
      <c r="B438" vm="1853">
        <v>66.040000000000006</v>
      </c>
    </row>
    <row r="439" spans="1:2" x14ac:dyDescent="0.25">
      <c r="A439" s="20">
        <v>45929</v>
      </c>
      <c r="B439" vm="1854">
        <v>66.319999999999993</v>
      </c>
    </row>
    <row r="440" spans="1:2" x14ac:dyDescent="0.25">
      <c r="A440" s="20">
        <v>45929</v>
      </c>
      <c r="B440" vm="1855">
        <v>66.78</v>
      </c>
    </row>
    <row r="441" spans="1:2" x14ac:dyDescent="0.25">
      <c r="A441" s="20">
        <v>45929</v>
      </c>
      <c r="B441" vm="1856">
        <v>66.099999999999994</v>
      </c>
    </row>
    <row r="442" spans="1:2" x14ac:dyDescent="0.25">
      <c r="A442" s="20">
        <v>45929</v>
      </c>
      <c r="B442" vm="1857">
        <v>66.650000000000006</v>
      </c>
    </row>
    <row r="443" spans="1:2" x14ac:dyDescent="0.25">
      <c r="A443" s="20">
        <v>45936</v>
      </c>
      <c r="B443" vm="1856">
        <v>66.099999999999994</v>
      </c>
    </row>
    <row r="444" spans="1:2" x14ac:dyDescent="0.25">
      <c r="A444" s="20">
        <v>45936</v>
      </c>
      <c r="B444" vm="1858">
        <v>66.790000000000006</v>
      </c>
    </row>
    <row r="445" spans="1:2" x14ac:dyDescent="0.25">
      <c r="A445" s="20">
        <v>45936</v>
      </c>
      <c r="B445" vm="1859">
        <v>66.12</v>
      </c>
    </row>
    <row r="446" spans="1:2" x14ac:dyDescent="0.25">
      <c r="A446" s="20">
        <v>45936</v>
      </c>
      <c r="B446" vm="1860">
        <v>66.37</v>
      </c>
    </row>
    <row r="447" spans="1:2" x14ac:dyDescent="0.25">
      <c r="A447" s="20">
        <v>45936</v>
      </c>
      <c r="B447" vm="1846">
        <v>67.040000000000006</v>
      </c>
    </row>
    <row r="448" spans="1:2" x14ac:dyDescent="0.25">
      <c r="A448" s="20">
        <v>45943</v>
      </c>
      <c r="B448" vm="1861">
        <v>66.8</v>
      </c>
    </row>
    <row r="449" spans="1:2" x14ac:dyDescent="0.25">
      <c r="A449" s="20">
        <v>45943</v>
      </c>
      <c r="B449" vm="1862">
        <v>67.510000000000005</v>
      </c>
    </row>
    <row r="450" spans="1:2" x14ac:dyDescent="0.25">
      <c r="A450" s="20">
        <v>45943</v>
      </c>
      <c r="B450" vm="1863">
        <v>67.08</v>
      </c>
    </row>
    <row r="451" spans="1:2" x14ac:dyDescent="0.25">
      <c r="A451" s="20">
        <v>45943</v>
      </c>
      <c r="B451" vm="1864">
        <v>67.59</v>
      </c>
    </row>
    <row r="452" spans="1:2" x14ac:dyDescent="0.25">
      <c r="A452" s="20">
        <v>45943</v>
      </c>
      <c r="B452" vm="1865">
        <v>68.44</v>
      </c>
    </row>
    <row r="453" spans="1:2" x14ac:dyDescent="0.25">
      <c r="A453" s="20">
        <v>45950</v>
      </c>
      <c r="B453" vm="1865">
        <v>68.44</v>
      </c>
    </row>
    <row r="454" spans="1:2" x14ac:dyDescent="0.25">
      <c r="A454" s="20">
        <v>45950</v>
      </c>
      <c r="B454" vm="1866">
        <v>71.22</v>
      </c>
    </row>
    <row r="455" spans="1:2" x14ac:dyDescent="0.25">
      <c r="A455" s="20">
        <v>45950</v>
      </c>
      <c r="B455" vm="1867">
        <v>70.81</v>
      </c>
    </row>
    <row r="456" spans="1:2" x14ac:dyDescent="0.25">
      <c r="A456" s="20">
        <v>45950</v>
      </c>
      <c r="B456" vm="1751">
        <v>69.94</v>
      </c>
    </row>
    <row r="457" spans="1:2" x14ac:dyDescent="0.25">
      <c r="A457" s="20">
        <v>45950</v>
      </c>
      <c r="B457" vm="1756">
        <v>69.709999999999994</v>
      </c>
    </row>
    <row r="458" spans="1:2" x14ac:dyDescent="0.25">
      <c r="A458" s="20">
        <v>45957</v>
      </c>
      <c r="B458" vm="1868">
        <v>70.06</v>
      </c>
    </row>
    <row r="459" spans="1:2" x14ac:dyDescent="0.25">
      <c r="A459" s="20">
        <v>45957</v>
      </c>
      <c r="B459" vm="1869">
        <v>70.16</v>
      </c>
    </row>
    <row r="460" spans="1:2" x14ac:dyDescent="0.25">
      <c r="A460" s="20">
        <v>45957</v>
      </c>
      <c r="B460" vm="1870">
        <v>68.349999999999994</v>
      </c>
    </row>
    <row r="461" spans="1:2" x14ac:dyDescent="0.25">
      <c r="A461" s="20">
        <v>45957</v>
      </c>
      <c r="B461" vm="1643">
        <v>68.98</v>
      </c>
    </row>
    <row r="462" spans="1:2" x14ac:dyDescent="0.25">
      <c r="A462" s="20">
        <v>45957</v>
      </c>
      <c r="B462" vm="1871">
        <v>68.900000000000006</v>
      </c>
    </row>
    <row r="463" spans="1:2" x14ac:dyDescent="0.25">
      <c r="A463" s="20">
        <v>45964</v>
      </c>
      <c r="B463" vm="1872">
        <v>67.97</v>
      </c>
    </row>
    <row r="464" spans="1:2" x14ac:dyDescent="0.25">
      <c r="A464" s="20">
        <v>45964</v>
      </c>
      <c r="B464" vm="1873">
        <v>68.66</v>
      </c>
    </row>
    <row r="465" spans="1:2" x14ac:dyDescent="0.25">
      <c r="A465" s="20">
        <v>45964</v>
      </c>
      <c r="B465" vm="1874">
        <v>68.510000000000005</v>
      </c>
    </row>
    <row r="466" spans="1:2" x14ac:dyDescent="0.25">
      <c r="A466" s="20">
        <v>45964</v>
      </c>
      <c r="B466" vm="1837">
        <v>69.06</v>
      </c>
    </row>
    <row r="467" spans="1:2" x14ac:dyDescent="0.25">
      <c r="A467" s="20">
        <v>45964</v>
      </c>
      <c r="B467" vm="1875">
        <v>70.55</v>
      </c>
    </row>
    <row r="468" spans="1:2" x14ac:dyDescent="0.25">
      <c r="A468" s="20">
        <v>45971</v>
      </c>
      <c r="B468" vm="1673">
        <v>70.52</v>
      </c>
    </row>
    <row r="469" spans="1:2" x14ac:dyDescent="0.25">
      <c r="A469" s="20">
        <v>45971</v>
      </c>
      <c r="B469" vm="1788">
        <v>71.61</v>
      </c>
    </row>
    <row r="470" spans="1:2" x14ac:dyDescent="0.25">
      <c r="A470" s="20">
        <v>45971</v>
      </c>
      <c r="B470" vm="1876">
        <v>71.510000000000005</v>
      </c>
    </row>
    <row r="471" spans="1:2" x14ac:dyDescent="0.25">
      <c r="A471" s="20">
        <v>45971</v>
      </c>
      <c r="B471" vm="1877">
        <v>71.069999999999993</v>
      </c>
    </row>
    <row r="472" spans="1:2" x14ac:dyDescent="0.25">
      <c r="A472" s="20">
        <v>45971</v>
      </c>
      <c r="B472" vm="1795">
        <v>71.16</v>
      </c>
    </row>
    <row r="473" spans="1:2" x14ac:dyDescent="0.25">
      <c r="A473" s="20">
        <v>45978</v>
      </c>
      <c r="B473" vm="1878">
        <v>70.680000000000007</v>
      </c>
    </row>
    <row r="474" spans="1:2" x14ac:dyDescent="0.25">
      <c r="A474" s="20">
        <v>45978</v>
      </c>
      <c r="B474" vm="1866">
        <v>71.22</v>
      </c>
    </row>
    <row r="475" spans="1:2" x14ac:dyDescent="0.25">
      <c r="A475" s="20">
        <v>45978</v>
      </c>
      <c r="B475" vm="1879">
        <v>71.11</v>
      </c>
    </row>
    <row r="476" spans="1:2" x14ac:dyDescent="0.25">
      <c r="A476" s="20">
        <v>45978</v>
      </c>
      <c r="B476" vm="1744">
        <v>71.209999999999994</v>
      </c>
    </row>
    <row r="477" spans="1:2" x14ac:dyDescent="0.25">
      <c r="A477" s="20">
        <v>45978</v>
      </c>
      <c r="B477" vm="1880">
        <v>72.95</v>
      </c>
    </row>
    <row r="478" spans="1:2" x14ac:dyDescent="0.25">
      <c r="A478" s="20">
        <v>45985</v>
      </c>
      <c r="B478" vm="1881">
        <v>72.59</v>
      </c>
    </row>
    <row r="479" spans="1:2" x14ac:dyDescent="0.25">
      <c r="A479" s="20">
        <v>45985</v>
      </c>
      <c r="B479" vm="1882">
        <v>72.61</v>
      </c>
    </row>
    <row r="480" spans="1:2" x14ac:dyDescent="0.25">
      <c r="A480" s="20">
        <v>45985</v>
      </c>
      <c r="B480" vm="1883">
        <v>72.88</v>
      </c>
    </row>
    <row r="481" spans="1:2" x14ac:dyDescent="0.25">
      <c r="A481" s="20">
        <v>45985</v>
      </c>
      <c r="B481" vm="1884">
        <v>73.12</v>
      </c>
    </row>
    <row r="482" spans="1:2" x14ac:dyDescent="0.25">
      <c r="A482" s="20">
        <v>45992</v>
      </c>
      <c r="B482" vm="1885">
        <v>71.95</v>
      </c>
    </row>
    <row r="483" spans="1:2" x14ac:dyDescent="0.25">
      <c r="A483" s="20">
        <v>45992</v>
      </c>
      <c r="B483" vm="1886">
        <v>70.67</v>
      </c>
    </row>
    <row r="484" spans="1:2" x14ac:dyDescent="0.25">
      <c r="A484" s="20">
        <v>45992</v>
      </c>
      <c r="B484" vm="1867">
        <v>70.81</v>
      </c>
    </row>
    <row r="485" spans="1:2" x14ac:dyDescent="0.25">
      <c r="A485" s="20">
        <v>45992</v>
      </c>
      <c r="B485" vm="1887">
        <v>70.45</v>
      </c>
    </row>
    <row r="486" spans="1:2" x14ac:dyDescent="0.25">
      <c r="A486" s="20">
        <v>45992</v>
      </c>
      <c r="B486" vm="1888">
        <v>70</v>
      </c>
    </row>
    <row r="487" spans="1:2" x14ac:dyDescent="0.25">
      <c r="A487" s="20">
        <v>45999</v>
      </c>
      <c r="B487" vm="1889">
        <v>70.25</v>
      </c>
    </row>
    <row r="488" spans="1:2" x14ac:dyDescent="0.25">
      <c r="A488" s="20">
        <v>45999</v>
      </c>
      <c r="B488" vm="1890">
        <v>70.09</v>
      </c>
    </row>
    <row r="489" spans="1:2" x14ac:dyDescent="0.25">
      <c r="A489" s="20">
        <v>45999</v>
      </c>
      <c r="B489" vm="1804">
        <v>70.209999999999994</v>
      </c>
    </row>
    <row r="490" spans="1:2" x14ac:dyDescent="0.25">
      <c r="A490" s="20">
        <v>45999</v>
      </c>
      <c r="B490" vm="1891">
        <v>69.11</v>
      </c>
    </row>
    <row r="491" spans="1:2" x14ac:dyDescent="0.25">
      <c r="A491" s="20">
        <v>45999</v>
      </c>
      <c r="B491" vm="1673">
        <v>70.52</v>
      </c>
    </row>
    <row r="492" spans="1:2" x14ac:dyDescent="0.25">
      <c r="A492" s="20">
        <v>46006</v>
      </c>
      <c r="B492" vm="1892">
        <v>70.97</v>
      </c>
    </row>
    <row r="493" spans="1:2" x14ac:dyDescent="0.25">
      <c r="A493" s="20">
        <v>46006</v>
      </c>
      <c r="B493" vm="1762">
        <v>70.37</v>
      </c>
    </row>
    <row r="494" spans="1:2" x14ac:dyDescent="0.25">
      <c r="A494" s="20">
        <v>46006</v>
      </c>
      <c r="B494" vm="1886">
        <v>70.67</v>
      </c>
    </row>
    <row r="495" spans="1:2" x14ac:dyDescent="0.25">
      <c r="A495" s="20">
        <v>46006</v>
      </c>
      <c r="B495" vm="1893">
        <v>70.36</v>
      </c>
    </row>
    <row r="496" spans="1:2" x14ac:dyDescent="0.25">
      <c r="A496" s="20">
        <v>46006</v>
      </c>
      <c r="B496" vm="1868">
        <v>70.06</v>
      </c>
    </row>
    <row r="497" spans="1:2" x14ac:dyDescent="0.25">
      <c r="A497" s="20">
        <v>46013</v>
      </c>
      <c r="B497" vm="1804">
        <v>70.209999999999994</v>
      </c>
    </row>
    <row r="498" spans="1:2" x14ac:dyDescent="0.25">
      <c r="A498" s="20">
        <v>46013</v>
      </c>
      <c r="B498" vm="1813">
        <v>69.87</v>
      </c>
    </row>
    <row r="499" spans="1:2" x14ac:dyDescent="0.25">
      <c r="A499" s="20">
        <v>46013</v>
      </c>
      <c r="B499" vm="1894">
        <v>70.11</v>
      </c>
    </row>
    <row r="500" spans="1:2" x14ac:dyDescent="0.25">
      <c r="A500" s="20">
        <v>46013</v>
      </c>
      <c r="B500" vm="1813">
        <v>69.87</v>
      </c>
    </row>
    <row r="501" spans="1:2" x14ac:dyDescent="0.25">
      <c r="A501" s="20">
        <v>46020</v>
      </c>
      <c r="B501" vm="1869">
        <v>70.16</v>
      </c>
    </row>
    <row r="502" spans="1:2" x14ac:dyDescent="0.25">
      <c r="A502" s="20">
        <v>46020</v>
      </c>
      <c r="B502" vm="1737">
        <v>70.069999999999993</v>
      </c>
    </row>
    <row r="503" spans="1:2" x14ac:dyDescent="0.25">
      <c r="A503" s="20">
        <v>46020</v>
      </c>
      <c r="B503" vm="1895">
        <v>69.91</v>
      </c>
    </row>
    <row r="504" spans="1:2" x14ac:dyDescent="0.25">
      <c r="A504" s="20">
        <v>46020</v>
      </c>
      <c r="B504" vm="1896">
        <v>69.12</v>
      </c>
    </row>
    <row r="505" spans="1:2" x14ac:dyDescent="0.25">
      <c r="A505" s="20">
        <v>46027</v>
      </c>
      <c r="B505" vm="1897">
        <v>67.94</v>
      </c>
    </row>
    <row r="506" spans="1:2" x14ac:dyDescent="0.25">
      <c r="A506" s="20">
        <v>46027</v>
      </c>
      <c r="B506" vm="1898">
        <v>67.84</v>
      </c>
    </row>
    <row r="507" spans="1:2" x14ac:dyDescent="0.25">
      <c r="A507" s="20">
        <v>46027</v>
      </c>
      <c r="B507" vm="1899">
        <v>67.540000000000006</v>
      </c>
    </row>
    <row r="508" spans="1:2" x14ac:dyDescent="0.25">
      <c r="A508" s="20">
        <v>46027</v>
      </c>
      <c r="B508" vm="1900">
        <v>69.37</v>
      </c>
    </row>
    <row r="509" spans="1:2" x14ac:dyDescent="0.25">
      <c r="A509" s="20">
        <v>46027</v>
      </c>
      <c r="B509" vm="1901">
        <v>70.510000000000005</v>
      </c>
    </row>
    <row r="510" spans="1:2" x14ac:dyDescent="0.25">
      <c r="A510" s="20">
        <v>46034</v>
      </c>
      <c r="B510" vm="1902">
        <v>70.5</v>
      </c>
    </row>
    <row r="511" spans="1:2" x14ac:dyDescent="0.25">
      <c r="A511" s="20">
        <v>46034</v>
      </c>
      <c r="B511" vm="1903">
        <v>71.239999999999995</v>
      </c>
    </row>
    <row r="512" spans="1:2" x14ac:dyDescent="0.25">
      <c r="A512" s="20">
        <v>46034</v>
      </c>
      <c r="B512" vm="1904">
        <v>71.44</v>
      </c>
    </row>
    <row r="513" spans="1:2" x14ac:dyDescent="0.25">
      <c r="A513" s="20">
        <v>46034</v>
      </c>
      <c r="B513" vm="1905">
        <v>70.48</v>
      </c>
    </row>
    <row r="514" spans="1:2" x14ac:dyDescent="0.25">
      <c r="A514" s="20">
        <v>46034</v>
      </c>
      <c r="B514" vm="1680">
        <v>70.44</v>
      </c>
    </row>
    <row r="515" spans="1:2" x14ac:dyDescent="0.25">
      <c r="A515" s="20">
        <v>46041</v>
      </c>
      <c r="B515" vm="1649">
        <v>71.75</v>
      </c>
    </row>
    <row r="516" spans="1:2" x14ac:dyDescent="0.25">
      <c r="A516" s="20">
        <v>46041</v>
      </c>
      <c r="B516" vm="1906">
        <v>72.010000000000005</v>
      </c>
    </row>
    <row r="517" spans="1:2" x14ac:dyDescent="0.25">
      <c r="A517" s="20">
        <v>46041</v>
      </c>
      <c r="B517" vm="1764">
        <v>71.87</v>
      </c>
    </row>
    <row r="518" spans="1:2" x14ac:dyDescent="0.25">
      <c r="A518" s="20">
        <v>46041</v>
      </c>
      <c r="B518" vm="1883">
        <v>72.88</v>
      </c>
    </row>
    <row r="519" spans="1:2" x14ac:dyDescent="0.25">
      <c r="A519" s="20">
        <v>46048</v>
      </c>
      <c r="B519" vm="1653">
        <v>72.56</v>
      </c>
    </row>
    <row r="520" spans="1:2" x14ac:dyDescent="0.25">
      <c r="A520" s="20">
        <v>46048</v>
      </c>
      <c r="B520" vm="1907">
        <v>73.55</v>
      </c>
    </row>
    <row r="521" spans="1:2" x14ac:dyDescent="0.25">
      <c r="A521" s="20">
        <v>46048</v>
      </c>
      <c r="B521" vm="1908">
        <v>73.06</v>
      </c>
    </row>
    <row r="522" spans="1:2" x14ac:dyDescent="0.25">
      <c r="A522" s="20">
        <v>46048</v>
      </c>
      <c r="B522" vm="1909">
        <v>73.430000000000007</v>
      </c>
    </row>
    <row r="523" spans="1:2" x14ac:dyDescent="0.25">
      <c r="A523" s="20">
        <v>46048</v>
      </c>
      <c r="B523" vm="1910">
        <v>74.81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7" workbookViewId="0">
      <selection activeCell="J83" sqref="J83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E5F7-0882-4256-A946-ABE807B776C8}">
  <dimension ref="A1:B106"/>
  <sheetViews>
    <sheetView workbookViewId="0">
      <selection activeCell="R6" sqref="R6"/>
    </sheetView>
  </sheetViews>
  <sheetFormatPr defaultRowHeight="15" x14ac:dyDescent="0.25"/>
  <cols>
    <col min="1" max="1" width="20.7109375" style="23" customWidth="1"/>
    <col min="2" max="2" width="10.140625" bestFit="1" customWidth="1"/>
  </cols>
  <sheetData>
    <row r="1" spans="1:2" x14ac:dyDescent="0.25">
      <c r="A1" s="22" t="s">
        <v>49</v>
      </c>
      <c r="B1" s="22" t="s">
        <v>50</v>
      </c>
    </row>
    <row r="2" spans="1:2" x14ac:dyDescent="0.25">
      <c r="A2" s="23">
        <v>36565</v>
      </c>
      <c r="B2">
        <v>0.22</v>
      </c>
    </row>
    <row r="3" spans="1:2" x14ac:dyDescent="0.25">
      <c r="A3" s="23">
        <v>36657</v>
      </c>
      <c r="B3">
        <v>0.22</v>
      </c>
    </row>
    <row r="4" spans="1:2" x14ac:dyDescent="0.25">
      <c r="A4" s="23">
        <v>36748</v>
      </c>
      <c r="B4">
        <v>0.22</v>
      </c>
    </row>
    <row r="5" spans="1:2" x14ac:dyDescent="0.25">
      <c r="A5" s="23">
        <v>36839</v>
      </c>
      <c r="B5">
        <v>0.22</v>
      </c>
    </row>
    <row r="6" spans="1:2" x14ac:dyDescent="0.25">
      <c r="A6" s="23">
        <v>36929</v>
      </c>
      <c r="B6">
        <v>0.22</v>
      </c>
    </row>
    <row r="7" spans="1:2" x14ac:dyDescent="0.25">
      <c r="A7" s="23">
        <v>37021</v>
      </c>
      <c r="B7">
        <v>0.22</v>
      </c>
    </row>
    <row r="8" spans="1:2" x14ac:dyDescent="0.25">
      <c r="A8" s="23">
        <v>37060</v>
      </c>
      <c r="B8">
        <v>0.01</v>
      </c>
    </row>
    <row r="9" spans="1:2" x14ac:dyDescent="0.25">
      <c r="A9" s="23">
        <v>37112</v>
      </c>
      <c r="B9">
        <v>0.23</v>
      </c>
    </row>
    <row r="10" spans="1:2" x14ac:dyDescent="0.25">
      <c r="A10" s="23">
        <v>37202</v>
      </c>
      <c r="B10">
        <v>0.23</v>
      </c>
    </row>
    <row r="11" spans="1:2" x14ac:dyDescent="0.25">
      <c r="A11" s="23">
        <v>37294</v>
      </c>
      <c r="B11">
        <v>0.23</v>
      </c>
    </row>
    <row r="12" spans="1:2" x14ac:dyDescent="0.25">
      <c r="A12" s="23">
        <v>37385</v>
      </c>
      <c r="B12">
        <v>0.23</v>
      </c>
    </row>
    <row r="13" spans="1:2" x14ac:dyDescent="0.25">
      <c r="A13" s="23">
        <v>37477</v>
      </c>
      <c r="B13">
        <v>0.23</v>
      </c>
    </row>
    <row r="14" spans="1:2" x14ac:dyDescent="0.25">
      <c r="A14" s="23">
        <v>37567</v>
      </c>
      <c r="B14">
        <v>0.23</v>
      </c>
    </row>
    <row r="15" spans="1:2" x14ac:dyDescent="0.25">
      <c r="A15" s="23">
        <v>37658</v>
      </c>
      <c r="B15">
        <v>0.23</v>
      </c>
    </row>
    <row r="16" spans="1:2" x14ac:dyDescent="0.25">
      <c r="A16" s="23">
        <v>37750</v>
      </c>
      <c r="B16">
        <v>0.25</v>
      </c>
    </row>
    <row r="17" spans="1:2" x14ac:dyDescent="0.25">
      <c r="A17" s="23">
        <v>37844</v>
      </c>
      <c r="B17">
        <v>0.25</v>
      </c>
    </row>
    <row r="18" spans="1:2" x14ac:dyDescent="0.25">
      <c r="A18" s="23">
        <v>37932</v>
      </c>
      <c r="B18">
        <v>0.25</v>
      </c>
    </row>
    <row r="19" spans="1:2" x14ac:dyDescent="0.25">
      <c r="A19" s="23">
        <v>38026</v>
      </c>
      <c r="B19">
        <v>0.25</v>
      </c>
    </row>
    <row r="20" spans="1:2" x14ac:dyDescent="0.25">
      <c r="A20" s="23">
        <v>38118</v>
      </c>
      <c r="B20">
        <v>0.27</v>
      </c>
    </row>
    <row r="21" spans="1:2" x14ac:dyDescent="0.25">
      <c r="A21" s="23">
        <v>38210</v>
      </c>
      <c r="B21">
        <v>0.27</v>
      </c>
    </row>
    <row r="22" spans="1:2" x14ac:dyDescent="0.25">
      <c r="A22" s="23">
        <v>38300</v>
      </c>
      <c r="B22">
        <v>0.27</v>
      </c>
    </row>
    <row r="23" spans="1:2" x14ac:dyDescent="0.25">
      <c r="A23" s="23">
        <v>38391</v>
      </c>
      <c r="B23">
        <v>0.27</v>
      </c>
    </row>
    <row r="24" spans="1:2" x14ac:dyDescent="0.25">
      <c r="A24" s="23">
        <v>38483</v>
      </c>
      <c r="B24">
        <v>0.28999999999999998</v>
      </c>
    </row>
    <row r="25" spans="1:2" x14ac:dyDescent="0.25">
      <c r="A25" s="23">
        <v>38574</v>
      </c>
      <c r="B25">
        <v>0.28999999999999998</v>
      </c>
    </row>
    <row r="26" spans="1:2" x14ac:dyDescent="0.25">
      <c r="A26" s="23">
        <v>38664</v>
      </c>
      <c r="B26">
        <v>0.28999999999999998</v>
      </c>
    </row>
    <row r="27" spans="1:2" x14ac:dyDescent="0.25">
      <c r="A27" s="23">
        <v>38756</v>
      </c>
      <c r="B27">
        <v>0.32</v>
      </c>
    </row>
    <row r="28" spans="1:2" x14ac:dyDescent="0.25">
      <c r="A28" s="23">
        <v>38847</v>
      </c>
      <c r="B28">
        <v>0.32</v>
      </c>
    </row>
    <row r="29" spans="1:2" x14ac:dyDescent="0.25">
      <c r="A29" s="23">
        <v>38939</v>
      </c>
      <c r="B29">
        <v>0.32</v>
      </c>
    </row>
    <row r="30" spans="1:2" x14ac:dyDescent="0.25">
      <c r="A30" s="23">
        <v>39030</v>
      </c>
      <c r="B30">
        <v>0.32</v>
      </c>
    </row>
    <row r="31" spans="1:2" x14ac:dyDescent="0.25">
      <c r="A31" s="23">
        <v>39120</v>
      </c>
      <c r="B31">
        <v>0.32</v>
      </c>
    </row>
    <row r="32" spans="1:2" x14ac:dyDescent="0.25">
      <c r="A32" s="23">
        <v>39212</v>
      </c>
      <c r="B32">
        <v>0.35</v>
      </c>
    </row>
    <row r="33" spans="1:2" x14ac:dyDescent="0.25">
      <c r="A33" s="23">
        <v>39303</v>
      </c>
      <c r="B33">
        <v>0.35</v>
      </c>
    </row>
    <row r="34" spans="1:2" x14ac:dyDescent="0.25">
      <c r="A34" s="23">
        <v>39393</v>
      </c>
      <c r="B34">
        <v>0.35</v>
      </c>
    </row>
    <row r="35" spans="1:2" x14ac:dyDescent="0.25">
      <c r="A35" s="23">
        <v>39485</v>
      </c>
      <c r="B35">
        <v>0.35</v>
      </c>
    </row>
    <row r="36" spans="1:2" x14ac:dyDescent="0.25">
      <c r="A36" s="23">
        <v>39577</v>
      </c>
      <c r="B36">
        <v>0.4</v>
      </c>
    </row>
    <row r="37" spans="1:2" x14ac:dyDescent="0.25">
      <c r="A37" s="23">
        <v>39671</v>
      </c>
      <c r="B37">
        <v>0.4</v>
      </c>
    </row>
    <row r="38" spans="1:2" x14ac:dyDescent="0.25">
      <c r="A38" s="23">
        <v>39759</v>
      </c>
      <c r="B38">
        <v>0.4</v>
      </c>
    </row>
    <row r="39" spans="1:2" x14ac:dyDescent="0.25">
      <c r="A39" s="23">
        <v>39850</v>
      </c>
      <c r="B39">
        <v>0.4</v>
      </c>
    </row>
    <row r="40" spans="1:2" x14ac:dyDescent="0.25">
      <c r="A40" s="23">
        <v>39944</v>
      </c>
      <c r="B40">
        <v>0.42</v>
      </c>
    </row>
    <row r="41" spans="1:2" x14ac:dyDescent="0.25">
      <c r="A41" s="23">
        <v>40036</v>
      </c>
      <c r="B41">
        <v>0.42</v>
      </c>
    </row>
    <row r="42" spans="1:2" x14ac:dyDescent="0.25">
      <c r="A42" s="23">
        <v>40126</v>
      </c>
      <c r="B42">
        <v>0.42</v>
      </c>
    </row>
    <row r="43" spans="1:2" x14ac:dyDescent="0.25">
      <c r="A43" s="23">
        <v>40217</v>
      </c>
      <c r="B43">
        <v>0.42</v>
      </c>
    </row>
    <row r="44" spans="1:2" x14ac:dyDescent="0.25">
      <c r="A44" s="23">
        <v>40309</v>
      </c>
      <c r="B44">
        <v>0.44</v>
      </c>
    </row>
    <row r="45" spans="1:2" x14ac:dyDescent="0.25">
      <c r="A45" s="23">
        <v>40401</v>
      </c>
      <c r="B45">
        <v>0.44</v>
      </c>
    </row>
    <row r="46" spans="1:2" x14ac:dyDescent="0.25">
      <c r="A46" s="23">
        <v>40491</v>
      </c>
      <c r="B46">
        <v>0.44</v>
      </c>
    </row>
    <row r="47" spans="1:2" x14ac:dyDescent="0.25">
      <c r="A47" s="23">
        <v>40582</v>
      </c>
      <c r="B47">
        <v>0.44</v>
      </c>
    </row>
    <row r="48" spans="1:2" x14ac:dyDescent="0.25">
      <c r="A48" s="23">
        <v>40674</v>
      </c>
      <c r="B48">
        <v>0.47</v>
      </c>
    </row>
    <row r="49" spans="1:2" x14ac:dyDescent="0.25">
      <c r="A49" s="23">
        <v>40765</v>
      </c>
      <c r="B49">
        <v>0.47</v>
      </c>
    </row>
    <row r="50" spans="1:2" x14ac:dyDescent="0.25">
      <c r="A50" s="23">
        <v>40855</v>
      </c>
      <c r="B50">
        <v>0.47</v>
      </c>
    </row>
    <row r="51" spans="1:2" x14ac:dyDescent="0.25">
      <c r="A51" s="23">
        <v>40947</v>
      </c>
      <c r="B51">
        <v>0.47</v>
      </c>
    </row>
    <row r="52" spans="1:2" x14ac:dyDescent="0.25">
      <c r="A52" s="23">
        <v>41039</v>
      </c>
      <c r="B52">
        <v>0.56999999999999995</v>
      </c>
    </row>
    <row r="53" spans="1:2" x14ac:dyDescent="0.25">
      <c r="A53" s="23">
        <v>41130</v>
      </c>
      <c r="B53">
        <v>0.56999999999999995</v>
      </c>
    </row>
    <row r="54" spans="1:2" x14ac:dyDescent="0.25">
      <c r="A54" s="23">
        <v>41220</v>
      </c>
      <c r="B54">
        <v>0.56999999999999995</v>
      </c>
    </row>
    <row r="55" spans="1:2" x14ac:dyDescent="0.25">
      <c r="A55" s="23">
        <v>41312</v>
      </c>
      <c r="B55">
        <v>0.56999999999999995</v>
      </c>
    </row>
    <row r="56" spans="1:2" x14ac:dyDescent="0.25">
      <c r="A56" s="23">
        <v>41403</v>
      </c>
      <c r="B56">
        <v>0.63</v>
      </c>
    </row>
    <row r="57" spans="1:2" x14ac:dyDescent="0.25">
      <c r="A57" s="23">
        <v>41495</v>
      </c>
      <c r="B57">
        <v>0.63</v>
      </c>
    </row>
    <row r="58" spans="1:2" x14ac:dyDescent="0.25">
      <c r="A58" s="23">
        <v>41585</v>
      </c>
      <c r="B58">
        <v>0.63</v>
      </c>
    </row>
    <row r="59" spans="1:2" x14ac:dyDescent="0.25">
      <c r="A59" s="23">
        <v>41676</v>
      </c>
      <c r="B59">
        <v>0.63</v>
      </c>
    </row>
    <row r="60" spans="1:2" x14ac:dyDescent="0.25">
      <c r="A60" s="23">
        <v>41768</v>
      </c>
      <c r="B60">
        <v>0.69</v>
      </c>
    </row>
    <row r="61" spans="1:2" x14ac:dyDescent="0.25">
      <c r="A61" s="23">
        <v>41862</v>
      </c>
      <c r="B61">
        <v>0.69</v>
      </c>
    </row>
    <row r="62" spans="1:2" x14ac:dyDescent="0.25">
      <c r="A62" s="23">
        <v>41950</v>
      </c>
      <c r="B62">
        <v>0.69</v>
      </c>
    </row>
    <row r="63" spans="1:2" x14ac:dyDescent="0.25">
      <c r="A63" s="23">
        <v>42041</v>
      </c>
      <c r="B63">
        <v>0.69</v>
      </c>
    </row>
    <row r="64" spans="1:2" x14ac:dyDescent="0.25">
      <c r="A64" s="23">
        <v>42135</v>
      </c>
      <c r="B64">
        <v>0.73</v>
      </c>
    </row>
    <row r="65" spans="1:2" x14ac:dyDescent="0.25">
      <c r="A65" s="23">
        <v>42227</v>
      </c>
      <c r="B65">
        <v>0.73</v>
      </c>
    </row>
    <row r="66" spans="1:2" x14ac:dyDescent="0.25">
      <c r="A66" s="23">
        <v>42317</v>
      </c>
      <c r="B66">
        <v>0.73</v>
      </c>
    </row>
    <row r="67" spans="1:2" x14ac:dyDescent="0.25">
      <c r="A67" s="23">
        <v>42409</v>
      </c>
      <c r="B67">
        <v>0.73</v>
      </c>
    </row>
    <row r="68" spans="1:2" x14ac:dyDescent="0.25">
      <c r="A68" s="23">
        <v>42501</v>
      </c>
      <c r="B68">
        <v>0.75</v>
      </c>
    </row>
    <row r="69" spans="1:2" x14ac:dyDescent="0.25">
      <c r="A69" s="23">
        <v>42592</v>
      </c>
      <c r="B69">
        <v>0.75</v>
      </c>
    </row>
    <row r="70" spans="1:2" x14ac:dyDescent="0.25">
      <c r="A70" s="23">
        <v>42682</v>
      </c>
      <c r="B70">
        <v>0.75</v>
      </c>
    </row>
    <row r="71" spans="1:2" x14ac:dyDescent="0.25">
      <c r="A71" s="23">
        <v>42774</v>
      </c>
      <c r="B71">
        <v>0.75</v>
      </c>
    </row>
    <row r="72" spans="1:2" x14ac:dyDescent="0.25">
      <c r="A72" s="23">
        <v>42865</v>
      </c>
      <c r="B72">
        <v>0.77</v>
      </c>
    </row>
    <row r="73" spans="1:2" x14ac:dyDescent="0.25">
      <c r="A73" s="23">
        <v>42957</v>
      </c>
      <c r="B73">
        <v>0.77</v>
      </c>
    </row>
    <row r="74" spans="1:2" x14ac:dyDescent="0.25">
      <c r="A74" s="23">
        <v>43049</v>
      </c>
      <c r="B74">
        <v>0.77</v>
      </c>
    </row>
    <row r="75" spans="1:2" x14ac:dyDescent="0.25">
      <c r="A75" s="23">
        <v>43140</v>
      </c>
      <c r="B75">
        <v>0.77</v>
      </c>
    </row>
    <row r="76" spans="1:2" x14ac:dyDescent="0.25">
      <c r="A76" s="23">
        <v>43231</v>
      </c>
      <c r="B76">
        <v>0.82</v>
      </c>
    </row>
    <row r="77" spans="1:2" x14ac:dyDescent="0.25">
      <c r="A77" s="23">
        <v>43322</v>
      </c>
      <c r="B77">
        <v>0.82</v>
      </c>
    </row>
    <row r="78" spans="1:2" x14ac:dyDescent="0.25">
      <c r="A78" s="23">
        <v>43413</v>
      </c>
      <c r="B78">
        <v>0.82</v>
      </c>
    </row>
    <row r="79" spans="1:2" x14ac:dyDescent="0.25">
      <c r="A79" s="23">
        <v>43504</v>
      </c>
      <c r="B79">
        <v>0.82</v>
      </c>
    </row>
    <row r="80" spans="1:2" x14ac:dyDescent="0.25">
      <c r="A80" s="23">
        <v>43595</v>
      </c>
      <c r="B80">
        <v>0.87</v>
      </c>
    </row>
    <row r="81" spans="1:2" x14ac:dyDescent="0.25">
      <c r="A81" s="23">
        <v>43689</v>
      </c>
      <c r="B81">
        <v>0.87</v>
      </c>
    </row>
    <row r="82" spans="1:2" x14ac:dyDescent="0.25">
      <c r="A82" s="23">
        <v>43777</v>
      </c>
      <c r="B82">
        <v>0.87</v>
      </c>
    </row>
    <row r="83" spans="1:2" x14ac:dyDescent="0.25">
      <c r="A83" s="23">
        <v>43871</v>
      </c>
      <c r="B83">
        <v>0.87</v>
      </c>
    </row>
    <row r="84" spans="1:2" x14ac:dyDescent="0.25">
      <c r="A84" s="23">
        <v>43963</v>
      </c>
      <c r="B84">
        <v>0.87</v>
      </c>
    </row>
    <row r="85" spans="1:2" x14ac:dyDescent="0.25">
      <c r="A85" s="23">
        <v>44055</v>
      </c>
      <c r="B85">
        <v>0.87</v>
      </c>
    </row>
    <row r="86" spans="1:2" x14ac:dyDescent="0.25">
      <c r="A86" s="23">
        <v>44145</v>
      </c>
      <c r="B86">
        <v>0.87</v>
      </c>
    </row>
    <row r="87" spans="1:2" x14ac:dyDescent="0.25">
      <c r="A87" s="23">
        <v>44236</v>
      </c>
      <c r="B87">
        <v>0.87</v>
      </c>
    </row>
    <row r="88" spans="1:2" x14ac:dyDescent="0.25">
      <c r="A88" s="23">
        <v>44328</v>
      </c>
      <c r="B88">
        <v>0.87</v>
      </c>
    </row>
    <row r="89" spans="1:2" x14ac:dyDescent="0.25">
      <c r="A89" s="23">
        <v>44420</v>
      </c>
      <c r="B89">
        <v>0.87</v>
      </c>
    </row>
    <row r="90" spans="1:2" x14ac:dyDescent="0.25">
      <c r="A90" s="23">
        <v>44510</v>
      </c>
      <c r="B90">
        <v>0.88</v>
      </c>
    </row>
    <row r="91" spans="1:2" x14ac:dyDescent="0.25">
      <c r="A91" s="23">
        <v>44601</v>
      </c>
      <c r="B91">
        <v>0.88</v>
      </c>
    </row>
    <row r="92" spans="1:2" x14ac:dyDescent="0.25">
      <c r="A92" s="23">
        <v>44693</v>
      </c>
      <c r="B92">
        <v>0.88</v>
      </c>
    </row>
    <row r="93" spans="1:2" x14ac:dyDescent="0.25">
      <c r="A93" s="23">
        <v>44784</v>
      </c>
      <c r="B93">
        <v>0.88</v>
      </c>
    </row>
    <row r="94" spans="1:2" x14ac:dyDescent="0.25">
      <c r="A94" s="23">
        <v>44879</v>
      </c>
      <c r="B94">
        <v>0.91</v>
      </c>
    </row>
    <row r="95" spans="1:2" x14ac:dyDescent="0.25">
      <c r="A95" s="23">
        <v>44970</v>
      </c>
      <c r="B95">
        <v>0.91</v>
      </c>
    </row>
    <row r="96" spans="1:2" x14ac:dyDescent="0.25">
      <c r="A96" s="23">
        <v>45061</v>
      </c>
      <c r="B96">
        <v>0.91</v>
      </c>
    </row>
    <row r="97" spans="1:2" x14ac:dyDescent="0.25">
      <c r="A97" s="23">
        <v>45153</v>
      </c>
      <c r="B97">
        <v>0.91</v>
      </c>
    </row>
    <row r="98" spans="1:2" x14ac:dyDescent="0.25">
      <c r="A98" s="23">
        <v>45244</v>
      </c>
      <c r="B98">
        <v>0.95</v>
      </c>
    </row>
    <row r="99" spans="1:2" x14ac:dyDescent="0.25">
      <c r="A99" s="23">
        <v>45335</v>
      </c>
      <c r="B99">
        <v>0.95</v>
      </c>
    </row>
    <row r="100" spans="1:2" x14ac:dyDescent="0.25">
      <c r="A100" s="23">
        <v>45426</v>
      </c>
      <c r="B100">
        <v>0.95</v>
      </c>
    </row>
    <row r="101" spans="1:2" x14ac:dyDescent="0.25">
      <c r="A101" s="23">
        <v>45519</v>
      </c>
      <c r="B101">
        <v>0.95</v>
      </c>
    </row>
    <row r="102" spans="1:2" x14ac:dyDescent="0.25">
      <c r="A102" s="23">
        <v>45610</v>
      </c>
      <c r="B102">
        <v>0.99</v>
      </c>
    </row>
    <row r="103" spans="1:2" x14ac:dyDescent="0.25">
      <c r="A103" s="23">
        <v>45700</v>
      </c>
      <c r="B103">
        <v>0.99</v>
      </c>
    </row>
    <row r="104" spans="1:2" x14ac:dyDescent="0.25">
      <c r="A104" s="23">
        <v>45792</v>
      </c>
      <c r="B104">
        <v>0.99</v>
      </c>
    </row>
    <row r="105" spans="1:2" x14ac:dyDescent="0.25">
      <c r="A105" s="23">
        <v>45884</v>
      </c>
      <c r="B105">
        <v>0.99</v>
      </c>
    </row>
    <row r="106" spans="1:2" x14ac:dyDescent="0.25">
      <c r="A106" s="23">
        <v>45975</v>
      </c>
      <c r="B106">
        <v>1.03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Weekly</vt:lpstr>
      <vt:lpstr>Forecast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2026-02-02T19:59:30Z</dcterms:modified>
</cp:coreProperties>
</file>