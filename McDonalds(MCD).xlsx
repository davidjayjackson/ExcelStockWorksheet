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9B253CB3-C92E-4D29-95CD-42B21023EB49}" xr6:coauthVersionLast="47" xr6:coauthVersionMax="47" xr10:uidLastSave="{00000000-0000-0000-0000-000000000000}"/>
  <bookViews>
    <workbookView xWindow="-120" yWindow="-120" windowWidth="20730" windowHeight="11040" activeTab="4" xr2:uid="{92AFEA67-FCE1-458C-9A7E-ADF426D7B024}"/>
  </bookViews>
  <sheets>
    <sheet name="Intro" sheetId="10" r:id="rId1"/>
    <sheet name="Data" sheetId="1" r:id="rId2"/>
    <sheet name="Forecast" sheetId="20" r:id="rId3"/>
    <sheet name="Weekly" sheetId="19" r:id="rId4"/>
    <sheet name="Dashboard" sheetId="7" r:id="rId5"/>
    <sheet name="Dividends" sheetId="16" r:id="rId6"/>
  </sheets>
  <definedNames>
    <definedName name="data">Data!$1:$1048576</definedName>
    <definedName name="ExternalData_1" localSheetId="2" hidden="1">Forecast!$A$1:$B$61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20" l="1"/>
  <c r="D57" i="20"/>
  <c r="D58" i="20"/>
  <c r="D60" i="20"/>
  <c r="D59" i="20"/>
  <c r="D61" i="20"/>
  <c r="D55" i="20"/>
  <c r="C57" i="20"/>
  <c r="C59" i="20"/>
  <c r="C58" i="20"/>
  <c r="C60" i="20"/>
  <c r="C61" i="20"/>
  <c r="C56" i="20"/>
  <c r="C55" i="20"/>
  <c r="B1" i="1" a="1"/>
  <c r="F55" i="20" l="1"/>
  <c r="E55" i="20"/>
  <c r="F56" i="20"/>
  <c r="E56" i="20"/>
  <c r="E61" i="20"/>
  <c r="F61" i="20"/>
  <c r="E60" i="20"/>
  <c r="F60" i="20"/>
  <c r="E58" i="20"/>
  <c r="F58" i="20"/>
  <c r="E59" i="20"/>
  <c r="F59" i="20"/>
  <c r="E57" i="20"/>
  <c r="F57" i="20"/>
  <c r="B1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15" i="1"/>
  <c r="A3" i="1" l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6" i="1"/>
  <c r="A82" i="1"/>
  <c r="A114" i="1"/>
  <c r="A138" i="1"/>
  <c r="A162" i="1"/>
  <c r="A186" i="1"/>
  <c r="A218" i="1"/>
  <c r="A250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18" i="1"/>
  <c r="A34" i="1"/>
  <c r="A50" i="1"/>
  <c r="A66" i="1"/>
  <c r="A90" i="1"/>
  <c r="A106" i="1"/>
  <c r="A130" i="1"/>
  <c r="A154" i="1"/>
  <c r="A178" i="1"/>
  <c r="A202" i="1"/>
  <c r="A242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10" i="1"/>
  <c r="A42" i="1"/>
  <c r="A58" i="1"/>
  <c r="A74" i="1"/>
  <c r="A98" i="1"/>
  <c r="A122" i="1"/>
  <c r="A146" i="1"/>
  <c r="A170" i="1"/>
  <c r="A194" i="1"/>
  <c r="A226" i="1"/>
  <c r="A210" i="1"/>
  <c r="A234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N114" i="1"/>
  <c r="AB105" i="1"/>
  <c r="AB241" i="1"/>
  <c r="N34" i="1"/>
  <c r="N108" i="1"/>
  <c r="AB178" i="1"/>
  <c r="N54" i="1"/>
  <c r="N142" i="1"/>
  <c r="N59" i="1"/>
  <c r="N139" i="1"/>
  <c r="N145" i="1"/>
  <c r="AB101" i="1"/>
  <c r="AB115" i="1"/>
  <c r="AB104" i="1"/>
  <c r="AB211" i="1"/>
  <c r="AB217" i="1"/>
  <c r="AB220" i="1"/>
  <c r="N132" i="1"/>
  <c r="N121" i="1"/>
  <c r="N71" i="1"/>
  <c r="N167" i="1"/>
  <c r="N80" i="1"/>
  <c r="N56" i="1"/>
  <c r="K102" i="1"/>
  <c r="AB174" i="1"/>
  <c r="N168" i="1"/>
  <c r="AB145" i="1"/>
  <c r="AB225" i="1"/>
  <c r="N51" i="1"/>
  <c r="N150" i="1"/>
  <c r="K205" i="1"/>
  <c r="N53" i="1"/>
  <c r="N125" i="1"/>
  <c r="AB235" i="1"/>
  <c r="K53" i="1"/>
  <c r="AB135" i="1"/>
  <c r="AB231" i="1"/>
  <c r="N77" i="1"/>
  <c r="K135" i="1"/>
  <c r="N35" i="1"/>
  <c r="AB116" i="1"/>
  <c r="AB215" i="1"/>
  <c r="K86" i="1"/>
  <c r="N129" i="1"/>
  <c r="N126" i="1"/>
  <c r="AB187" i="1"/>
  <c r="AB120" i="1"/>
  <c r="AB197" i="1"/>
  <c r="N55" i="1"/>
  <c r="N5" i="1"/>
  <c r="N143" i="1"/>
  <c r="AB111" i="1"/>
  <c r="AB158" i="1"/>
  <c r="N165" i="1"/>
  <c r="AB216" i="1"/>
  <c r="AB121" i="1"/>
  <c r="AB190" i="1"/>
  <c r="AB125" i="1"/>
  <c r="AB205" i="1"/>
  <c r="AB188" i="1"/>
  <c r="N68" i="1"/>
  <c r="N90" i="1"/>
  <c r="N186" i="1"/>
  <c r="AB119" i="1"/>
  <c r="N175" i="1"/>
  <c r="AB131" i="1"/>
  <c r="AB234" i="1"/>
  <c r="AB207" i="1"/>
  <c r="N243" i="1"/>
  <c r="AB237" i="1"/>
  <c r="N195" i="1"/>
  <c r="N219" i="1"/>
  <c r="J150" i="1"/>
  <c r="AB160" i="1"/>
  <c r="N29" i="1"/>
  <c r="N100" i="1"/>
  <c r="N111" i="1"/>
  <c r="K164" i="1"/>
  <c r="AB132" i="1"/>
  <c r="AB210" i="1"/>
  <c r="AB236" i="1"/>
  <c r="K94" i="1"/>
  <c r="AB230" i="1"/>
  <c r="N224" i="1"/>
  <c r="N74" i="1"/>
  <c r="N217" i="1"/>
  <c r="AB122" i="1"/>
  <c r="N162" i="1"/>
  <c r="AB138" i="1"/>
  <c r="AB136" i="1"/>
  <c r="AB218" i="1"/>
  <c r="AB191" i="1"/>
  <c r="N6" i="1"/>
  <c r="AB223" i="1"/>
  <c r="N102" i="1"/>
  <c r="N182" i="1"/>
  <c r="N87" i="1"/>
  <c r="AB252" i="1"/>
  <c r="K127" i="1"/>
  <c r="N91" i="1"/>
  <c r="AB228" i="1"/>
  <c r="AB206" i="1"/>
  <c r="AB144" i="1"/>
  <c r="N238" i="1"/>
  <c r="AB243" i="1"/>
  <c r="AB232" i="1"/>
  <c r="N203" i="1"/>
  <c r="N17" i="1"/>
  <c r="N88" i="1"/>
  <c r="N220" i="1"/>
  <c r="K32" i="1"/>
  <c r="N169" i="1"/>
  <c r="AB177" i="1"/>
  <c r="N45" i="1"/>
  <c r="N123" i="1"/>
  <c r="AB114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N214" i="1"/>
  <c r="AB107" i="1"/>
  <c r="N221" i="1"/>
  <c r="N78" i="1"/>
  <c r="N75" i="1"/>
  <c r="N229" i="1"/>
  <c r="N163" i="1"/>
  <c r="AB147" i="1"/>
  <c r="AB153" i="1"/>
  <c r="AB227" i="1"/>
  <c r="K214" i="1"/>
  <c r="N7" i="1"/>
  <c r="AB248" i="1"/>
  <c r="N103" i="1"/>
  <c r="N16" i="1"/>
  <c r="N107" i="1"/>
  <c r="N95" i="1"/>
  <c r="K38" i="1"/>
  <c r="AB110" i="1"/>
  <c r="N104" i="1"/>
  <c r="AB239" i="1"/>
  <c r="AB161" i="1"/>
  <c r="N196" i="1"/>
  <c r="AB129" i="1"/>
  <c r="AB157" i="1"/>
  <c r="AB249" i="1"/>
  <c r="AB244" i="1"/>
  <c r="N69" i="1"/>
  <c r="AB212" i="1"/>
  <c r="K175" i="1"/>
  <c r="N152" i="1"/>
  <c r="K129" i="1"/>
  <c r="AB182" i="1"/>
  <c r="K22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AB123" i="1"/>
  <c r="AB133" i="1"/>
  <c r="N234" i="1"/>
  <c r="N222" i="1"/>
  <c r="N79" i="1"/>
  <c r="N33" i="1"/>
  <c r="N200" i="1"/>
  <c r="AB164" i="1"/>
  <c r="AB126" i="1"/>
  <c r="AB141" i="1"/>
  <c r="K222" i="1"/>
  <c r="N26" i="1"/>
  <c r="AB229" i="1"/>
  <c r="N122" i="1"/>
  <c r="N202" i="1"/>
  <c r="N115" i="1"/>
  <c r="AB170" i="1"/>
  <c r="AB143" i="1"/>
  <c r="N209" i="1"/>
  <c r="N117" i="1"/>
  <c r="N134" i="1"/>
  <c r="N230" i="1"/>
  <c r="AB140" i="1"/>
  <c r="N176" i="1"/>
  <c r="K238" i="1"/>
  <c r="K192" i="1"/>
  <c r="N207" i="1"/>
  <c r="K58" i="1"/>
  <c r="K40" i="1"/>
  <c r="AB146" i="1"/>
  <c r="AB148" i="1"/>
  <c r="AB246" i="1"/>
  <c r="K30" i="1"/>
  <c r="AB166" i="1"/>
  <c r="N160" i="1"/>
  <c r="N10" i="1"/>
  <c r="N76" i="1"/>
  <c r="N242" i="1"/>
  <c r="N98" i="1"/>
  <c r="AB154" i="1"/>
  <c r="AB127" i="1"/>
  <c r="N236" i="1"/>
  <c r="N28" i="1"/>
  <c r="N137" i="1"/>
  <c r="AB139" i="1"/>
  <c r="AB242" i="1"/>
  <c r="AB159" i="1"/>
  <c r="N38" i="1"/>
  <c r="N118" i="1"/>
  <c r="K63" i="1"/>
  <c r="N27" i="1"/>
  <c r="N206" i="1"/>
  <c r="AB142" i="1"/>
  <c r="N49" i="1"/>
  <c r="N110" i="1"/>
  <c r="AB179" i="1"/>
  <c r="AB168" i="1"/>
  <c r="N52" i="1"/>
  <c r="AB233" i="1"/>
  <c r="N127" i="1"/>
  <c r="N135" i="1"/>
  <c r="N64" i="1"/>
  <c r="AB150" i="1"/>
  <c r="N144" i="1"/>
  <c r="N93" i="1"/>
  <c r="N184" i="1"/>
  <c r="AB176" i="1"/>
  <c r="K166" i="1"/>
  <c r="N227" i="1"/>
  <c r="K70" i="1"/>
  <c r="N245" i="1"/>
  <c r="K244" i="1"/>
  <c r="K137" i="1"/>
  <c r="N84" i="1"/>
  <c r="AB251" i="1"/>
  <c r="N119" i="1"/>
  <c r="N41" i="1"/>
  <c r="K95" i="1"/>
  <c r="AB203" i="1"/>
  <c r="K221" i="1"/>
  <c r="N180" i="1"/>
  <c r="J214" i="1"/>
  <c r="N85" i="1"/>
  <c r="K223" i="1"/>
  <c r="N92" i="1"/>
  <c r="N73" i="1"/>
  <c r="AB171" i="1"/>
  <c r="K37" i="1"/>
  <c r="K239" i="1"/>
  <c r="J156" i="1"/>
  <c r="J82" i="1"/>
  <c r="K235" i="1"/>
  <c r="N198" i="1"/>
  <c r="K62" i="1"/>
  <c r="K97" i="1"/>
  <c r="N65" i="1"/>
  <c r="J110" i="1"/>
  <c r="K28" i="1"/>
  <c r="K100" i="1"/>
  <c r="N128" i="1"/>
  <c r="N140" i="1"/>
  <c r="K77" i="1"/>
  <c r="N67" i="1"/>
  <c r="K216" i="1"/>
  <c r="N249" i="1"/>
  <c r="AB193" i="1"/>
  <c r="K252" i="1"/>
  <c r="K55" i="1"/>
  <c r="K248" i="1"/>
  <c r="J94" i="1"/>
  <c r="J127" i="1"/>
  <c r="G221" i="1"/>
  <c r="E213" i="1"/>
  <c r="G252" i="1"/>
  <c r="E106" i="1"/>
  <c r="K154" i="1"/>
  <c r="K36" i="1"/>
  <c r="J28" i="1"/>
  <c r="J69" i="1"/>
  <c r="J188" i="1"/>
  <c r="J177" i="1"/>
  <c r="G134" i="1"/>
  <c r="G193" i="1"/>
  <c r="J197" i="1"/>
  <c r="K181" i="1"/>
  <c r="K80" i="1"/>
  <c r="J87" i="1"/>
  <c r="K89" i="1"/>
  <c r="E21" i="1"/>
  <c r="J125" i="1"/>
  <c r="J48" i="1"/>
  <c r="G113" i="1"/>
  <c r="G212" i="1"/>
  <c r="J78" i="1"/>
  <c r="J248" i="1"/>
  <c r="K69" i="1"/>
  <c r="G135" i="1"/>
  <c r="J244" i="1"/>
  <c r="E144" i="1"/>
  <c r="E158" i="1"/>
  <c r="J180" i="1"/>
  <c r="K49" i="1"/>
  <c r="J215" i="1"/>
  <c r="K113" i="1"/>
  <c r="J68" i="1"/>
  <c r="G20" i="1"/>
  <c r="G195" i="1"/>
  <c r="G217" i="1"/>
  <c r="G24" i="1"/>
  <c r="G81" i="1"/>
  <c r="E39" i="1"/>
  <c r="E191" i="1"/>
  <c r="N21" i="1"/>
  <c r="N173" i="1"/>
  <c r="K158" i="1"/>
  <c r="AB165" i="1"/>
  <c r="N138" i="1"/>
  <c r="AB202" i="1"/>
  <c r="N89" i="1"/>
  <c r="N70" i="1"/>
  <c r="K191" i="1"/>
  <c r="N157" i="1"/>
  <c r="N105" i="1"/>
  <c r="K103" i="1"/>
  <c r="N120" i="1"/>
  <c r="N190" i="1"/>
  <c r="N188" i="1"/>
  <c r="K132" i="1"/>
  <c r="N241" i="1"/>
  <c r="K250" i="1"/>
  <c r="K232" i="1"/>
  <c r="K147" i="1"/>
  <c r="J245" i="1"/>
  <c r="N18" i="1"/>
  <c r="N30" i="1"/>
  <c r="AB151" i="1"/>
  <c r="N151" i="1"/>
  <c r="K26" i="1"/>
  <c r="K87" i="1"/>
  <c r="N185" i="1"/>
  <c r="AB214" i="1"/>
  <c r="N179" i="1"/>
  <c r="J22" i="1"/>
  <c r="N251" i="1"/>
  <c r="J137" i="1"/>
  <c r="J238" i="1"/>
  <c r="N66" i="1"/>
  <c r="K106" i="1"/>
  <c r="J103" i="1"/>
  <c r="K42" i="1"/>
  <c r="G9" i="1"/>
  <c r="J161" i="1"/>
  <c r="G59" i="1"/>
  <c r="G225" i="1"/>
  <c r="G203" i="1"/>
  <c r="G167" i="1"/>
  <c r="E16" i="1"/>
  <c r="G125" i="1"/>
  <c r="K130" i="1"/>
  <c r="N164" i="1"/>
  <c r="K211" i="1"/>
  <c r="J122" i="1"/>
  <c r="K184" i="1"/>
  <c r="N147" i="1"/>
  <c r="J40" i="1"/>
  <c r="J231" i="1"/>
  <c r="G162" i="1"/>
  <c r="E182" i="1"/>
  <c r="K186" i="1"/>
  <c r="J199" i="1"/>
  <c r="J95" i="1"/>
  <c r="J105" i="1"/>
  <c r="J221" i="1"/>
  <c r="G90" i="1"/>
  <c r="G5" i="1"/>
  <c r="G72" i="1"/>
  <c r="J57" i="1"/>
  <c r="E53" i="1"/>
  <c r="E84" i="1"/>
  <c r="G126" i="1"/>
  <c r="J146" i="1"/>
  <c r="E201" i="1"/>
  <c r="K200" i="1"/>
  <c r="J168" i="1"/>
  <c r="K195" i="1"/>
  <c r="K116" i="1"/>
  <c r="J93" i="1"/>
  <c r="E4" i="1"/>
  <c r="J106" i="1"/>
  <c r="K201" i="1"/>
  <c r="N86" i="1"/>
  <c r="AB199" i="1"/>
  <c r="N97" i="1"/>
  <c r="AB163" i="1"/>
  <c r="AB184" i="1"/>
  <c r="AB175" i="1"/>
  <c r="AB185" i="1"/>
  <c r="AB103" i="1"/>
  <c r="K218" i="1"/>
  <c r="K45" i="1"/>
  <c r="N187" i="1"/>
  <c r="N148" i="1"/>
  <c r="N194" i="1"/>
  <c r="N36" i="1"/>
  <c r="N136" i="1"/>
  <c r="K57" i="1"/>
  <c r="N181" i="1"/>
  <c r="AB186" i="1"/>
  <c r="N20" i="1"/>
  <c r="K171" i="1"/>
  <c r="J158" i="1"/>
  <c r="N50" i="1"/>
  <c r="K84" i="1"/>
  <c r="N240" i="1"/>
  <c r="K88" i="1"/>
  <c r="J246" i="1"/>
  <c r="N146" i="1"/>
  <c r="N158" i="1"/>
  <c r="K111" i="1"/>
  <c r="N208" i="1"/>
  <c r="K242" i="1"/>
  <c r="AB149" i="1"/>
  <c r="N218" i="1"/>
  <c r="K226" i="1"/>
  <c r="J56" i="1"/>
  <c r="K29" i="1"/>
  <c r="K153" i="1"/>
  <c r="G85" i="1"/>
  <c r="K251" i="1"/>
  <c r="G169" i="1"/>
  <c r="E195" i="1"/>
  <c r="G21" i="1"/>
  <c r="G160" i="1"/>
  <c r="E231" i="1"/>
  <c r="N213" i="1"/>
  <c r="K117" i="1"/>
  <c r="J23" i="1"/>
  <c r="K108" i="1"/>
  <c r="J222" i="1"/>
  <c r="K144" i="1"/>
  <c r="E140" i="1"/>
  <c r="G112" i="1"/>
  <c r="AB167" i="1"/>
  <c r="K119" i="1"/>
  <c r="J138" i="1"/>
  <c r="K68" i="1"/>
  <c r="J184" i="1"/>
  <c r="G208" i="1"/>
  <c r="J116" i="1"/>
  <c r="J54" i="1"/>
  <c r="J203" i="1"/>
  <c r="J234" i="1"/>
  <c r="J205" i="1"/>
  <c r="N24" i="1"/>
  <c r="G182" i="1"/>
  <c r="G43" i="1"/>
  <c r="E61" i="1"/>
  <c r="E156" i="1"/>
  <c r="E249" i="1"/>
  <c r="K61" i="1"/>
  <c r="E116" i="1"/>
  <c r="AB247" i="1"/>
  <c r="K96" i="1"/>
  <c r="K213" i="1"/>
  <c r="J25" i="1"/>
  <c r="J206" i="1"/>
  <c r="K21" i="1"/>
  <c r="J183" i="1"/>
  <c r="G241" i="1"/>
  <c r="E171" i="1"/>
  <c r="N106" i="1"/>
  <c r="AB224" i="1"/>
  <c r="AB106" i="1"/>
  <c r="AB200" i="1"/>
  <c r="N61" i="1"/>
  <c r="N246" i="1"/>
  <c r="N149" i="1"/>
  <c r="AB128" i="1"/>
  <c r="AB192" i="1"/>
  <c r="K139" i="1"/>
  <c r="AB113" i="1"/>
  <c r="N237" i="1"/>
  <c r="N193" i="1"/>
  <c r="N124" i="1"/>
  <c r="K228" i="1"/>
  <c r="N216" i="1"/>
  <c r="K237" i="1"/>
  <c r="J135" i="1"/>
  <c r="K177" i="1"/>
  <c r="N233" i="1"/>
  <c r="K185" i="1"/>
  <c r="N252" i="1"/>
  <c r="N8" i="1"/>
  <c r="N178" i="1"/>
  <c r="N210" i="1"/>
  <c r="K152" i="1"/>
  <c r="J216" i="1"/>
  <c r="N172" i="1"/>
  <c r="K196" i="1"/>
  <c r="N174" i="1"/>
  <c r="K163" i="1"/>
  <c r="K72" i="1"/>
  <c r="J207" i="1"/>
  <c r="J162" i="1"/>
  <c r="J210" i="1"/>
  <c r="E85" i="1"/>
  <c r="G10" i="1"/>
  <c r="E96" i="1"/>
  <c r="E146" i="1"/>
  <c r="E118" i="1"/>
  <c r="E187" i="1"/>
  <c r="AB226" i="1"/>
  <c r="J167" i="1"/>
  <c r="K170" i="1"/>
  <c r="G249" i="1"/>
  <c r="G142" i="1"/>
  <c r="E20" i="1"/>
  <c r="K122" i="1"/>
  <c r="J71" i="1"/>
  <c r="J31" i="1"/>
  <c r="J41" i="1"/>
  <c r="J242" i="1"/>
  <c r="G84" i="1"/>
  <c r="G181" i="1"/>
  <c r="E172" i="1"/>
  <c r="J59" i="1"/>
  <c r="J172" i="1"/>
  <c r="K212" i="1"/>
  <c r="G236" i="1"/>
  <c r="E35" i="1"/>
  <c r="E240" i="1"/>
  <c r="J164" i="1"/>
  <c r="N37" i="1"/>
  <c r="J159" i="1"/>
  <c r="J169" i="1"/>
  <c r="J47" i="1"/>
  <c r="G22" i="1"/>
  <c r="G73" i="1"/>
  <c r="J185" i="1"/>
  <c r="G123" i="1"/>
  <c r="E244" i="1"/>
  <c r="G248" i="1"/>
  <c r="E243" i="1"/>
  <c r="AB213" i="1"/>
  <c r="N99" i="1"/>
  <c r="AB112" i="1"/>
  <c r="N39" i="1"/>
  <c r="N130" i="1"/>
  <c r="AB173" i="1"/>
  <c r="N250" i="1"/>
  <c r="N116" i="1"/>
  <c r="K66" i="1"/>
  <c r="AB238" i="1"/>
  <c r="AB169" i="1"/>
  <c r="K246" i="1"/>
  <c r="N235" i="1"/>
  <c r="K54" i="1"/>
  <c r="K207" i="1"/>
  <c r="N177" i="1"/>
  <c r="N248" i="1"/>
  <c r="N47" i="1"/>
  <c r="K24" i="1"/>
  <c r="J182" i="1"/>
  <c r="K179" i="1"/>
  <c r="J88" i="1"/>
  <c r="K27" i="1"/>
  <c r="N153" i="1"/>
  <c r="K78" i="1"/>
  <c r="K114" i="1"/>
  <c r="AB204" i="1"/>
  <c r="N141" i="1"/>
  <c r="N9" i="1"/>
  <c r="K156" i="1"/>
  <c r="K249" i="1"/>
  <c r="K134" i="1"/>
  <c r="N42" i="1"/>
  <c r="J73" i="1"/>
  <c r="K110" i="1"/>
  <c r="N197" i="1"/>
  <c r="K64" i="1"/>
  <c r="N244" i="1"/>
  <c r="K229" i="1"/>
  <c r="K98" i="1"/>
  <c r="K109" i="1"/>
  <c r="E68" i="1"/>
  <c r="J154" i="1"/>
  <c r="E65" i="1"/>
  <c r="G175" i="1"/>
  <c r="G152" i="1"/>
  <c r="E154" i="1"/>
  <c r="K23" i="1"/>
  <c r="J166" i="1"/>
  <c r="J120" i="1"/>
  <c r="K157" i="1"/>
  <c r="K82" i="1"/>
  <c r="G238" i="1"/>
  <c r="J229" i="1"/>
  <c r="J139" i="1"/>
  <c r="J50" i="1"/>
  <c r="G128" i="1"/>
  <c r="G75" i="1"/>
  <c r="J171" i="1"/>
  <c r="K141" i="1"/>
  <c r="K168" i="1"/>
  <c r="J220" i="1"/>
  <c r="K187" i="1"/>
  <c r="K34" i="1"/>
  <c r="E246" i="1"/>
  <c r="G185" i="1"/>
  <c r="J51" i="1"/>
  <c r="K25" i="1"/>
  <c r="G28" i="1"/>
  <c r="G218" i="1"/>
  <c r="E217" i="1"/>
  <c r="G15" i="1"/>
  <c r="J118" i="1"/>
  <c r="J201" i="1"/>
  <c r="K151" i="1"/>
  <c r="J114" i="1"/>
  <c r="J115" i="1"/>
  <c r="G102" i="1"/>
  <c r="G156" i="1"/>
  <c r="E192" i="1"/>
  <c r="N94" i="1"/>
  <c r="N189" i="1"/>
  <c r="N72" i="1"/>
  <c r="AB118" i="1"/>
  <c r="N58" i="1"/>
  <c r="N48" i="1"/>
  <c r="N19" i="1"/>
  <c r="AB156" i="1"/>
  <c r="N82" i="1"/>
  <c r="N232" i="1"/>
  <c r="AB130" i="1"/>
  <c r="AB109" i="1"/>
  <c r="K159" i="1"/>
  <c r="N43" i="1"/>
  <c r="AB194" i="1"/>
  <c r="K180" i="1"/>
  <c r="N228" i="1"/>
  <c r="N170" i="1"/>
  <c r="K121" i="1"/>
  <c r="N212" i="1"/>
  <c r="K245" i="1"/>
  <c r="J38" i="1"/>
  <c r="AB108" i="1"/>
  <c r="K35" i="1"/>
  <c r="N109" i="1"/>
  <c r="N205" i="1"/>
  <c r="K178" i="1"/>
  <c r="AB240" i="1"/>
  <c r="N32" i="1"/>
  <c r="K126" i="1"/>
  <c r="K161" i="1"/>
  <c r="J174" i="1"/>
  <c r="K85" i="1"/>
  <c r="K190" i="1"/>
  <c r="N4" i="1"/>
  <c r="K92" i="1"/>
  <c r="J181" i="1"/>
  <c r="J155" i="1"/>
  <c r="J84" i="1"/>
  <c r="K123" i="1"/>
  <c r="G41" i="1"/>
  <c r="J80" i="1"/>
  <c r="G233" i="1"/>
  <c r="E174" i="1"/>
  <c r="K71" i="1"/>
  <c r="J144" i="1"/>
  <c r="G211" i="1"/>
  <c r="J250" i="1"/>
  <c r="K209" i="1"/>
  <c r="J108" i="1"/>
  <c r="K247" i="1"/>
  <c r="J134" i="1"/>
  <c r="E67" i="1"/>
  <c r="J157" i="1"/>
  <c r="N215" i="1"/>
  <c r="J198" i="1"/>
  <c r="N57" i="1"/>
  <c r="J35" i="1"/>
  <c r="K210" i="1"/>
  <c r="G104" i="1"/>
  <c r="J45" i="1"/>
  <c r="J235" i="1"/>
  <c r="E228" i="1"/>
  <c r="G23" i="1"/>
  <c r="G230" i="1"/>
  <c r="J123" i="1"/>
  <c r="J236" i="1"/>
  <c r="K136" i="1"/>
  <c r="J109" i="1"/>
  <c r="J119" i="1"/>
  <c r="G157" i="1"/>
  <c r="E149" i="1"/>
  <c r="E236" i="1"/>
  <c r="E73" i="1"/>
  <c r="E22" i="1"/>
  <c r="G194" i="1"/>
  <c r="K160" i="1"/>
  <c r="AB155" i="1"/>
  <c r="K199" i="1"/>
  <c r="AB183" i="1"/>
  <c r="N159" i="1"/>
  <c r="K231" i="1"/>
  <c r="J79" i="1"/>
  <c r="N199" i="1"/>
  <c r="K99" i="1"/>
  <c r="K90" i="1"/>
  <c r="K143" i="1"/>
  <c r="K233" i="1"/>
  <c r="J75" i="1"/>
  <c r="J186" i="1"/>
  <c r="J43" i="1"/>
  <c r="J92" i="1"/>
  <c r="J252" i="1"/>
  <c r="E44" i="1"/>
  <c r="K217" i="1"/>
  <c r="G147" i="1"/>
  <c r="G133" i="1"/>
  <c r="J64" i="1"/>
  <c r="J243" i="1"/>
  <c r="K176" i="1"/>
  <c r="G228" i="1"/>
  <c r="E129" i="1"/>
  <c r="E58" i="1"/>
  <c r="J96" i="1"/>
  <c r="K227" i="1"/>
  <c r="J126" i="1"/>
  <c r="J196" i="1"/>
  <c r="G117" i="1"/>
  <c r="J170" i="1"/>
  <c r="E108" i="1"/>
  <c r="E196" i="1"/>
  <c r="E226" i="1"/>
  <c r="E59" i="1"/>
  <c r="G82" i="1"/>
  <c r="E204" i="1"/>
  <c r="G141" i="1"/>
  <c r="E107" i="1"/>
  <c r="G154" i="1"/>
  <c r="G166" i="1"/>
  <c r="E242" i="1"/>
  <c r="E210" i="1"/>
  <c r="E10" i="1"/>
  <c r="E36" i="1"/>
  <c r="E184" i="1"/>
  <c r="E87" i="1"/>
  <c r="G111" i="1"/>
  <c r="AB208" i="1"/>
  <c r="N171" i="1"/>
  <c r="K206" i="1"/>
  <c r="K224" i="1"/>
  <c r="AB221" i="1"/>
  <c r="K33" i="1"/>
  <c r="N44" i="1"/>
  <c r="K165" i="1"/>
  <c r="AB134" i="1"/>
  <c r="K83" i="1"/>
  <c r="J74" i="1"/>
  <c r="J148" i="1"/>
  <c r="K31" i="1"/>
  <c r="J44" i="1"/>
  <c r="J212" i="1"/>
  <c r="J37" i="1"/>
  <c r="N191" i="1"/>
  <c r="K67" i="1"/>
  <c r="E139" i="1"/>
  <c r="G27" i="1"/>
  <c r="G19" i="1"/>
  <c r="J99" i="1"/>
  <c r="G105" i="1"/>
  <c r="K43" i="1"/>
  <c r="J251" i="1"/>
  <c r="J226" i="1"/>
  <c r="G48" i="1"/>
  <c r="J65" i="1"/>
  <c r="E117" i="1"/>
  <c r="E178" i="1"/>
  <c r="E102" i="1"/>
  <c r="G3" i="1"/>
  <c r="K169" i="1"/>
  <c r="AB189" i="1"/>
  <c r="K208" i="1"/>
  <c r="N12" i="1"/>
  <c r="K230" i="1"/>
  <c r="K183" i="1"/>
  <c r="J124" i="1"/>
  <c r="E229" i="1"/>
  <c r="K173" i="1"/>
  <c r="J98" i="1"/>
  <c r="G237" i="1"/>
  <c r="K59" i="1"/>
  <c r="J241" i="1"/>
  <c r="J86" i="1"/>
  <c r="J21" i="1"/>
  <c r="E132" i="1"/>
  <c r="G16" i="1"/>
  <c r="E13" i="1"/>
  <c r="E91" i="1"/>
  <c r="G14" i="1"/>
  <c r="E14" i="1"/>
  <c r="K65" i="1"/>
  <c r="J30" i="1"/>
  <c r="J153" i="1"/>
  <c r="J230" i="1"/>
  <c r="J63" i="1"/>
  <c r="G93" i="1"/>
  <c r="E3" i="1"/>
  <c r="J149" i="1"/>
  <c r="J72" i="1"/>
  <c r="G7" i="1"/>
  <c r="G88" i="1"/>
  <c r="G188" i="1"/>
  <c r="E225" i="1"/>
  <c r="E27" i="1"/>
  <c r="J217" i="1"/>
  <c r="J200" i="1"/>
  <c r="G122" i="1"/>
  <c r="E234" i="1"/>
  <c r="J239" i="1"/>
  <c r="N101" i="1"/>
  <c r="E209" i="1"/>
  <c r="E241" i="1"/>
  <c r="J218" i="1"/>
  <c r="G40" i="1"/>
  <c r="E162" i="1"/>
  <c r="E64" i="1"/>
  <c r="G192" i="1"/>
  <c r="E142" i="1"/>
  <c r="E230" i="1"/>
  <c r="K105" i="1"/>
  <c r="E165" i="1"/>
  <c r="AB196" i="1"/>
  <c r="N166" i="1"/>
  <c r="K234" i="1"/>
  <c r="AB250" i="1"/>
  <c r="AB162" i="1"/>
  <c r="J117" i="1"/>
  <c r="N3" i="1"/>
  <c r="N204" i="1"/>
  <c r="K189" i="1"/>
  <c r="J208" i="1"/>
  <c r="J70" i="1"/>
  <c r="G213" i="1"/>
  <c r="K47" i="1"/>
  <c r="G183" i="1"/>
  <c r="E89" i="1"/>
  <c r="G144" i="1"/>
  <c r="N223" i="1"/>
  <c r="K167" i="1"/>
  <c r="J163" i="1"/>
  <c r="G145" i="1"/>
  <c r="J133" i="1"/>
  <c r="K197" i="1"/>
  <c r="G74" i="1"/>
  <c r="J81" i="1"/>
  <c r="E120" i="1"/>
  <c r="K107" i="1"/>
  <c r="J24" i="1"/>
  <c r="N46" i="1"/>
  <c r="J90" i="1"/>
  <c r="N15" i="1"/>
  <c r="AB152" i="1"/>
  <c r="N226" i="1"/>
  <c r="AB181" i="1"/>
  <c r="N31" i="1"/>
  <c r="K182" i="1"/>
  <c r="N161" i="1"/>
  <c r="K215" i="1"/>
  <c r="J26" i="1"/>
  <c r="E56" i="1"/>
  <c r="E75" i="1"/>
  <c r="J58" i="1"/>
  <c r="J219" i="1"/>
  <c r="G130" i="1"/>
  <c r="K155" i="1"/>
  <c r="G174" i="1"/>
  <c r="G226" i="1"/>
  <c r="K149" i="1"/>
  <c r="J165" i="1"/>
  <c r="E159" i="1"/>
  <c r="J62" i="1"/>
  <c r="K124" i="1"/>
  <c r="J232" i="1"/>
  <c r="K91" i="1"/>
  <c r="E221" i="1"/>
  <c r="E62" i="1"/>
  <c r="G108" i="1"/>
  <c r="E202" i="1"/>
  <c r="K79" i="1"/>
  <c r="K138" i="1"/>
  <c r="K188" i="1"/>
  <c r="J189" i="1"/>
  <c r="G131" i="1"/>
  <c r="J32" i="1"/>
  <c r="G49" i="1"/>
  <c r="G148" i="1"/>
  <c r="G245" i="1"/>
  <c r="J193" i="1"/>
  <c r="G187" i="1"/>
  <c r="K74" i="1"/>
  <c r="E38" i="1"/>
  <c r="G219" i="1"/>
  <c r="G127" i="1"/>
  <c r="G95" i="1"/>
  <c r="J225" i="1"/>
  <c r="J152" i="1"/>
  <c r="E232" i="1"/>
  <c r="E103" i="1"/>
  <c r="E12" i="1"/>
  <c r="G109" i="1"/>
  <c r="N156" i="1"/>
  <c r="G115" i="1"/>
  <c r="E17" i="1"/>
  <c r="E80" i="1"/>
  <c r="E48" i="1"/>
  <c r="E150" i="1"/>
  <c r="K128" i="1"/>
  <c r="G132" i="1"/>
  <c r="E30" i="1"/>
  <c r="N11" i="1"/>
  <c r="AB222" i="1"/>
  <c r="N154" i="1"/>
  <c r="K118" i="1"/>
  <c r="N131" i="1"/>
  <c r="N83" i="1"/>
  <c r="K50" i="1"/>
  <c r="K101" i="1"/>
  <c r="K140" i="1"/>
  <c r="AB137" i="1"/>
  <c r="K225" i="1"/>
  <c r="G53" i="1"/>
  <c r="G137" i="1"/>
  <c r="J209" i="1"/>
  <c r="K104" i="1"/>
  <c r="J42" i="1"/>
  <c r="J194" i="1"/>
  <c r="J151" i="1"/>
  <c r="G106" i="1"/>
  <c r="G63" i="1"/>
  <c r="G51" i="1"/>
  <c r="N113" i="1"/>
  <c r="K41" i="1"/>
  <c r="J89" i="1"/>
  <c r="J102" i="1"/>
  <c r="G172" i="1"/>
  <c r="G176" i="1"/>
  <c r="G197" i="1"/>
  <c r="G178" i="1"/>
  <c r="E181" i="1"/>
  <c r="E127" i="1"/>
  <c r="N23" i="1"/>
  <c r="K125" i="1"/>
  <c r="J66" i="1"/>
  <c r="E251" i="1"/>
  <c r="G139" i="1"/>
  <c r="E212" i="1"/>
  <c r="E19" i="1"/>
  <c r="N14" i="1"/>
  <c r="AB124" i="1"/>
  <c r="N225" i="1"/>
  <c r="K142" i="1"/>
  <c r="E123" i="1"/>
  <c r="K75" i="1"/>
  <c r="G66" i="1"/>
  <c r="J179" i="1"/>
  <c r="J132" i="1"/>
  <c r="N201" i="1"/>
  <c r="J129" i="1"/>
  <c r="G78" i="1"/>
  <c r="E199" i="1"/>
  <c r="E223" i="1"/>
  <c r="E69" i="1"/>
  <c r="E219" i="1"/>
  <c r="G92" i="1"/>
  <c r="G98" i="1"/>
  <c r="E74" i="1"/>
  <c r="G29" i="1"/>
  <c r="J91" i="1"/>
  <c r="G101" i="1"/>
  <c r="G140" i="1"/>
  <c r="G45" i="1"/>
  <c r="J60" i="1"/>
  <c r="E121" i="1"/>
  <c r="E41" i="1"/>
  <c r="E60" i="1"/>
  <c r="E105" i="1"/>
  <c r="G68" i="1"/>
  <c r="E220" i="1"/>
  <c r="G37" i="1"/>
  <c r="J85" i="1"/>
  <c r="E200" i="1"/>
  <c r="G171" i="1"/>
  <c r="K198" i="1"/>
  <c r="E45" i="1"/>
  <c r="E110" i="1"/>
  <c r="E148" i="1"/>
  <c r="K133" i="1"/>
  <c r="G168" i="1"/>
  <c r="E190" i="1"/>
  <c r="E83" i="1"/>
  <c r="G204" i="1"/>
  <c r="E37" i="1"/>
  <c r="E46" i="1"/>
  <c r="E18" i="1"/>
  <c r="E141" i="1"/>
  <c r="E124" i="1"/>
  <c r="E2" i="1"/>
  <c r="G17" i="1"/>
  <c r="K148" i="1"/>
  <c r="E49" i="1"/>
  <c r="G177" i="1"/>
  <c r="J39" i="1"/>
  <c r="E197" i="1"/>
  <c r="J33" i="1"/>
  <c r="E138" i="1"/>
  <c r="G170" i="1"/>
  <c r="E125" i="1"/>
  <c r="G200" i="1"/>
  <c r="E9" i="1"/>
  <c r="E24" i="1"/>
  <c r="E115" i="1"/>
  <c r="G205" i="1"/>
  <c r="E168" i="1"/>
  <c r="E180" i="1"/>
  <c r="E167" i="1"/>
  <c r="K56" i="1"/>
  <c r="E93" i="1"/>
  <c r="E29" i="1"/>
  <c r="E203" i="1"/>
  <c r="K204" i="1"/>
  <c r="E185" i="1"/>
  <c r="E42" i="1"/>
  <c r="N62" i="1"/>
  <c r="G62" i="1"/>
  <c r="G6" i="1"/>
  <c r="E179" i="1"/>
  <c r="E70" i="1"/>
  <c r="G30" i="1"/>
  <c r="N247" i="1"/>
  <c r="G55" i="1"/>
  <c r="K44" i="1"/>
  <c r="K194" i="1"/>
  <c r="J104" i="1"/>
  <c r="J52" i="1"/>
  <c r="J27" i="1"/>
  <c r="G149" i="1"/>
  <c r="J140" i="1"/>
  <c r="J83" i="1"/>
  <c r="E216" i="1"/>
  <c r="G47" i="1"/>
  <c r="E164" i="1"/>
  <c r="J192" i="1"/>
  <c r="E157" i="1"/>
  <c r="G36" i="1"/>
  <c r="J173" i="1"/>
  <c r="E206" i="1"/>
  <c r="J49" i="1"/>
  <c r="E25" i="1"/>
  <c r="E183" i="1"/>
  <c r="E82" i="1"/>
  <c r="J34" i="1"/>
  <c r="G240" i="1"/>
  <c r="J97" i="1"/>
  <c r="E8" i="1"/>
  <c r="G184" i="1"/>
  <c r="E252" i="1"/>
  <c r="J130" i="1"/>
  <c r="G138" i="1"/>
  <c r="G38" i="1"/>
  <c r="E79" i="1"/>
  <c r="J237" i="1"/>
  <c r="G103" i="1"/>
  <c r="J136" i="1"/>
  <c r="E248" i="1"/>
  <c r="E250" i="1"/>
  <c r="E6" i="1"/>
  <c r="G100" i="1"/>
  <c r="G13" i="1"/>
  <c r="J249" i="1"/>
  <c r="E40" i="1"/>
  <c r="E189" i="1"/>
  <c r="E235" i="1"/>
  <c r="G242" i="1"/>
  <c r="J211" i="1"/>
  <c r="G159" i="1"/>
  <c r="E113" i="1"/>
  <c r="G4" i="1"/>
  <c r="J143" i="1"/>
  <c r="K150" i="1"/>
  <c r="AB209" i="1"/>
  <c r="AB180" i="1"/>
  <c r="AB195" i="1"/>
  <c r="J113" i="1"/>
  <c r="J141" i="1"/>
  <c r="K236" i="1"/>
  <c r="K73" i="1"/>
  <c r="G39" i="1"/>
  <c r="G110" i="1"/>
  <c r="G25" i="1"/>
  <c r="AB117" i="1"/>
  <c r="G215" i="1"/>
  <c r="J142" i="1"/>
  <c r="E131" i="1"/>
  <c r="E137" i="1"/>
  <c r="J121" i="1"/>
  <c r="G206" i="1"/>
  <c r="J247" i="1"/>
  <c r="E95" i="1"/>
  <c r="E166" i="1"/>
  <c r="E76" i="1"/>
  <c r="G70" i="1"/>
  <c r="E109" i="1"/>
  <c r="J160" i="1"/>
  <c r="E98" i="1"/>
  <c r="G96" i="1"/>
  <c r="E239" i="1"/>
  <c r="N231" i="1"/>
  <c r="G83" i="1"/>
  <c r="G231" i="1"/>
  <c r="E194" i="1"/>
  <c r="K120" i="1"/>
  <c r="G94" i="1"/>
  <c r="E160" i="1"/>
  <c r="G150" i="1"/>
  <c r="G143" i="1"/>
  <c r="J204" i="1"/>
  <c r="E81" i="1"/>
  <c r="E55" i="1"/>
  <c r="E133" i="1"/>
  <c r="G18" i="1"/>
  <c r="E147" i="1"/>
  <c r="G239" i="1"/>
  <c r="J224" i="1"/>
  <c r="G120" i="1"/>
  <c r="G246" i="1"/>
  <c r="E50" i="1"/>
  <c r="E7" i="1"/>
  <c r="G60" i="1"/>
  <c r="G151" i="1"/>
  <c r="G89" i="1"/>
  <c r="E238" i="1"/>
  <c r="G223" i="1"/>
  <c r="E173" i="1"/>
  <c r="G32" i="1"/>
  <c r="E26" i="1"/>
  <c r="E222" i="1"/>
  <c r="E122" i="1"/>
  <c r="J55" i="1"/>
  <c r="E101" i="1"/>
  <c r="K48" i="1"/>
  <c r="J112" i="1"/>
  <c r="G179" i="1"/>
  <c r="J76" i="1"/>
  <c r="G173" i="1"/>
  <c r="J187" i="1"/>
  <c r="J111" i="1"/>
  <c r="J178" i="1"/>
  <c r="E78" i="1"/>
  <c r="E193" i="1"/>
  <c r="J46" i="1"/>
  <c r="K81" i="1"/>
  <c r="J29" i="1"/>
  <c r="AB245" i="1"/>
  <c r="N81" i="1"/>
  <c r="J223" i="1"/>
  <c r="K115" i="1"/>
  <c r="K219" i="1"/>
  <c r="J147" i="1"/>
  <c r="E11" i="1"/>
  <c r="G107" i="1"/>
  <c r="E134" i="1"/>
  <c r="E23" i="1"/>
  <c r="J77" i="1"/>
  <c r="K202" i="1"/>
  <c r="E177" i="1"/>
  <c r="G116" i="1"/>
  <c r="G199" i="1"/>
  <c r="G153" i="1"/>
  <c r="E237" i="1"/>
  <c r="G186" i="1"/>
  <c r="G161" i="1"/>
  <c r="E51" i="1"/>
  <c r="E32" i="1"/>
  <c r="G124" i="1"/>
  <c r="E245" i="1"/>
  <c r="G67" i="1"/>
  <c r="G235" i="1"/>
  <c r="E145" i="1"/>
  <c r="K220" i="1"/>
  <c r="G201" i="1"/>
  <c r="N40" i="1"/>
  <c r="K203" i="1"/>
  <c r="N133" i="1"/>
  <c r="N25" i="1"/>
  <c r="G190" i="1"/>
  <c r="J176" i="1"/>
  <c r="K162" i="1"/>
  <c r="K51" i="1"/>
  <c r="J202" i="1"/>
  <c r="G196" i="1"/>
  <c r="G2" i="1"/>
  <c r="G52" i="1"/>
  <c r="J175" i="1"/>
  <c r="G79" i="1"/>
  <c r="K60" i="1"/>
  <c r="N60" i="1"/>
  <c r="G189" i="1"/>
  <c r="E143" i="1"/>
  <c r="G224" i="1"/>
  <c r="K39" i="1"/>
  <c r="G69" i="1"/>
  <c r="K52" i="1"/>
  <c r="N183" i="1"/>
  <c r="G80" i="1"/>
  <c r="E54" i="1"/>
  <c r="E104" i="1"/>
  <c r="J53" i="1"/>
  <c r="N112" i="1"/>
  <c r="G114" i="1"/>
  <c r="E34" i="1"/>
  <c r="E119" i="1"/>
  <c r="G214" i="1"/>
  <c r="N211" i="1"/>
  <c r="G164" i="1"/>
  <c r="E205" i="1"/>
  <c r="G163" i="1"/>
  <c r="G216" i="1"/>
  <c r="E100" i="1"/>
  <c r="E153" i="1"/>
  <c r="E152" i="1"/>
  <c r="E186" i="1"/>
  <c r="J213" i="1"/>
  <c r="E92" i="1"/>
  <c r="E5" i="1"/>
  <c r="K146" i="1"/>
  <c r="E128" i="1"/>
  <c r="E126" i="1"/>
  <c r="G129" i="1"/>
  <c r="E33" i="1"/>
  <c r="J145" i="1"/>
  <c r="K241" i="1"/>
  <c r="G202" i="1"/>
  <c r="J100" i="1"/>
  <c r="E218" i="1"/>
  <c r="E57" i="1"/>
  <c r="K240" i="1"/>
  <c r="G42" i="1"/>
  <c r="G77" i="1"/>
  <c r="E161" i="1"/>
  <c r="G91" i="1"/>
  <c r="N63" i="1"/>
  <c r="G243" i="1"/>
  <c r="E188" i="1"/>
  <c r="E28" i="1"/>
  <c r="E155" i="1"/>
  <c r="E163" i="1"/>
  <c r="G57" i="1"/>
  <c r="E111" i="1"/>
  <c r="N155" i="1"/>
  <c r="AB201" i="1"/>
  <c r="K112" i="1"/>
  <c r="K172" i="1"/>
  <c r="K46" i="1"/>
  <c r="G86" i="1"/>
  <c r="J131" i="1"/>
  <c r="N239" i="1"/>
  <c r="J233" i="1"/>
  <c r="G35" i="1"/>
  <c r="E170" i="1"/>
  <c r="N13" i="1"/>
  <c r="J128" i="1"/>
  <c r="J191" i="1"/>
  <c r="G165" i="1"/>
  <c r="E77" i="1"/>
  <c r="G146" i="1"/>
  <c r="K174" i="1"/>
  <c r="E233" i="1"/>
  <c r="G222" i="1"/>
  <c r="E215" i="1"/>
  <c r="N22" i="1"/>
  <c r="G244" i="1"/>
  <c r="G58" i="1"/>
  <c r="G136" i="1"/>
  <c r="G99" i="1"/>
  <c r="J61" i="1"/>
  <c r="G250" i="1"/>
  <c r="G44" i="1"/>
  <c r="G54" i="1"/>
  <c r="G56" i="1"/>
  <c r="E97" i="1"/>
  <c r="G180" i="1"/>
  <c r="J101" i="1"/>
  <c r="E86" i="1"/>
  <c r="G34" i="1"/>
  <c r="E227" i="1"/>
  <c r="E136" i="1"/>
  <c r="E112" i="1"/>
  <c r="E214" i="1"/>
  <c r="G234" i="1"/>
  <c r="J36" i="1"/>
  <c r="G8" i="1"/>
  <c r="G220" i="1"/>
  <c r="E31" i="1"/>
  <c r="G229" i="1"/>
  <c r="G227" i="1"/>
  <c r="E15" i="1"/>
  <c r="E176" i="1"/>
  <c r="G121" i="1"/>
  <c r="G87" i="1"/>
  <c r="G119" i="1"/>
  <c r="G64" i="1"/>
  <c r="E208" i="1"/>
  <c r="E72" i="1"/>
  <c r="E71" i="1"/>
  <c r="E207" i="1"/>
  <c r="J190" i="1"/>
  <c r="G61" i="1"/>
  <c r="K93" i="1"/>
  <c r="J227" i="1"/>
  <c r="K193" i="1"/>
  <c r="G76" i="1"/>
  <c r="G31" i="1"/>
  <c r="G71" i="1"/>
  <c r="G12" i="1"/>
  <c r="E94" i="1"/>
  <c r="E52" i="1"/>
  <c r="G191" i="1"/>
  <c r="G155" i="1"/>
  <c r="E130" i="1"/>
  <c r="E175" i="1"/>
  <c r="K131" i="1"/>
  <c r="G158" i="1"/>
  <c r="G11" i="1"/>
  <c r="K145" i="1"/>
  <c r="G118" i="1"/>
  <c r="G65" i="1"/>
  <c r="G97" i="1"/>
  <c r="G232" i="1"/>
  <c r="G210" i="1"/>
  <c r="E114" i="1"/>
  <c r="E66" i="1"/>
  <c r="E90" i="1"/>
  <c r="J195" i="1"/>
  <c r="E224" i="1"/>
  <c r="J67" i="1"/>
  <c r="E43" i="1"/>
  <c r="G46" i="1"/>
  <c r="E169" i="1"/>
  <c r="G198" i="1"/>
  <c r="K76" i="1"/>
  <c r="E198" i="1"/>
  <c r="E151" i="1"/>
  <c r="J107" i="1"/>
  <c r="E47" i="1"/>
  <c r="G251" i="1"/>
  <c r="E63" i="1"/>
  <c r="J228" i="1"/>
  <c r="E88" i="1"/>
  <c r="G247" i="1"/>
  <c r="G207" i="1"/>
  <c r="E247" i="1"/>
  <c r="E99" i="1"/>
  <c r="G209" i="1"/>
  <c r="J240" i="1"/>
  <c r="K243" i="1"/>
  <c r="E211" i="1"/>
  <c r="G50" i="1"/>
  <c r="G33" i="1"/>
  <c r="G26" i="1"/>
  <c r="E135" i="1"/>
  <c r="M77" i="1" l="1"/>
  <c r="L77" i="1"/>
  <c r="M34" i="1"/>
  <c r="L34" i="1"/>
  <c r="L127" i="1"/>
  <c r="M127" i="1"/>
  <c r="L240" i="1"/>
  <c r="M240" i="1"/>
  <c r="L190" i="1"/>
  <c r="M190" i="1"/>
  <c r="L36" i="1"/>
  <c r="M36" i="1"/>
  <c r="L101" i="1"/>
  <c r="M101" i="1"/>
  <c r="L176" i="1"/>
  <c r="M176" i="1"/>
  <c r="L111" i="1"/>
  <c r="M111" i="1"/>
  <c r="M55" i="1"/>
  <c r="L55" i="1"/>
  <c r="L211" i="1"/>
  <c r="M211" i="1"/>
  <c r="L192" i="1"/>
  <c r="M192" i="1"/>
  <c r="L52" i="1"/>
  <c r="M52" i="1"/>
  <c r="L39" i="1"/>
  <c r="M39" i="1"/>
  <c r="L189" i="1"/>
  <c r="M189" i="1"/>
  <c r="M90" i="1"/>
  <c r="L90" i="1"/>
  <c r="L133" i="1"/>
  <c r="M133" i="1"/>
  <c r="M230" i="1"/>
  <c r="L230" i="1"/>
  <c r="L251" i="1"/>
  <c r="M251" i="1"/>
  <c r="L84" i="1"/>
  <c r="M84" i="1"/>
  <c r="L139" i="1"/>
  <c r="M139" i="1"/>
  <c r="L159" i="1"/>
  <c r="M159" i="1"/>
  <c r="L59" i="1"/>
  <c r="M59" i="1"/>
  <c r="L231" i="1"/>
  <c r="M231" i="1"/>
  <c r="L78" i="1"/>
  <c r="M78" i="1"/>
  <c r="L28" i="1"/>
  <c r="M28" i="1"/>
  <c r="L94" i="1"/>
  <c r="M94" i="1"/>
  <c r="L61" i="1"/>
  <c r="M61" i="1"/>
  <c r="L209" i="1"/>
  <c r="M209" i="1"/>
  <c r="M226" i="1"/>
  <c r="L226" i="1"/>
  <c r="L172" i="1"/>
  <c r="M172" i="1"/>
  <c r="L184" i="1"/>
  <c r="M184" i="1"/>
  <c r="L187" i="1"/>
  <c r="M187" i="1"/>
  <c r="M119" i="1"/>
  <c r="L119" i="1"/>
  <c r="L138" i="1"/>
  <c r="M138" i="1"/>
  <c r="L40" i="1"/>
  <c r="M40" i="1"/>
  <c r="L103" i="1"/>
  <c r="M103" i="1"/>
  <c r="L245" i="1"/>
  <c r="M245" i="1"/>
  <c r="L180" i="1"/>
  <c r="M180" i="1"/>
  <c r="L113" i="1"/>
  <c r="M113" i="1"/>
  <c r="L169" i="1"/>
  <c r="M169" i="1"/>
  <c r="M222" i="1"/>
  <c r="L222" i="1"/>
  <c r="M215" i="1"/>
  <c r="L215" i="1"/>
  <c r="L37" i="1"/>
  <c r="M37" i="1"/>
  <c r="L155" i="1"/>
  <c r="M155" i="1"/>
  <c r="M205" i="1"/>
  <c r="L205" i="1"/>
  <c r="M23" i="1"/>
  <c r="L23" i="1"/>
  <c r="M106" i="1"/>
  <c r="L106" i="1"/>
  <c r="M29" i="1"/>
  <c r="L29" i="1"/>
  <c r="L91" i="1"/>
  <c r="M91" i="1"/>
  <c r="L152" i="1"/>
  <c r="M152" i="1"/>
  <c r="L193" i="1"/>
  <c r="M193" i="1"/>
  <c r="L24" i="1"/>
  <c r="M24" i="1"/>
  <c r="L163" i="1"/>
  <c r="M163" i="1"/>
  <c r="L70" i="1"/>
  <c r="M70" i="1"/>
  <c r="L30" i="1"/>
  <c r="M30" i="1"/>
  <c r="L21" i="1"/>
  <c r="M21" i="1"/>
  <c r="L124" i="1"/>
  <c r="M124" i="1"/>
  <c r="L212" i="1"/>
  <c r="M212" i="1"/>
  <c r="L170" i="1"/>
  <c r="M170" i="1"/>
  <c r="M252" i="1"/>
  <c r="L252" i="1"/>
  <c r="M109" i="1"/>
  <c r="L109" i="1"/>
  <c r="M45" i="1"/>
  <c r="L45" i="1"/>
  <c r="L181" i="1"/>
  <c r="M181" i="1"/>
  <c r="L115" i="1"/>
  <c r="M115" i="1"/>
  <c r="L164" i="1"/>
  <c r="M164" i="1"/>
  <c r="M183" i="1"/>
  <c r="L183" i="1"/>
  <c r="L234" i="1"/>
  <c r="M234" i="1"/>
  <c r="L105" i="1"/>
  <c r="M105" i="1"/>
  <c r="L197" i="1"/>
  <c r="M197" i="1"/>
  <c r="M228" i="1"/>
  <c r="L228" i="1"/>
  <c r="L174" i="1"/>
  <c r="M174" i="1"/>
  <c r="L50" i="1"/>
  <c r="M50" i="1"/>
  <c r="L69" i="1"/>
  <c r="M69" i="1"/>
  <c r="M247" i="1"/>
  <c r="L247" i="1"/>
  <c r="L157" i="1"/>
  <c r="M157" i="1"/>
  <c r="M229" i="1"/>
  <c r="L229" i="1"/>
  <c r="L88" i="1"/>
  <c r="M88" i="1"/>
  <c r="L107" i="1"/>
  <c r="M107" i="1"/>
  <c r="L67" i="1"/>
  <c r="M67" i="1"/>
  <c r="L131" i="1"/>
  <c r="M131" i="1"/>
  <c r="L53" i="1"/>
  <c r="M53" i="1"/>
  <c r="L76" i="1"/>
  <c r="M76" i="1"/>
  <c r="L160" i="1"/>
  <c r="M160" i="1"/>
  <c r="L121" i="1"/>
  <c r="M121" i="1"/>
  <c r="L136" i="1"/>
  <c r="M136" i="1"/>
  <c r="L49" i="1"/>
  <c r="M49" i="1"/>
  <c r="M66" i="1"/>
  <c r="L66" i="1"/>
  <c r="M151" i="1"/>
  <c r="L151" i="1"/>
  <c r="L225" i="1"/>
  <c r="M225" i="1"/>
  <c r="L62" i="1"/>
  <c r="M62" i="1"/>
  <c r="L219" i="1"/>
  <c r="M219" i="1"/>
  <c r="L208" i="1"/>
  <c r="M208" i="1"/>
  <c r="L72" i="1"/>
  <c r="M72" i="1"/>
  <c r="M86" i="1"/>
  <c r="L86" i="1"/>
  <c r="L99" i="1"/>
  <c r="M99" i="1"/>
  <c r="L44" i="1"/>
  <c r="M44" i="1"/>
  <c r="L92" i="1"/>
  <c r="M92" i="1"/>
  <c r="L134" i="1"/>
  <c r="M134" i="1"/>
  <c r="L114" i="1"/>
  <c r="M114" i="1"/>
  <c r="M182" i="1"/>
  <c r="L182" i="1"/>
  <c r="L185" i="1"/>
  <c r="M185" i="1"/>
  <c r="L203" i="1"/>
  <c r="M203" i="1"/>
  <c r="L158" i="1"/>
  <c r="M158" i="1"/>
  <c r="L93" i="1"/>
  <c r="M93" i="1"/>
  <c r="L95" i="1"/>
  <c r="M95" i="1"/>
  <c r="L48" i="1"/>
  <c r="M48" i="1"/>
  <c r="L82" i="1"/>
  <c r="M82" i="1"/>
  <c r="L178" i="1"/>
  <c r="M178" i="1"/>
  <c r="L224" i="1"/>
  <c r="M224" i="1"/>
  <c r="L27" i="1"/>
  <c r="M27" i="1"/>
  <c r="L179" i="1"/>
  <c r="M179" i="1"/>
  <c r="L198" i="1"/>
  <c r="M198" i="1"/>
  <c r="L207" i="1"/>
  <c r="M207" i="1"/>
  <c r="L232" i="1"/>
  <c r="M232" i="1"/>
  <c r="M239" i="1"/>
  <c r="L239" i="1"/>
  <c r="L144" i="1"/>
  <c r="M144" i="1"/>
  <c r="L220" i="1"/>
  <c r="M220" i="1"/>
  <c r="M146" i="1"/>
  <c r="L146" i="1"/>
  <c r="L191" i="1"/>
  <c r="M191" i="1"/>
  <c r="L145" i="1"/>
  <c r="M145" i="1"/>
  <c r="L213" i="1"/>
  <c r="M213" i="1"/>
  <c r="L147" i="1"/>
  <c r="M147" i="1"/>
  <c r="L46" i="1"/>
  <c r="M46" i="1"/>
  <c r="L143" i="1"/>
  <c r="M143" i="1"/>
  <c r="L83" i="1"/>
  <c r="M83" i="1"/>
  <c r="L129" i="1"/>
  <c r="M129" i="1"/>
  <c r="L102" i="1"/>
  <c r="M102" i="1"/>
  <c r="M194" i="1"/>
  <c r="L194" i="1"/>
  <c r="M58" i="1"/>
  <c r="L58" i="1"/>
  <c r="L200" i="1"/>
  <c r="M200" i="1"/>
  <c r="L149" i="1"/>
  <c r="M149" i="1"/>
  <c r="M241" i="1"/>
  <c r="L241" i="1"/>
  <c r="L196" i="1"/>
  <c r="M196" i="1"/>
  <c r="L243" i="1"/>
  <c r="M243" i="1"/>
  <c r="L43" i="1"/>
  <c r="M43" i="1"/>
  <c r="L79" i="1"/>
  <c r="M79" i="1"/>
  <c r="M236" i="1"/>
  <c r="L236" i="1"/>
  <c r="L51" i="1"/>
  <c r="M51" i="1"/>
  <c r="L171" i="1"/>
  <c r="M171" i="1"/>
  <c r="M154" i="1"/>
  <c r="L154" i="1"/>
  <c r="M242" i="1"/>
  <c r="L242" i="1"/>
  <c r="L206" i="1"/>
  <c r="M206" i="1"/>
  <c r="M54" i="1"/>
  <c r="L54" i="1"/>
  <c r="L199" i="1"/>
  <c r="M199" i="1"/>
  <c r="M122" i="1"/>
  <c r="L122" i="1"/>
  <c r="L238" i="1"/>
  <c r="M238" i="1"/>
  <c r="L244" i="1"/>
  <c r="M244" i="1"/>
  <c r="L125" i="1"/>
  <c r="M125" i="1"/>
  <c r="L156" i="1"/>
  <c r="M156" i="1"/>
  <c r="M214" i="1"/>
  <c r="L214" i="1"/>
  <c r="L26" i="1"/>
  <c r="M26" i="1"/>
  <c r="L63" i="1"/>
  <c r="M63" i="1"/>
  <c r="L71" i="1"/>
  <c r="M71" i="1"/>
  <c r="M22" i="1"/>
  <c r="L22" i="1"/>
  <c r="M87" i="1"/>
  <c r="L87" i="1"/>
  <c r="L100" i="1"/>
  <c r="M100" i="1"/>
  <c r="M130" i="1"/>
  <c r="L130" i="1"/>
  <c r="L104" i="1"/>
  <c r="M104" i="1"/>
  <c r="L153" i="1"/>
  <c r="M153" i="1"/>
  <c r="L38" i="1"/>
  <c r="M38" i="1"/>
  <c r="L221" i="1"/>
  <c r="M221" i="1"/>
  <c r="L195" i="1"/>
  <c r="M195" i="1"/>
  <c r="L227" i="1"/>
  <c r="M227" i="1"/>
  <c r="L128" i="1"/>
  <c r="M128" i="1"/>
  <c r="M202" i="1"/>
  <c r="L202" i="1"/>
  <c r="L112" i="1"/>
  <c r="M112" i="1"/>
  <c r="L249" i="1"/>
  <c r="M249" i="1"/>
  <c r="M237" i="1"/>
  <c r="L237" i="1"/>
  <c r="L97" i="1"/>
  <c r="M97" i="1"/>
  <c r="M173" i="1"/>
  <c r="L173" i="1"/>
  <c r="L140" i="1"/>
  <c r="M140" i="1"/>
  <c r="L89" i="1"/>
  <c r="M89" i="1"/>
  <c r="M42" i="1"/>
  <c r="L42" i="1"/>
  <c r="L165" i="1"/>
  <c r="M165" i="1"/>
  <c r="L81" i="1"/>
  <c r="M81" i="1"/>
  <c r="M218" i="1"/>
  <c r="L218" i="1"/>
  <c r="L217" i="1"/>
  <c r="M217" i="1"/>
  <c r="L65" i="1"/>
  <c r="M65" i="1"/>
  <c r="L148" i="1"/>
  <c r="M148" i="1"/>
  <c r="L126" i="1"/>
  <c r="M126" i="1"/>
  <c r="L64" i="1"/>
  <c r="M64" i="1"/>
  <c r="M186" i="1"/>
  <c r="L186" i="1"/>
  <c r="L123" i="1"/>
  <c r="M123" i="1"/>
  <c r="L35" i="1"/>
  <c r="M35" i="1"/>
  <c r="L108" i="1"/>
  <c r="M108" i="1"/>
  <c r="L80" i="1"/>
  <c r="M80" i="1"/>
  <c r="L201" i="1"/>
  <c r="M201" i="1"/>
  <c r="L120" i="1"/>
  <c r="M120" i="1"/>
  <c r="L73" i="1"/>
  <c r="M73" i="1"/>
  <c r="L41" i="1"/>
  <c r="M41" i="1"/>
  <c r="L167" i="1"/>
  <c r="M167" i="1"/>
  <c r="M210" i="1"/>
  <c r="L210" i="1"/>
  <c r="L216" i="1"/>
  <c r="M216" i="1"/>
  <c r="L25" i="1"/>
  <c r="M25" i="1"/>
  <c r="L116" i="1"/>
  <c r="M116" i="1"/>
  <c r="L56" i="1"/>
  <c r="M56" i="1"/>
  <c r="L57" i="1"/>
  <c r="M57" i="1"/>
  <c r="L137" i="1"/>
  <c r="M137" i="1"/>
  <c r="L68" i="1"/>
  <c r="M68" i="1"/>
  <c r="L177" i="1"/>
  <c r="M177" i="1"/>
  <c r="L110" i="1"/>
  <c r="M110" i="1"/>
  <c r="L223" i="1"/>
  <c r="M223" i="1"/>
  <c r="L117" i="1"/>
  <c r="M117" i="1"/>
  <c r="M98" i="1"/>
  <c r="L98" i="1"/>
  <c r="L96" i="1"/>
  <c r="M96" i="1"/>
  <c r="M250" i="1"/>
  <c r="L250" i="1"/>
  <c r="L248" i="1"/>
  <c r="M248" i="1"/>
  <c r="L233" i="1"/>
  <c r="M233" i="1"/>
  <c r="L175" i="1"/>
  <c r="M175" i="1"/>
  <c r="L235" i="1"/>
  <c r="M235" i="1"/>
  <c r="L204" i="1"/>
  <c r="M204" i="1"/>
  <c r="L142" i="1"/>
  <c r="M142" i="1"/>
  <c r="M141" i="1"/>
  <c r="L141" i="1"/>
  <c r="L33" i="1"/>
  <c r="M33" i="1"/>
  <c r="L85" i="1"/>
  <c r="M85" i="1"/>
  <c r="L60" i="1"/>
  <c r="M60" i="1"/>
  <c r="L132" i="1"/>
  <c r="M132" i="1"/>
  <c r="L32" i="1"/>
  <c r="M32" i="1"/>
  <c r="L74" i="1"/>
  <c r="M74" i="1"/>
  <c r="L75" i="1"/>
  <c r="M75" i="1"/>
  <c r="M118" i="1"/>
  <c r="L118" i="1"/>
  <c r="L166" i="1"/>
  <c r="M166" i="1"/>
  <c r="L47" i="1"/>
  <c r="M47" i="1"/>
  <c r="L31" i="1"/>
  <c r="M31" i="1"/>
  <c r="M162" i="1"/>
  <c r="L162" i="1"/>
  <c r="L135" i="1"/>
  <c r="M135" i="1"/>
  <c r="M246" i="1"/>
  <c r="L246" i="1"/>
  <c r="L168" i="1"/>
  <c r="M168" i="1"/>
  <c r="L161" i="1"/>
  <c r="M161" i="1"/>
  <c r="L188" i="1"/>
  <c r="M188" i="1"/>
  <c r="M150" i="1"/>
  <c r="L150" i="1"/>
  <c r="Y28" i="1"/>
  <c r="Y27" i="1"/>
  <c r="O22" i="1"/>
  <c r="P22" i="1"/>
  <c r="O60" i="1"/>
  <c r="P60" i="1"/>
  <c r="O247" i="1"/>
  <c r="P247" i="1"/>
  <c r="F75" i="1"/>
  <c r="F201" i="1"/>
  <c r="F29" i="1"/>
  <c r="F5" i="1"/>
  <c r="F246" i="1"/>
  <c r="F92" i="1"/>
  <c r="F25" i="1"/>
  <c r="F67" i="1"/>
  <c r="F131" i="1"/>
  <c r="F12" i="1"/>
  <c r="F118" i="1"/>
  <c r="F99" i="1"/>
  <c r="F206" i="1"/>
  <c r="F239" i="1"/>
  <c r="F79" i="1"/>
  <c r="F177" i="1"/>
  <c r="F72" i="1"/>
  <c r="F107" i="1"/>
  <c r="F175" i="1"/>
  <c r="F36" i="1"/>
  <c r="F115" i="1"/>
  <c r="F105" i="1"/>
  <c r="F145" i="1"/>
  <c r="F164" i="1"/>
  <c r="F43" i="1"/>
  <c r="F252" i="1"/>
  <c r="F28" i="1"/>
  <c r="F60" i="1"/>
  <c r="F33" i="1"/>
  <c r="F41" i="1"/>
  <c r="F236" i="1"/>
  <c r="F158" i="1"/>
  <c r="F104" i="1"/>
  <c r="F130" i="1"/>
  <c r="F191" i="1"/>
  <c r="F51" i="1"/>
  <c r="F174" i="1"/>
  <c r="F232" i="1"/>
  <c r="F53" i="1"/>
  <c r="F31" i="1"/>
  <c r="F134" i="1"/>
  <c r="F103" i="1"/>
  <c r="F139" i="1"/>
  <c r="F214" i="1"/>
  <c r="F126" i="1"/>
  <c r="F240" i="1"/>
  <c r="F80" i="1"/>
  <c r="F45" i="1"/>
  <c r="F113" i="1"/>
  <c r="F204" i="1"/>
  <c r="F9" i="1"/>
  <c r="F58" i="1"/>
  <c r="F192" i="1"/>
  <c r="F76" i="1"/>
  <c r="F187" i="1"/>
  <c r="F223" i="1"/>
  <c r="F16" i="1"/>
  <c r="F132" i="1"/>
  <c r="F196" i="1"/>
  <c r="F225" i="1"/>
  <c r="F137" i="1"/>
  <c r="F250" i="1"/>
  <c r="F98" i="1"/>
  <c r="F112" i="1"/>
  <c r="F165" i="1"/>
  <c r="F63" i="1"/>
  <c r="F194" i="1"/>
  <c r="F182" i="1"/>
  <c r="F142" i="1"/>
  <c r="F121" i="1"/>
  <c r="F54" i="1"/>
  <c r="F124" i="1"/>
  <c r="F69" i="1"/>
  <c r="F219" i="1"/>
  <c r="F153" i="1"/>
  <c r="F21" i="1"/>
  <c r="F111" i="1"/>
  <c r="F73" i="1"/>
  <c r="F116" i="1"/>
  <c r="F68" i="1"/>
  <c r="F6" i="1"/>
  <c r="F35" i="1"/>
  <c r="F189" i="1"/>
  <c r="F179" i="1"/>
  <c r="F211" i="1"/>
  <c r="F215" i="1"/>
  <c r="F231" i="1"/>
  <c r="F247" i="1"/>
  <c r="F83" i="1"/>
  <c r="F245" i="1"/>
  <c r="F198" i="1"/>
  <c r="F208" i="1"/>
  <c r="F96" i="1"/>
  <c r="F30" i="1"/>
  <c r="F123" i="1"/>
  <c r="F178" i="1"/>
  <c r="F248" i="1"/>
  <c r="F37" i="1"/>
  <c r="F218" i="1"/>
  <c r="F149" i="1"/>
  <c r="F154" i="1"/>
  <c r="F148" i="1"/>
  <c r="F109" i="1"/>
  <c r="F169" i="1"/>
  <c r="F203" i="1"/>
  <c r="F81" i="1"/>
  <c r="F184" i="1"/>
  <c r="F32" i="1"/>
  <c r="F197" i="1"/>
  <c r="F224" i="1"/>
  <c r="F185" i="1"/>
  <c r="F106" i="1"/>
  <c r="F4" i="1"/>
  <c r="F167" i="1"/>
  <c r="F108" i="1"/>
  <c r="F146" i="1"/>
  <c r="F2" i="1"/>
  <c r="F55" i="1"/>
  <c r="F46" i="1"/>
  <c r="F89" i="1"/>
  <c r="F24" i="1"/>
  <c r="F249" i="1"/>
  <c r="F230" i="1"/>
  <c r="F242" i="1"/>
  <c r="F61" i="1"/>
  <c r="F155" i="1"/>
  <c r="F56" i="1"/>
  <c r="F237" i="1"/>
  <c r="F229" i="1"/>
  <c r="F94" i="1"/>
  <c r="F3" i="1"/>
  <c r="F222" i="1"/>
  <c r="F34" i="1"/>
  <c r="F166" i="1"/>
  <c r="F151" i="1"/>
  <c r="F23" i="1"/>
  <c r="F86" i="1"/>
  <c r="F38" i="1"/>
  <c r="F135" i="1"/>
  <c r="F27" i="1"/>
  <c r="F220" i="1"/>
  <c r="F8" i="1"/>
  <c r="F95" i="1"/>
  <c r="F90" i="1"/>
  <c r="F244" i="1"/>
  <c r="F181" i="1"/>
  <c r="F183" i="1"/>
  <c r="F42" i="1"/>
  <c r="F101" i="1"/>
  <c r="F173" i="1"/>
  <c r="F241" i="1"/>
  <c r="F162" i="1"/>
  <c r="F18" i="1"/>
  <c r="F205" i="1"/>
  <c r="F77" i="1"/>
  <c r="F120" i="1"/>
  <c r="F163" i="1"/>
  <c r="F235" i="1"/>
  <c r="F114" i="1"/>
  <c r="F40" i="1"/>
  <c r="F207" i="1"/>
  <c r="F156" i="1"/>
  <c r="F44" i="1"/>
  <c r="F93" i="1"/>
  <c r="F228" i="1"/>
  <c r="F152" i="1"/>
  <c r="F168" i="1"/>
  <c r="F234" i="1"/>
  <c r="F119" i="1"/>
  <c r="F117" i="1"/>
  <c r="F102" i="1"/>
  <c r="F110" i="1"/>
  <c r="F199" i="1"/>
  <c r="F22" i="1"/>
  <c r="F87" i="1"/>
  <c r="F200" i="1"/>
  <c r="F39" i="1"/>
  <c r="F157" i="1"/>
  <c r="F147" i="1"/>
  <c r="F195" i="1"/>
  <c r="F129" i="1"/>
  <c r="F171" i="1"/>
  <c r="F85" i="1"/>
  <c r="F57" i="1"/>
  <c r="F251" i="1"/>
  <c r="F144" i="1"/>
  <c r="F19" i="1"/>
  <c r="F243" i="1"/>
  <c r="F213" i="1"/>
  <c r="F216" i="1"/>
  <c r="F52" i="1"/>
  <c r="F26" i="1"/>
  <c r="F59" i="1"/>
  <c r="F217" i="1"/>
  <c r="F188" i="1"/>
  <c r="F15" i="1"/>
  <c r="F186" i="1"/>
  <c r="F14" i="1"/>
  <c r="F161" i="1"/>
  <c r="F47" i="1"/>
  <c r="F238" i="1"/>
  <c r="F233" i="1"/>
  <c r="F140" i="1"/>
  <c r="F65" i="1"/>
  <c r="F78" i="1"/>
  <c r="F88" i="1"/>
  <c r="F20" i="1"/>
  <c r="F133" i="1"/>
  <c r="F190" i="1"/>
  <c r="F91" i="1"/>
  <c r="F138" i="1"/>
  <c r="F84" i="1"/>
  <c r="F50" i="1"/>
  <c r="F172" i="1"/>
  <c r="F176" i="1"/>
  <c r="F48" i="1"/>
  <c r="F74" i="1"/>
  <c r="F127" i="1"/>
  <c r="F49" i="1"/>
  <c r="F62" i="1"/>
  <c r="F141" i="1"/>
  <c r="F82" i="1"/>
  <c r="F180" i="1"/>
  <c r="F70" i="1"/>
  <c r="F221" i="1"/>
  <c r="F227" i="1"/>
  <c r="F11" i="1"/>
  <c r="F128" i="1"/>
  <c r="F122" i="1"/>
  <c r="F170" i="1"/>
  <c r="F71" i="1"/>
  <c r="F97" i="1"/>
  <c r="F193" i="1"/>
  <c r="F150" i="1"/>
  <c r="F160" i="1"/>
  <c r="F17" i="1"/>
  <c r="F210" i="1"/>
  <c r="F13" i="1"/>
  <c r="F64" i="1"/>
  <c r="F226" i="1"/>
  <c r="F202" i="1"/>
  <c r="F212" i="1"/>
  <c r="F7" i="1"/>
  <c r="F159" i="1"/>
  <c r="F143" i="1"/>
  <c r="F10" i="1"/>
  <c r="F125" i="1"/>
  <c r="F209" i="1"/>
  <c r="F136" i="1"/>
  <c r="F66" i="1"/>
  <c r="F100" i="1"/>
  <c r="O201" i="1"/>
  <c r="P201" i="1"/>
  <c r="P23" i="1"/>
  <c r="O23" i="1"/>
  <c r="P204" i="1"/>
  <c r="O204" i="1"/>
  <c r="P12" i="1"/>
  <c r="O12" i="1"/>
  <c r="P43" i="1"/>
  <c r="O43" i="1"/>
  <c r="O19" i="1"/>
  <c r="P19" i="1"/>
  <c r="P189" i="1"/>
  <c r="O189" i="1"/>
  <c r="O42" i="1"/>
  <c r="P42" i="1"/>
  <c r="P47" i="1"/>
  <c r="O47" i="1"/>
  <c r="O158" i="1"/>
  <c r="P158" i="1"/>
  <c r="O97" i="1"/>
  <c r="P97" i="1"/>
  <c r="O65" i="1"/>
  <c r="P65" i="1"/>
  <c r="O92" i="1"/>
  <c r="P92" i="1"/>
  <c r="P93" i="1"/>
  <c r="O93" i="1"/>
  <c r="O137" i="1"/>
  <c r="P137" i="1"/>
  <c r="P230" i="1"/>
  <c r="O230" i="1"/>
  <c r="P26" i="1"/>
  <c r="O26" i="1"/>
  <c r="O33" i="1"/>
  <c r="P33" i="1"/>
  <c r="O16" i="1"/>
  <c r="P16" i="1"/>
  <c r="O45" i="1"/>
  <c r="P45" i="1"/>
  <c r="P220" i="1"/>
  <c r="O220" i="1"/>
  <c r="O143" i="1"/>
  <c r="P143" i="1"/>
  <c r="P145" i="1"/>
  <c r="O145" i="1"/>
  <c r="P199" i="1"/>
  <c r="O199" i="1"/>
  <c r="P116" i="1"/>
  <c r="O116" i="1"/>
  <c r="O146" i="1"/>
  <c r="P146" i="1"/>
  <c r="O50" i="1"/>
  <c r="P50" i="1"/>
  <c r="P20" i="1"/>
  <c r="O20" i="1"/>
  <c r="O194" i="1"/>
  <c r="P194" i="1"/>
  <c r="O140" i="1"/>
  <c r="P140" i="1"/>
  <c r="P144" i="1"/>
  <c r="O144" i="1"/>
  <c r="O118" i="1"/>
  <c r="P118" i="1"/>
  <c r="P28" i="1"/>
  <c r="O28" i="1"/>
  <c r="O115" i="1"/>
  <c r="P115" i="1"/>
  <c r="O222" i="1"/>
  <c r="P222" i="1"/>
  <c r="P152" i="1"/>
  <c r="O152" i="1"/>
  <c r="P104" i="1"/>
  <c r="O104" i="1"/>
  <c r="O78" i="1"/>
  <c r="P78" i="1"/>
  <c r="O217" i="1"/>
  <c r="P217" i="1"/>
  <c r="O186" i="1"/>
  <c r="P186" i="1"/>
  <c r="P150" i="1"/>
  <c r="O150" i="1"/>
  <c r="O71" i="1"/>
  <c r="P71" i="1"/>
  <c r="P139" i="1"/>
  <c r="O139" i="1"/>
  <c r="O155" i="1"/>
  <c r="P155" i="1"/>
  <c r="O25" i="1"/>
  <c r="P25" i="1"/>
  <c r="P156" i="1"/>
  <c r="O156" i="1"/>
  <c r="O161" i="1"/>
  <c r="P161" i="1"/>
  <c r="O46" i="1"/>
  <c r="P46" i="1"/>
  <c r="P159" i="1"/>
  <c r="O159" i="1"/>
  <c r="O215" i="1"/>
  <c r="P215" i="1"/>
  <c r="O4" i="1"/>
  <c r="P4" i="1"/>
  <c r="O170" i="1"/>
  <c r="P170" i="1"/>
  <c r="P58" i="1"/>
  <c r="O58" i="1"/>
  <c r="O250" i="1"/>
  <c r="P250" i="1"/>
  <c r="O39" i="1"/>
  <c r="P39" i="1"/>
  <c r="O174" i="1"/>
  <c r="P174" i="1"/>
  <c r="P8" i="1"/>
  <c r="O8" i="1"/>
  <c r="O124" i="1"/>
  <c r="P124" i="1"/>
  <c r="O237" i="1"/>
  <c r="P237" i="1"/>
  <c r="P106" i="1"/>
  <c r="O106" i="1"/>
  <c r="P89" i="1"/>
  <c r="O89" i="1"/>
  <c r="O128" i="1"/>
  <c r="P128" i="1"/>
  <c r="O206" i="1"/>
  <c r="P206" i="1"/>
  <c r="P236" i="1"/>
  <c r="O236" i="1"/>
  <c r="P234" i="1"/>
  <c r="O234" i="1"/>
  <c r="O103" i="1"/>
  <c r="P103" i="1"/>
  <c r="P169" i="1"/>
  <c r="O169" i="1"/>
  <c r="O6" i="1"/>
  <c r="P6" i="1"/>
  <c r="P74" i="1"/>
  <c r="O74" i="1"/>
  <c r="P165" i="1"/>
  <c r="O165" i="1"/>
  <c r="P51" i="1"/>
  <c r="O51" i="1"/>
  <c r="P56" i="1"/>
  <c r="O56" i="1"/>
  <c r="O34" i="1"/>
  <c r="P34" i="1"/>
  <c r="P62" i="1"/>
  <c r="O62" i="1"/>
  <c r="O154" i="1"/>
  <c r="P154" i="1"/>
  <c r="O94" i="1"/>
  <c r="P94" i="1"/>
  <c r="O244" i="1"/>
  <c r="P244" i="1"/>
  <c r="O70" i="1"/>
  <c r="P70" i="1"/>
  <c r="O243" i="1"/>
  <c r="P243" i="1"/>
  <c r="P239" i="1"/>
  <c r="O239" i="1"/>
  <c r="P113" i="1"/>
  <c r="O113" i="1"/>
  <c r="O31" i="1"/>
  <c r="P31" i="1"/>
  <c r="P3" i="1"/>
  <c r="O3" i="1"/>
  <c r="O228" i="1"/>
  <c r="P228" i="1"/>
  <c r="O197" i="1"/>
  <c r="P197" i="1"/>
  <c r="O248" i="1"/>
  <c r="P248" i="1"/>
  <c r="P235" i="1"/>
  <c r="O235" i="1"/>
  <c r="P252" i="1"/>
  <c r="O252" i="1"/>
  <c r="P193" i="1"/>
  <c r="O193" i="1"/>
  <c r="O24" i="1"/>
  <c r="P24" i="1"/>
  <c r="P136" i="1"/>
  <c r="O136" i="1"/>
  <c r="P148" i="1"/>
  <c r="O148" i="1"/>
  <c r="P86" i="1"/>
  <c r="O86" i="1"/>
  <c r="P147" i="1"/>
  <c r="O147" i="1"/>
  <c r="P30" i="1"/>
  <c r="O30" i="1"/>
  <c r="P241" i="1"/>
  <c r="O241" i="1"/>
  <c r="O190" i="1"/>
  <c r="P190" i="1"/>
  <c r="P249" i="1"/>
  <c r="O249" i="1"/>
  <c r="P85" i="1"/>
  <c r="O85" i="1"/>
  <c r="O41" i="1"/>
  <c r="P41" i="1"/>
  <c r="P64" i="1"/>
  <c r="O64" i="1"/>
  <c r="P110" i="1"/>
  <c r="O110" i="1"/>
  <c r="P27" i="1"/>
  <c r="O27" i="1"/>
  <c r="P38" i="1"/>
  <c r="O38" i="1"/>
  <c r="O160" i="1"/>
  <c r="P160" i="1"/>
  <c r="P134" i="1"/>
  <c r="O134" i="1"/>
  <c r="P202" i="1"/>
  <c r="O202" i="1"/>
  <c r="P229" i="1"/>
  <c r="O229" i="1"/>
  <c r="O88" i="1"/>
  <c r="P88" i="1"/>
  <c r="P203" i="1"/>
  <c r="O203" i="1"/>
  <c r="O162" i="1"/>
  <c r="P162" i="1"/>
  <c r="O5" i="1"/>
  <c r="P5" i="1"/>
  <c r="O77" i="1"/>
  <c r="P77" i="1"/>
  <c r="P121" i="1"/>
  <c r="O121" i="1"/>
  <c r="O59" i="1"/>
  <c r="P59" i="1"/>
  <c r="P192" i="1"/>
  <c r="O192" i="1"/>
  <c r="P231" i="1"/>
  <c r="O231" i="1"/>
  <c r="P83" i="1"/>
  <c r="O83" i="1"/>
  <c r="O11" i="1"/>
  <c r="P11" i="1"/>
  <c r="P191" i="1"/>
  <c r="O191" i="1"/>
  <c r="P57" i="1"/>
  <c r="O57" i="1"/>
  <c r="O232" i="1"/>
  <c r="P232" i="1"/>
  <c r="P48" i="1"/>
  <c r="O48" i="1"/>
  <c r="P177" i="1"/>
  <c r="O177" i="1"/>
  <c r="P210" i="1"/>
  <c r="O210" i="1"/>
  <c r="O149" i="1"/>
  <c r="P149" i="1"/>
  <c r="O187" i="1"/>
  <c r="P187" i="1"/>
  <c r="P251" i="1"/>
  <c r="O251" i="1"/>
  <c r="P18" i="1"/>
  <c r="O18" i="1"/>
  <c r="P173" i="1"/>
  <c r="O173" i="1"/>
  <c r="O227" i="1"/>
  <c r="P227" i="1"/>
  <c r="P242" i="1"/>
  <c r="O242" i="1"/>
  <c r="P207" i="1"/>
  <c r="O207" i="1"/>
  <c r="P79" i="1"/>
  <c r="O79" i="1"/>
  <c r="O196" i="1"/>
  <c r="P196" i="1"/>
  <c r="O221" i="1"/>
  <c r="P221" i="1"/>
  <c r="P17" i="1"/>
  <c r="O17" i="1"/>
  <c r="P87" i="1"/>
  <c r="O87" i="1"/>
  <c r="P111" i="1"/>
  <c r="O111" i="1"/>
  <c r="O29" i="1"/>
  <c r="P29" i="1"/>
  <c r="O219" i="1"/>
  <c r="P219" i="1"/>
  <c r="P90" i="1"/>
  <c r="O90" i="1"/>
  <c r="O80" i="1"/>
  <c r="P80" i="1"/>
  <c r="P132" i="1"/>
  <c r="O132" i="1"/>
  <c r="P54" i="1"/>
  <c r="O54" i="1"/>
  <c r="O81" i="1"/>
  <c r="P81" i="1"/>
  <c r="P225" i="1"/>
  <c r="O225" i="1"/>
  <c r="O226" i="1"/>
  <c r="P226" i="1"/>
  <c r="P44" i="1"/>
  <c r="O44" i="1"/>
  <c r="P82" i="1"/>
  <c r="O82" i="1"/>
  <c r="P9" i="1"/>
  <c r="O9" i="1"/>
  <c r="P99" i="1"/>
  <c r="O99" i="1"/>
  <c r="P172" i="1"/>
  <c r="O172" i="1"/>
  <c r="P233" i="1"/>
  <c r="O233" i="1"/>
  <c r="O216" i="1"/>
  <c r="P216" i="1"/>
  <c r="P246" i="1"/>
  <c r="O246" i="1"/>
  <c r="P218" i="1"/>
  <c r="O218" i="1"/>
  <c r="P36" i="1"/>
  <c r="O36" i="1"/>
  <c r="O164" i="1"/>
  <c r="P164" i="1"/>
  <c r="P66" i="1"/>
  <c r="O66" i="1"/>
  <c r="O157" i="1"/>
  <c r="P157" i="1"/>
  <c r="P138" i="1"/>
  <c r="O138" i="1"/>
  <c r="O67" i="1"/>
  <c r="P67" i="1"/>
  <c r="P198" i="1"/>
  <c r="O198" i="1"/>
  <c r="O73" i="1"/>
  <c r="P73" i="1"/>
  <c r="O180" i="1"/>
  <c r="P180" i="1"/>
  <c r="O84" i="1"/>
  <c r="P84" i="1"/>
  <c r="O76" i="1"/>
  <c r="P76" i="1"/>
  <c r="P176" i="1"/>
  <c r="O176" i="1"/>
  <c r="O117" i="1"/>
  <c r="P117" i="1"/>
  <c r="P122" i="1"/>
  <c r="O122" i="1"/>
  <c r="O200" i="1"/>
  <c r="P200" i="1"/>
  <c r="O7" i="1"/>
  <c r="P7" i="1"/>
  <c r="P75" i="1"/>
  <c r="O75" i="1"/>
  <c r="P182" i="1"/>
  <c r="O182" i="1"/>
  <c r="O100" i="1"/>
  <c r="P100" i="1"/>
  <c r="O175" i="1"/>
  <c r="P175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P13" i="1"/>
  <c r="O13" i="1"/>
  <c r="P133" i="1"/>
  <c r="O133" i="1"/>
  <c r="O63" i="1"/>
  <c r="P63" i="1"/>
  <c r="P40" i="1"/>
  <c r="O40" i="1"/>
  <c r="P32" i="1"/>
  <c r="O32" i="1"/>
  <c r="P205" i="1"/>
  <c r="O205" i="1"/>
  <c r="O212" i="1"/>
  <c r="P212" i="1"/>
  <c r="P72" i="1"/>
  <c r="O72" i="1"/>
  <c r="P153" i="1"/>
  <c r="O153" i="1"/>
  <c r="P130" i="1"/>
  <c r="O130" i="1"/>
  <c r="O37" i="1"/>
  <c r="P37" i="1"/>
  <c r="P240" i="1"/>
  <c r="O240" i="1"/>
  <c r="P181" i="1"/>
  <c r="O181" i="1"/>
  <c r="O185" i="1"/>
  <c r="P185" i="1"/>
  <c r="P151" i="1"/>
  <c r="O151" i="1"/>
  <c r="P188" i="1"/>
  <c r="O188" i="1"/>
  <c r="O120" i="1"/>
  <c r="P120" i="1"/>
  <c r="P105" i="1"/>
  <c r="O105" i="1"/>
  <c r="P119" i="1"/>
  <c r="O119" i="1"/>
  <c r="P245" i="1"/>
  <c r="O245" i="1"/>
  <c r="P135" i="1"/>
  <c r="O135" i="1"/>
  <c r="O49" i="1"/>
  <c r="P49" i="1"/>
  <c r="P10" i="1"/>
  <c r="O10" i="1"/>
  <c r="O209" i="1"/>
  <c r="P209" i="1"/>
  <c r="P95" i="1"/>
  <c r="O95" i="1"/>
  <c r="P163" i="1"/>
  <c r="O163" i="1"/>
  <c r="O195" i="1"/>
  <c r="P195" i="1"/>
  <c r="O68" i="1"/>
  <c r="P68" i="1"/>
  <c r="P167" i="1"/>
  <c r="O167" i="1"/>
  <c r="O96" i="1"/>
  <c r="P96" i="1"/>
  <c r="P183" i="1"/>
  <c r="O183" i="1"/>
  <c r="P166" i="1"/>
  <c r="O166" i="1"/>
  <c r="P171" i="1"/>
  <c r="O171" i="1"/>
  <c r="W30" i="1"/>
  <c r="P211" i="1"/>
  <c r="O211" i="1"/>
  <c r="P112" i="1"/>
  <c r="O112" i="1"/>
  <c r="P14" i="1"/>
  <c r="O14" i="1"/>
  <c r="P131" i="1"/>
  <c r="O131" i="1"/>
  <c r="O15" i="1"/>
  <c r="P15" i="1"/>
  <c r="P223" i="1"/>
  <c r="O223" i="1"/>
  <c r="O101" i="1"/>
  <c r="P101" i="1"/>
  <c r="O109" i="1"/>
  <c r="P109" i="1"/>
  <c r="O141" i="1"/>
  <c r="P141" i="1"/>
  <c r="P178" i="1"/>
  <c r="O178" i="1"/>
  <c r="O61" i="1"/>
  <c r="P61" i="1"/>
  <c r="P213" i="1"/>
  <c r="O213" i="1"/>
  <c r="P208" i="1"/>
  <c r="O208" i="1"/>
  <c r="P179" i="1"/>
  <c r="O179" i="1"/>
  <c r="O21" i="1"/>
  <c r="P21" i="1"/>
  <c r="P184" i="1"/>
  <c r="O184" i="1"/>
  <c r="P127" i="1"/>
  <c r="O127" i="1"/>
  <c r="P52" i="1"/>
  <c r="O52" i="1"/>
  <c r="P98" i="1"/>
  <c r="O98" i="1"/>
  <c r="O69" i="1"/>
  <c r="P69" i="1"/>
  <c r="P107" i="1"/>
  <c r="O107" i="1"/>
  <c r="O214" i="1"/>
  <c r="P214" i="1"/>
  <c r="P123" i="1"/>
  <c r="O123" i="1"/>
  <c r="O238" i="1"/>
  <c r="P238" i="1"/>
  <c r="P91" i="1"/>
  <c r="O91" i="1"/>
  <c r="P102" i="1"/>
  <c r="O102" i="1"/>
  <c r="P224" i="1"/>
  <c r="O224" i="1"/>
  <c r="P55" i="1"/>
  <c r="O55" i="1"/>
  <c r="P129" i="1"/>
  <c r="O129" i="1"/>
  <c r="O53" i="1"/>
  <c r="P53" i="1"/>
  <c r="P114" i="1"/>
  <c r="O114" i="1"/>
  <c r="H171" i="1" l="1"/>
  <c r="I171" i="1"/>
  <c r="R15" i="1"/>
  <c r="H143" i="1"/>
  <c r="I14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1" i="1"/>
  <c r="H251" i="1"/>
  <c r="H39" i="1"/>
  <c r="I39" i="1"/>
  <c r="H110" i="1"/>
  <c r="I110" i="1"/>
  <c r="H234" i="1"/>
  <c r="I234" i="1"/>
  <c r="H205" i="1"/>
  <c r="I205" i="1"/>
  <c r="H8" i="1"/>
  <c r="I8" i="1"/>
  <c r="H135" i="1"/>
  <c r="I135" i="1"/>
  <c r="I3" i="1"/>
  <c r="H3" i="1"/>
  <c r="H55" i="1"/>
  <c r="I55" i="1"/>
  <c r="I224" i="1"/>
  <c r="H224" i="1"/>
  <c r="H81" i="1"/>
  <c r="I81" i="1"/>
  <c r="I6" i="1"/>
  <c r="H6" i="1"/>
  <c r="H73" i="1"/>
  <c r="I73" i="1"/>
  <c r="H69" i="1"/>
  <c r="I69" i="1"/>
  <c r="H121" i="1"/>
  <c r="I121" i="1"/>
  <c r="I223" i="1"/>
  <c r="H223" i="1"/>
  <c r="H58" i="1"/>
  <c r="I58" i="1"/>
  <c r="H53" i="1"/>
  <c r="I53" i="1"/>
  <c r="I130" i="1"/>
  <c r="H130" i="1"/>
  <c r="H41" i="1"/>
  <c r="I41" i="1"/>
  <c r="I43" i="1"/>
  <c r="H43" i="1"/>
  <c r="I115" i="1"/>
  <c r="H115" i="1"/>
  <c r="H246" i="1"/>
  <c r="I246" i="1"/>
  <c r="H201" i="1"/>
  <c r="I201" i="1"/>
  <c r="H160" i="1"/>
  <c r="I160" i="1"/>
  <c r="I221" i="1"/>
  <c r="H221" i="1"/>
  <c r="H172" i="1"/>
  <c r="I172" i="1"/>
  <c r="H133" i="1"/>
  <c r="I133" i="1"/>
  <c r="H217" i="1"/>
  <c r="I217" i="1"/>
  <c r="I57" i="1"/>
  <c r="H57" i="1"/>
  <c r="I168" i="1"/>
  <c r="H168" i="1"/>
  <c r="H18" i="1"/>
  <c r="I18" i="1"/>
  <c r="I183" i="1"/>
  <c r="H183" i="1"/>
  <c r="H38" i="1"/>
  <c r="I38" i="1"/>
  <c r="I166" i="1"/>
  <c r="H166" i="1"/>
  <c r="H155" i="1"/>
  <c r="I155" i="1"/>
  <c r="H2" i="1"/>
  <c r="I2" i="1"/>
  <c r="I106" i="1"/>
  <c r="H106" i="1"/>
  <c r="I203" i="1"/>
  <c r="H203" i="1"/>
  <c r="H148" i="1"/>
  <c r="I148" i="1"/>
  <c r="I37" i="1"/>
  <c r="H37" i="1"/>
  <c r="H96" i="1"/>
  <c r="I96" i="1"/>
  <c r="I111" i="1"/>
  <c r="H111" i="1"/>
  <c r="H142" i="1"/>
  <c r="I142" i="1"/>
  <c r="H63" i="1"/>
  <c r="I63" i="1"/>
  <c r="H250" i="1"/>
  <c r="I250" i="1"/>
  <c r="I187" i="1"/>
  <c r="H187" i="1"/>
  <c r="I9" i="1"/>
  <c r="H9" i="1"/>
  <c r="I104" i="1"/>
  <c r="H104" i="1"/>
  <c r="H33" i="1"/>
  <c r="I33" i="1"/>
  <c r="H164" i="1"/>
  <c r="I164" i="1"/>
  <c r="H36" i="1"/>
  <c r="I36" i="1"/>
  <c r="H79" i="1"/>
  <c r="I79" i="1"/>
  <c r="H118" i="1"/>
  <c r="I118" i="1"/>
  <c r="I75" i="1"/>
  <c r="H75" i="1"/>
  <c r="H100" i="1"/>
  <c r="I100" i="1"/>
  <c r="H125" i="1"/>
  <c r="I125" i="1"/>
  <c r="H159" i="1"/>
  <c r="I159" i="1"/>
  <c r="I150" i="1"/>
  <c r="H150" i="1"/>
  <c r="I128" i="1"/>
  <c r="H128" i="1"/>
  <c r="I49" i="1"/>
  <c r="H49" i="1"/>
  <c r="I50" i="1"/>
  <c r="H50" i="1"/>
  <c r="H78" i="1"/>
  <c r="I78" i="1"/>
  <c r="I47" i="1"/>
  <c r="H47" i="1"/>
  <c r="H59" i="1"/>
  <c r="I59" i="1"/>
  <c r="H213" i="1"/>
  <c r="I213" i="1"/>
  <c r="H200" i="1"/>
  <c r="I200" i="1"/>
  <c r="H102" i="1"/>
  <c r="I102" i="1"/>
  <c r="I152" i="1"/>
  <c r="H152" i="1"/>
  <c r="I93" i="1"/>
  <c r="H93" i="1"/>
  <c r="H114" i="1"/>
  <c r="I114" i="1"/>
  <c r="H162" i="1"/>
  <c r="I162" i="1"/>
  <c r="H94" i="1"/>
  <c r="I94" i="1"/>
  <c r="I61" i="1"/>
  <c r="H61" i="1"/>
  <c r="H108" i="1"/>
  <c r="I108" i="1"/>
  <c r="H154" i="1"/>
  <c r="I154" i="1"/>
  <c r="H248" i="1"/>
  <c r="I248" i="1"/>
  <c r="H83" i="1"/>
  <c r="I83" i="1"/>
  <c r="I211" i="1"/>
  <c r="H211" i="1"/>
  <c r="H68" i="1"/>
  <c r="I68" i="1"/>
  <c r="H182" i="1"/>
  <c r="I182" i="1"/>
  <c r="H165" i="1"/>
  <c r="I165" i="1"/>
  <c r="I137" i="1"/>
  <c r="H137" i="1"/>
  <c r="H204" i="1"/>
  <c r="I204" i="1"/>
  <c r="I214" i="1"/>
  <c r="H214" i="1"/>
  <c r="H232" i="1"/>
  <c r="I232" i="1"/>
  <c r="H60" i="1"/>
  <c r="I60" i="1"/>
  <c r="H239" i="1"/>
  <c r="I239" i="1"/>
  <c r="H12" i="1"/>
  <c r="I12" i="1"/>
  <c r="H5" i="1"/>
  <c r="I5" i="1"/>
  <c r="H195" i="1"/>
  <c r="I195" i="1"/>
  <c r="I66" i="1"/>
  <c r="H66" i="1"/>
  <c r="I7" i="1"/>
  <c r="H7" i="1"/>
  <c r="H226" i="1"/>
  <c r="I226" i="1"/>
  <c r="H193" i="1"/>
  <c r="I193" i="1"/>
  <c r="H70" i="1"/>
  <c r="I70" i="1"/>
  <c r="H127" i="1"/>
  <c r="I127" i="1"/>
  <c r="H84" i="1"/>
  <c r="I84" i="1"/>
  <c r="H65" i="1"/>
  <c r="I65" i="1"/>
  <c r="H26" i="1"/>
  <c r="I26" i="1"/>
  <c r="H243" i="1"/>
  <c r="I243" i="1"/>
  <c r="I85" i="1"/>
  <c r="H85" i="1"/>
  <c r="H235" i="1"/>
  <c r="I235" i="1"/>
  <c r="I173" i="1"/>
  <c r="H173" i="1"/>
  <c r="H181" i="1"/>
  <c r="I181" i="1"/>
  <c r="I220" i="1"/>
  <c r="H220" i="1"/>
  <c r="H86" i="1"/>
  <c r="I86" i="1"/>
  <c r="H242" i="1"/>
  <c r="I242" i="1"/>
  <c r="H197" i="1"/>
  <c r="I197" i="1"/>
  <c r="I178" i="1"/>
  <c r="H178" i="1"/>
  <c r="H208" i="1"/>
  <c r="I208" i="1"/>
  <c r="H179" i="1"/>
  <c r="I179" i="1"/>
  <c r="I21" i="1"/>
  <c r="H21" i="1"/>
  <c r="H225" i="1"/>
  <c r="I225" i="1"/>
  <c r="H113" i="1"/>
  <c r="I113" i="1"/>
  <c r="I80" i="1"/>
  <c r="H80" i="1"/>
  <c r="H139" i="1"/>
  <c r="I139" i="1"/>
  <c r="H174" i="1"/>
  <c r="I174" i="1"/>
  <c r="H158" i="1"/>
  <c r="I158" i="1"/>
  <c r="I28" i="1"/>
  <c r="H28" i="1"/>
  <c r="H175" i="1"/>
  <c r="I175" i="1"/>
  <c r="H163" i="1"/>
  <c r="I163" i="1"/>
  <c r="H101" i="1"/>
  <c r="I101" i="1"/>
  <c r="H244" i="1"/>
  <c r="I244" i="1"/>
  <c r="H23" i="1"/>
  <c r="I23" i="1"/>
  <c r="H34" i="1"/>
  <c r="I34" i="1"/>
  <c r="I229" i="1"/>
  <c r="H229" i="1"/>
  <c r="H24" i="1"/>
  <c r="I24" i="1"/>
  <c r="H146" i="1"/>
  <c r="I146" i="1"/>
  <c r="I32" i="1"/>
  <c r="H32" i="1"/>
  <c r="H169" i="1"/>
  <c r="I169" i="1"/>
  <c r="H247" i="1"/>
  <c r="I247" i="1"/>
  <c r="I189" i="1"/>
  <c r="H189" i="1"/>
  <c r="H116" i="1"/>
  <c r="I116" i="1"/>
  <c r="I153" i="1"/>
  <c r="H153" i="1"/>
  <c r="H112" i="1"/>
  <c r="I112" i="1"/>
  <c r="I196" i="1"/>
  <c r="H196" i="1"/>
  <c r="I240" i="1"/>
  <c r="H240" i="1"/>
  <c r="I103" i="1"/>
  <c r="H103" i="1"/>
  <c r="I51" i="1"/>
  <c r="H51" i="1"/>
  <c r="H107" i="1"/>
  <c r="I107" i="1"/>
  <c r="H206" i="1"/>
  <c r="I206" i="1"/>
  <c r="H131" i="1"/>
  <c r="I131" i="1"/>
  <c r="H180" i="1"/>
  <c r="I180" i="1"/>
  <c r="I138" i="1"/>
  <c r="H138" i="1"/>
  <c r="H20" i="1"/>
  <c r="I20" i="1"/>
  <c r="I136" i="1"/>
  <c r="H136" i="1"/>
  <c r="I212" i="1"/>
  <c r="H212" i="1"/>
  <c r="H13" i="1"/>
  <c r="I13" i="1"/>
  <c r="I71" i="1"/>
  <c r="H71" i="1"/>
  <c r="I82" i="1"/>
  <c r="H82" i="1"/>
  <c r="H161" i="1"/>
  <c r="I161" i="1"/>
  <c r="H15" i="1"/>
  <c r="I15" i="1"/>
  <c r="H52" i="1"/>
  <c r="I52" i="1"/>
  <c r="H22" i="1"/>
  <c r="I22" i="1"/>
  <c r="I117" i="1"/>
  <c r="H117" i="1"/>
  <c r="H44" i="1"/>
  <c r="I44" i="1"/>
  <c r="H120" i="1"/>
  <c r="I120" i="1"/>
  <c r="H241" i="1"/>
  <c r="I241" i="1"/>
  <c r="H27" i="1"/>
  <c r="I27" i="1"/>
  <c r="H222" i="1"/>
  <c r="I222" i="1"/>
  <c r="H89" i="1"/>
  <c r="I89" i="1"/>
  <c r="I167" i="1"/>
  <c r="H167" i="1"/>
  <c r="I185" i="1"/>
  <c r="H185" i="1"/>
  <c r="H109" i="1"/>
  <c r="I109" i="1"/>
  <c r="H231" i="1"/>
  <c r="I231" i="1"/>
  <c r="H219" i="1"/>
  <c r="I219" i="1"/>
  <c r="H194" i="1"/>
  <c r="I194" i="1"/>
  <c r="H98" i="1"/>
  <c r="I98" i="1"/>
  <c r="H76" i="1"/>
  <c r="I76" i="1"/>
  <c r="I126" i="1"/>
  <c r="H126" i="1"/>
  <c r="I134" i="1"/>
  <c r="H134" i="1"/>
  <c r="I145" i="1"/>
  <c r="H145" i="1"/>
  <c r="I72" i="1"/>
  <c r="H72" i="1"/>
  <c r="H67" i="1"/>
  <c r="I67" i="1"/>
  <c r="H64" i="1"/>
  <c r="I64" i="1"/>
  <c r="I97" i="1"/>
  <c r="H97" i="1"/>
  <c r="H140" i="1"/>
  <c r="I140" i="1"/>
  <c r="H87" i="1"/>
  <c r="I87" i="1"/>
  <c r="Y29" i="1"/>
  <c r="W31" i="1"/>
  <c r="H209" i="1"/>
  <c r="I209" i="1"/>
  <c r="H10" i="1"/>
  <c r="I10" i="1"/>
  <c r="I202" i="1"/>
  <c r="H202" i="1"/>
  <c r="I170" i="1"/>
  <c r="H170" i="1"/>
  <c r="H141" i="1"/>
  <c r="I141" i="1"/>
  <c r="I74" i="1"/>
  <c r="H74" i="1"/>
  <c r="I91" i="1"/>
  <c r="H91" i="1"/>
  <c r="H233" i="1"/>
  <c r="I233" i="1"/>
  <c r="H19" i="1"/>
  <c r="I19" i="1"/>
  <c r="I147" i="1"/>
  <c r="H147" i="1"/>
  <c r="H157" i="1"/>
  <c r="I157" i="1"/>
  <c r="H119" i="1"/>
  <c r="I119" i="1"/>
  <c r="H156" i="1"/>
  <c r="I156" i="1"/>
  <c r="I40" i="1"/>
  <c r="H40" i="1"/>
  <c r="H42" i="1"/>
  <c r="I42" i="1"/>
  <c r="H90" i="1"/>
  <c r="I90" i="1"/>
  <c r="H237" i="1"/>
  <c r="I237" i="1"/>
  <c r="I230" i="1"/>
  <c r="H230" i="1"/>
  <c r="H46" i="1"/>
  <c r="I46" i="1"/>
  <c r="I4" i="1"/>
  <c r="H4" i="1"/>
  <c r="H149" i="1"/>
  <c r="I149" i="1"/>
  <c r="H123" i="1"/>
  <c r="I123" i="1"/>
  <c r="H198" i="1"/>
  <c r="I198" i="1"/>
  <c r="I124" i="1"/>
  <c r="H124" i="1"/>
  <c r="I132" i="1"/>
  <c r="H132" i="1"/>
  <c r="H192" i="1"/>
  <c r="I192" i="1"/>
  <c r="H45" i="1"/>
  <c r="I45" i="1"/>
  <c r="H31" i="1"/>
  <c r="I31" i="1"/>
  <c r="H252" i="1"/>
  <c r="I252" i="1"/>
  <c r="I99" i="1"/>
  <c r="H99" i="1"/>
  <c r="H25" i="1"/>
  <c r="I25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H210" i="1"/>
  <c r="I210" i="1"/>
  <c r="H11" i="1"/>
  <c r="I11" i="1"/>
  <c r="I48" i="1"/>
  <c r="H48" i="1"/>
  <c r="I14" i="1"/>
  <c r="H14" i="1"/>
  <c r="H188" i="1"/>
  <c r="I188" i="1"/>
  <c r="I216" i="1"/>
  <c r="H216" i="1"/>
  <c r="I144" i="1"/>
  <c r="H144" i="1"/>
  <c r="I129" i="1"/>
  <c r="H129" i="1"/>
  <c r="H199" i="1"/>
  <c r="I199" i="1"/>
  <c r="H228" i="1"/>
  <c r="I228" i="1"/>
  <c r="H207" i="1"/>
  <c r="I207" i="1"/>
  <c r="I77" i="1"/>
  <c r="H77" i="1"/>
  <c r="I95" i="1"/>
  <c r="H95" i="1"/>
  <c r="H151" i="1"/>
  <c r="I151" i="1"/>
  <c r="I56" i="1"/>
  <c r="H56" i="1"/>
  <c r="I249" i="1"/>
  <c r="H249" i="1"/>
  <c r="H184" i="1"/>
  <c r="I184" i="1"/>
  <c r="H218" i="1"/>
  <c r="I218" i="1"/>
  <c r="I30" i="1"/>
  <c r="H30" i="1"/>
  <c r="I245" i="1"/>
  <c r="H245" i="1"/>
  <c r="I215" i="1"/>
  <c r="H215" i="1"/>
  <c r="H35" i="1"/>
  <c r="I35" i="1"/>
  <c r="H54" i="1"/>
  <c r="I54" i="1"/>
  <c r="H16" i="1"/>
  <c r="I16" i="1"/>
  <c r="H191" i="1"/>
  <c r="I191" i="1"/>
  <c r="H236" i="1"/>
  <c r="I236" i="1"/>
  <c r="I105" i="1"/>
  <c r="H105" i="1"/>
  <c r="I177" i="1"/>
  <c r="H177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W238" i="1"/>
  <c r="R222" i="1"/>
  <c r="S221" i="1"/>
  <c r="T221" i="1" s="1"/>
  <c r="Z236" i="1" l="1"/>
  <c r="AA236" i="1" s="1"/>
  <c r="R223" i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Y252" i="1" l="1"/>
  <c r="Z252" i="1" s="1"/>
  <c r="AA252" i="1" s="1"/>
  <c r="R238" i="1"/>
  <c r="S237" i="1"/>
  <c r="T237" i="1" s="1"/>
  <c r="R239" i="1" l="1"/>
  <c r="S238" i="1"/>
  <c r="T238" i="1" s="1"/>
  <c r="R240" i="1" l="1"/>
  <c r="S239" i="1"/>
  <c r="T239" i="1" s="1"/>
  <c r="R241" i="1" l="1"/>
  <c r="S240" i="1"/>
  <c r="T240" i="1" s="1"/>
  <c r="R242" i="1" l="1"/>
  <c r="S241" i="1"/>
  <c r="T241" i="1" s="1"/>
  <c r="R243" i="1" l="1"/>
  <c r="S242" i="1"/>
  <c r="T242" i="1" s="1"/>
  <c r="R244" i="1" l="1"/>
  <c r="S243" i="1"/>
  <c r="T243" i="1" s="1"/>
  <c r="R245" i="1" l="1"/>
  <c r="S244" i="1"/>
  <c r="T244" i="1" s="1"/>
  <c r="R246" i="1" l="1"/>
  <c r="S245" i="1"/>
  <c r="T245" i="1" s="1"/>
  <c r="R247" i="1" l="1"/>
  <c r="S246" i="1"/>
  <c r="T246" i="1" s="1"/>
  <c r="R248" i="1" l="1"/>
  <c r="S247" i="1"/>
  <c r="T247" i="1" s="1"/>
  <c r="R249" i="1" l="1"/>
  <c r="S248" i="1"/>
  <c r="T248" i="1" s="1"/>
  <c r="R250" i="1" l="1"/>
  <c r="S249" i="1"/>
  <c r="T249" i="1" s="1"/>
  <c r="R251" i="1" l="1"/>
  <c r="S250" i="1"/>
  <c r="T250" i="1" s="1"/>
  <c r="R252" i="1" l="1"/>
  <c r="S251" i="1"/>
  <c r="T251" i="1" s="1"/>
  <c r="S252" i="1" l="1"/>
  <c r="T25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B71682-EE7A-4F4B-8C67-11F4E3A60E94}" keepAlive="1" name="Query - Forecast(1)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4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</futureMetadata>
  <cellMetadata count="1">
    <bk>
      <rc t="1" v="0"/>
    </bk>
  </cellMetadata>
  <valueMetadata count="74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</valueMetadata>
</metadata>
</file>

<file path=xl/sharedStrings.xml><?xml version="1.0" encoding="utf-8"?>
<sst xmlns="http://schemas.openxmlformats.org/spreadsheetml/2006/main" count="62" uniqueCount="52">
  <si>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</si>
  <si>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</si>
  <si>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</si>
  <si>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</si>
  <si>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</si>
  <si>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</si>
  <si>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</si>
  <si>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</si>
  <si>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</si>
  <si>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</si>
  <si>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</si>
  <si>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</si>
  <si>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</si>
  <si>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</si>
  <si>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</si>
  <si>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</si>
  <si>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</si>
  <si>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</si>
  <si>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</si>
  <si>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</si>
  <si>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</si>
  <si>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</si>
  <si>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</si>
  <si>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</si>
  <si>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</si>
  <si>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</si>
  <si>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</si>
  <si>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</si>
  <si>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</si>
  <si>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</si>
  <si>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</si>
  <si>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</si>
  <si>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</si>
  <si>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</si>
  <si>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</si>
  <si>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</si>
  <si>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</si>
  <si>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</si>
  <si>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</si>
  <si>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</si>
  <si>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</si>
  <si>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</si>
  <si>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</si>
  <si>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</si>
  <si>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</si>
  <si>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</si>
  <si>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CI/PI</t>
  </si>
  <si>
    <t>Date</t>
  </si>
  <si>
    <t>Dividends</t>
  </si>
  <si>
    <t>XL Forecast</t>
  </si>
  <si>
    <t>Calc Forecast</t>
  </si>
  <si>
    <t>GS Simple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</si>
</sst>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yyyy\-mm\-dd;@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AF2D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1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6" fillId="0" borderId="1" xfId="0" applyFont="1" applyBorder="1" applyAlignment="1">
      <alignment horizontal="center" wrapText="1"/>
    </xf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9" fillId="11" borderId="1" xfId="0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+ 20/100 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303.05</c:v>
                </c:pt>
                <c:pt idx="1">
                  <c:v>304.81</c:v>
                </c:pt>
                <c:pt idx="2">
                  <c:v>307.57</c:v>
                </c:pt>
                <c:pt idx="3">
                  <c:v>310.72000000000003</c:v>
                </c:pt>
                <c:pt idx="4">
                  <c:v>304.27</c:v>
                </c:pt>
                <c:pt idx="5">
                  <c:v>309.95</c:v>
                </c:pt>
                <c:pt idx="6">
                  <c:v>308.33</c:v>
                </c:pt>
                <c:pt idx="7">
                  <c:v>304.29000000000002</c:v>
                </c:pt>
                <c:pt idx="8">
                  <c:v>305.77</c:v>
                </c:pt>
                <c:pt idx="9">
                  <c:v>307.45</c:v>
                </c:pt>
                <c:pt idx="10">
                  <c:v>310.37</c:v>
                </c:pt>
                <c:pt idx="11">
                  <c:v>321.29000000000002</c:v>
                </c:pt>
                <c:pt idx="12">
                  <c:v>317.25</c:v>
                </c:pt>
                <c:pt idx="13">
                  <c:v>306.76</c:v>
                </c:pt>
                <c:pt idx="14">
                  <c:v>299.39999999999998</c:v>
                </c:pt>
                <c:pt idx="15">
                  <c:v>297.5</c:v>
                </c:pt>
                <c:pt idx="16">
                  <c:v>299.83</c:v>
                </c:pt>
                <c:pt idx="17">
                  <c:v>303.97000000000003</c:v>
                </c:pt>
                <c:pt idx="18">
                  <c:v>303.60000000000002</c:v>
                </c:pt>
                <c:pt idx="19">
                  <c:v>306.92</c:v>
                </c:pt>
                <c:pt idx="20">
                  <c:v>307</c:v>
                </c:pt>
                <c:pt idx="21">
                  <c:v>305.44</c:v>
                </c:pt>
                <c:pt idx="22">
                  <c:v>305.67</c:v>
                </c:pt>
                <c:pt idx="23">
                  <c:v>306.92</c:v>
                </c:pt>
                <c:pt idx="24">
                  <c:v>313.58</c:v>
                </c:pt>
                <c:pt idx="25">
                  <c:v>312.69</c:v>
                </c:pt>
                <c:pt idx="26">
                  <c:v>307.08999999999997</c:v>
                </c:pt>
                <c:pt idx="27">
                  <c:v>312.37</c:v>
                </c:pt>
                <c:pt idx="28">
                  <c:v>313.63</c:v>
                </c:pt>
                <c:pt idx="29">
                  <c:v>311.58</c:v>
                </c:pt>
                <c:pt idx="30">
                  <c:v>318.27</c:v>
                </c:pt>
                <c:pt idx="31">
                  <c:v>300.11</c:v>
                </c:pt>
                <c:pt idx="32">
                  <c:v>299.89</c:v>
                </c:pt>
                <c:pt idx="33">
                  <c:v>299.83</c:v>
                </c:pt>
                <c:pt idx="34">
                  <c:v>303.95999999999998</c:v>
                </c:pt>
                <c:pt idx="35">
                  <c:v>306.77999999999997</c:v>
                </c:pt>
                <c:pt idx="36">
                  <c:v>309.89999999999998</c:v>
                </c:pt>
                <c:pt idx="37">
                  <c:v>316.07</c:v>
                </c:pt>
                <c:pt idx="38">
                  <c:v>312.48</c:v>
                </c:pt>
                <c:pt idx="39">
                  <c:v>309.10000000000002</c:v>
                </c:pt>
                <c:pt idx="40">
                  <c:v>311.3</c:v>
                </c:pt>
                <c:pt idx="41">
                  <c:v>308.72000000000003</c:v>
                </c:pt>
                <c:pt idx="42">
                  <c:v>319.08</c:v>
                </c:pt>
                <c:pt idx="43">
                  <c:v>318.48</c:v>
                </c:pt>
                <c:pt idx="44">
                  <c:v>316.22000000000003</c:v>
                </c:pt>
                <c:pt idx="45">
                  <c:v>316.74</c:v>
                </c:pt>
                <c:pt idx="46">
                  <c:v>316.81</c:v>
                </c:pt>
                <c:pt idx="47">
                  <c:v>314.5</c:v>
                </c:pt>
                <c:pt idx="48">
                  <c:v>319.64999999999998</c:v>
                </c:pt>
                <c:pt idx="49">
                  <c:v>313.64</c:v>
                </c:pt>
                <c:pt idx="50">
                  <c:v>311.95999999999998</c:v>
                </c:pt>
                <c:pt idx="51">
                  <c:v>315.72000000000003</c:v>
                </c:pt>
                <c:pt idx="52">
                  <c:v>316.79000000000002</c:v>
                </c:pt>
                <c:pt idx="53">
                  <c:v>318.13</c:v>
                </c:pt>
                <c:pt idx="54">
                  <c:v>313.49</c:v>
                </c:pt>
                <c:pt idx="55">
                  <c:v>313.68</c:v>
                </c:pt>
                <c:pt idx="56">
                  <c:v>311.92</c:v>
                </c:pt>
                <c:pt idx="57">
                  <c:v>308.69</c:v>
                </c:pt>
                <c:pt idx="58">
                  <c:v>307.5</c:v>
                </c:pt>
                <c:pt idx="59">
                  <c:v>314.48</c:v>
                </c:pt>
                <c:pt idx="60">
                  <c:v>318.61</c:v>
                </c:pt>
                <c:pt idx="61">
                  <c:v>321.23</c:v>
                </c:pt>
                <c:pt idx="62">
                  <c:v>319.8</c:v>
                </c:pt>
                <c:pt idx="63">
                  <c:v>316.44</c:v>
                </c:pt>
                <c:pt idx="64">
                  <c:v>314.31</c:v>
                </c:pt>
                <c:pt idx="65">
                  <c:v>314.57</c:v>
                </c:pt>
                <c:pt idx="66">
                  <c:v>314.95</c:v>
                </c:pt>
                <c:pt idx="67">
                  <c:v>312.83999999999997</c:v>
                </c:pt>
                <c:pt idx="68">
                  <c:v>311.86</c:v>
                </c:pt>
                <c:pt idx="69">
                  <c:v>313.85000000000002</c:v>
                </c:pt>
                <c:pt idx="70">
                  <c:v>312.68</c:v>
                </c:pt>
                <c:pt idx="71">
                  <c:v>312.39</c:v>
                </c:pt>
                <c:pt idx="72">
                  <c:v>311.57</c:v>
                </c:pt>
                <c:pt idx="73">
                  <c:v>308.98</c:v>
                </c:pt>
                <c:pt idx="74">
                  <c:v>307.36</c:v>
                </c:pt>
                <c:pt idx="75">
                  <c:v>304.77999999999997</c:v>
                </c:pt>
                <c:pt idx="76">
                  <c:v>300.43</c:v>
                </c:pt>
                <c:pt idx="77">
                  <c:v>301.72000000000003</c:v>
                </c:pt>
                <c:pt idx="78">
                  <c:v>303.16000000000003</c:v>
                </c:pt>
                <c:pt idx="79">
                  <c:v>301.91000000000003</c:v>
                </c:pt>
                <c:pt idx="80">
                  <c:v>296.29000000000002</c:v>
                </c:pt>
                <c:pt idx="81">
                  <c:v>292.31</c:v>
                </c:pt>
                <c:pt idx="82">
                  <c:v>289.63</c:v>
                </c:pt>
                <c:pt idx="83">
                  <c:v>287.45999999999998</c:v>
                </c:pt>
                <c:pt idx="84">
                  <c:v>289.52</c:v>
                </c:pt>
                <c:pt idx="85">
                  <c:v>291.47000000000003</c:v>
                </c:pt>
                <c:pt idx="86">
                  <c:v>285.55</c:v>
                </c:pt>
                <c:pt idx="87">
                  <c:v>285.63</c:v>
                </c:pt>
                <c:pt idx="88">
                  <c:v>291.55</c:v>
                </c:pt>
                <c:pt idx="89">
                  <c:v>292.17</c:v>
                </c:pt>
                <c:pt idx="90">
                  <c:v>297.49</c:v>
                </c:pt>
                <c:pt idx="91">
                  <c:v>294.63</c:v>
                </c:pt>
                <c:pt idx="92">
                  <c:v>294.08</c:v>
                </c:pt>
                <c:pt idx="93">
                  <c:v>293.52999999999997</c:v>
                </c:pt>
                <c:pt idx="94">
                  <c:v>291.67</c:v>
                </c:pt>
                <c:pt idx="95">
                  <c:v>293.02</c:v>
                </c:pt>
                <c:pt idx="96">
                  <c:v>298.39</c:v>
                </c:pt>
                <c:pt idx="97">
                  <c:v>299.91000000000003</c:v>
                </c:pt>
                <c:pt idx="98">
                  <c:v>301.88</c:v>
                </c:pt>
                <c:pt idx="99">
                  <c:v>299.62</c:v>
                </c:pt>
                <c:pt idx="100">
                  <c:v>298.89999999999998</c:v>
                </c:pt>
                <c:pt idx="101">
                  <c:v>300.37</c:v>
                </c:pt>
                <c:pt idx="102">
                  <c:v>297.07</c:v>
                </c:pt>
                <c:pt idx="103">
                  <c:v>295.74</c:v>
                </c:pt>
                <c:pt idx="104">
                  <c:v>299.17</c:v>
                </c:pt>
                <c:pt idx="105">
                  <c:v>298.12</c:v>
                </c:pt>
                <c:pt idx="106">
                  <c:v>294.48</c:v>
                </c:pt>
                <c:pt idx="107">
                  <c:v>298.47000000000003</c:v>
                </c:pt>
                <c:pt idx="108">
                  <c:v>299.22000000000003</c:v>
                </c:pt>
                <c:pt idx="109">
                  <c:v>302.67</c:v>
                </c:pt>
                <c:pt idx="110">
                  <c:v>303.61</c:v>
                </c:pt>
                <c:pt idx="111">
                  <c:v>300.07</c:v>
                </c:pt>
                <c:pt idx="112">
                  <c:v>302.89</c:v>
                </c:pt>
                <c:pt idx="113">
                  <c:v>304.23</c:v>
                </c:pt>
                <c:pt idx="114">
                  <c:v>298.77</c:v>
                </c:pt>
                <c:pt idx="115">
                  <c:v>307.66000000000003</c:v>
                </c:pt>
                <c:pt idx="116">
                  <c:v>307.91000000000003</c:v>
                </c:pt>
                <c:pt idx="117">
                  <c:v>305.45</c:v>
                </c:pt>
                <c:pt idx="118">
                  <c:v>304.36</c:v>
                </c:pt>
                <c:pt idx="119">
                  <c:v>301.64</c:v>
                </c:pt>
                <c:pt idx="120">
                  <c:v>305.07</c:v>
                </c:pt>
                <c:pt idx="121">
                  <c:v>308.95</c:v>
                </c:pt>
                <c:pt idx="122">
                  <c:v>308.93</c:v>
                </c:pt>
                <c:pt idx="123">
                  <c:v>308.7</c:v>
                </c:pt>
                <c:pt idx="124">
                  <c:v>310.93</c:v>
                </c:pt>
                <c:pt idx="125">
                  <c:v>313.08</c:v>
                </c:pt>
                <c:pt idx="126">
                  <c:v>313.22000000000003</c:v>
                </c:pt>
                <c:pt idx="127">
                  <c:v>314.07</c:v>
                </c:pt>
                <c:pt idx="128">
                  <c:v>313.44</c:v>
                </c:pt>
                <c:pt idx="129">
                  <c:v>312.94</c:v>
                </c:pt>
                <c:pt idx="130">
                  <c:v>311.43</c:v>
                </c:pt>
                <c:pt idx="131">
                  <c:v>312.22000000000003</c:v>
                </c:pt>
                <c:pt idx="132">
                  <c:v>313.54000000000002</c:v>
                </c:pt>
                <c:pt idx="133">
                  <c:v>315.76</c:v>
                </c:pt>
                <c:pt idx="134">
                  <c:v>316.39</c:v>
                </c:pt>
                <c:pt idx="135">
                  <c:v>316.99</c:v>
                </c:pt>
                <c:pt idx="136">
                  <c:v>314.38</c:v>
                </c:pt>
                <c:pt idx="137">
                  <c:v>312.8</c:v>
                </c:pt>
                <c:pt idx="138">
                  <c:v>312.52</c:v>
                </c:pt>
                <c:pt idx="139">
                  <c:v>305.94</c:v>
                </c:pt>
                <c:pt idx="140">
                  <c:v>308.43</c:v>
                </c:pt>
                <c:pt idx="141">
                  <c:v>305.39999999999998</c:v>
                </c:pt>
                <c:pt idx="142">
                  <c:v>302.07</c:v>
                </c:pt>
                <c:pt idx="143">
                  <c:v>303.29000000000002</c:v>
                </c:pt>
                <c:pt idx="144">
                  <c:v>304.97000000000003</c:v>
                </c:pt>
                <c:pt idx="145">
                  <c:v>301.14</c:v>
                </c:pt>
                <c:pt idx="146">
                  <c:v>302.38</c:v>
                </c:pt>
                <c:pt idx="147">
                  <c:v>302.99</c:v>
                </c:pt>
                <c:pt idx="148">
                  <c:v>303.19</c:v>
                </c:pt>
                <c:pt idx="149">
                  <c:v>304.33</c:v>
                </c:pt>
                <c:pt idx="150">
                  <c:v>302.3</c:v>
                </c:pt>
                <c:pt idx="151">
                  <c:v>305.24</c:v>
                </c:pt>
                <c:pt idx="152">
                  <c:v>302.99</c:v>
                </c:pt>
                <c:pt idx="153">
                  <c:v>303.89</c:v>
                </c:pt>
                <c:pt idx="154">
                  <c:v>300.52</c:v>
                </c:pt>
                <c:pt idx="155">
                  <c:v>299.88</c:v>
                </c:pt>
                <c:pt idx="156">
                  <c:v>300.98</c:v>
                </c:pt>
                <c:pt idx="157">
                  <c:v>296.04000000000002</c:v>
                </c:pt>
                <c:pt idx="158">
                  <c:v>296.32</c:v>
                </c:pt>
                <c:pt idx="159">
                  <c:v>294.39999999999998</c:v>
                </c:pt>
                <c:pt idx="160">
                  <c:v>293.81</c:v>
                </c:pt>
                <c:pt idx="161">
                  <c:v>297.01</c:v>
                </c:pt>
                <c:pt idx="162">
                  <c:v>300.11</c:v>
                </c:pt>
                <c:pt idx="163">
                  <c:v>304.56</c:v>
                </c:pt>
                <c:pt idx="164">
                  <c:v>305.25</c:v>
                </c:pt>
                <c:pt idx="165">
                  <c:v>305.33</c:v>
                </c:pt>
                <c:pt idx="166">
                  <c:v>308.08999999999997</c:v>
                </c:pt>
                <c:pt idx="167">
                  <c:v>307.77</c:v>
                </c:pt>
                <c:pt idx="168">
                  <c:v>307.48</c:v>
                </c:pt>
                <c:pt idx="169">
                  <c:v>310.11</c:v>
                </c:pt>
                <c:pt idx="170">
                  <c:v>306.97000000000003</c:v>
                </c:pt>
                <c:pt idx="171">
                  <c:v>305.79000000000002</c:v>
                </c:pt>
                <c:pt idx="172">
                  <c:v>310</c:v>
                </c:pt>
                <c:pt idx="173">
                  <c:v>306.39999999999998</c:v>
                </c:pt>
                <c:pt idx="174">
                  <c:v>302.35000000000002</c:v>
                </c:pt>
                <c:pt idx="175">
                  <c:v>302.43</c:v>
                </c:pt>
                <c:pt idx="176">
                  <c:v>298.43</c:v>
                </c:pt>
                <c:pt idx="177">
                  <c:v>296.37</c:v>
                </c:pt>
                <c:pt idx="178">
                  <c:v>299.20999999999998</c:v>
                </c:pt>
                <c:pt idx="179">
                  <c:v>305.67</c:v>
                </c:pt>
                <c:pt idx="180">
                  <c:v>298.41000000000003</c:v>
                </c:pt>
                <c:pt idx="181">
                  <c:v>299.66000000000003</c:v>
                </c:pt>
                <c:pt idx="182">
                  <c:v>299.10000000000002</c:v>
                </c:pt>
                <c:pt idx="183">
                  <c:v>306.83</c:v>
                </c:pt>
                <c:pt idx="184">
                  <c:v>306.94</c:v>
                </c:pt>
                <c:pt idx="185">
                  <c:v>307.58</c:v>
                </c:pt>
                <c:pt idx="186">
                  <c:v>307.02999999999997</c:v>
                </c:pt>
                <c:pt idx="187">
                  <c:v>304.89999999999998</c:v>
                </c:pt>
                <c:pt idx="188">
                  <c:v>304.58999999999997</c:v>
                </c:pt>
                <c:pt idx="189">
                  <c:v>302.74</c:v>
                </c:pt>
                <c:pt idx="190">
                  <c:v>304.16000000000003</c:v>
                </c:pt>
                <c:pt idx="191">
                  <c:v>309.35000000000002</c:v>
                </c:pt>
                <c:pt idx="192">
                  <c:v>304.89999999999998</c:v>
                </c:pt>
                <c:pt idx="193">
                  <c:v>310.45</c:v>
                </c:pt>
                <c:pt idx="194">
                  <c:v>312.39999999999998</c:v>
                </c:pt>
                <c:pt idx="195">
                  <c:v>311.82</c:v>
                </c:pt>
                <c:pt idx="196">
                  <c:v>303.57</c:v>
                </c:pt>
                <c:pt idx="197">
                  <c:v>300.72000000000003</c:v>
                </c:pt>
                <c:pt idx="198">
                  <c:v>307.70999999999998</c:v>
                </c:pt>
                <c:pt idx="199">
                  <c:v>308.54000000000002</c:v>
                </c:pt>
                <c:pt idx="200">
                  <c:v>311.23</c:v>
                </c:pt>
                <c:pt idx="201">
                  <c:v>309.79000000000002</c:v>
                </c:pt>
                <c:pt idx="202">
                  <c:v>310.79000000000002</c:v>
                </c:pt>
                <c:pt idx="203">
                  <c:v>310.52999999999997</c:v>
                </c:pt>
                <c:pt idx="204">
                  <c:v>309.70999999999998</c:v>
                </c:pt>
                <c:pt idx="205">
                  <c:v>316.72000000000003</c:v>
                </c:pt>
                <c:pt idx="206">
                  <c:v>318.73</c:v>
                </c:pt>
                <c:pt idx="207">
                  <c:v>314.5</c:v>
                </c:pt>
                <c:pt idx="208">
                  <c:v>318.69</c:v>
                </c:pt>
                <c:pt idx="209">
                  <c:v>319.64999999999998</c:v>
                </c:pt>
                <c:pt idx="210">
                  <c:v>315.83999999999997</c:v>
                </c:pt>
                <c:pt idx="211">
                  <c:v>316.22000000000003</c:v>
                </c:pt>
                <c:pt idx="212">
                  <c:v>310.83999999999997</c:v>
                </c:pt>
                <c:pt idx="213">
                  <c:v>313.33</c:v>
                </c:pt>
                <c:pt idx="214">
                  <c:v>310.68</c:v>
                </c:pt>
                <c:pt idx="215">
                  <c:v>308.52999999999997</c:v>
                </c:pt>
                <c:pt idx="216">
                  <c:v>308.02999999999997</c:v>
                </c:pt>
                <c:pt idx="217">
                  <c:v>305.63</c:v>
                </c:pt>
                <c:pt idx="218">
                  <c:v>303.26</c:v>
                </c:pt>
                <c:pt idx="219">
                  <c:v>299.86</c:v>
                </c:pt>
                <c:pt idx="220">
                  <c:v>302.77</c:v>
                </c:pt>
                <c:pt idx="221">
                  <c:v>304.16000000000003</c:v>
                </c:pt>
                <c:pt idx="222">
                  <c:v>308.88</c:v>
                </c:pt>
                <c:pt idx="223">
                  <c:v>307.32</c:v>
                </c:pt>
                <c:pt idx="224">
                  <c:v>306.75</c:v>
                </c:pt>
                <c:pt idx="225">
                  <c:v>309.44</c:v>
                </c:pt>
                <c:pt idx="226">
                  <c:v>308.13</c:v>
                </c:pt>
                <c:pt idx="227">
                  <c:v>308.62</c:v>
                </c:pt>
                <c:pt idx="228">
                  <c:v>307.43</c:v>
                </c:pt>
                <c:pt idx="229">
                  <c:v>302.83999999999997</c:v>
                </c:pt>
                <c:pt idx="230">
                  <c:v>305.69</c:v>
                </c:pt>
                <c:pt idx="231">
                  <c:v>306.02999999999997</c:v>
                </c:pt>
                <c:pt idx="232">
                  <c:v>309.25</c:v>
                </c:pt>
                <c:pt idx="233">
                  <c:v>312.95</c:v>
                </c:pt>
                <c:pt idx="234">
                  <c:v>314.13</c:v>
                </c:pt>
                <c:pt idx="235">
                  <c:v>312.8</c:v>
                </c:pt>
                <c:pt idx="236">
                  <c:v>315.51</c:v>
                </c:pt>
                <c:pt idx="237">
                  <c:v>315</c:v>
                </c:pt>
                <c:pt idx="238">
                  <c:v>318.52999999999997</c:v>
                </c:pt>
                <c:pt idx="239">
                  <c:v>319.48</c:v>
                </c:pt>
                <c:pt idx="240">
                  <c:v>323.69</c:v>
                </c:pt>
                <c:pt idx="241">
                  <c:v>323.48</c:v>
                </c:pt>
                <c:pt idx="242">
                  <c:v>327.16000000000003</c:v>
                </c:pt>
                <c:pt idx="243">
                  <c:v>325.60000000000002</c:v>
                </c:pt>
                <c:pt idx="244">
                  <c:v>325.97000000000003</c:v>
                </c:pt>
                <c:pt idx="245">
                  <c:v>323.20999999999998</c:v>
                </c:pt>
                <c:pt idx="246">
                  <c:v>332.08</c:v>
                </c:pt>
                <c:pt idx="247">
                  <c:v>327.58</c:v>
                </c:pt>
                <c:pt idx="248">
                  <c:v>327.62</c:v>
                </c:pt>
                <c:pt idx="249">
                  <c:v>327.89</c:v>
                </c:pt>
                <c:pt idx="250">
                  <c:v>327.11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5-4B6F-BD6C-7EB0C902BAE9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306.65500000000003</c:v>
                </c:pt>
                <c:pt idx="20">
                  <c:v>306.85250000000002</c:v>
                </c:pt>
                <c:pt idx="21">
                  <c:v>306.88400000000001</c:v>
                </c:pt>
                <c:pt idx="22">
                  <c:v>306.78900000000004</c:v>
                </c:pt>
                <c:pt idx="23">
                  <c:v>306.59899999999999</c:v>
                </c:pt>
                <c:pt idx="24">
                  <c:v>307.06450000000001</c:v>
                </c:pt>
                <c:pt idx="25">
                  <c:v>307.20149999999995</c:v>
                </c:pt>
                <c:pt idx="26">
                  <c:v>307.13949999999994</c:v>
                </c:pt>
                <c:pt idx="27">
                  <c:v>307.54349999999999</c:v>
                </c:pt>
                <c:pt idx="28">
                  <c:v>307.93649999999997</c:v>
                </c:pt>
                <c:pt idx="29">
                  <c:v>308.14299999999997</c:v>
                </c:pt>
                <c:pt idx="30">
                  <c:v>308.53800000000001</c:v>
                </c:pt>
                <c:pt idx="31">
                  <c:v>307.47899999999993</c:v>
                </c:pt>
                <c:pt idx="32">
                  <c:v>306.61099999999999</c:v>
                </c:pt>
                <c:pt idx="33">
                  <c:v>306.26450000000006</c:v>
                </c:pt>
                <c:pt idx="34">
                  <c:v>306.49249999999995</c:v>
                </c:pt>
                <c:pt idx="35">
                  <c:v>306.95649999999995</c:v>
                </c:pt>
                <c:pt idx="36">
                  <c:v>307.45999999999992</c:v>
                </c:pt>
                <c:pt idx="37">
                  <c:v>308.06499999999994</c:v>
                </c:pt>
                <c:pt idx="38">
                  <c:v>308.50900000000001</c:v>
                </c:pt>
                <c:pt idx="39">
                  <c:v>308.61800000000005</c:v>
                </c:pt>
                <c:pt idx="40">
                  <c:v>308.83299999999997</c:v>
                </c:pt>
                <c:pt idx="41">
                  <c:v>308.99700000000001</c:v>
                </c:pt>
                <c:pt idx="42">
                  <c:v>309.66750000000002</c:v>
                </c:pt>
                <c:pt idx="43">
                  <c:v>310.24549999999999</c:v>
                </c:pt>
                <c:pt idx="44">
                  <c:v>310.3775</c:v>
                </c:pt>
                <c:pt idx="45">
                  <c:v>310.58000000000004</c:v>
                </c:pt>
                <c:pt idx="46">
                  <c:v>311.06600000000009</c:v>
                </c:pt>
                <c:pt idx="47">
                  <c:v>311.17250000000001</c:v>
                </c:pt>
                <c:pt idx="48">
                  <c:v>311.47350000000006</c:v>
                </c:pt>
                <c:pt idx="49">
                  <c:v>311.57650000000001</c:v>
                </c:pt>
                <c:pt idx="50">
                  <c:v>311.26100000000002</c:v>
                </c:pt>
                <c:pt idx="51">
                  <c:v>312.04149999999998</c:v>
                </c:pt>
                <c:pt idx="52">
                  <c:v>312.88650000000001</c:v>
                </c:pt>
                <c:pt idx="53">
                  <c:v>313.80149999999998</c:v>
                </c:pt>
                <c:pt idx="54">
                  <c:v>314.27800000000002</c:v>
                </c:pt>
                <c:pt idx="55">
                  <c:v>314.62300000000005</c:v>
                </c:pt>
                <c:pt idx="56">
                  <c:v>314.72399999999999</c:v>
                </c:pt>
                <c:pt idx="57">
                  <c:v>314.35499999999996</c:v>
                </c:pt>
                <c:pt idx="58">
                  <c:v>314.10599999999999</c:v>
                </c:pt>
                <c:pt idx="59">
                  <c:v>314.375</c:v>
                </c:pt>
                <c:pt idx="60">
                  <c:v>314.7405</c:v>
                </c:pt>
                <c:pt idx="61">
                  <c:v>315.36599999999999</c:v>
                </c:pt>
                <c:pt idx="62">
                  <c:v>315.40199999999999</c:v>
                </c:pt>
                <c:pt idx="63">
                  <c:v>315.2999999999999</c:v>
                </c:pt>
                <c:pt idx="64">
                  <c:v>315.20449999999994</c:v>
                </c:pt>
                <c:pt idx="65">
                  <c:v>315.09600000000006</c:v>
                </c:pt>
                <c:pt idx="66">
                  <c:v>315.00299999999999</c:v>
                </c:pt>
                <c:pt idx="67">
                  <c:v>314.91999999999996</c:v>
                </c:pt>
                <c:pt idx="68">
                  <c:v>314.53049999999996</c:v>
                </c:pt>
                <c:pt idx="69">
                  <c:v>314.54100000000005</c:v>
                </c:pt>
                <c:pt idx="70">
                  <c:v>314.57700000000006</c:v>
                </c:pt>
                <c:pt idx="71">
                  <c:v>314.41050000000007</c:v>
                </c:pt>
                <c:pt idx="72">
                  <c:v>314.1495000000001</c:v>
                </c:pt>
                <c:pt idx="73">
                  <c:v>313.69200000000001</c:v>
                </c:pt>
                <c:pt idx="74">
                  <c:v>313.38549999999998</c:v>
                </c:pt>
                <c:pt idx="75">
                  <c:v>312.94050000000004</c:v>
                </c:pt>
                <c:pt idx="76">
                  <c:v>312.36599999999999</c:v>
                </c:pt>
                <c:pt idx="77">
                  <c:v>312.01749999999998</c:v>
                </c:pt>
                <c:pt idx="78">
                  <c:v>311.80049999999994</c:v>
                </c:pt>
                <c:pt idx="79">
                  <c:v>311.17199999999997</c:v>
                </c:pt>
                <c:pt idx="80">
                  <c:v>310.05599999999998</c:v>
                </c:pt>
                <c:pt idx="81">
                  <c:v>308.61</c:v>
                </c:pt>
                <c:pt idx="82">
                  <c:v>307.10150000000004</c:v>
                </c:pt>
                <c:pt idx="83">
                  <c:v>305.65249999999997</c:v>
                </c:pt>
                <c:pt idx="84">
                  <c:v>304.41300000000001</c:v>
                </c:pt>
                <c:pt idx="85">
                  <c:v>303.25800000000004</c:v>
                </c:pt>
                <c:pt idx="86">
                  <c:v>301.78800000000001</c:v>
                </c:pt>
                <c:pt idx="87">
                  <c:v>300.42750000000001</c:v>
                </c:pt>
                <c:pt idx="88">
                  <c:v>299.41199999999998</c:v>
                </c:pt>
                <c:pt idx="89">
                  <c:v>298.32799999999997</c:v>
                </c:pt>
                <c:pt idx="90">
                  <c:v>297.56850000000003</c:v>
                </c:pt>
                <c:pt idx="91">
                  <c:v>296.68050000000005</c:v>
                </c:pt>
                <c:pt idx="92">
                  <c:v>295.80600000000004</c:v>
                </c:pt>
                <c:pt idx="93">
                  <c:v>295.0335</c:v>
                </c:pt>
                <c:pt idx="94">
                  <c:v>294.24900000000002</c:v>
                </c:pt>
                <c:pt idx="95">
                  <c:v>293.66100000000006</c:v>
                </c:pt>
                <c:pt idx="96">
                  <c:v>293.55900000000008</c:v>
                </c:pt>
                <c:pt idx="97">
                  <c:v>293.46850000000001</c:v>
                </c:pt>
                <c:pt idx="98">
                  <c:v>293.40449999999998</c:v>
                </c:pt>
                <c:pt idx="99">
                  <c:v>293.29000000000002</c:v>
                </c:pt>
                <c:pt idx="100">
                  <c:v>293.42050000000006</c:v>
                </c:pt>
                <c:pt idx="101">
                  <c:v>293.82349999999991</c:v>
                </c:pt>
                <c:pt idx="102">
                  <c:v>294.19549999999992</c:v>
                </c:pt>
                <c:pt idx="103">
                  <c:v>294.60949999999991</c:v>
                </c:pt>
                <c:pt idx="104">
                  <c:v>295.09199999999998</c:v>
                </c:pt>
                <c:pt idx="105">
                  <c:v>295.42449999999997</c:v>
                </c:pt>
                <c:pt idx="106">
                  <c:v>295.87099999999992</c:v>
                </c:pt>
                <c:pt idx="107">
                  <c:v>296.51299999999998</c:v>
                </c:pt>
                <c:pt idx="108">
                  <c:v>296.8965</c:v>
                </c:pt>
                <c:pt idx="109">
                  <c:v>297.42150000000004</c:v>
                </c:pt>
                <c:pt idx="110">
                  <c:v>297.72750000000002</c:v>
                </c:pt>
                <c:pt idx="111">
                  <c:v>297.99950000000001</c:v>
                </c:pt>
                <c:pt idx="112">
                  <c:v>298.44000000000005</c:v>
                </c:pt>
                <c:pt idx="113">
                  <c:v>298.97500000000002</c:v>
                </c:pt>
                <c:pt idx="114">
                  <c:v>299.33000000000004</c:v>
                </c:pt>
                <c:pt idx="115">
                  <c:v>300.06200000000001</c:v>
                </c:pt>
                <c:pt idx="116">
                  <c:v>300.53800000000001</c:v>
                </c:pt>
                <c:pt idx="117">
                  <c:v>300.815</c:v>
                </c:pt>
                <c:pt idx="118">
                  <c:v>300.93900000000002</c:v>
                </c:pt>
                <c:pt idx="119">
                  <c:v>301.04000000000002</c:v>
                </c:pt>
                <c:pt idx="120">
                  <c:v>301.3485</c:v>
                </c:pt>
                <c:pt idx="121">
                  <c:v>301.77749999999997</c:v>
                </c:pt>
                <c:pt idx="122">
                  <c:v>302.37049999999999</c:v>
                </c:pt>
                <c:pt idx="123">
                  <c:v>303.01850000000002</c:v>
                </c:pt>
                <c:pt idx="124">
                  <c:v>303.60649999999998</c:v>
                </c:pt>
                <c:pt idx="125">
                  <c:v>304.35450000000003</c:v>
                </c:pt>
                <c:pt idx="126">
                  <c:v>305.29149999999998</c:v>
                </c:pt>
                <c:pt idx="127">
                  <c:v>306.07150000000001</c:v>
                </c:pt>
                <c:pt idx="128">
                  <c:v>306.78249999999991</c:v>
                </c:pt>
                <c:pt idx="129">
                  <c:v>307.29599999999994</c:v>
                </c:pt>
                <c:pt idx="130">
                  <c:v>307.68699999999995</c:v>
                </c:pt>
                <c:pt idx="131">
                  <c:v>308.29449999999997</c:v>
                </c:pt>
                <c:pt idx="132">
                  <c:v>308.82699999999994</c:v>
                </c:pt>
                <c:pt idx="133">
                  <c:v>309.40349999999995</c:v>
                </c:pt>
                <c:pt idx="134">
                  <c:v>310.28450000000004</c:v>
                </c:pt>
                <c:pt idx="135">
                  <c:v>310.75100000000003</c:v>
                </c:pt>
                <c:pt idx="136">
                  <c:v>311.07450000000006</c:v>
                </c:pt>
                <c:pt idx="137">
                  <c:v>311.44200000000006</c:v>
                </c:pt>
                <c:pt idx="138">
                  <c:v>311.85000000000008</c:v>
                </c:pt>
                <c:pt idx="139">
                  <c:v>312.065</c:v>
                </c:pt>
                <c:pt idx="140">
                  <c:v>312.23300000000006</c:v>
                </c:pt>
                <c:pt idx="141">
                  <c:v>312.05549999999999</c:v>
                </c:pt>
                <c:pt idx="142">
                  <c:v>311.71249999999998</c:v>
                </c:pt>
                <c:pt idx="143">
                  <c:v>311.44200000000001</c:v>
                </c:pt>
                <c:pt idx="144">
                  <c:v>311.14400000000001</c:v>
                </c:pt>
                <c:pt idx="145">
                  <c:v>310.54700000000003</c:v>
                </c:pt>
                <c:pt idx="146">
                  <c:v>310.005</c:v>
                </c:pt>
                <c:pt idx="147">
                  <c:v>309.45100000000002</c:v>
                </c:pt>
                <c:pt idx="148">
                  <c:v>308.93850000000003</c:v>
                </c:pt>
                <c:pt idx="149">
                  <c:v>308.50800000000004</c:v>
                </c:pt>
                <c:pt idx="150">
                  <c:v>308.05149999999998</c:v>
                </c:pt>
                <c:pt idx="151">
                  <c:v>307.70249999999999</c:v>
                </c:pt>
                <c:pt idx="152">
                  <c:v>307.1749999999999</c:v>
                </c:pt>
                <c:pt idx="153">
                  <c:v>306.58150000000001</c:v>
                </c:pt>
                <c:pt idx="154">
                  <c:v>305.78800000000001</c:v>
                </c:pt>
                <c:pt idx="155">
                  <c:v>304.9325</c:v>
                </c:pt>
                <c:pt idx="156">
                  <c:v>304.26249999999999</c:v>
                </c:pt>
                <c:pt idx="157">
                  <c:v>303.42450000000002</c:v>
                </c:pt>
                <c:pt idx="158">
                  <c:v>302.61450000000002</c:v>
                </c:pt>
                <c:pt idx="159">
                  <c:v>302.03750000000002</c:v>
                </c:pt>
                <c:pt idx="160">
                  <c:v>301.30649999999997</c:v>
                </c:pt>
                <c:pt idx="161">
                  <c:v>300.887</c:v>
                </c:pt>
                <c:pt idx="162">
                  <c:v>300.78899999999999</c:v>
                </c:pt>
                <c:pt idx="163">
                  <c:v>300.85250000000002</c:v>
                </c:pt>
                <c:pt idx="164">
                  <c:v>300.86649999999997</c:v>
                </c:pt>
                <c:pt idx="165">
                  <c:v>301.07600000000002</c:v>
                </c:pt>
                <c:pt idx="166">
                  <c:v>301.36150000000004</c:v>
                </c:pt>
                <c:pt idx="167">
                  <c:v>301.60050000000001</c:v>
                </c:pt>
                <c:pt idx="168">
                  <c:v>301.81499999999994</c:v>
                </c:pt>
                <c:pt idx="169">
                  <c:v>302.10399999999993</c:v>
                </c:pt>
                <c:pt idx="170">
                  <c:v>302.33749999999998</c:v>
                </c:pt>
                <c:pt idx="171">
                  <c:v>302.36500000000001</c:v>
                </c:pt>
                <c:pt idx="172">
                  <c:v>302.71549999999991</c:v>
                </c:pt>
                <c:pt idx="173">
                  <c:v>302.84099999999995</c:v>
                </c:pt>
                <c:pt idx="174">
                  <c:v>302.9325</c:v>
                </c:pt>
                <c:pt idx="175">
                  <c:v>303.06</c:v>
                </c:pt>
                <c:pt idx="176">
                  <c:v>302.9325</c:v>
                </c:pt>
                <c:pt idx="177">
                  <c:v>302.94900000000001</c:v>
                </c:pt>
                <c:pt idx="178">
                  <c:v>303.09350000000006</c:v>
                </c:pt>
                <c:pt idx="179">
                  <c:v>303.65700000000004</c:v>
                </c:pt>
                <c:pt idx="180">
                  <c:v>303.88700000000006</c:v>
                </c:pt>
                <c:pt idx="181">
                  <c:v>304.01949999999999</c:v>
                </c:pt>
                <c:pt idx="182">
                  <c:v>303.96899999999994</c:v>
                </c:pt>
                <c:pt idx="183">
                  <c:v>304.08249999999998</c:v>
                </c:pt>
                <c:pt idx="184">
                  <c:v>304.16699999999997</c:v>
                </c:pt>
                <c:pt idx="185">
                  <c:v>304.27949999999998</c:v>
                </c:pt>
                <c:pt idx="186">
                  <c:v>304.22649999999993</c:v>
                </c:pt>
                <c:pt idx="187">
                  <c:v>304.08299999999997</c:v>
                </c:pt>
                <c:pt idx="188">
                  <c:v>303.93849999999992</c:v>
                </c:pt>
                <c:pt idx="189">
                  <c:v>303.56999999999994</c:v>
                </c:pt>
                <c:pt idx="190">
                  <c:v>303.4294999999999</c:v>
                </c:pt>
                <c:pt idx="191">
                  <c:v>303.60749999999996</c:v>
                </c:pt>
                <c:pt idx="192">
                  <c:v>303.35249999999996</c:v>
                </c:pt>
                <c:pt idx="193">
                  <c:v>303.55499999999995</c:v>
                </c:pt>
                <c:pt idx="194">
                  <c:v>304.05749999999995</c:v>
                </c:pt>
                <c:pt idx="195">
                  <c:v>304.52699999999999</c:v>
                </c:pt>
                <c:pt idx="196">
                  <c:v>304.78399999999999</c:v>
                </c:pt>
                <c:pt idx="197">
                  <c:v>305.00149999999996</c:v>
                </c:pt>
                <c:pt idx="198">
                  <c:v>305.42649999999998</c:v>
                </c:pt>
                <c:pt idx="199">
                  <c:v>305.57</c:v>
                </c:pt>
                <c:pt idx="200">
                  <c:v>306.21099999999996</c:v>
                </c:pt>
                <c:pt idx="201">
                  <c:v>306.71749999999997</c:v>
                </c:pt>
                <c:pt idx="202">
                  <c:v>307.30199999999996</c:v>
                </c:pt>
                <c:pt idx="203">
                  <c:v>307.48699999999997</c:v>
                </c:pt>
                <c:pt idx="204">
                  <c:v>307.62549999999999</c:v>
                </c:pt>
                <c:pt idx="205">
                  <c:v>308.08250000000004</c:v>
                </c:pt>
                <c:pt idx="206">
                  <c:v>308.66750000000002</c:v>
                </c:pt>
                <c:pt idx="207">
                  <c:v>309.14750000000004</c:v>
                </c:pt>
                <c:pt idx="208">
                  <c:v>309.85250000000002</c:v>
                </c:pt>
                <c:pt idx="209">
                  <c:v>310.69799999999998</c:v>
                </c:pt>
                <c:pt idx="210">
                  <c:v>311.28200000000004</c:v>
                </c:pt>
                <c:pt idx="211">
                  <c:v>311.62549999999999</c:v>
                </c:pt>
                <c:pt idx="212">
                  <c:v>311.92250000000001</c:v>
                </c:pt>
                <c:pt idx="213">
                  <c:v>312.06650000000002</c:v>
                </c:pt>
                <c:pt idx="214">
                  <c:v>311.98050000000001</c:v>
                </c:pt>
                <c:pt idx="215">
                  <c:v>311.81600000000003</c:v>
                </c:pt>
                <c:pt idx="216">
                  <c:v>312.03899999999999</c:v>
                </c:pt>
                <c:pt idx="217">
                  <c:v>312.28449999999998</c:v>
                </c:pt>
                <c:pt idx="218">
                  <c:v>312.06200000000001</c:v>
                </c:pt>
                <c:pt idx="219">
                  <c:v>311.62800000000004</c:v>
                </c:pt>
                <c:pt idx="220">
                  <c:v>311.20500000000004</c:v>
                </c:pt>
                <c:pt idx="221">
                  <c:v>310.92349999999999</c:v>
                </c:pt>
                <c:pt idx="222">
                  <c:v>310.82800000000003</c:v>
                </c:pt>
                <c:pt idx="223">
                  <c:v>310.66749999999996</c:v>
                </c:pt>
                <c:pt idx="224">
                  <c:v>310.51949999999994</c:v>
                </c:pt>
                <c:pt idx="225">
                  <c:v>310.15549999999996</c:v>
                </c:pt>
                <c:pt idx="226">
                  <c:v>309.62549999999999</c:v>
                </c:pt>
                <c:pt idx="227">
                  <c:v>309.33149999999995</c:v>
                </c:pt>
                <c:pt idx="228">
                  <c:v>308.76850000000002</c:v>
                </c:pt>
                <c:pt idx="229">
                  <c:v>307.928</c:v>
                </c:pt>
                <c:pt idx="230">
                  <c:v>307.4205</c:v>
                </c:pt>
                <c:pt idx="231">
                  <c:v>306.911</c:v>
                </c:pt>
                <c:pt idx="232">
                  <c:v>306.83149999999995</c:v>
                </c:pt>
                <c:pt idx="233">
                  <c:v>306.8125</c:v>
                </c:pt>
                <c:pt idx="234">
                  <c:v>306.98500000000001</c:v>
                </c:pt>
                <c:pt idx="235">
                  <c:v>307.19849999999997</c:v>
                </c:pt>
                <c:pt idx="236">
                  <c:v>307.57249999999999</c:v>
                </c:pt>
                <c:pt idx="237">
                  <c:v>308.04100000000005</c:v>
                </c:pt>
                <c:pt idx="238">
                  <c:v>308.80450000000002</c:v>
                </c:pt>
                <c:pt idx="239">
                  <c:v>309.78550000000007</c:v>
                </c:pt>
                <c:pt idx="240">
                  <c:v>310.83150000000001</c:v>
                </c:pt>
                <c:pt idx="241">
                  <c:v>311.79750000000001</c:v>
                </c:pt>
                <c:pt idx="242">
                  <c:v>312.7115</c:v>
                </c:pt>
                <c:pt idx="243">
                  <c:v>313.62549999999999</c:v>
                </c:pt>
                <c:pt idx="244">
                  <c:v>314.5865</c:v>
                </c:pt>
                <c:pt idx="245">
                  <c:v>315.27499999999998</c:v>
                </c:pt>
                <c:pt idx="246">
                  <c:v>316.47250000000003</c:v>
                </c:pt>
                <c:pt idx="247">
                  <c:v>317.4205</c:v>
                </c:pt>
                <c:pt idx="248">
                  <c:v>318.43</c:v>
                </c:pt>
                <c:pt idx="249">
                  <c:v>319.68250000000006</c:v>
                </c:pt>
                <c:pt idx="250">
                  <c:v>320.75349999999997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B5-4B6F-BD6C-7EB0C902BAE9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Data!$AB$2:$AB$252</c:f>
              <c:numCache>
                <c:formatCode>General</c:formatCode>
                <c:ptCount val="251"/>
                <c:pt idx="99">
                  <c:v>306.82199999999995</c:v>
                </c:pt>
                <c:pt idx="100">
                  <c:v>306.78049999999996</c:v>
                </c:pt>
                <c:pt idx="101">
                  <c:v>306.73609999999991</c:v>
                </c:pt>
                <c:pt idx="102">
                  <c:v>306.63109999999995</c:v>
                </c:pt>
                <c:pt idx="103">
                  <c:v>306.48129999999992</c:v>
                </c:pt>
                <c:pt idx="104">
                  <c:v>306.43029999999993</c:v>
                </c:pt>
                <c:pt idx="105">
                  <c:v>306.31199999999995</c:v>
                </c:pt>
                <c:pt idx="106">
                  <c:v>306.17349999999993</c:v>
                </c:pt>
                <c:pt idx="107">
                  <c:v>306.11529999999993</c:v>
                </c:pt>
                <c:pt idx="108">
                  <c:v>306.04979999999995</c:v>
                </c:pt>
                <c:pt idx="109">
                  <c:v>306.00199999999995</c:v>
                </c:pt>
                <c:pt idx="110">
                  <c:v>305.93439999999993</c:v>
                </c:pt>
                <c:pt idx="111">
                  <c:v>305.72219999999993</c:v>
                </c:pt>
                <c:pt idx="112">
                  <c:v>305.57859999999994</c:v>
                </c:pt>
                <c:pt idx="113">
                  <c:v>305.55329999999992</c:v>
                </c:pt>
                <c:pt idx="114">
                  <c:v>305.54699999999991</c:v>
                </c:pt>
                <c:pt idx="115">
                  <c:v>305.64859999999993</c:v>
                </c:pt>
                <c:pt idx="116">
                  <c:v>305.72939999999994</c:v>
                </c:pt>
                <c:pt idx="117">
                  <c:v>305.74419999999998</c:v>
                </c:pt>
                <c:pt idx="118">
                  <c:v>305.75180000000006</c:v>
                </c:pt>
                <c:pt idx="119">
                  <c:v>305.69900000000001</c:v>
                </c:pt>
                <c:pt idx="120">
                  <c:v>305.67970000000003</c:v>
                </c:pt>
                <c:pt idx="121">
                  <c:v>305.71479999999997</c:v>
                </c:pt>
                <c:pt idx="122">
                  <c:v>305.74740000000003</c:v>
                </c:pt>
                <c:pt idx="123">
                  <c:v>305.76520000000005</c:v>
                </c:pt>
                <c:pt idx="124">
                  <c:v>305.73870000000005</c:v>
                </c:pt>
                <c:pt idx="125">
                  <c:v>305.7426000000001</c:v>
                </c:pt>
                <c:pt idx="126">
                  <c:v>305.80390000000011</c:v>
                </c:pt>
                <c:pt idx="127">
                  <c:v>305.82090000000005</c:v>
                </c:pt>
                <c:pt idx="128">
                  <c:v>305.81900000000007</c:v>
                </c:pt>
                <c:pt idx="129">
                  <c:v>305.83260000000001</c:v>
                </c:pt>
                <c:pt idx="130">
                  <c:v>305.76420000000002</c:v>
                </c:pt>
                <c:pt idx="131">
                  <c:v>305.88529999999997</c:v>
                </c:pt>
                <c:pt idx="132">
                  <c:v>306.02180000000004</c:v>
                </c:pt>
                <c:pt idx="133">
                  <c:v>306.18110000000001</c:v>
                </c:pt>
                <c:pt idx="134">
                  <c:v>306.30539999999996</c:v>
                </c:pt>
                <c:pt idx="135">
                  <c:v>306.40750000000003</c:v>
                </c:pt>
                <c:pt idx="136">
                  <c:v>306.45229999999998</c:v>
                </c:pt>
                <c:pt idx="137">
                  <c:v>306.4196</c:v>
                </c:pt>
                <c:pt idx="138">
                  <c:v>306.42</c:v>
                </c:pt>
                <c:pt idx="139">
                  <c:v>306.38839999999999</c:v>
                </c:pt>
                <c:pt idx="140">
                  <c:v>306.35969999999998</c:v>
                </c:pt>
                <c:pt idx="141">
                  <c:v>306.32649999999995</c:v>
                </c:pt>
                <c:pt idx="142">
                  <c:v>306.15640000000002</c:v>
                </c:pt>
                <c:pt idx="143">
                  <c:v>306.00449999999995</c:v>
                </c:pt>
                <c:pt idx="144">
                  <c:v>305.892</c:v>
                </c:pt>
                <c:pt idx="145">
                  <c:v>305.73600000000005</c:v>
                </c:pt>
                <c:pt idx="146">
                  <c:v>305.5917</c:v>
                </c:pt>
                <c:pt idx="147">
                  <c:v>305.47660000000002</c:v>
                </c:pt>
                <c:pt idx="148">
                  <c:v>305.31200000000001</c:v>
                </c:pt>
                <c:pt idx="149">
                  <c:v>305.21890000000002</c:v>
                </c:pt>
                <c:pt idx="150">
                  <c:v>305.12230000000005</c:v>
                </c:pt>
                <c:pt idx="151">
                  <c:v>305.0175000000001</c:v>
                </c:pt>
                <c:pt idx="152">
                  <c:v>304.87950000000006</c:v>
                </c:pt>
                <c:pt idx="153">
                  <c:v>304.73710000000005</c:v>
                </c:pt>
                <c:pt idx="154">
                  <c:v>304.60740000000004</c:v>
                </c:pt>
                <c:pt idx="155">
                  <c:v>304.46940000000012</c:v>
                </c:pt>
                <c:pt idx="156">
                  <c:v>304.36000000000007</c:v>
                </c:pt>
                <c:pt idx="157">
                  <c:v>304.23350000000011</c:v>
                </c:pt>
                <c:pt idx="158">
                  <c:v>304.12170000000009</c:v>
                </c:pt>
                <c:pt idx="159">
                  <c:v>303.92090000000013</c:v>
                </c:pt>
                <c:pt idx="160">
                  <c:v>303.67290000000014</c:v>
                </c:pt>
                <c:pt idx="161">
                  <c:v>303.43070000000012</c:v>
                </c:pt>
                <c:pt idx="162">
                  <c:v>303.23380000000014</c:v>
                </c:pt>
                <c:pt idx="163">
                  <c:v>303.11500000000012</c:v>
                </c:pt>
                <c:pt idx="164">
                  <c:v>303.02440000000018</c:v>
                </c:pt>
                <c:pt idx="165">
                  <c:v>302.93200000000019</c:v>
                </c:pt>
                <c:pt idx="166">
                  <c:v>302.86340000000013</c:v>
                </c:pt>
                <c:pt idx="167">
                  <c:v>302.81270000000018</c:v>
                </c:pt>
                <c:pt idx="168">
                  <c:v>302.76890000000014</c:v>
                </c:pt>
                <c:pt idx="169">
                  <c:v>302.73150000000015</c:v>
                </c:pt>
                <c:pt idx="170">
                  <c:v>302.67440000000022</c:v>
                </c:pt>
                <c:pt idx="171">
                  <c:v>302.60840000000019</c:v>
                </c:pt>
                <c:pt idx="172">
                  <c:v>302.59270000000021</c:v>
                </c:pt>
                <c:pt idx="173">
                  <c:v>302.56690000000015</c:v>
                </c:pt>
                <c:pt idx="174">
                  <c:v>302.51680000000016</c:v>
                </c:pt>
                <c:pt idx="175">
                  <c:v>302.4933000000002</c:v>
                </c:pt>
                <c:pt idx="176">
                  <c:v>302.47330000000022</c:v>
                </c:pt>
                <c:pt idx="177">
                  <c:v>302.41980000000012</c:v>
                </c:pt>
                <c:pt idx="178">
                  <c:v>302.38030000000015</c:v>
                </c:pt>
                <c:pt idx="179">
                  <c:v>302.41790000000015</c:v>
                </c:pt>
                <c:pt idx="180">
                  <c:v>302.43910000000017</c:v>
                </c:pt>
                <c:pt idx="181">
                  <c:v>302.51260000000013</c:v>
                </c:pt>
                <c:pt idx="182">
                  <c:v>302.60730000000012</c:v>
                </c:pt>
                <c:pt idx="183">
                  <c:v>302.80100000000016</c:v>
                </c:pt>
                <c:pt idx="184">
                  <c:v>302.97520000000009</c:v>
                </c:pt>
                <c:pt idx="185">
                  <c:v>303.13630000000018</c:v>
                </c:pt>
                <c:pt idx="186">
                  <c:v>303.35110000000009</c:v>
                </c:pt>
                <c:pt idx="187">
                  <c:v>303.54380000000015</c:v>
                </c:pt>
                <c:pt idx="188">
                  <c:v>303.67420000000016</c:v>
                </c:pt>
                <c:pt idx="189">
                  <c:v>303.77990000000017</c:v>
                </c:pt>
                <c:pt idx="190">
                  <c:v>303.84660000000014</c:v>
                </c:pt>
                <c:pt idx="191">
                  <c:v>303.99380000000014</c:v>
                </c:pt>
                <c:pt idx="192">
                  <c:v>304.10200000000015</c:v>
                </c:pt>
                <c:pt idx="193">
                  <c:v>304.27120000000008</c:v>
                </c:pt>
                <c:pt idx="194">
                  <c:v>304.47850000000011</c:v>
                </c:pt>
                <c:pt idx="195">
                  <c:v>304.6665000000001</c:v>
                </c:pt>
                <c:pt idx="196">
                  <c:v>304.71830000000011</c:v>
                </c:pt>
                <c:pt idx="197">
                  <c:v>304.72640000000013</c:v>
                </c:pt>
                <c:pt idx="198">
                  <c:v>304.7847000000001</c:v>
                </c:pt>
                <c:pt idx="199">
                  <c:v>304.87390000000011</c:v>
                </c:pt>
                <c:pt idx="200">
                  <c:v>304.99720000000008</c:v>
                </c:pt>
                <c:pt idx="201">
                  <c:v>305.09140000000008</c:v>
                </c:pt>
                <c:pt idx="202">
                  <c:v>305.22860000000009</c:v>
                </c:pt>
                <c:pt idx="203">
                  <c:v>305.37650000000008</c:v>
                </c:pt>
                <c:pt idx="204">
                  <c:v>305.48190000000005</c:v>
                </c:pt>
                <c:pt idx="205">
                  <c:v>305.66790000000003</c:v>
                </c:pt>
                <c:pt idx="206">
                  <c:v>305.91039999999998</c:v>
                </c:pt>
                <c:pt idx="207">
                  <c:v>306.07070000000004</c:v>
                </c:pt>
                <c:pt idx="208">
                  <c:v>306.2654</c:v>
                </c:pt>
                <c:pt idx="209">
                  <c:v>306.43520000000007</c:v>
                </c:pt>
                <c:pt idx="210">
                  <c:v>306.55750000000006</c:v>
                </c:pt>
                <c:pt idx="211">
                  <c:v>306.71900000000005</c:v>
                </c:pt>
                <c:pt idx="212">
                  <c:v>306.79850000000005</c:v>
                </c:pt>
                <c:pt idx="213">
                  <c:v>306.8895</c:v>
                </c:pt>
                <c:pt idx="214">
                  <c:v>307.00860000000006</c:v>
                </c:pt>
                <c:pt idx="215">
                  <c:v>307.01730000000003</c:v>
                </c:pt>
                <c:pt idx="216">
                  <c:v>307.01850000000002</c:v>
                </c:pt>
                <c:pt idx="217">
                  <c:v>307.02029999999996</c:v>
                </c:pt>
                <c:pt idx="218">
                  <c:v>307.00930000000005</c:v>
                </c:pt>
                <c:pt idx="219">
                  <c:v>306.99150000000003</c:v>
                </c:pt>
                <c:pt idx="220">
                  <c:v>306.96850000000001</c:v>
                </c:pt>
                <c:pt idx="221">
                  <c:v>306.92060000000004</c:v>
                </c:pt>
                <c:pt idx="222">
                  <c:v>306.92010000000005</c:v>
                </c:pt>
                <c:pt idx="223">
                  <c:v>306.90630000000004</c:v>
                </c:pt>
                <c:pt idx="224">
                  <c:v>306.86450000000008</c:v>
                </c:pt>
                <c:pt idx="225">
                  <c:v>306.82810000000006</c:v>
                </c:pt>
                <c:pt idx="226">
                  <c:v>306.77720000000011</c:v>
                </c:pt>
                <c:pt idx="227">
                  <c:v>306.72270000000009</c:v>
                </c:pt>
                <c:pt idx="228">
                  <c:v>306.66260000000011</c:v>
                </c:pt>
                <c:pt idx="229">
                  <c:v>306.56160000000011</c:v>
                </c:pt>
                <c:pt idx="230">
                  <c:v>306.50420000000008</c:v>
                </c:pt>
                <c:pt idx="231">
                  <c:v>306.44230000000005</c:v>
                </c:pt>
                <c:pt idx="232">
                  <c:v>306.39940000000007</c:v>
                </c:pt>
                <c:pt idx="233">
                  <c:v>306.37130000000008</c:v>
                </c:pt>
                <c:pt idx="234">
                  <c:v>306.34870000000006</c:v>
                </c:pt>
                <c:pt idx="235">
                  <c:v>306.30680000000007</c:v>
                </c:pt>
                <c:pt idx="236">
                  <c:v>306.31810000000007</c:v>
                </c:pt>
                <c:pt idx="237">
                  <c:v>306.34010000000006</c:v>
                </c:pt>
                <c:pt idx="238">
                  <c:v>306.40019999999998</c:v>
                </c:pt>
                <c:pt idx="239">
                  <c:v>306.53559999999999</c:v>
                </c:pt>
                <c:pt idx="240">
                  <c:v>306.68819999999999</c:v>
                </c:pt>
                <c:pt idx="241">
                  <c:v>306.86899999999997</c:v>
                </c:pt>
                <c:pt idx="242">
                  <c:v>307.11989999999997</c:v>
                </c:pt>
                <c:pt idx="243">
                  <c:v>307.34299999999996</c:v>
                </c:pt>
                <c:pt idx="244">
                  <c:v>307.55299999999994</c:v>
                </c:pt>
                <c:pt idx="245">
                  <c:v>307.77369999999996</c:v>
                </c:pt>
                <c:pt idx="246">
                  <c:v>308.07069999999999</c:v>
                </c:pt>
                <c:pt idx="247">
                  <c:v>308.31659999999994</c:v>
                </c:pt>
                <c:pt idx="248">
                  <c:v>308.56089999999995</c:v>
                </c:pt>
                <c:pt idx="249">
                  <c:v>308.79649999999992</c:v>
                </c:pt>
                <c:pt idx="250">
                  <c:v>309.0446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B5-4B6F-BD6C-7EB0C902B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77887"/>
        <c:axId val="148178367"/>
      </c:lineChart>
      <c:dateAx>
        <c:axId val="148177887"/>
        <c:scaling>
          <c:orientation val="minMax"/>
          <c:min val="4595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78367"/>
        <c:crosses val="autoZero"/>
        <c:auto val="1"/>
        <c:lblOffset val="100"/>
        <c:baseTimeUnit val="days"/>
      </c:dateAx>
      <c:valAx>
        <c:axId val="148178367"/>
        <c:scaling>
          <c:orientation val="minMax"/>
          <c:min val="2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7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VWAP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303.05</c:v>
                </c:pt>
                <c:pt idx="1">
                  <c:v>304.81</c:v>
                </c:pt>
                <c:pt idx="2">
                  <c:v>307.57</c:v>
                </c:pt>
                <c:pt idx="3">
                  <c:v>310.72000000000003</c:v>
                </c:pt>
                <c:pt idx="4">
                  <c:v>304.27</c:v>
                </c:pt>
                <c:pt idx="5">
                  <c:v>309.95</c:v>
                </c:pt>
                <c:pt idx="6">
                  <c:v>308.33</c:v>
                </c:pt>
                <c:pt idx="7">
                  <c:v>304.29000000000002</c:v>
                </c:pt>
                <c:pt idx="8">
                  <c:v>305.77</c:v>
                </c:pt>
                <c:pt idx="9">
                  <c:v>307.45</c:v>
                </c:pt>
                <c:pt idx="10">
                  <c:v>310.37</c:v>
                </c:pt>
                <c:pt idx="11">
                  <c:v>321.29000000000002</c:v>
                </c:pt>
                <c:pt idx="12">
                  <c:v>317.25</c:v>
                </c:pt>
                <c:pt idx="13">
                  <c:v>306.76</c:v>
                </c:pt>
                <c:pt idx="14">
                  <c:v>299.39999999999998</c:v>
                </c:pt>
                <c:pt idx="15">
                  <c:v>297.5</c:v>
                </c:pt>
                <c:pt idx="16">
                  <c:v>299.83</c:v>
                </c:pt>
                <c:pt idx="17">
                  <c:v>303.97000000000003</c:v>
                </c:pt>
                <c:pt idx="18">
                  <c:v>303.60000000000002</c:v>
                </c:pt>
                <c:pt idx="19">
                  <c:v>306.92</c:v>
                </c:pt>
                <c:pt idx="20">
                  <c:v>307</c:v>
                </c:pt>
                <c:pt idx="21">
                  <c:v>305.44</c:v>
                </c:pt>
                <c:pt idx="22">
                  <c:v>305.67</c:v>
                </c:pt>
                <c:pt idx="23">
                  <c:v>306.92</c:v>
                </c:pt>
                <c:pt idx="24">
                  <c:v>313.58</c:v>
                </c:pt>
                <c:pt idx="25">
                  <c:v>312.69</c:v>
                </c:pt>
                <c:pt idx="26">
                  <c:v>307.08999999999997</c:v>
                </c:pt>
                <c:pt idx="27">
                  <c:v>312.37</c:v>
                </c:pt>
                <c:pt idx="28">
                  <c:v>313.63</c:v>
                </c:pt>
                <c:pt idx="29">
                  <c:v>311.58</c:v>
                </c:pt>
                <c:pt idx="30">
                  <c:v>318.27</c:v>
                </c:pt>
                <c:pt idx="31">
                  <c:v>300.11</c:v>
                </c:pt>
                <c:pt idx="32">
                  <c:v>299.89</c:v>
                </c:pt>
                <c:pt idx="33">
                  <c:v>299.83</c:v>
                </c:pt>
                <c:pt idx="34">
                  <c:v>303.95999999999998</c:v>
                </c:pt>
                <c:pt idx="35">
                  <c:v>306.77999999999997</c:v>
                </c:pt>
                <c:pt idx="36">
                  <c:v>309.89999999999998</c:v>
                </c:pt>
                <c:pt idx="37">
                  <c:v>316.07</c:v>
                </c:pt>
                <c:pt idx="38">
                  <c:v>312.48</c:v>
                </c:pt>
                <c:pt idx="39">
                  <c:v>309.10000000000002</c:v>
                </c:pt>
                <c:pt idx="40">
                  <c:v>311.3</c:v>
                </c:pt>
                <c:pt idx="41">
                  <c:v>308.72000000000003</c:v>
                </c:pt>
                <c:pt idx="42">
                  <c:v>319.08</c:v>
                </c:pt>
                <c:pt idx="43">
                  <c:v>318.48</c:v>
                </c:pt>
                <c:pt idx="44">
                  <c:v>316.22000000000003</c:v>
                </c:pt>
                <c:pt idx="45">
                  <c:v>316.74</c:v>
                </c:pt>
                <c:pt idx="46">
                  <c:v>316.81</c:v>
                </c:pt>
                <c:pt idx="47">
                  <c:v>314.5</c:v>
                </c:pt>
                <c:pt idx="48">
                  <c:v>319.64999999999998</c:v>
                </c:pt>
                <c:pt idx="49">
                  <c:v>313.64</c:v>
                </c:pt>
                <c:pt idx="50">
                  <c:v>311.95999999999998</c:v>
                </c:pt>
                <c:pt idx="51">
                  <c:v>315.72000000000003</c:v>
                </c:pt>
                <c:pt idx="52">
                  <c:v>316.79000000000002</c:v>
                </c:pt>
                <c:pt idx="53">
                  <c:v>318.13</c:v>
                </c:pt>
                <c:pt idx="54">
                  <c:v>313.49</c:v>
                </c:pt>
                <c:pt idx="55">
                  <c:v>313.68</c:v>
                </c:pt>
                <c:pt idx="56">
                  <c:v>311.92</c:v>
                </c:pt>
                <c:pt idx="57">
                  <c:v>308.69</c:v>
                </c:pt>
                <c:pt idx="58">
                  <c:v>307.5</c:v>
                </c:pt>
                <c:pt idx="59">
                  <c:v>314.48</c:v>
                </c:pt>
                <c:pt idx="60">
                  <c:v>318.61</c:v>
                </c:pt>
                <c:pt idx="61">
                  <c:v>321.23</c:v>
                </c:pt>
                <c:pt idx="62">
                  <c:v>319.8</c:v>
                </c:pt>
                <c:pt idx="63">
                  <c:v>316.44</c:v>
                </c:pt>
                <c:pt idx="64">
                  <c:v>314.31</c:v>
                </c:pt>
                <c:pt idx="65">
                  <c:v>314.57</c:v>
                </c:pt>
                <c:pt idx="66">
                  <c:v>314.95</c:v>
                </c:pt>
                <c:pt idx="67">
                  <c:v>312.83999999999997</c:v>
                </c:pt>
                <c:pt idx="68">
                  <c:v>311.86</c:v>
                </c:pt>
                <c:pt idx="69">
                  <c:v>313.85000000000002</c:v>
                </c:pt>
                <c:pt idx="70">
                  <c:v>312.68</c:v>
                </c:pt>
                <c:pt idx="71">
                  <c:v>312.39</c:v>
                </c:pt>
                <c:pt idx="72">
                  <c:v>311.57</c:v>
                </c:pt>
                <c:pt idx="73">
                  <c:v>308.98</c:v>
                </c:pt>
                <c:pt idx="74">
                  <c:v>307.36</c:v>
                </c:pt>
                <c:pt idx="75">
                  <c:v>304.77999999999997</c:v>
                </c:pt>
                <c:pt idx="76">
                  <c:v>300.43</c:v>
                </c:pt>
                <c:pt idx="77">
                  <c:v>301.72000000000003</c:v>
                </c:pt>
                <c:pt idx="78">
                  <c:v>303.16000000000003</c:v>
                </c:pt>
                <c:pt idx="79">
                  <c:v>301.91000000000003</c:v>
                </c:pt>
                <c:pt idx="80">
                  <c:v>296.29000000000002</c:v>
                </c:pt>
                <c:pt idx="81">
                  <c:v>292.31</c:v>
                </c:pt>
                <c:pt idx="82">
                  <c:v>289.63</c:v>
                </c:pt>
                <c:pt idx="83">
                  <c:v>287.45999999999998</c:v>
                </c:pt>
                <c:pt idx="84">
                  <c:v>289.52</c:v>
                </c:pt>
                <c:pt idx="85">
                  <c:v>291.47000000000003</c:v>
                </c:pt>
                <c:pt idx="86">
                  <c:v>285.55</c:v>
                </c:pt>
                <c:pt idx="87">
                  <c:v>285.63</c:v>
                </c:pt>
                <c:pt idx="88">
                  <c:v>291.55</c:v>
                </c:pt>
                <c:pt idx="89">
                  <c:v>292.17</c:v>
                </c:pt>
                <c:pt idx="90">
                  <c:v>297.49</c:v>
                </c:pt>
                <c:pt idx="91">
                  <c:v>294.63</c:v>
                </c:pt>
                <c:pt idx="92">
                  <c:v>294.08</c:v>
                </c:pt>
                <c:pt idx="93">
                  <c:v>293.52999999999997</c:v>
                </c:pt>
                <c:pt idx="94">
                  <c:v>291.67</c:v>
                </c:pt>
                <c:pt idx="95">
                  <c:v>293.02</c:v>
                </c:pt>
                <c:pt idx="96">
                  <c:v>298.39</c:v>
                </c:pt>
                <c:pt idx="97">
                  <c:v>299.91000000000003</c:v>
                </c:pt>
                <c:pt idx="98">
                  <c:v>301.88</c:v>
                </c:pt>
                <c:pt idx="99">
                  <c:v>299.62</c:v>
                </c:pt>
                <c:pt idx="100">
                  <c:v>298.89999999999998</c:v>
                </c:pt>
                <c:pt idx="101">
                  <c:v>300.37</c:v>
                </c:pt>
                <c:pt idx="102">
                  <c:v>297.07</c:v>
                </c:pt>
                <c:pt idx="103">
                  <c:v>295.74</c:v>
                </c:pt>
                <c:pt idx="104">
                  <c:v>299.17</c:v>
                </c:pt>
                <c:pt idx="105">
                  <c:v>298.12</c:v>
                </c:pt>
                <c:pt idx="106">
                  <c:v>294.48</c:v>
                </c:pt>
                <c:pt idx="107">
                  <c:v>298.47000000000003</c:v>
                </c:pt>
                <c:pt idx="108">
                  <c:v>299.22000000000003</c:v>
                </c:pt>
                <c:pt idx="109">
                  <c:v>302.67</c:v>
                </c:pt>
                <c:pt idx="110">
                  <c:v>303.61</c:v>
                </c:pt>
                <c:pt idx="111">
                  <c:v>300.07</c:v>
                </c:pt>
                <c:pt idx="112">
                  <c:v>302.89</c:v>
                </c:pt>
                <c:pt idx="113">
                  <c:v>304.23</c:v>
                </c:pt>
                <c:pt idx="114">
                  <c:v>298.77</c:v>
                </c:pt>
                <c:pt idx="115">
                  <c:v>307.66000000000003</c:v>
                </c:pt>
                <c:pt idx="116">
                  <c:v>307.91000000000003</c:v>
                </c:pt>
                <c:pt idx="117">
                  <c:v>305.45</c:v>
                </c:pt>
                <c:pt idx="118">
                  <c:v>304.36</c:v>
                </c:pt>
                <c:pt idx="119">
                  <c:v>301.64</c:v>
                </c:pt>
                <c:pt idx="120">
                  <c:v>305.07</c:v>
                </c:pt>
                <c:pt idx="121">
                  <c:v>308.95</c:v>
                </c:pt>
                <c:pt idx="122">
                  <c:v>308.93</c:v>
                </c:pt>
                <c:pt idx="123">
                  <c:v>308.7</c:v>
                </c:pt>
                <c:pt idx="124">
                  <c:v>310.93</c:v>
                </c:pt>
                <c:pt idx="125">
                  <c:v>313.08</c:v>
                </c:pt>
                <c:pt idx="126">
                  <c:v>313.22000000000003</c:v>
                </c:pt>
                <c:pt idx="127">
                  <c:v>314.07</c:v>
                </c:pt>
                <c:pt idx="128">
                  <c:v>313.44</c:v>
                </c:pt>
                <c:pt idx="129">
                  <c:v>312.94</c:v>
                </c:pt>
                <c:pt idx="130">
                  <c:v>311.43</c:v>
                </c:pt>
                <c:pt idx="131">
                  <c:v>312.22000000000003</c:v>
                </c:pt>
                <c:pt idx="132">
                  <c:v>313.54000000000002</c:v>
                </c:pt>
                <c:pt idx="133">
                  <c:v>315.76</c:v>
                </c:pt>
                <c:pt idx="134">
                  <c:v>316.39</c:v>
                </c:pt>
                <c:pt idx="135">
                  <c:v>316.99</c:v>
                </c:pt>
                <c:pt idx="136">
                  <c:v>314.38</c:v>
                </c:pt>
                <c:pt idx="137">
                  <c:v>312.8</c:v>
                </c:pt>
                <c:pt idx="138">
                  <c:v>312.52</c:v>
                </c:pt>
                <c:pt idx="139">
                  <c:v>305.94</c:v>
                </c:pt>
                <c:pt idx="140">
                  <c:v>308.43</c:v>
                </c:pt>
                <c:pt idx="141">
                  <c:v>305.39999999999998</c:v>
                </c:pt>
                <c:pt idx="142">
                  <c:v>302.07</c:v>
                </c:pt>
                <c:pt idx="143">
                  <c:v>303.29000000000002</c:v>
                </c:pt>
                <c:pt idx="144">
                  <c:v>304.97000000000003</c:v>
                </c:pt>
                <c:pt idx="145">
                  <c:v>301.14</c:v>
                </c:pt>
                <c:pt idx="146">
                  <c:v>302.38</c:v>
                </c:pt>
                <c:pt idx="147">
                  <c:v>302.99</c:v>
                </c:pt>
                <c:pt idx="148">
                  <c:v>303.19</c:v>
                </c:pt>
                <c:pt idx="149">
                  <c:v>304.33</c:v>
                </c:pt>
                <c:pt idx="150">
                  <c:v>302.3</c:v>
                </c:pt>
                <c:pt idx="151">
                  <c:v>305.24</c:v>
                </c:pt>
                <c:pt idx="152">
                  <c:v>302.99</c:v>
                </c:pt>
                <c:pt idx="153">
                  <c:v>303.89</c:v>
                </c:pt>
                <c:pt idx="154">
                  <c:v>300.52</c:v>
                </c:pt>
                <c:pt idx="155">
                  <c:v>299.88</c:v>
                </c:pt>
                <c:pt idx="156">
                  <c:v>300.98</c:v>
                </c:pt>
                <c:pt idx="157">
                  <c:v>296.04000000000002</c:v>
                </c:pt>
                <c:pt idx="158">
                  <c:v>296.32</c:v>
                </c:pt>
                <c:pt idx="159">
                  <c:v>294.39999999999998</c:v>
                </c:pt>
                <c:pt idx="160">
                  <c:v>293.81</c:v>
                </c:pt>
                <c:pt idx="161">
                  <c:v>297.01</c:v>
                </c:pt>
                <c:pt idx="162">
                  <c:v>300.11</c:v>
                </c:pt>
                <c:pt idx="163">
                  <c:v>304.56</c:v>
                </c:pt>
                <c:pt idx="164">
                  <c:v>305.25</c:v>
                </c:pt>
                <c:pt idx="165">
                  <c:v>305.33</c:v>
                </c:pt>
                <c:pt idx="166">
                  <c:v>308.08999999999997</c:v>
                </c:pt>
                <c:pt idx="167">
                  <c:v>307.77</c:v>
                </c:pt>
                <c:pt idx="168">
                  <c:v>307.48</c:v>
                </c:pt>
                <c:pt idx="169">
                  <c:v>310.11</c:v>
                </c:pt>
                <c:pt idx="170">
                  <c:v>306.97000000000003</c:v>
                </c:pt>
                <c:pt idx="171">
                  <c:v>305.79000000000002</c:v>
                </c:pt>
                <c:pt idx="172">
                  <c:v>310</c:v>
                </c:pt>
                <c:pt idx="173">
                  <c:v>306.39999999999998</c:v>
                </c:pt>
                <c:pt idx="174">
                  <c:v>302.35000000000002</c:v>
                </c:pt>
                <c:pt idx="175">
                  <c:v>302.43</c:v>
                </c:pt>
                <c:pt idx="176">
                  <c:v>298.43</c:v>
                </c:pt>
                <c:pt idx="177">
                  <c:v>296.37</c:v>
                </c:pt>
                <c:pt idx="178">
                  <c:v>299.20999999999998</c:v>
                </c:pt>
                <c:pt idx="179">
                  <c:v>305.67</c:v>
                </c:pt>
                <c:pt idx="180">
                  <c:v>298.41000000000003</c:v>
                </c:pt>
                <c:pt idx="181">
                  <c:v>299.66000000000003</c:v>
                </c:pt>
                <c:pt idx="182">
                  <c:v>299.10000000000002</c:v>
                </c:pt>
                <c:pt idx="183">
                  <c:v>306.83</c:v>
                </c:pt>
                <c:pt idx="184">
                  <c:v>306.94</c:v>
                </c:pt>
                <c:pt idx="185">
                  <c:v>307.58</c:v>
                </c:pt>
                <c:pt idx="186">
                  <c:v>307.02999999999997</c:v>
                </c:pt>
                <c:pt idx="187">
                  <c:v>304.89999999999998</c:v>
                </c:pt>
                <c:pt idx="188">
                  <c:v>304.58999999999997</c:v>
                </c:pt>
                <c:pt idx="189">
                  <c:v>302.74</c:v>
                </c:pt>
                <c:pt idx="190">
                  <c:v>304.16000000000003</c:v>
                </c:pt>
                <c:pt idx="191">
                  <c:v>309.35000000000002</c:v>
                </c:pt>
                <c:pt idx="192">
                  <c:v>304.89999999999998</c:v>
                </c:pt>
                <c:pt idx="193">
                  <c:v>310.45</c:v>
                </c:pt>
                <c:pt idx="194">
                  <c:v>312.39999999999998</c:v>
                </c:pt>
                <c:pt idx="195">
                  <c:v>311.82</c:v>
                </c:pt>
                <c:pt idx="196">
                  <c:v>303.57</c:v>
                </c:pt>
                <c:pt idx="197">
                  <c:v>300.72000000000003</c:v>
                </c:pt>
                <c:pt idx="198">
                  <c:v>307.70999999999998</c:v>
                </c:pt>
                <c:pt idx="199">
                  <c:v>308.54000000000002</c:v>
                </c:pt>
                <c:pt idx="200">
                  <c:v>311.23</c:v>
                </c:pt>
                <c:pt idx="201">
                  <c:v>309.79000000000002</c:v>
                </c:pt>
                <c:pt idx="202">
                  <c:v>310.79000000000002</c:v>
                </c:pt>
                <c:pt idx="203">
                  <c:v>310.52999999999997</c:v>
                </c:pt>
                <c:pt idx="204">
                  <c:v>309.70999999999998</c:v>
                </c:pt>
                <c:pt idx="205">
                  <c:v>316.72000000000003</c:v>
                </c:pt>
                <c:pt idx="206">
                  <c:v>318.73</c:v>
                </c:pt>
                <c:pt idx="207">
                  <c:v>314.5</c:v>
                </c:pt>
                <c:pt idx="208">
                  <c:v>318.69</c:v>
                </c:pt>
                <c:pt idx="209">
                  <c:v>319.64999999999998</c:v>
                </c:pt>
                <c:pt idx="210">
                  <c:v>315.83999999999997</c:v>
                </c:pt>
                <c:pt idx="211">
                  <c:v>316.22000000000003</c:v>
                </c:pt>
                <c:pt idx="212">
                  <c:v>310.83999999999997</c:v>
                </c:pt>
                <c:pt idx="213">
                  <c:v>313.33</c:v>
                </c:pt>
                <c:pt idx="214">
                  <c:v>310.68</c:v>
                </c:pt>
                <c:pt idx="215">
                  <c:v>308.52999999999997</c:v>
                </c:pt>
                <c:pt idx="216">
                  <c:v>308.02999999999997</c:v>
                </c:pt>
                <c:pt idx="217">
                  <c:v>305.63</c:v>
                </c:pt>
                <c:pt idx="218">
                  <c:v>303.26</c:v>
                </c:pt>
                <c:pt idx="219">
                  <c:v>299.86</c:v>
                </c:pt>
                <c:pt idx="220">
                  <c:v>302.77</c:v>
                </c:pt>
                <c:pt idx="221">
                  <c:v>304.16000000000003</c:v>
                </c:pt>
                <c:pt idx="222">
                  <c:v>308.88</c:v>
                </c:pt>
                <c:pt idx="223">
                  <c:v>307.32</c:v>
                </c:pt>
                <c:pt idx="224">
                  <c:v>306.75</c:v>
                </c:pt>
                <c:pt idx="225">
                  <c:v>309.44</c:v>
                </c:pt>
                <c:pt idx="226">
                  <c:v>308.13</c:v>
                </c:pt>
                <c:pt idx="227">
                  <c:v>308.62</c:v>
                </c:pt>
                <c:pt idx="228">
                  <c:v>307.43</c:v>
                </c:pt>
                <c:pt idx="229">
                  <c:v>302.83999999999997</c:v>
                </c:pt>
                <c:pt idx="230">
                  <c:v>305.69</c:v>
                </c:pt>
                <c:pt idx="231">
                  <c:v>306.02999999999997</c:v>
                </c:pt>
                <c:pt idx="232">
                  <c:v>309.25</c:v>
                </c:pt>
                <c:pt idx="233">
                  <c:v>312.95</c:v>
                </c:pt>
                <c:pt idx="234">
                  <c:v>314.13</c:v>
                </c:pt>
                <c:pt idx="235">
                  <c:v>312.8</c:v>
                </c:pt>
                <c:pt idx="236">
                  <c:v>315.51</c:v>
                </c:pt>
                <c:pt idx="237">
                  <c:v>315</c:v>
                </c:pt>
                <c:pt idx="238">
                  <c:v>318.52999999999997</c:v>
                </c:pt>
                <c:pt idx="239">
                  <c:v>319.48</c:v>
                </c:pt>
                <c:pt idx="240">
                  <c:v>323.69</c:v>
                </c:pt>
                <c:pt idx="241">
                  <c:v>323.48</c:v>
                </c:pt>
                <c:pt idx="242">
                  <c:v>327.16000000000003</c:v>
                </c:pt>
                <c:pt idx="243">
                  <c:v>325.60000000000002</c:v>
                </c:pt>
                <c:pt idx="244">
                  <c:v>325.97000000000003</c:v>
                </c:pt>
                <c:pt idx="245">
                  <c:v>323.20999999999998</c:v>
                </c:pt>
                <c:pt idx="246">
                  <c:v>332.08</c:v>
                </c:pt>
                <c:pt idx="247">
                  <c:v>327.58</c:v>
                </c:pt>
                <c:pt idx="248">
                  <c:v>327.62</c:v>
                </c:pt>
                <c:pt idx="249">
                  <c:v>327.89</c:v>
                </c:pt>
                <c:pt idx="250">
                  <c:v>327.11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3-4E5F-BB74-2B802C67E949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Data!$F$2:$F$252</c:f>
              <c:numCache>
                <c:formatCode>General</c:formatCode>
                <c:ptCount val="251"/>
                <c:pt idx="0">
                  <c:v>303.05</c:v>
                </c:pt>
                <c:pt idx="1">
                  <c:v>303.93241624203898</c:v>
                </c:pt>
                <c:pt idx="2">
                  <c:v>305.23964933266387</c:v>
                </c:pt>
                <c:pt idx="3">
                  <c:v>306.83768829726478</c:v>
                </c:pt>
                <c:pt idx="4">
                  <c:v>306.22965106554733</c:v>
                </c:pt>
                <c:pt idx="5">
                  <c:v>306.82789501980983</c:v>
                </c:pt>
                <c:pt idx="6">
                  <c:v>307.11730579692465</c:v>
                </c:pt>
                <c:pt idx="7">
                  <c:v>306.70779093101527</c:v>
                </c:pt>
                <c:pt idx="8">
                  <c:v>306.59914883327332</c:v>
                </c:pt>
                <c:pt idx="9">
                  <c:v>306.6534579490077</c:v>
                </c:pt>
                <c:pt idx="10">
                  <c:v>306.93205666449325</c:v>
                </c:pt>
                <c:pt idx="11">
                  <c:v>309.25477760001559</c:v>
                </c:pt>
                <c:pt idx="12">
                  <c:v>309.98230861089337</c:v>
                </c:pt>
                <c:pt idx="13">
                  <c:v>309.72375929201564</c:v>
                </c:pt>
                <c:pt idx="14">
                  <c:v>308.95173236918117</c:v>
                </c:pt>
                <c:pt idx="15">
                  <c:v>308.21518291169804</c:v>
                </c:pt>
                <c:pt idx="16">
                  <c:v>307.88098982716718</c:v>
                </c:pt>
                <c:pt idx="17">
                  <c:v>307.7277985666455</c:v>
                </c:pt>
                <c:pt idx="18">
                  <c:v>307.58982941224775</c:v>
                </c:pt>
                <c:pt idx="19">
                  <c:v>307.56493764234091</c:v>
                </c:pt>
                <c:pt idx="20">
                  <c:v>307.54531243669015</c:v>
                </c:pt>
                <c:pt idx="21">
                  <c:v>307.39527038032293</c:v>
                </c:pt>
                <c:pt idx="22">
                  <c:v>307.32765069330981</c:v>
                </c:pt>
                <c:pt idx="23">
                  <c:v>307.31568378110416</c:v>
                </c:pt>
                <c:pt idx="24">
                  <c:v>307.49223133188633</c:v>
                </c:pt>
                <c:pt idx="25">
                  <c:v>307.6606722917727</c:v>
                </c:pt>
                <c:pt idx="26">
                  <c:v>307.64224585432191</c:v>
                </c:pt>
                <c:pt idx="27">
                  <c:v>307.84333236029568</c:v>
                </c:pt>
                <c:pt idx="28">
                  <c:v>307.97460179339345</c:v>
                </c:pt>
                <c:pt idx="29">
                  <c:v>308.06638182772264</c:v>
                </c:pt>
                <c:pt idx="30">
                  <c:v>308.68366616007137</c:v>
                </c:pt>
                <c:pt idx="31">
                  <c:v>308.07762909677115</c:v>
                </c:pt>
                <c:pt idx="32">
                  <c:v>307.60079828300223</c:v>
                </c:pt>
                <c:pt idx="33">
                  <c:v>307.28807978695471</c:v>
                </c:pt>
                <c:pt idx="34">
                  <c:v>307.10029067142978</c:v>
                </c:pt>
                <c:pt idx="35">
                  <c:v>307.08758817169758</c:v>
                </c:pt>
                <c:pt idx="36">
                  <c:v>307.16713613698954</c:v>
                </c:pt>
                <c:pt idx="37">
                  <c:v>307.3920597902333</c:v>
                </c:pt>
                <c:pt idx="38">
                  <c:v>307.48210042178988</c:v>
                </c:pt>
                <c:pt idx="39">
                  <c:v>307.51211589364971</c:v>
                </c:pt>
                <c:pt idx="40">
                  <c:v>307.57299091809119</c:v>
                </c:pt>
                <c:pt idx="41">
                  <c:v>307.5907496083675</c:v>
                </c:pt>
                <c:pt idx="42">
                  <c:v>307.86396804345958</c:v>
                </c:pt>
                <c:pt idx="43">
                  <c:v>308.05344646158028</c:v>
                </c:pt>
                <c:pt idx="44">
                  <c:v>308.16449898054566</c:v>
                </c:pt>
                <c:pt idx="45">
                  <c:v>308.27055056680786</c:v>
                </c:pt>
                <c:pt idx="46">
                  <c:v>308.38816391488638</c:v>
                </c:pt>
                <c:pt idx="47">
                  <c:v>308.48976572841008</c:v>
                </c:pt>
                <c:pt idx="48">
                  <c:v>308.80673273096329</c:v>
                </c:pt>
                <c:pt idx="49">
                  <c:v>308.93138628919161</c:v>
                </c:pt>
                <c:pt idx="50">
                  <c:v>308.99037008871892</c:v>
                </c:pt>
                <c:pt idx="51">
                  <c:v>309.10436695070837</c:v>
                </c:pt>
                <c:pt idx="52">
                  <c:v>309.20225531944152</c:v>
                </c:pt>
                <c:pt idx="53">
                  <c:v>309.31595813951071</c:v>
                </c:pt>
                <c:pt idx="54">
                  <c:v>309.35711126532118</c:v>
                </c:pt>
                <c:pt idx="55">
                  <c:v>309.39512233060981</c:v>
                </c:pt>
                <c:pt idx="56">
                  <c:v>309.4421312291766</c:v>
                </c:pt>
                <c:pt idx="57">
                  <c:v>309.43205253980688</c:v>
                </c:pt>
                <c:pt idx="58">
                  <c:v>309.40952935536842</c:v>
                </c:pt>
                <c:pt idx="59">
                  <c:v>309.47385633249451</c:v>
                </c:pt>
                <c:pt idx="60">
                  <c:v>309.57705029765054</c:v>
                </c:pt>
                <c:pt idx="61">
                  <c:v>309.71265088576166</c:v>
                </c:pt>
                <c:pt idx="62">
                  <c:v>309.79880183142063</c:v>
                </c:pt>
                <c:pt idx="63">
                  <c:v>309.86466590122569</c:v>
                </c:pt>
                <c:pt idx="64">
                  <c:v>309.91293760388794</c:v>
                </c:pt>
                <c:pt idx="65">
                  <c:v>309.9640816318319</c:v>
                </c:pt>
                <c:pt idx="66">
                  <c:v>310.01477768223839</c:v>
                </c:pt>
                <c:pt idx="67">
                  <c:v>310.03661151431226</c:v>
                </c:pt>
                <c:pt idx="68">
                  <c:v>310.05283805672707</c:v>
                </c:pt>
                <c:pt idx="69">
                  <c:v>310.1129194371494</c:v>
                </c:pt>
                <c:pt idx="70">
                  <c:v>310.13842693970122</c:v>
                </c:pt>
                <c:pt idx="71">
                  <c:v>310.16441252074537</c:v>
                </c:pt>
                <c:pt idx="72">
                  <c:v>310.17541233776859</c:v>
                </c:pt>
                <c:pt idx="73">
                  <c:v>310.15840269336502</c:v>
                </c:pt>
                <c:pt idx="74">
                  <c:v>310.13130869472144</c:v>
                </c:pt>
                <c:pt idx="75">
                  <c:v>310.05229463198862</c:v>
                </c:pt>
                <c:pt idx="76">
                  <c:v>309.8906205933157</c:v>
                </c:pt>
                <c:pt idx="77">
                  <c:v>309.7949712463323</c:v>
                </c:pt>
                <c:pt idx="78">
                  <c:v>309.7349141334696</c:v>
                </c:pt>
                <c:pt idx="79">
                  <c:v>309.66873475706132</c:v>
                </c:pt>
                <c:pt idx="80">
                  <c:v>309.48339073536249</c:v>
                </c:pt>
                <c:pt idx="81">
                  <c:v>309.28695598720714</c:v>
                </c:pt>
                <c:pt idx="82">
                  <c:v>309.02378338620673</c:v>
                </c:pt>
                <c:pt idx="83">
                  <c:v>308.52532434171485</c:v>
                </c:pt>
                <c:pt idx="84">
                  <c:v>308.20991534323724</c:v>
                </c:pt>
                <c:pt idx="85">
                  <c:v>307.9736861377985</c:v>
                </c:pt>
                <c:pt idx="86">
                  <c:v>307.67555583349684</c:v>
                </c:pt>
                <c:pt idx="87">
                  <c:v>307.31315610283991</c:v>
                </c:pt>
                <c:pt idx="88">
                  <c:v>306.96199583460844</c:v>
                </c:pt>
                <c:pt idx="89">
                  <c:v>306.74093184189712</c:v>
                </c:pt>
                <c:pt idx="90">
                  <c:v>306.60293128905522</c:v>
                </c:pt>
                <c:pt idx="91">
                  <c:v>306.46432238022356</c:v>
                </c:pt>
                <c:pt idx="92">
                  <c:v>306.40476379577206</c:v>
                </c:pt>
                <c:pt idx="93">
                  <c:v>306.28040900554856</c:v>
                </c:pt>
                <c:pt idx="94">
                  <c:v>306.15206224824402</c:v>
                </c:pt>
                <c:pt idx="95">
                  <c:v>306.03253937487739</c:v>
                </c:pt>
                <c:pt idx="96">
                  <c:v>305.9198967871356</c:v>
                </c:pt>
                <c:pt idx="97">
                  <c:v>305.84616029089051</c:v>
                </c:pt>
                <c:pt idx="98">
                  <c:v>305.78570472127029</c:v>
                </c:pt>
                <c:pt idx="99">
                  <c:v>305.73770981524609</c:v>
                </c:pt>
                <c:pt idx="100">
                  <c:v>305.68726413701131</c:v>
                </c:pt>
                <c:pt idx="101">
                  <c:v>305.64378317438246</c:v>
                </c:pt>
                <c:pt idx="102">
                  <c:v>305.56661796316899</c:v>
                </c:pt>
                <c:pt idx="103">
                  <c:v>305.4900519046754</c:v>
                </c:pt>
                <c:pt idx="104">
                  <c:v>305.44702808022066</c:v>
                </c:pt>
                <c:pt idx="105">
                  <c:v>305.40125280581242</c:v>
                </c:pt>
                <c:pt idx="106">
                  <c:v>305.280228126917</c:v>
                </c:pt>
                <c:pt idx="107">
                  <c:v>305.22272688109899</c:v>
                </c:pt>
                <c:pt idx="108">
                  <c:v>305.17731596724263</c:v>
                </c:pt>
                <c:pt idx="109">
                  <c:v>305.15801821760925</c:v>
                </c:pt>
                <c:pt idx="110">
                  <c:v>305.14747110985837</c:v>
                </c:pt>
                <c:pt idx="111">
                  <c:v>305.1029915367709</c:v>
                </c:pt>
                <c:pt idx="112">
                  <c:v>305.0853178328299</c:v>
                </c:pt>
                <c:pt idx="113">
                  <c:v>305.07575701385309</c:v>
                </c:pt>
                <c:pt idx="114">
                  <c:v>305.01350737950827</c:v>
                </c:pt>
                <c:pt idx="115">
                  <c:v>305.05296474170518</c:v>
                </c:pt>
                <c:pt idx="116">
                  <c:v>305.07647797642744</c:v>
                </c:pt>
                <c:pt idx="117">
                  <c:v>305.07870175715522</c:v>
                </c:pt>
                <c:pt idx="118">
                  <c:v>305.07440538975055</c:v>
                </c:pt>
                <c:pt idx="119">
                  <c:v>305.04794853159632</c:v>
                </c:pt>
                <c:pt idx="120">
                  <c:v>305.04809565256716</c:v>
                </c:pt>
                <c:pt idx="121">
                  <c:v>305.08846188438554</c:v>
                </c:pt>
                <c:pt idx="122">
                  <c:v>305.11713939946407</c:v>
                </c:pt>
                <c:pt idx="123">
                  <c:v>305.14257909852347</c:v>
                </c:pt>
                <c:pt idx="124">
                  <c:v>305.17868257289183</c:v>
                </c:pt>
                <c:pt idx="125">
                  <c:v>305.2442317201556</c:v>
                </c:pt>
                <c:pt idx="126">
                  <c:v>305.28296371873228</c:v>
                </c:pt>
                <c:pt idx="127">
                  <c:v>305.33494470366566</c:v>
                </c:pt>
                <c:pt idx="128">
                  <c:v>305.38510704593944</c:v>
                </c:pt>
                <c:pt idx="129">
                  <c:v>305.42943241693717</c:v>
                </c:pt>
                <c:pt idx="130">
                  <c:v>305.46972151465673</c:v>
                </c:pt>
                <c:pt idx="131">
                  <c:v>305.518014768922</c:v>
                </c:pt>
                <c:pt idx="132">
                  <c:v>305.55900795843036</c:v>
                </c:pt>
                <c:pt idx="133">
                  <c:v>305.62608871296283</c:v>
                </c:pt>
                <c:pt idx="134">
                  <c:v>305.69621578441058</c:v>
                </c:pt>
                <c:pt idx="135">
                  <c:v>305.76168440479171</c:v>
                </c:pt>
                <c:pt idx="136">
                  <c:v>305.80538277060845</c:v>
                </c:pt>
                <c:pt idx="137">
                  <c:v>305.84538575026778</c:v>
                </c:pt>
                <c:pt idx="138">
                  <c:v>305.87594031339819</c:v>
                </c:pt>
                <c:pt idx="139">
                  <c:v>305.8763788955888</c:v>
                </c:pt>
                <c:pt idx="140">
                  <c:v>305.8901777739722</c:v>
                </c:pt>
                <c:pt idx="141">
                  <c:v>305.88819758792624</c:v>
                </c:pt>
                <c:pt idx="142">
                  <c:v>305.86170929359287</c:v>
                </c:pt>
                <c:pt idx="143">
                  <c:v>305.84402088166684</c:v>
                </c:pt>
                <c:pt idx="144">
                  <c:v>305.83953912550732</c:v>
                </c:pt>
                <c:pt idx="145">
                  <c:v>305.79808473548275</c:v>
                </c:pt>
                <c:pt idx="146">
                  <c:v>305.76157259531038</c:v>
                </c:pt>
                <c:pt idx="147">
                  <c:v>305.74269241075331</c:v>
                </c:pt>
                <c:pt idx="148">
                  <c:v>305.72861854826238</c:v>
                </c:pt>
                <c:pt idx="149">
                  <c:v>305.72235845121395</c:v>
                </c:pt>
                <c:pt idx="150">
                  <c:v>305.70629111645127</c:v>
                </c:pt>
                <c:pt idx="151">
                  <c:v>305.70434420968888</c:v>
                </c:pt>
                <c:pt idx="152">
                  <c:v>305.68918231265155</c:v>
                </c:pt>
                <c:pt idx="153">
                  <c:v>305.68059059461831</c:v>
                </c:pt>
                <c:pt idx="154">
                  <c:v>305.65223126527314</c:v>
                </c:pt>
                <c:pt idx="155">
                  <c:v>305.62443410456245</c:v>
                </c:pt>
                <c:pt idx="156">
                  <c:v>305.60292750461304</c:v>
                </c:pt>
                <c:pt idx="157">
                  <c:v>305.53838121328005</c:v>
                </c:pt>
                <c:pt idx="158">
                  <c:v>305.49751839773216</c:v>
                </c:pt>
                <c:pt idx="159">
                  <c:v>305.44954087349748</c:v>
                </c:pt>
                <c:pt idx="160">
                  <c:v>305.39259529023747</c:v>
                </c:pt>
                <c:pt idx="161">
                  <c:v>305.33423679192231</c:v>
                </c:pt>
                <c:pt idx="162">
                  <c:v>305.30389946636109</c:v>
                </c:pt>
                <c:pt idx="163">
                  <c:v>305.30008228350113</c:v>
                </c:pt>
                <c:pt idx="164">
                  <c:v>305.29986664965878</c:v>
                </c:pt>
                <c:pt idx="165">
                  <c:v>305.29997028743924</c:v>
                </c:pt>
                <c:pt idx="166">
                  <c:v>305.31034647093253</c:v>
                </c:pt>
                <c:pt idx="167">
                  <c:v>305.32002096346855</c:v>
                </c:pt>
                <c:pt idx="168">
                  <c:v>305.32895969686729</c:v>
                </c:pt>
                <c:pt idx="169">
                  <c:v>305.35084963655618</c:v>
                </c:pt>
                <c:pt idx="170">
                  <c:v>305.35647057690539</c:v>
                </c:pt>
                <c:pt idx="171">
                  <c:v>305.3579079181676</c:v>
                </c:pt>
                <c:pt idx="172">
                  <c:v>305.37435985106714</c:v>
                </c:pt>
                <c:pt idx="173">
                  <c:v>305.37831386254703</c:v>
                </c:pt>
                <c:pt idx="174">
                  <c:v>305.36586234803099</c:v>
                </c:pt>
                <c:pt idx="175">
                  <c:v>305.35084754716371</c:v>
                </c:pt>
                <c:pt idx="176">
                  <c:v>305.31054823084463</c:v>
                </c:pt>
                <c:pt idx="177">
                  <c:v>305.25424487680107</c:v>
                </c:pt>
                <c:pt idx="178">
                  <c:v>305.21399153689964</c:v>
                </c:pt>
                <c:pt idx="179">
                  <c:v>305.21838955090919</c:v>
                </c:pt>
                <c:pt idx="180">
                  <c:v>305.18025869337868</c:v>
                </c:pt>
                <c:pt idx="181">
                  <c:v>305.1520569018079</c:v>
                </c:pt>
                <c:pt idx="182">
                  <c:v>305.11589397509431</c:v>
                </c:pt>
                <c:pt idx="183">
                  <c:v>305.12324290338358</c:v>
                </c:pt>
                <c:pt idx="184">
                  <c:v>305.13117476842746</c:v>
                </c:pt>
                <c:pt idx="185">
                  <c:v>305.13984645595679</c:v>
                </c:pt>
                <c:pt idx="186">
                  <c:v>305.1488836423693</c:v>
                </c:pt>
                <c:pt idx="187">
                  <c:v>305.14795592204814</c:v>
                </c:pt>
                <c:pt idx="188">
                  <c:v>305.14559711789605</c:v>
                </c:pt>
                <c:pt idx="189">
                  <c:v>305.13825659970144</c:v>
                </c:pt>
                <c:pt idx="190">
                  <c:v>305.13204656177493</c:v>
                </c:pt>
                <c:pt idx="191">
                  <c:v>305.15326320528715</c:v>
                </c:pt>
                <c:pt idx="192">
                  <c:v>305.15186826014093</c:v>
                </c:pt>
                <c:pt idx="193">
                  <c:v>305.18482098849762</c:v>
                </c:pt>
                <c:pt idx="194">
                  <c:v>305.21454655196703</c:v>
                </c:pt>
                <c:pt idx="195">
                  <c:v>305.23256923812397</c:v>
                </c:pt>
                <c:pt idx="196">
                  <c:v>305.22438845373915</c:v>
                </c:pt>
                <c:pt idx="197">
                  <c:v>305.19845105643935</c:v>
                </c:pt>
                <c:pt idx="198">
                  <c:v>305.2165877511199</c:v>
                </c:pt>
                <c:pt idx="199">
                  <c:v>305.23873245953439</c:v>
                </c:pt>
                <c:pt idx="200">
                  <c:v>305.26573578312474</c:v>
                </c:pt>
                <c:pt idx="201">
                  <c:v>305.28877826649762</c:v>
                </c:pt>
                <c:pt idx="202">
                  <c:v>305.30717521099746</c:v>
                </c:pt>
                <c:pt idx="203">
                  <c:v>305.33743452184598</c:v>
                </c:pt>
                <c:pt idx="204">
                  <c:v>305.36713217340923</c:v>
                </c:pt>
                <c:pt idx="205">
                  <c:v>305.4268555464941</c:v>
                </c:pt>
                <c:pt idx="206">
                  <c:v>305.49726045127045</c:v>
                </c:pt>
                <c:pt idx="207">
                  <c:v>305.53423327859059</c:v>
                </c:pt>
                <c:pt idx="208">
                  <c:v>305.59446427922353</c:v>
                </c:pt>
                <c:pt idx="209">
                  <c:v>305.65864053705144</c:v>
                </c:pt>
                <c:pt idx="210">
                  <c:v>305.75704186888049</c:v>
                </c:pt>
                <c:pt idx="211">
                  <c:v>305.79259077688181</c:v>
                </c:pt>
                <c:pt idx="212">
                  <c:v>305.81244548780865</c:v>
                </c:pt>
                <c:pt idx="213">
                  <c:v>305.82266521106703</c:v>
                </c:pt>
                <c:pt idx="214">
                  <c:v>305.83119483531573</c:v>
                </c:pt>
                <c:pt idx="215">
                  <c:v>305.83895190831822</c:v>
                </c:pt>
                <c:pt idx="216">
                  <c:v>305.84386157712947</c:v>
                </c:pt>
                <c:pt idx="217">
                  <c:v>305.84331951924565</c:v>
                </c:pt>
                <c:pt idx="218">
                  <c:v>305.8326174416917</c:v>
                </c:pt>
                <c:pt idx="219">
                  <c:v>305.79661929545586</c:v>
                </c:pt>
                <c:pt idx="220">
                  <c:v>305.78165936799513</c:v>
                </c:pt>
                <c:pt idx="221">
                  <c:v>305.77298565724311</c:v>
                </c:pt>
                <c:pt idx="222">
                  <c:v>305.7861748946803</c:v>
                </c:pt>
                <c:pt idx="223">
                  <c:v>305.79207289331322</c:v>
                </c:pt>
                <c:pt idx="224">
                  <c:v>305.79603078765797</c:v>
                </c:pt>
                <c:pt idx="225">
                  <c:v>305.80991273169667</c:v>
                </c:pt>
                <c:pt idx="226">
                  <c:v>305.81866226656427</c:v>
                </c:pt>
                <c:pt idx="227">
                  <c:v>305.83004178704516</c:v>
                </c:pt>
                <c:pt idx="228">
                  <c:v>305.83530313317061</c:v>
                </c:pt>
                <c:pt idx="229">
                  <c:v>305.8238720288893</c:v>
                </c:pt>
                <c:pt idx="230">
                  <c:v>305.82326018983741</c:v>
                </c:pt>
                <c:pt idx="231">
                  <c:v>305.82398870208095</c:v>
                </c:pt>
                <c:pt idx="232">
                  <c:v>305.8340595657624</c:v>
                </c:pt>
                <c:pt idx="233">
                  <c:v>305.86406008431624</c:v>
                </c:pt>
                <c:pt idx="234">
                  <c:v>305.88978512352787</c:v>
                </c:pt>
                <c:pt idx="235">
                  <c:v>305.90847872321859</c:v>
                </c:pt>
                <c:pt idx="236">
                  <c:v>305.94650243881637</c:v>
                </c:pt>
                <c:pt idx="237">
                  <c:v>305.9796883915526</c:v>
                </c:pt>
                <c:pt idx="238">
                  <c:v>306.03052100580481</c:v>
                </c:pt>
                <c:pt idx="239">
                  <c:v>306.09674414424421</c:v>
                </c:pt>
                <c:pt idx="240">
                  <c:v>306.19910339654939</c:v>
                </c:pt>
                <c:pt idx="241">
                  <c:v>306.28107168703798</c:v>
                </c:pt>
                <c:pt idx="242">
                  <c:v>306.35206878786113</c:v>
                </c:pt>
                <c:pt idx="243">
                  <c:v>306.41367636884041</c:v>
                </c:pt>
                <c:pt idx="244">
                  <c:v>306.49532873347664</c:v>
                </c:pt>
                <c:pt idx="245">
                  <c:v>306.58555074827308</c:v>
                </c:pt>
                <c:pt idx="246">
                  <c:v>306.78049354796917</c:v>
                </c:pt>
                <c:pt idx="247">
                  <c:v>306.86791691059858</c:v>
                </c:pt>
                <c:pt idx="248">
                  <c:v>306.94946070692248</c:v>
                </c:pt>
                <c:pt idx="249">
                  <c:v>307.03855741983062</c:v>
                </c:pt>
                <c:pt idx="250">
                  <c:v>307.13215674927466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3-4E5F-BB74-2B802C67E949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Data!$H$2:$H$252</c:f>
              <c:numCache>
                <c:formatCode>General</c:formatCode>
                <c:ptCount val="251"/>
                <c:pt idx="0">
                  <c:v>303.05</c:v>
                </c:pt>
                <c:pt idx="1">
                  <c:v>304.81241624203898</c:v>
                </c:pt>
                <c:pt idx="2">
                  <c:v>307.0999241032884</c:v>
                </c:pt>
                <c:pt idx="3">
                  <c:v>309.74054357267897</c:v>
                </c:pt>
                <c:pt idx="4">
                  <c:v>308.97990632642768</c:v>
                </c:pt>
                <c:pt idx="5">
                  <c:v>309.72255917227307</c:v>
                </c:pt>
                <c:pt idx="6">
                  <c:v>309.85522322386339</c:v>
                </c:pt>
                <c:pt idx="7">
                  <c:v>309.41652189541537</c:v>
                </c:pt>
                <c:pt idx="8">
                  <c:v>309.16702060423438</c:v>
                </c:pt>
                <c:pt idx="9">
                  <c:v>309.10517754961461</c:v>
                </c:pt>
                <c:pt idx="10">
                  <c:v>309.50616840248546</c:v>
                </c:pt>
                <c:pt idx="11">
                  <c:v>313.91913975421801</c:v>
                </c:pt>
                <c:pt idx="12">
                  <c:v>315.07693113844385</c:v>
                </c:pt>
                <c:pt idx="13">
                  <c:v>314.66263093047968</c:v>
                </c:pt>
                <c:pt idx="14">
                  <c:v>314.25781424650734</c:v>
                </c:pt>
                <c:pt idx="15">
                  <c:v>313.95628349760489</c:v>
                </c:pt>
                <c:pt idx="16">
                  <c:v>313.73025701576427</c:v>
                </c:pt>
                <c:pt idx="17">
                  <c:v>313.45384432266246</c:v>
                </c:pt>
                <c:pt idx="18">
                  <c:v>313.20905664394434</c:v>
                </c:pt>
                <c:pt idx="19">
                  <c:v>313.04222027152849</c:v>
                </c:pt>
                <c:pt idx="20">
                  <c:v>312.89109785781466</c:v>
                </c:pt>
                <c:pt idx="21">
                  <c:v>312.62444268339408</c:v>
                </c:pt>
                <c:pt idx="22">
                  <c:v>312.44551524975788</c:v>
                </c:pt>
                <c:pt idx="23">
                  <c:v>312.32626783929203</c:v>
                </c:pt>
                <c:pt idx="24">
                  <c:v>312.5891532893034</c:v>
                </c:pt>
                <c:pt idx="25">
                  <c:v>312.7824690826327</c:v>
                </c:pt>
                <c:pt idx="26">
                  <c:v>312.6682997024169</c:v>
                </c:pt>
                <c:pt idx="27">
                  <c:v>312.87506376393475</c:v>
                </c:pt>
                <c:pt idx="28">
                  <c:v>313.0527371304816</c:v>
                </c:pt>
                <c:pt idx="29">
                  <c:v>313.11260330742624</c:v>
                </c:pt>
                <c:pt idx="30">
                  <c:v>313.99151654929886</c:v>
                </c:pt>
                <c:pt idx="31">
                  <c:v>313.47830395875309</c:v>
                </c:pt>
                <c:pt idx="32">
                  <c:v>313.0863137120661</c:v>
                </c:pt>
                <c:pt idx="33">
                  <c:v>312.84533656117986</c:v>
                </c:pt>
                <c:pt idx="34">
                  <c:v>312.60526679512452</c:v>
                </c:pt>
                <c:pt idx="35">
                  <c:v>312.51595623780281</c:v>
                </c:pt>
                <c:pt idx="36">
                  <c:v>312.53999326500275</c:v>
                </c:pt>
                <c:pt idx="37">
                  <c:v>312.87900743531191</c:v>
                </c:pt>
                <c:pt idx="38">
                  <c:v>312.95581841705143</c:v>
                </c:pt>
                <c:pt idx="39">
                  <c:v>312.92205745987758</c:v>
                </c:pt>
                <c:pt idx="40">
                  <c:v>312.94635021418571</c:v>
                </c:pt>
                <c:pt idx="41">
                  <c:v>312.90191796354628</c:v>
                </c:pt>
                <c:pt idx="42">
                  <c:v>313.38380859343323</c:v>
                </c:pt>
                <c:pt idx="43">
                  <c:v>313.72879019093102</c:v>
                </c:pt>
                <c:pt idx="44">
                  <c:v>313.89805385998613</c:v>
                </c:pt>
                <c:pt idx="45">
                  <c:v>314.06954171171202</c:v>
                </c:pt>
                <c:pt idx="46">
                  <c:v>314.24593202750435</c:v>
                </c:pt>
                <c:pt idx="47">
                  <c:v>314.34342029898369</c:v>
                </c:pt>
                <c:pt idx="48">
                  <c:v>314.79633063472357</c:v>
                </c:pt>
                <c:pt idx="49">
                  <c:v>314.89443282598802</c:v>
                </c:pt>
                <c:pt idx="50">
                  <c:v>314.90694639616612</c:v>
                </c:pt>
                <c:pt idx="51">
                  <c:v>315.03044069307776</c:v>
                </c:pt>
                <c:pt idx="52">
                  <c:v>315.15787893815593</c:v>
                </c:pt>
                <c:pt idx="53">
                  <c:v>315.32902682876818</c:v>
                </c:pt>
                <c:pt idx="54">
                  <c:v>315.33687027536348</c:v>
                </c:pt>
                <c:pt idx="55">
                  <c:v>315.34396808289142</c:v>
                </c:pt>
                <c:pt idx="56">
                  <c:v>315.34495603770864</c:v>
                </c:pt>
                <c:pt idx="57">
                  <c:v>315.28576729683078</c:v>
                </c:pt>
                <c:pt idx="58">
                  <c:v>315.22130884770695</c:v>
                </c:pt>
                <c:pt idx="59">
                  <c:v>315.26799672507121</c:v>
                </c:pt>
                <c:pt idx="60">
                  <c:v>315.42938833653426</c:v>
                </c:pt>
                <c:pt idx="61">
                  <c:v>315.68672419675124</c:v>
                </c:pt>
                <c:pt idx="62">
                  <c:v>315.84535075978124</c:v>
                </c:pt>
                <c:pt idx="63">
                  <c:v>315.91101229284931</c:v>
                </c:pt>
                <c:pt idx="64">
                  <c:v>315.93133680916526</c:v>
                </c:pt>
                <c:pt idx="65">
                  <c:v>315.95723762285888</c:v>
                </c:pt>
                <c:pt idx="66">
                  <c:v>315.98665393245261</c:v>
                </c:pt>
                <c:pt idx="67">
                  <c:v>315.97032745290971</c:v>
                </c:pt>
                <c:pt idx="68">
                  <c:v>315.94510931096352</c:v>
                </c:pt>
                <c:pt idx="69">
                  <c:v>315.97496191048441</c:v>
                </c:pt>
                <c:pt idx="70">
                  <c:v>315.96355381850276</c:v>
                </c:pt>
                <c:pt idx="71">
                  <c:v>315.9520825896409</c:v>
                </c:pt>
                <c:pt idx="72">
                  <c:v>315.92402910580341</c:v>
                </c:pt>
                <c:pt idx="73">
                  <c:v>315.87189118061491</c:v>
                </c:pt>
                <c:pt idx="74">
                  <c:v>315.82004712155117</c:v>
                </c:pt>
                <c:pt idx="75">
                  <c:v>315.74394683309799</c:v>
                </c:pt>
                <c:pt idx="76">
                  <c:v>315.66230055616217</c:v>
                </c:pt>
                <c:pt idx="77">
                  <c:v>315.61425449073897</c:v>
                </c:pt>
                <c:pt idx="78">
                  <c:v>315.57364817347121</c:v>
                </c:pt>
                <c:pt idx="79">
                  <c:v>315.54543919067032</c:v>
                </c:pt>
                <c:pt idx="80">
                  <c:v>315.52244998414227</c:v>
                </c:pt>
                <c:pt idx="81">
                  <c:v>315.5964249625444</c:v>
                </c:pt>
                <c:pt idx="82">
                  <c:v>315.67062226370592</c:v>
                </c:pt>
                <c:pt idx="83">
                  <c:v>315.55432859809196</c:v>
                </c:pt>
                <c:pt idx="84">
                  <c:v>315.51602839633438</c:v>
                </c:pt>
                <c:pt idx="85">
                  <c:v>315.47846586587184</c:v>
                </c:pt>
                <c:pt idx="86">
                  <c:v>315.5403462595014</c:v>
                </c:pt>
                <c:pt idx="87">
                  <c:v>315.50352495231766</c:v>
                </c:pt>
                <c:pt idx="88">
                  <c:v>315.29636586767026</c:v>
                </c:pt>
                <c:pt idx="89">
                  <c:v>315.19655446975202</c:v>
                </c:pt>
                <c:pt idx="90">
                  <c:v>315.08274572784541</c:v>
                </c:pt>
                <c:pt idx="91">
                  <c:v>315.00880368266598</c:v>
                </c:pt>
                <c:pt idx="92">
                  <c:v>315.01880508957032</c:v>
                </c:pt>
                <c:pt idx="93">
                  <c:v>314.96876887405182</c:v>
                </c:pt>
                <c:pt idx="94">
                  <c:v>314.94282397926793</c:v>
                </c:pt>
                <c:pt idx="95">
                  <c:v>314.89604844609494</c:v>
                </c:pt>
                <c:pt idx="96">
                  <c:v>314.78146553659843</c:v>
                </c:pt>
                <c:pt idx="97">
                  <c:v>314.69129752713678</c:v>
                </c:pt>
                <c:pt idx="98">
                  <c:v>314.60062358835017</c:v>
                </c:pt>
                <c:pt idx="99">
                  <c:v>314.53826059346449</c:v>
                </c:pt>
                <c:pt idx="100">
                  <c:v>314.47919682355246</c:v>
                </c:pt>
                <c:pt idx="101">
                  <c:v>314.41502080776689</c:v>
                </c:pt>
                <c:pt idx="102">
                  <c:v>314.34589972294589</c:v>
                </c:pt>
                <c:pt idx="103">
                  <c:v>314.29091984365107</c:v>
                </c:pt>
                <c:pt idx="104">
                  <c:v>314.23464169863701</c:v>
                </c:pt>
                <c:pt idx="105">
                  <c:v>314.18398909668855</c:v>
                </c:pt>
                <c:pt idx="106">
                  <c:v>314.09594543604061</c:v>
                </c:pt>
                <c:pt idx="107">
                  <c:v>314.02891412720288</c:v>
                </c:pt>
                <c:pt idx="108">
                  <c:v>313.96790197386758</c:v>
                </c:pt>
                <c:pt idx="109">
                  <c:v>313.91457190448142</c:v>
                </c:pt>
                <c:pt idx="110">
                  <c:v>313.86756058518802</c:v>
                </c:pt>
                <c:pt idx="111">
                  <c:v>313.80218768584052</c:v>
                </c:pt>
                <c:pt idx="112">
                  <c:v>313.75077932655364</c:v>
                </c:pt>
                <c:pt idx="113">
                  <c:v>313.70462872460507</c:v>
                </c:pt>
                <c:pt idx="114">
                  <c:v>313.63053540501909</c:v>
                </c:pt>
                <c:pt idx="115">
                  <c:v>313.63435128502937</c:v>
                </c:pt>
                <c:pt idx="116">
                  <c:v>313.62312941512101</c:v>
                </c:pt>
                <c:pt idx="117">
                  <c:v>313.58916629080846</c:v>
                </c:pt>
                <c:pt idx="118">
                  <c:v>313.55021238304374</c:v>
                </c:pt>
                <c:pt idx="119">
                  <c:v>313.49721924305749</c:v>
                </c:pt>
                <c:pt idx="120">
                  <c:v>313.46268225967953</c:v>
                </c:pt>
                <c:pt idx="121">
                  <c:v>313.4731461323575</c:v>
                </c:pt>
                <c:pt idx="122">
                  <c:v>313.47216864866721</c:v>
                </c:pt>
                <c:pt idx="123">
                  <c:v>313.46761260607917</c:v>
                </c:pt>
                <c:pt idx="124">
                  <c:v>313.48233011300334</c:v>
                </c:pt>
                <c:pt idx="125">
                  <c:v>313.53892635485386</c:v>
                </c:pt>
                <c:pt idx="126">
                  <c:v>313.56940211414212</c:v>
                </c:pt>
                <c:pt idx="127">
                  <c:v>313.61888959205174</c:v>
                </c:pt>
                <c:pt idx="128">
                  <c:v>313.6616792855794</c:v>
                </c:pt>
                <c:pt idx="129">
                  <c:v>313.69513229315982</c:v>
                </c:pt>
                <c:pt idx="130">
                  <c:v>313.71615229297237</c:v>
                </c:pt>
                <c:pt idx="131">
                  <c:v>313.74923465330875</c:v>
                </c:pt>
                <c:pt idx="132">
                  <c:v>313.78282317302597</c:v>
                </c:pt>
                <c:pt idx="133">
                  <c:v>313.85877376889192</c:v>
                </c:pt>
                <c:pt idx="134">
                  <c:v>313.9424536666134</c:v>
                </c:pt>
                <c:pt idx="135">
                  <c:v>314.02599816328302</c:v>
                </c:pt>
                <c:pt idx="136">
                  <c:v>314.06601590683908</c:v>
                </c:pt>
                <c:pt idx="137">
                  <c:v>314.09246931820871</c:v>
                </c:pt>
                <c:pt idx="138">
                  <c:v>314.10796691464691</c:v>
                </c:pt>
                <c:pt idx="139">
                  <c:v>314.07923689056315</c:v>
                </c:pt>
                <c:pt idx="140">
                  <c:v>314.06511880815884</c:v>
                </c:pt>
                <c:pt idx="141">
                  <c:v>314.03509302008342</c:v>
                </c:pt>
                <c:pt idx="142">
                  <c:v>313.98942048658176</c:v>
                </c:pt>
                <c:pt idx="143">
                  <c:v>313.9484532177745</c:v>
                </c:pt>
                <c:pt idx="144">
                  <c:v>313.91723240533349</c:v>
                </c:pt>
                <c:pt idx="145">
                  <c:v>313.86101972944323</c:v>
                </c:pt>
                <c:pt idx="146">
                  <c:v>313.80466565040524</c:v>
                </c:pt>
                <c:pt idx="147">
                  <c:v>313.7640569877866</c:v>
                </c:pt>
                <c:pt idx="148">
                  <c:v>313.7278321508885</c:v>
                </c:pt>
                <c:pt idx="149">
                  <c:v>313.69693743668745</c:v>
                </c:pt>
                <c:pt idx="150">
                  <c:v>313.66189175819943</c:v>
                </c:pt>
                <c:pt idx="151">
                  <c:v>313.63440899870534</c:v>
                </c:pt>
                <c:pt idx="152">
                  <c:v>313.59838679726806</c:v>
                </c:pt>
                <c:pt idx="153">
                  <c:v>313.56684020776589</c:v>
                </c:pt>
                <c:pt idx="154">
                  <c:v>313.52743795988317</c:v>
                </c:pt>
                <c:pt idx="155">
                  <c:v>313.49177143635035</c:v>
                </c:pt>
                <c:pt idx="156">
                  <c:v>313.45698384758521</c:v>
                </c:pt>
                <c:pt idx="157">
                  <c:v>313.4101911372893</c:v>
                </c:pt>
                <c:pt idx="158">
                  <c:v>313.38404522563445</c:v>
                </c:pt>
                <c:pt idx="159">
                  <c:v>313.3664758901939</c:v>
                </c:pt>
                <c:pt idx="160">
                  <c:v>313.34429279154313</c:v>
                </c:pt>
                <c:pt idx="161">
                  <c:v>313.29312158956969</c:v>
                </c:pt>
                <c:pt idx="162">
                  <c:v>313.25175975906495</c:v>
                </c:pt>
                <c:pt idx="163">
                  <c:v>313.22445361443215</c:v>
                </c:pt>
                <c:pt idx="164">
                  <c:v>313.20039079077219</c:v>
                </c:pt>
                <c:pt idx="165">
                  <c:v>313.17681959784181</c:v>
                </c:pt>
                <c:pt idx="166">
                  <c:v>313.16527904862767</c:v>
                </c:pt>
                <c:pt idx="167">
                  <c:v>313.15274672782795</c:v>
                </c:pt>
                <c:pt idx="168">
                  <c:v>313.13930897874354</c:v>
                </c:pt>
                <c:pt idx="169">
                  <c:v>313.1445248428663</c:v>
                </c:pt>
                <c:pt idx="170">
                  <c:v>313.12765656606581</c:v>
                </c:pt>
                <c:pt idx="171">
                  <c:v>313.10649223446961</c:v>
                </c:pt>
                <c:pt idx="172">
                  <c:v>313.10637352262478</c:v>
                </c:pt>
                <c:pt idx="173">
                  <c:v>313.08812147038316</c:v>
                </c:pt>
                <c:pt idx="174">
                  <c:v>313.05868370059397</c:v>
                </c:pt>
                <c:pt idx="175">
                  <c:v>313.02656668136501</c:v>
                </c:pt>
                <c:pt idx="176">
                  <c:v>312.98563410676701</c:v>
                </c:pt>
                <c:pt idx="177">
                  <c:v>312.94131199710984</c:v>
                </c:pt>
                <c:pt idx="178">
                  <c:v>312.89584165448525</c:v>
                </c:pt>
                <c:pt idx="179">
                  <c:v>312.87888737887198</c:v>
                </c:pt>
                <c:pt idx="180">
                  <c:v>312.8395996234326</c:v>
                </c:pt>
                <c:pt idx="181">
                  <c:v>312.80396494748669</c:v>
                </c:pt>
                <c:pt idx="182">
                  <c:v>312.76285195699921</c:v>
                </c:pt>
                <c:pt idx="183">
                  <c:v>312.74979323986292</c:v>
                </c:pt>
                <c:pt idx="184">
                  <c:v>312.73756637086564</c:v>
                </c:pt>
                <c:pt idx="185">
                  <c:v>312.72690625721782</c:v>
                </c:pt>
                <c:pt idx="186">
                  <c:v>312.71617147619713</c:v>
                </c:pt>
                <c:pt idx="187">
                  <c:v>312.69537217834193</c:v>
                </c:pt>
                <c:pt idx="188">
                  <c:v>312.67352411058511</c:v>
                </c:pt>
                <c:pt idx="189">
                  <c:v>312.64957764366466</c:v>
                </c:pt>
                <c:pt idx="190">
                  <c:v>312.62457767538524</c:v>
                </c:pt>
                <c:pt idx="191">
                  <c:v>312.63072391776149</c:v>
                </c:pt>
                <c:pt idx="192">
                  <c:v>312.61019886971826</c:v>
                </c:pt>
                <c:pt idx="193">
                  <c:v>312.63143669885778</c:v>
                </c:pt>
                <c:pt idx="194">
                  <c:v>312.65699798828729</c:v>
                </c:pt>
                <c:pt idx="195">
                  <c:v>312.66825953416048</c:v>
                </c:pt>
                <c:pt idx="196">
                  <c:v>312.64297156626537</c:v>
                </c:pt>
                <c:pt idx="197">
                  <c:v>312.60720977875781</c:v>
                </c:pt>
                <c:pt idx="198">
                  <c:v>312.60791001215995</c:v>
                </c:pt>
                <c:pt idx="199">
                  <c:v>312.61402257569256</c:v>
                </c:pt>
                <c:pt idx="200">
                  <c:v>312.632395654562</c:v>
                </c:pt>
                <c:pt idx="201">
                  <c:v>312.64231741899732</c:v>
                </c:pt>
                <c:pt idx="202">
                  <c:v>312.65058429354065</c:v>
                </c:pt>
                <c:pt idx="203">
                  <c:v>312.66990078910271</c:v>
                </c:pt>
                <c:pt idx="204">
                  <c:v>312.68640505316989</c:v>
                </c:pt>
                <c:pt idx="205">
                  <c:v>312.76654753333412</c:v>
                </c:pt>
                <c:pt idx="206">
                  <c:v>312.87211722081861</c:v>
                </c:pt>
                <c:pt idx="207">
                  <c:v>312.91439661990182</c:v>
                </c:pt>
                <c:pt idx="208">
                  <c:v>313.00792365697117</c:v>
                </c:pt>
                <c:pt idx="209">
                  <c:v>313.1123897528409</c:v>
                </c:pt>
                <c:pt idx="210">
                  <c:v>313.22229320140968</c:v>
                </c:pt>
                <c:pt idx="211">
                  <c:v>313.27127056646162</c:v>
                </c:pt>
                <c:pt idx="212">
                  <c:v>313.27991529452373</c:v>
                </c:pt>
                <c:pt idx="213">
                  <c:v>313.28785417550614</c:v>
                </c:pt>
                <c:pt idx="214">
                  <c:v>313.28473662433447</c:v>
                </c:pt>
                <c:pt idx="215">
                  <c:v>313.27662056887084</c:v>
                </c:pt>
                <c:pt idx="216">
                  <c:v>313.26518031683537</c:v>
                </c:pt>
                <c:pt idx="217">
                  <c:v>313.24779033936505</c:v>
                </c:pt>
                <c:pt idx="218">
                  <c:v>313.2232303098059</c:v>
                </c:pt>
                <c:pt idx="219">
                  <c:v>313.18354015206017</c:v>
                </c:pt>
                <c:pt idx="220">
                  <c:v>313.15581558066771</c:v>
                </c:pt>
                <c:pt idx="221">
                  <c:v>313.13198556128549</c:v>
                </c:pt>
                <c:pt idx="222">
                  <c:v>313.13060615833712</c:v>
                </c:pt>
                <c:pt idx="223">
                  <c:v>313.1203722999885</c:v>
                </c:pt>
                <c:pt idx="224">
                  <c:v>313.10807229765709</c:v>
                </c:pt>
                <c:pt idx="225">
                  <c:v>313.10861408187475</c:v>
                </c:pt>
                <c:pt idx="226">
                  <c:v>313.10219347248437</c:v>
                </c:pt>
                <c:pt idx="227">
                  <c:v>313.0990821167282</c:v>
                </c:pt>
                <c:pt idx="228">
                  <c:v>313.08877545000047</c:v>
                </c:pt>
                <c:pt idx="229">
                  <c:v>313.06534831794738</c:v>
                </c:pt>
                <c:pt idx="230">
                  <c:v>313.04918924299102</c:v>
                </c:pt>
                <c:pt idx="231">
                  <c:v>313.03436463362863</c:v>
                </c:pt>
                <c:pt idx="232">
                  <c:v>313.031391333518</c:v>
                </c:pt>
                <c:pt idx="233">
                  <c:v>313.05872389148578</c:v>
                </c:pt>
                <c:pt idx="234">
                  <c:v>313.08664272509651</c:v>
                </c:pt>
                <c:pt idx="235">
                  <c:v>313.1018954359609</c:v>
                </c:pt>
                <c:pt idx="236">
                  <c:v>313.14855027763912</c:v>
                </c:pt>
                <c:pt idx="237">
                  <c:v>313.18749983691259</c:v>
                </c:pt>
                <c:pt idx="238">
                  <c:v>313.26465978935789</c:v>
                </c:pt>
                <c:pt idx="239">
                  <c:v>313.36328521301738</c:v>
                </c:pt>
                <c:pt idx="240">
                  <c:v>313.53274169045579</c:v>
                </c:pt>
                <c:pt idx="241">
                  <c:v>313.67801604092745</c:v>
                </c:pt>
                <c:pt idx="242">
                  <c:v>313.84799289182359</c:v>
                </c:pt>
                <c:pt idx="243">
                  <c:v>313.98921018384664</c:v>
                </c:pt>
                <c:pt idx="244">
                  <c:v>314.15194406320114</c:v>
                </c:pt>
                <c:pt idx="245">
                  <c:v>314.29558104976888</c:v>
                </c:pt>
                <c:pt idx="246">
                  <c:v>314.6366813898411</c:v>
                </c:pt>
                <c:pt idx="247">
                  <c:v>314.81388504775919</c:v>
                </c:pt>
                <c:pt idx="248">
                  <c:v>314.98307114973255</c:v>
                </c:pt>
                <c:pt idx="249">
                  <c:v>315.16006365490796</c:v>
                </c:pt>
                <c:pt idx="250">
                  <c:v>315.33155133777393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B3-4E5F-BB74-2B802C67E949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Data!$I$2:$I$252</c:f>
              <c:numCache>
                <c:formatCode>General</c:formatCode>
                <c:ptCount val="251"/>
                <c:pt idx="0">
                  <c:v>303.05</c:v>
                </c:pt>
                <c:pt idx="1">
                  <c:v>303.05241624203899</c:v>
                </c:pt>
                <c:pt idx="2">
                  <c:v>303.37937456203935</c:v>
                </c:pt>
                <c:pt idx="3">
                  <c:v>303.93483302185058</c:v>
                </c:pt>
                <c:pt idx="4">
                  <c:v>303.47939580466698</c:v>
                </c:pt>
                <c:pt idx="5">
                  <c:v>303.93323086734659</c:v>
                </c:pt>
                <c:pt idx="6">
                  <c:v>304.37938836998592</c:v>
                </c:pt>
                <c:pt idx="7">
                  <c:v>303.99905996661516</c:v>
                </c:pt>
                <c:pt idx="8">
                  <c:v>304.03127706231226</c:v>
                </c:pt>
                <c:pt idx="9">
                  <c:v>304.2017383484008</c:v>
                </c:pt>
                <c:pt idx="10">
                  <c:v>304.35794492650103</c:v>
                </c:pt>
                <c:pt idx="11">
                  <c:v>304.59041544581316</c:v>
                </c:pt>
                <c:pt idx="12">
                  <c:v>304.88768608334289</c:v>
                </c:pt>
                <c:pt idx="13">
                  <c:v>304.78488765355161</c:v>
                </c:pt>
                <c:pt idx="14">
                  <c:v>303.64565049185501</c:v>
                </c:pt>
                <c:pt idx="15">
                  <c:v>302.47408232579119</c:v>
                </c:pt>
                <c:pt idx="16">
                  <c:v>302.0317226385701</c:v>
                </c:pt>
                <c:pt idx="17">
                  <c:v>302.00175281062855</c:v>
                </c:pt>
                <c:pt idx="18">
                  <c:v>301.97060218055117</c:v>
                </c:pt>
                <c:pt idx="19">
                  <c:v>302.08765501315332</c:v>
                </c:pt>
                <c:pt idx="20">
                  <c:v>302.19952701556565</c:v>
                </c:pt>
                <c:pt idx="21">
                  <c:v>302.16609807725177</c:v>
                </c:pt>
                <c:pt idx="22">
                  <c:v>302.20978613686174</c:v>
                </c:pt>
                <c:pt idx="23">
                  <c:v>302.30509972291628</c:v>
                </c:pt>
                <c:pt idx="24">
                  <c:v>302.39530937446926</c:v>
                </c:pt>
                <c:pt idx="25">
                  <c:v>302.5388755009127</c:v>
                </c:pt>
                <c:pt idx="26">
                  <c:v>302.61619200622692</c:v>
                </c:pt>
                <c:pt idx="27">
                  <c:v>302.8116009566566</c:v>
                </c:pt>
                <c:pt idx="28">
                  <c:v>302.89646645630529</c:v>
                </c:pt>
                <c:pt idx="29">
                  <c:v>303.02016034801903</c:v>
                </c:pt>
                <c:pt idx="30">
                  <c:v>303.37581577084387</c:v>
                </c:pt>
                <c:pt idx="31">
                  <c:v>302.67695423478921</c:v>
                </c:pt>
                <c:pt idx="32">
                  <c:v>302.11528285393837</c:v>
                </c:pt>
                <c:pt idx="33">
                  <c:v>301.73082301272956</c:v>
                </c:pt>
                <c:pt idx="34">
                  <c:v>301.59531454773503</c:v>
                </c:pt>
                <c:pt idx="35">
                  <c:v>301.65922010559234</c:v>
                </c:pt>
                <c:pt idx="36">
                  <c:v>301.79427900897633</c:v>
                </c:pt>
                <c:pt idx="37">
                  <c:v>301.9051121451547</c:v>
                </c:pt>
                <c:pt idx="38">
                  <c:v>302.00838242652833</c:v>
                </c:pt>
                <c:pt idx="39">
                  <c:v>302.10217432742184</c:v>
                </c:pt>
                <c:pt idx="40">
                  <c:v>302.19963162199667</c:v>
                </c:pt>
                <c:pt idx="41">
                  <c:v>302.27958125318872</c:v>
                </c:pt>
                <c:pt idx="42">
                  <c:v>302.34412749348593</c:v>
                </c:pt>
                <c:pt idx="43">
                  <c:v>302.37810273222954</c:v>
                </c:pt>
                <c:pt idx="44">
                  <c:v>302.43094410110518</c:v>
                </c:pt>
                <c:pt idx="45">
                  <c:v>302.47155942190369</c:v>
                </c:pt>
                <c:pt idx="46">
                  <c:v>302.5303958022684</c:v>
                </c:pt>
                <c:pt idx="47">
                  <c:v>302.63611115783647</c:v>
                </c:pt>
                <c:pt idx="48">
                  <c:v>302.81713482720301</c:v>
                </c:pt>
                <c:pt idx="49">
                  <c:v>302.9683397523952</c:v>
                </c:pt>
                <c:pt idx="50">
                  <c:v>303.07379378127172</c:v>
                </c:pt>
                <c:pt idx="51">
                  <c:v>303.17829320833897</c:v>
                </c:pt>
                <c:pt idx="52">
                  <c:v>303.24663170072711</c:v>
                </c:pt>
                <c:pt idx="53">
                  <c:v>303.30288945025325</c:v>
                </c:pt>
                <c:pt idx="54">
                  <c:v>303.37735225527888</c:v>
                </c:pt>
                <c:pt idx="55">
                  <c:v>303.4462765783282</c:v>
                </c:pt>
                <c:pt idx="56">
                  <c:v>303.53930642064455</c:v>
                </c:pt>
                <c:pt idx="57">
                  <c:v>303.57833778278297</c:v>
                </c:pt>
                <c:pt idx="58">
                  <c:v>303.59774986302989</c:v>
                </c:pt>
                <c:pt idx="59">
                  <c:v>303.6797159399178</c:v>
                </c:pt>
                <c:pt idx="60">
                  <c:v>303.72471225876683</c:v>
                </c:pt>
                <c:pt idx="61">
                  <c:v>303.73857757477208</c:v>
                </c:pt>
                <c:pt idx="62">
                  <c:v>303.75225290306003</c:v>
                </c:pt>
                <c:pt idx="63">
                  <c:v>303.81831950960208</c:v>
                </c:pt>
                <c:pt idx="64">
                  <c:v>303.89453839861062</c:v>
                </c:pt>
                <c:pt idx="65">
                  <c:v>303.97092564080492</c:v>
                </c:pt>
                <c:pt idx="66">
                  <c:v>304.04290143202417</c:v>
                </c:pt>
                <c:pt idx="67">
                  <c:v>304.1028955757148</c:v>
                </c:pt>
                <c:pt idx="68">
                  <c:v>304.16056680249062</c:v>
                </c:pt>
                <c:pt idx="69">
                  <c:v>304.25087696381439</c:v>
                </c:pt>
                <c:pt idx="70">
                  <c:v>304.31330006089968</c:v>
                </c:pt>
                <c:pt idx="71">
                  <c:v>304.37674245184985</c:v>
                </c:pt>
                <c:pt idx="72">
                  <c:v>304.42679556973377</c:v>
                </c:pt>
                <c:pt idx="73">
                  <c:v>304.44491420611513</c:v>
                </c:pt>
                <c:pt idx="74">
                  <c:v>304.44257026789171</c:v>
                </c:pt>
                <c:pt idx="75">
                  <c:v>304.36064243087924</c:v>
                </c:pt>
                <c:pt idx="76">
                  <c:v>304.11894063046924</c:v>
                </c:pt>
                <c:pt idx="77">
                  <c:v>303.97568800192562</c:v>
                </c:pt>
                <c:pt idx="78">
                  <c:v>303.89618009346799</c:v>
                </c:pt>
                <c:pt idx="79">
                  <c:v>303.79203032345231</c:v>
                </c:pt>
                <c:pt idx="80">
                  <c:v>303.44433148658271</c:v>
                </c:pt>
                <c:pt idx="81">
                  <c:v>302.97748701186987</c:v>
                </c:pt>
                <c:pt idx="82">
                  <c:v>302.37694450870754</c:v>
                </c:pt>
                <c:pt idx="83">
                  <c:v>301.49632008533774</c:v>
                </c:pt>
                <c:pt idx="84">
                  <c:v>300.90380229014011</c:v>
                </c:pt>
                <c:pt idx="85">
                  <c:v>300.46890640972515</c:v>
                </c:pt>
                <c:pt idx="86">
                  <c:v>299.81076540749228</c:v>
                </c:pt>
                <c:pt idx="87">
                  <c:v>299.12278725336216</c:v>
                </c:pt>
                <c:pt idx="88">
                  <c:v>298.62762580154663</c:v>
                </c:pt>
                <c:pt idx="89">
                  <c:v>298.28530921404223</c:v>
                </c:pt>
                <c:pt idx="90">
                  <c:v>298.12311685026503</c:v>
                </c:pt>
                <c:pt idx="91">
                  <c:v>297.91984107778114</c:v>
                </c:pt>
                <c:pt idx="92">
                  <c:v>297.79072250197379</c:v>
                </c:pt>
                <c:pt idx="93">
                  <c:v>297.59204913704531</c:v>
                </c:pt>
                <c:pt idx="94">
                  <c:v>297.36130051722012</c:v>
                </c:pt>
                <c:pt idx="95">
                  <c:v>297.16903030365984</c:v>
                </c:pt>
                <c:pt idx="96">
                  <c:v>297.05832803767277</c:v>
                </c:pt>
                <c:pt idx="97">
                  <c:v>297.00102305464424</c:v>
                </c:pt>
                <c:pt idx="98">
                  <c:v>296.97078585419041</c:v>
                </c:pt>
                <c:pt idx="99">
                  <c:v>296.9371590370277</c:v>
                </c:pt>
                <c:pt idx="100">
                  <c:v>296.89533145047017</c:v>
                </c:pt>
                <c:pt idx="101">
                  <c:v>296.87254554099803</c:v>
                </c:pt>
                <c:pt idx="102">
                  <c:v>296.7873362033921</c:v>
                </c:pt>
                <c:pt idx="103">
                  <c:v>296.68918396569973</c:v>
                </c:pt>
                <c:pt idx="104">
                  <c:v>296.65941446180432</c:v>
                </c:pt>
                <c:pt idx="105">
                  <c:v>296.61851651493629</c:v>
                </c:pt>
                <c:pt idx="106">
                  <c:v>296.46451081779338</c:v>
                </c:pt>
                <c:pt idx="107">
                  <c:v>296.4165396349951</c:v>
                </c:pt>
                <c:pt idx="108">
                  <c:v>296.38672996061769</c:v>
                </c:pt>
                <c:pt idx="109">
                  <c:v>296.40146453073709</c:v>
                </c:pt>
                <c:pt idx="110">
                  <c:v>296.42738163452873</c:v>
                </c:pt>
                <c:pt idx="111">
                  <c:v>296.40379538770128</c:v>
                </c:pt>
                <c:pt idx="112">
                  <c:v>296.41985633910616</c:v>
                </c:pt>
                <c:pt idx="113">
                  <c:v>296.44688530310111</c:v>
                </c:pt>
                <c:pt idx="114">
                  <c:v>296.39647935399745</c:v>
                </c:pt>
                <c:pt idx="115">
                  <c:v>296.471578198381</c:v>
                </c:pt>
                <c:pt idx="116">
                  <c:v>296.52982653773387</c:v>
                </c:pt>
                <c:pt idx="117">
                  <c:v>296.56823722350197</c:v>
                </c:pt>
                <c:pt idx="118">
                  <c:v>296.59859839645736</c:v>
                </c:pt>
                <c:pt idx="119">
                  <c:v>296.59867782013515</c:v>
                </c:pt>
                <c:pt idx="120">
                  <c:v>296.63350904545479</c:v>
                </c:pt>
                <c:pt idx="121">
                  <c:v>296.70377763641358</c:v>
                </c:pt>
                <c:pt idx="122">
                  <c:v>296.76211015026092</c:v>
                </c:pt>
                <c:pt idx="123">
                  <c:v>296.81754559096777</c:v>
                </c:pt>
                <c:pt idx="124">
                  <c:v>296.87503503278032</c:v>
                </c:pt>
                <c:pt idx="125">
                  <c:v>296.94953708545734</c:v>
                </c:pt>
                <c:pt idx="126">
                  <c:v>296.99652532332243</c:v>
                </c:pt>
                <c:pt idx="127">
                  <c:v>297.05099981527957</c:v>
                </c:pt>
                <c:pt idx="128">
                  <c:v>297.10853480629947</c:v>
                </c:pt>
                <c:pt idx="129">
                  <c:v>297.16373254071453</c:v>
                </c:pt>
                <c:pt idx="130">
                  <c:v>297.22329073634108</c:v>
                </c:pt>
                <c:pt idx="131">
                  <c:v>297.28679488453525</c:v>
                </c:pt>
                <c:pt idx="132">
                  <c:v>297.33519274383474</c:v>
                </c:pt>
                <c:pt idx="133">
                  <c:v>297.39340365703373</c:v>
                </c:pt>
                <c:pt idx="134">
                  <c:v>297.44997790220776</c:v>
                </c:pt>
                <c:pt idx="135">
                  <c:v>297.4973706463004</c:v>
                </c:pt>
                <c:pt idx="136">
                  <c:v>297.54474963437781</c:v>
                </c:pt>
                <c:pt idx="137">
                  <c:v>297.59830218232685</c:v>
                </c:pt>
                <c:pt idx="138">
                  <c:v>297.64391371214947</c:v>
                </c:pt>
                <c:pt idx="139">
                  <c:v>297.67352090061445</c:v>
                </c:pt>
                <c:pt idx="140">
                  <c:v>297.71523673978555</c:v>
                </c:pt>
                <c:pt idx="141">
                  <c:v>297.74130215576906</c:v>
                </c:pt>
                <c:pt idx="142">
                  <c:v>297.73399810060397</c:v>
                </c:pt>
                <c:pt idx="143">
                  <c:v>297.73958854555917</c:v>
                </c:pt>
                <c:pt idx="144">
                  <c:v>297.76184584568114</c:v>
                </c:pt>
                <c:pt idx="145">
                  <c:v>297.73514974152226</c:v>
                </c:pt>
                <c:pt idx="146">
                  <c:v>297.71847954021553</c:v>
                </c:pt>
                <c:pt idx="147">
                  <c:v>297.72132783372001</c:v>
                </c:pt>
                <c:pt idx="148">
                  <c:v>297.72940494563625</c:v>
                </c:pt>
                <c:pt idx="149">
                  <c:v>297.74777946574045</c:v>
                </c:pt>
                <c:pt idx="150">
                  <c:v>297.75069047470311</c:v>
                </c:pt>
                <c:pt idx="151">
                  <c:v>297.77427942067243</c:v>
                </c:pt>
                <c:pt idx="152">
                  <c:v>297.77997782803504</c:v>
                </c:pt>
                <c:pt idx="153">
                  <c:v>297.79434098147073</c:v>
                </c:pt>
                <c:pt idx="154">
                  <c:v>297.77702457066312</c:v>
                </c:pt>
                <c:pt idx="155">
                  <c:v>297.75709677277456</c:v>
                </c:pt>
                <c:pt idx="156">
                  <c:v>297.74887116164086</c:v>
                </c:pt>
                <c:pt idx="157">
                  <c:v>297.66657128927079</c:v>
                </c:pt>
                <c:pt idx="158">
                  <c:v>297.61099156982988</c:v>
                </c:pt>
                <c:pt idx="159">
                  <c:v>297.53260585680107</c:v>
                </c:pt>
                <c:pt idx="160">
                  <c:v>297.44089778893181</c:v>
                </c:pt>
                <c:pt idx="161">
                  <c:v>297.37535199427492</c:v>
                </c:pt>
                <c:pt idx="162">
                  <c:v>297.35603917365722</c:v>
                </c:pt>
                <c:pt idx="163">
                  <c:v>297.3757109525701</c:v>
                </c:pt>
                <c:pt idx="164">
                  <c:v>297.39934250854537</c:v>
                </c:pt>
                <c:pt idx="165">
                  <c:v>297.42312097703666</c:v>
                </c:pt>
                <c:pt idx="166">
                  <c:v>297.45541389323739</c:v>
                </c:pt>
                <c:pt idx="167">
                  <c:v>297.48729519910916</c:v>
                </c:pt>
                <c:pt idx="168">
                  <c:v>297.51861041499103</c:v>
                </c:pt>
                <c:pt idx="169">
                  <c:v>297.55717443024605</c:v>
                </c:pt>
                <c:pt idx="170">
                  <c:v>297.58528458774498</c:v>
                </c:pt>
                <c:pt idx="171">
                  <c:v>297.60932360186558</c:v>
                </c:pt>
                <c:pt idx="172">
                  <c:v>297.6423461795095</c:v>
                </c:pt>
                <c:pt idx="173">
                  <c:v>297.66850625471091</c:v>
                </c:pt>
                <c:pt idx="174">
                  <c:v>297.673040995468</c:v>
                </c:pt>
                <c:pt idx="175">
                  <c:v>297.67512841296241</c:v>
                </c:pt>
                <c:pt idx="176">
                  <c:v>297.63546235492225</c:v>
                </c:pt>
                <c:pt idx="177">
                  <c:v>297.5671777564923</c:v>
                </c:pt>
                <c:pt idx="178">
                  <c:v>297.53214141931403</c:v>
                </c:pt>
                <c:pt idx="179">
                  <c:v>297.55789172294641</c:v>
                </c:pt>
                <c:pt idx="180">
                  <c:v>297.52091776332475</c:v>
                </c:pt>
                <c:pt idx="181">
                  <c:v>297.5001488561291</c:v>
                </c:pt>
                <c:pt idx="182">
                  <c:v>297.4689359931894</c:v>
                </c:pt>
                <c:pt idx="183">
                  <c:v>297.49669256690424</c:v>
                </c:pt>
                <c:pt idx="184">
                  <c:v>297.52478316598928</c:v>
                </c:pt>
                <c:pt idx="185">
                  <c:v>297.55278665469575</c:v>
                </c:pt>
                <c:pt idx="186">
                  <c:v>297.58159580854146</c:v>
                </c:pt>
                <c:pt idx="187">
                  <c:v>297.60053966575435</c:v>
                </c:pt>
                <c:pt idx="188">
                  <c:v>297.61767012520698</c:v>
                </c:pt>
                <c:pt idx="189">
                  <c:v>297.62693555573821</c:v>
                </c:pt>
                <c:pt idx="190">
                  <c:v>297.63951544816462</c:v>
                </c:pt>
                <c:pt idx="191">
                  <c:v>297.67580249281281</c:v>
                </c:pt>
                <c:pt idx="192">
                  <c:v>297.6935376505636</c:v>
                </c:pt>
                <c:pt idx="193">
                  <c:v>297.73820527813746</c:v>
                </c:pt>
                <c:pt idx="194">
                  <c:v>297.77209511564678</c:v>
                </c:pt>
                <c:pt idx="195">
                  <c:v>297.79687894208746</c:v>
                </c:pt>
                <c:pt idx="196">
                  <c:v>297.80580534121293</c:v>
                </c:pt>
                <c:pt idx="197">
                  <c:v>297.7896923341209</c:v>
                </c:pt>
                <c:pt idx="198">
                  <c:v>297.82526549007986</c:v>
                </c:pt>
                <c:pt idx="199">
                  <c:v>297.86344234337622</c:v>
                </c:pt>
                <c:pt idx="200">
                  <c:v>297.89907591168748</c:v>
                </c:pt>
                <c:pt idx="201">
                  <c:v>297.93523911399791</c:v>
                </c:pt>
                <c:pt idx="202">
                  <c:v>297.96376612845427</c:v>
                </c:pt>
                <c:pt idx="203">
                  <c:v>298.00496825458924</c:v>
                </c:pt>
                <c:pt idx="204">
                  <c:v>298.04785929364857</c:v>
                </c:pt>
                <c:pt idx="205">
                  <c:v>298.08716355965407</c:v>
                </c:pt>
                <c:pt idx="206">
                  <c:v>298.12240368172229</c:v>
                </c:pt>
                <c:pt idx="207">
                  <c:v>298.15406993727936</c:v>
                </c:pt>
                <c:pt idx="208">
                  <c:v>298.18100490147589</c:v>
                </c:pt>
                <c:pt idx="209">
                  <c:v>298.20489132126198</c:v>
                </c:pt>
                <c:pt idx="210">
                  <c:v>298.2917905363513</c:v>
                </c:pt>
                <c:pt idx="211">
                  <c:v>298.31391098730199</c:v>
                </c:pt>
                <c:pt idx="212">
                  <c:v>298.34497568109356</c:v>
                </c:pt>
                <c:pt idx="213">
                  <c:v>298.35747624662793</c:v>
                </c:pt>
                <c:pt idx="214">
                  <c:v>298.37765304629698</c:v>
                </c:pt>
                <c:pt idx="215">
                  <c:v>298.4012832477656</c:v>
                </c:pt>
                <c:pt idx="216">
                  <c:v>298.42254283742358</c:v>
                </c:pt>
                <c:pt idx="217">
                  <c:v>298.43884869912625</c:v>
                </c:pt>
                <c:pt idx="218">
                  <c:v>298.44200457357749</c:v>
                </c:pt>
                <c:pt idx="219">
                  <c:v>298.40969843885154</c:v>
                </c:pt>
                <c:pt idx="220">
                  <c:v>298.40750315532256</c:v>
                </c:pt>
                <c:pt idx="221">
                  <c:v>298.41398575320073</c:v>
                </c:pt>
                <c:pt idx="222">
                  <c:v>298.44174363102348</c:v>
                </c:pt>
                <c:pt idx="223">
                  <c:v>298.46377348663793</c:v>
                </c:pt>
                <c:pt idx="224">
                  <c:v>298.48398927765885</c:v>
                </c:pt>
                <c:pt idx="225">
                  <c:v>298.51121138151859</c:v>
                </c:pt>
                <c:pt idx="226">
                  <c:v>298.53513106064418</c:v>
                </c:pt>
                <c:pt idx="227">
                  <c:v>298.56100145736212</c:v>
                </c:pt>
                <c:pt idx="228">
                  <c:v>298.58183081634076</c:v>
                </c:pt>
                <c:pt idx="229">
                  <c:v>298.58239573983121</c:v>
                </c:pt>
                <c:pt idx="230">
                  <c:v>298.59733113668381</c:v>
                </c:pt>
                <c:pt idx="231">
                  <c:v>298.61361277053328</c:v>
                </c:pt>
                <c:pt idx="232">
                  <c:v>298.6367277980068</c:v>
                </c:pt>
                <c:pt idx="233">
                  <c:v>298.66939627714669</c:v>
                </c:pt>
                <c:pt idx="234">
                  <c:v>298.69292752195923</c:v>
                </c:pt>
                <c:pt idx="235">
                  <c:v>298.71506201047629</c:v>
                </c:pt>
                <c:pt idx="236">
                  <c:v>298.74445459999362</c:v>
                </c:pt>
                <c:pt idx="237">
                  <c:v>298.77187694619261</c:v>
                </c:pt>
                <c:pt idx="238">
                  <c:v>298.79638222225174</c:v>
                </c:pt>
                <c:pt idx="239">
                  <c:v>298.83020307547105</c:v>
                </c:pt>
                <c:pt idx="240">
                  <c:v>298.86546510264299</c:v>
                </c:pt>
                <c:pt idx="241">
                  <c:v>298.88412733314851</c:v>
                </c:pt>
                <c:pt idx="242">
                  <c:v>298.85614468389866</c:v>
                </c:pt>
                <c:pt idx="243">
                  <c:v>298.83814255383419</c:v>
                </c:pt>
                <c:pt idx="244">
                  <c:v>298.83871340375214</c:v>
                </c:pt>
                <c:pt idx="245">
                  <c:v>298.87552044677727</c:v>
                </c:pt>
                <c:pt idx="246">
                  <c:v>298.92430570609724</c:v>
                </c:pt>
                <c:pt idx="247">
                  <c:v>298.92194877343798</c:v>
                </c:pt>
                <c:pt idx="248">
                  <c:v>298.91585026411241</c:v>
                </c:pt>
                <c:pt idx="249">
                  <c:v>298.91705118475329</c:v>
                </c:pt>
                <c:pt idx="250">
                  <c:v>298.93276216077538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B3-4E5F-BB74-2B802C67E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264671"/>
        <c:axId val="195276671"/>
      </c:lineChart>
      <c:dateAx>
        <c:axId val="195264671"/>
        <c:scaling>
          <c:orientation val="minMax"/>
          <c:min val="4595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76671"/>
        <c:crosses val="autoZero"/>
        <c:auto val="1"/>
        <c:lblOffset val="100"/>
        <c:baseTimeUnit val="days"/>
      </c:dateAx>
      <c:valAx>
        <c:axId val="195276671"/>
        <c:scaling>
          <c:orientation val="minMax"/>
          <c:min val="2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303.05</c:v>
                </c:pt>
                <c:pt idx="1">
                  <c:v>304.81</c:v>
                </c:pt>
                <c:pt idx="2">
                  <c:v>307.57</c:v>
                </c:pt>
                <c:pt idx="3">
                  <c:v>310.72000000000003</c:v>
                </c:pt>
                <c:pt idx="4">
                  <c:v>304.27</c:v>
                </c:pt>
                <c:pt idx="5">
                  <c:v>309.95</c:v>
                </c:pt>
                <c:pt idx="6">
                  <c:v>308.33</c:v>
                </c:pt>
                <c:pt idx="7">
                  <c:v>304.29000000000002</c:v>
                </c:pt>
                <c:pt idx="8">
                  <c:v>305.77</c:v>
                </c:pt>
                <c:pt idx="9">
                  <c:v>307.45</c:v>
                </c:pt>
                <c:pt idx="10">
                  <c:v>310.37</c:v>
                </c:pt>
                <c:pt idx="11">
                  <c:v>321.29000000000002</c:v>
                </c:pt>
                <c:pt idx="12">
                  <c:v>317.25</c:v>
                </c:pt>
                <c:pt idx="13">
                  <c:v>306.76</c:v>
                </c:pt>
                <c:pt idx="14">
                  <c:v>299.39999999999998</c:v>
                </c:pt>
                <c:pt idx="15">
                  <c:v>297.5</c:v>
                </c:pt>
                <c:pt idx="16">
                  <c:v>299.83</c:v>
                </c:pt>
                <c:pt idx="17">
                  <c:v>303.97000000000003</c:v>
                </c:pt>
                <c:pt idx="18">
                  <c:v>303.60000000000002</c:v>
                </c:pt>
                <c:pt idx="19">
                  <c:v>306.92</c:v>
                </c:pt>
                <c:pt idx="20">
                  <c:v>307</c:v>
                </c:pt>
                <c:pt idx="21">
                  <c:v>305.44</c:v>
                </c:pt>
                <c:pt idx="22">
                  <c:v>305.67</c:v>
                </c:pt>
                <c:pt idx="23">
                  <c:v>306.92</c:v>
                </c:pt>
                <c:pt idx="24">
                  <c:v>313.58</c:v>
                </c:pt>
                <c:pt idx="25">
                  <c:v>312.69</c:v>
                </c:pt>
                <c:pt idx="26">
                  <c:v>307.08999999999997</c:v>
                </c:pt>
                <c:pt idx="27">
                  <c:v>312.37</c:v>
                </c:pt>
                <c:pt idx="28">
                  <c:v>313.63</c:v>
                </c:pt>
                <c:pt idx="29">
                  <c:v>311.58</c:v>
                </c:pt>
                <c:pt idx="30">
                  <c:v>318.27</c:v>
                </c:pt>
                <c:pt idx="31">
                  <c:v>300.11</c:v>
                </c:pt>
                <c:pt idx="32">
                  <c:v>299.89</c:v>
                </c:pt>
                <c:pt idx="33">
                  <c:v>299.83</c:v>
                </c:pt>
                <c:pt idx="34">
                  <c:v>303.95999999999998</c:v>
                </c:pt>
                <c:pt idx="35">
                  <c:v>306.77999999999997</c:v>
                </c:pt>
                <c:pt idx="36">
                  <c:v>309.89999999999998</c:v>
                </c:pt>
                <c:pt idx="37">
                  <c:v>316.07</c:v>
                </c:pt>
                <c:pt idx="38">
                  <c:v>312.48</c:v>
                </c:pt>
                <c:pt idx="39">
                  <c:v>309.10000000000002</c:v>
                </c:pt>
                <c:pt idx="40">
                  <c:v>311.3</c:v>
                </c:pt>
                <c:pt idx="41">
                  <c:v>308.72000000000003</c:v>
                </c:pt>
                <c:pt idx="42">
                  <c:v>319.08</c:v>
                </c:pt>
                <c:pt idx="43">
                  <c:v>318.48</c:v>
                </c:pt>
                <c:pt idx="44">
                  <c:v>316.22000000000003</c:v>
                </c:pt>
                <c:pt idx="45">
                  <c:v>316.74</c:v>
                </c:pt>
                <c:pt idx="46">
                  <c:v>316.81</c:v>
                </c:pt>
                <c:pt idx="47">
                  <c:v>314.5</c:v>
                </c:pt>
                <c:pt idx="48">
                  <c:v>319.64999999999998</c:v>
                </c:pt>
                <c:pt idx="49">
                  <c:v>313.64</c:v>
                </c:pt>
                <c:pt idx="50">
                  <c:v>311.95999999999998</c:v>
                </c:pt>
                <c:pt idx="51">
                  <c:v>315.72000000000003</c:v>
                </c:pt>
                <c:pt idx="52">
                  <c:v>316.79000000000002</c:v>
                </c:pt>
                <c:pt idx="53">
                  <c:v>318.13</c:v>
                </c:pt>
                <c:pt idx="54">
                  <c:v>313.49</c:v>
                </c:pt>
                <c:pt idx="55">
                  <c:v>313.68</c:v>
                </c:pt>
                <c:pt idx="56">
                  <c:v>311.92</c:v>
                </c:pt>
                <c:pt idx="57">
                  <c:v>308.69</c:v>
                </c:pt>
                <c:pt idx="58">
                  <c:v>307.5</c:v>
                </c:pt>
                <c:pt idx="59">
                  <c:v>314.48</c:v>
                </c:pt>
                <c:pt idx="60">
                  <c:v>318.61</c:v>
                </c:pt>
                <c:pt idx="61">
                  <c:v>321.23</c:v>
                </c:pt>
                <c:pt idx="62">
                  <c:v>319.8</c:v>
                </c:pt>
                <c:pt idx="63">
                  <c:v>316.44</c:v>
                </c:pt>
                <c:pt idx="64">
                  <c:v>314.31</c:v>
                </c:pt>
                <c:pt idx="65">
                  <c:v>314.57</c:v>
                </c:pt>
                <c:pt idx="66">
                  <c:v>314.95</c:v>
                </c:pt>
                <c:pt idx="67">
                  <c:v>312.83999999999997</c:v>
                </c:pt>
                <c:pt idx="68">
                  <c:v>311.86</c:v>
                </c:pt>
                <c:pt idx="69">
                  <c:v>313.85000000000002</c:v>
                </c:pt>
                <c:pt idx="70">
                  <c:v>312.68</c:v>
                </c:pt>
                <c:pt idx="71">
                  <c:v>312.39</c:v>
                </c:pt>
                <c:pt idx="72">
                  <c:v>311.57</c:v>
                </c:pt>
                <c:pt idx="73">
                  <c:v>308.98</c:v>
                </c:pt>
                <c:pt idx="74">
                  <c:v>307.36</c:v>
                </c:pt>
                <c:pt idx="75">
                  <c:v>304.77999999999997</c:v>
                </c:pt>
                <c:pt idx="76">
                  <c:v>300.43</c:v>
                </c:pt>
                <c:pt idx="77">
                  <c:v>301.72000000000003</c:v>
                </c:pt>
                <c:pt idx="78">
                  <c:v>303.16000000000003</c:v>
                </c:pt>
                <c:pt idx="79">
                  <c:v>301.91000000000003</c:v>
                </c:pt>
                <c:pt idx="80">
                  <c:v>296.29000000000002</c:v>
                </c:pt>
                <c:pt idx="81">
                  <c:v>292.31</c:v>
                </c:pt>
                <c:pt idx="82">
                  <c:v>289.63</c:v>
                </c:pt>
                <c:pt idx="83">
                  <c:v>287.45999999999998</c:v>
                </c:pt>
                <c:pt idx="84">
                  <c:v>289.52</c:v>
                </c:pt>
                <c:pt idx="85">
                  <c:v>291.47000000000003</c:v>
                </c:pt>
                <c:pt idx="86">
                  <c:v>285.55</c:v>
                </c:pt>
                <c:pt idx="87">
                  <c:v>285.63</c:v>
                </c:pt>
                <c:pt idx="88">
                  <c:v>291.55</c:v>
                </c:pt>
                <c:pt idx="89">
                  <c:v>292.17</c:v>
                </c:pt>
                <c:pt idx="90">
                  <c:v>297.49</c:v>
                </c:pt>
                <c:pt idx="91">
                  <c:v>294.63</c:v>
                </c:pt>
                <c:pt idx="92">
                  <c:v>294.08</c:v>
                </c:pt>
                <c:pt idx="93">
                  <c:v>293.52999999999997</c:v>
                </c:pt>
                <c:pt idx="94">
                  <c:v>291.67</c:v>
                </c:pt>
                <c:pt idx="95">
                  <c:v>293.02</c:v>
                </c:pt>
                <c:pt idx="96">
                  <c:v>298.39</c:v>
                </c:pt>
                <c:pt idx="97">
                  <c:v>299.91000000000003</c:v>
                </c:pt>
                <c:pt idx="98">
                  <c:v>301.88</c:v>
                </c:pt>
                <c:pt idx="99">
                  <c:v>299.62</c:v>
                </c:pt>
                <c:pt idx="100">
                  <c:v>298.89999999999998</c:v>
                </c:pt>
                <c:pt idx="101">
                  <c:v>300.37</c:v>
                </c:pt>
                <c:pt idx="102">
                  <c:v>297.07</c:v>
                </c:pt>
                <c:pt idx="103">
                  <c:v>295.74</c:v>
                </c:pt>
                <c:pt idx="104">
                  <c:v>299.17</c:v>
                </c:pt>
                <c:pt idx="105">
                  <c:v>298.12</c:v>
                </c:pt>
                <c:pt idx="106">
                  <c:v>294.48</c:v>
                </c:pt>
                <c:pt idx="107">
                  <c:v>298.47000000000003</c:v>
                </c:pt>
                <c:pt idx="108">
                  <c:v>299.22000000000003</c:v>
                </c:pt>
                <c:pt idx="109">
                  <c:v>302.67</c:v>
                </c:pt>
                <c:pt idx="110">
                  <c:v>303.61</c:v>
                </c:pt>
                <c:pt idx="111">
                  <c:v>300.07</c:v>
                </c:pt>
                <c:pt idx="112">
                  <c:v>302.89</c:v>
                </c:pt>
                <c:pt idx="113">
                  <c:v>304.23</c:v>
                </c:pt>
                <c:pt idx="114">
                  <c:v>298.77</c:v>
                </c:pt>
                <c:pt idx="115">
                  <c:v>307.66000000000003</c:v>
                </c:pt>
                <c:pt idx="116">
                  <c:v>307.91000000000003</c:v>
                </c:pt>
                <c:pt idx="117">
                  <c:v>305.45</c:v>
                </c:pt>
                <c:pt idx="118">
                  <c:v>304.36</c:v>
                </c:pt>
                <c:pt idx="119">
                  <c:v>301.64</c:v>
                </c:pt>
                <c:pt idx="120">
                  <c:v>305.07</c:v>
                </c:pt>
                <c:pt idx="121">
                  <c:v>308.95</c:v>
                </c:pt>
                <c:pt idx="122">
                  <c:v>308.93</c:v>
                </c:pt>
                <c:pt idx="123">
                  <c:v>308.7</c:v>
                </c:pt>
                <c:pt idx="124">
                  <c:v>310.93</c:v>
                </c:pt>
                <c:pt idx="125">
                  <c:v>313.08</c:v>
                </c:pt>
                <c:pt idx="126">
                  <c:v>313.22000000000003</c:v>
                </c:pt>
                <c:pt idx="127">
                  <c:v>314.07</c:v>
                </c:pt>
                <c:pt idx="128">
                  <c:v>313.44</c:v>
                </c:pt>
                <c:pt idx="129">
                  <c:v>312.94</c:v>
                </c:pt>
                <c:pt idx="130">
                  <c:v>311.43</c:v>
                </c:pt>
                <c:pt idx="131">
                  <c:v>312.22000000000003</c:v>
                </c:pt>
                <c:pt idx="132">
                  <c:v>313.54000000000002</c:v>
                </c:pt>
                <c:pt idx="133">
                  <c:v>315.76</c:v>
                </c:pt>
                <c:pt idx="134">
                  <c:v>316.39</c:v>
                </c:pt>
                <c:pt idx="135">
                  <c:v>316.99</c:v>
                </c:pt>
                <c:pt idx="136">
                  <c:v>314.38</c:v>
                </c:pt>
                <c:pt idx="137">
                  <c:v>312.8</c:v>
                </c:pt>
                <c:pt idx="138">
                  <c:v>312.52</c:v>
                </c:pt>
                <c:pt idx="139">
                  <c:v>305.94</c:v>
                </c:pt>
                <c:pt idx="140">
                  <c:v>308.43</c:v>
                </c:pt>
                <c:pt idx="141">
                  <c:v>305.39999999999998</c:v>
                </c:pt>
                <c:pt idx="142">
                  <c:v>302.07</c:v>
                </c:pt>
                <c:pt idx="143">
                  <c:v>303.29000000000002</c:v>
                </c:pt>
                <c:pt idx="144">
                  <c:v>304.97000000000003</c:v>
                </c:pt>
                <c:pt idx="145">
                  <c:v>301.14</c:v>
                </c:pt>
                <c:pt idx="146">
                  <c:v>302.38</c:v>
                </c:pt>
                <c:pt idx="147">
                  <c:v>302.99</c:v>
                </c:pt>
                <c:pt idx="148">
                  <c:v>303.19</c:v>
                </c:pt>
                <c:pt idx="149">
                  <c:v>304.33</c:v>
                </c:pt>
                <c:pt idx="150">
                  <c:v>302.3</c:v>
                </c:pt>
                <c:pt idx="151">
                  <c:v>305.24</c:v>
                </c:pt>
                <c:pt idx="152">
                  <c:v>302.99</c:v>
                </c:pt>
                <c:pt idx="153">
                  <c:v>303.89</c:v>
                </c:pt>
                <c:pt idx="154">
                  <c:v>300.52</c:v>
                </c:pt>
                <c:pt idx="155">
                  <c:v>299.88</c:v>
                </c:pt>
                <c:pt idx="156">
                  <c:v>300.98</c:v>
                </c:pt>
                <c:pt idx="157">
                  <c:v>296.04000000000002</c:v>
                </c:pt>
                <c:pt idx="158">
                  <c:v>296.32</c:v>
                </c:pt>
                <c:pt idx="159">
                  <c:v>294.39999999999998</c:v>
                </c:pt>
                <c:pt idx="160">
                  <c:v>293.81</c:v>
                </c:pt>
                <c:pt idx="161">
                  <c:v>297.01</c:v>
                </c:pt>
                <c:pt idx="162">
                  <c:v>300.11</c:v>
                </c:pt>
                <c:pt idx="163">
                  <c:v>304.56</c:v>
                </c:pt>
                <c:pt idx="164">
                  <c:v>305.25</c:v>
                </c:pt>
                <c:pt idx="165">
                  <c:v>305.33</c:v>
                </c:pt>
                <c:pt idx="166">
                  <c:v>308.08999999999997</c:v>
                </c:pt>
                <c:pt idx="167">
                  <c:v>307.77</c:v>
                </c:pt>
                <c:pt idx="168">
                  <c:v>307.48</c:v>
                </c:pt>
                <c:pt idx="169">
                  <c:v>310.11</c:v>
                </c:pt>
                <c:pt idx="170">
                  <c:v>306.97000000000003</c:v>
                </c:pt>
                <c:pt idx="171">
                  <c:v>305.79000000000002</c:v>
                </c:pt>
                <c:pt idx="172">
                  <c:v>310</c:v>
                </c:pt>
                <c:pt idx="173">
                  <c:v>306.39999999999998</c:v>
                </c:pt>
                <c:pt idx="174">
                  <c:v>302.35000000000002</c:v>
                </c:pt>
                <c:pt idx="175">
                  <c:v>302.43</c:v>
                </c:pt>
                <c:pt idx="176">
                  <c:v>298.43</c:v>
                </c:pt>
                <c:pt idx="177">
                  <c:v>296.37</c:v>
                </c:pt>
                <c:pt idx="178">
                  <c:v>299.20999999999998</c:v>
                </c:pt>
                <c:pt idx="179">
                  <c:v>305.67</c:v>
                </c:pt>
                <c:pt idx="180">
                  <c:v>298.41000000000003</c:v>
                </c:pt>
                <c:pt idx="181">
                  <c:v>299.66000000000003</c:v>
                </c:pt>
                <c:pt idx="182">
                  <c:v>299.10000000000002</c:v>
                </c:pt>
                <c:pt idx="183">
                  <c:v>306.83</c:v>
                </c:pt>
                <c:pt idx="184">
                  <c:v>306.94</c:v>
                </c:pt>
                <c:pt idx="185">
                  <c:v>307.58</c:v>
                </c:pt>
                <c:pt idx="186">
                  <c:v>307.02999999999997</c:v>
                </c:pt>
                <c:pt idx="187">
                  <c:v>304.89999999999998</c:v>
                </c:pt>
                <c:pt idx="188">
                  <c:v>304.58999999999997</c:v>
                </c:pt>
                <c:pt idx="189">
                  <c:v>302.74</c:v>
                </c:pt>
                <c:pt idx="190">
                  <c:v>304.16000000000003</c:v>
                </c:pt>
                <c:pt idx="191">
                  <c:v>309.35000000000002</c:v>
                </c:pt>
                <c:pt idx="192">
                  <c:v>304.89999999999998</c:v>
                </c:pt>
                <c:pt idx="193">
                  <c:v>310.45</c:v>
                </c:pt>
                <c:pt idx="194">
                  <c:v>312.39999999999998</c:v>
                </c:pt>
                <c:pt idx="195">
                  <c:v>311.82</c:v>
                </c:pt>
                <c:pt idx="196">
                  <c:v>303.57</c:v>
                </c:pt>
                <c:pt idx="197">
                  <c:v>300.72000000000003</c:v>
                </c:pt>
                <c:pt idx="198">
                  <c:v>307.70999999999998</c:v>
                </c:pt>
                <c:pt idx="199">
                  <c:v>308.54000000000002</c:v>
                </c:pt>
                <c:pt idx="200">
                  <c:v>311.23</c:v>
                </c:pt>
                <c:pt idx="201">
                  <c:v>309.79000000000002</c:v>
                </c:pt>
                <c:pt idx="202">
                  <c:v>310.79000000000002</c:v>
                </c:pt>
                <c:pt idx="203">
                  <c:v>310.52999999999997</c:v>
                </c:pt>
                <c:pt idx="204">
                  <c:v>309.70999999999998</c:v>
                </c:pt>
                <c:pt idx="205">
                  <c:v>316.72000000000003</c:v>
                </c:pt>
                <c:pt idx="206">
                  <c:v>318.73</c:v>
                </c:pt>
                <c:pt idx="207">
                  <c:v>314.5</c:v>
                </c:pt>
                <c:pt idx="208">
                  <c:v>318.69</c:v>
                </c:pt>
                <c:pt idx="209">
                  <c:v>319.64999999999998</c:v>
                </c:pt>
                <c:pt idx="210">
                  <c:v>315.83999999999997</c:v>
                </c:pt>
                <c:pt idx="211">
                  <c:v>316.22000000000003</c:v>
                </c:pt>
                <c:pt idx="212">
                  <c:v>310.83999999999997</c:v>
                </c:pt>
                <c:pt idx="213">
                  <c:v>313.33</c:v>
                </c:pt>
                <c:pt idx="214">
                  <c:v>310.68</c:v>
                </c:pt>
                <c:pt idx="215">
                  <c:v>308.52999999999997</c:v>
                </c:pt>
                <c:pt idx="216">
                  <c:v>308.02999999999997</c:v>
                </c:pt>
                <c:pt idx="217">
                  <c:v>305.63</c:v>
                </c:pt>
                <c:pt idx="218">
                  <c:v>303.26</c:v>
                </c:pt>
                <c:pt idx="219">
                  <c:v>299.86</c:v>
                </c:pt>
                <c:pt idx="220">
                  <c:v>302.77</c:v>
                </c:pt>
                <c:pt idx="221">
                  <c:v>304.16000000000003</c:v>
                </c:pt>
                <c:pt idx="222">
                  <c:v>308.88</c:v>
                </c:pt>
                <c:pt idx="223">
                  <c:v>307.32</c:v>
                </c:pt>
                <c:pt idx="224">
                  <c:v>306.75</c:v>
                </c:pt>
                <c:pt idx="225">
                  <c:v>309.44</c:v>
                </c:pt>
                <c:pt idx="226">
                  <c:v>308.13</c:v>
                </c:pt>
                <c:pt idx="227">
                  <c:v>308.62</c:v>
                </c:pt>
                <c:pt idx="228">
                  <c:v>307.43</c:v>
                </c:pt>
                <c:pt idx="229">
                  <c:v>302.83999999999997</c:v>
                </c:pt>
                <c:pt idx="230">
                  <c:v>305.69</c:v>
                </c:pt>
                <c:pt idx="231">
                  <c:v>306.02999999999997</c:v>
                </c:pt>
                <c:pt idx="232">
                  <c:v>309.25</c:v>
                </c:pt>
                <c:pt idx="233">
                  <c:v>312.95</c:v>
                </c:pt>
                <c:pt idx="234">
                  <c:v>314.13</c:v>
                </c:pt>
                <c:pt idx="235">
                  <c:v>312.8</c:v>
                </c:pt>
                <c:pt idx="236">
                  <c:v>315.51</c:v>
                </c:pt>
                <c:pt idx="237">
                  <c:v>315</c:v>
                </c:pt>
                <c:pt idx="238">
                  <c:v>318.52999999999997</c:v>
                </c:pt>
                <c:pt idx="239">
                  <c:v>319.48</c:v>
                </c:pt>
                <c:pt idx="240">
                  <c:v>323.69</c:v>
                </c:pt>
                <c:pt idx="241">
                  <c:v>323.48</c:v>
                </c:pt>
                <c:pt idx="242">
                  <c:v>327.16000000000003</c:v>
                </c:pt>
                <c:pt idx="243">
                  <c:v>325.60000000000002</c:v>
                </c:pt>
                <c:pt idx="244">
                  <c:v>325.97000000000003</c:v>
                </c:pt>
                <c:pt idx="245">
                  <c:v>323.20999999999998</c:v>
                </c:pt>
                <c:pt idx="246">
                  <c:v>332.08</c:v>
                </c:pt>
                <c:pt idx="247">
                  <c:v>327.58</c:v>
                </c:pt>
                <c:pt idx="248">
                  <c:v>327.62</c:v>
                </c:pt>
                <c:pt idx="249">
                  <c:v>327.89</c:v>
                </c:pt>
                <c:pt idx="250">
                  <c:v>327.11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E-4180-B07D-D17A2CD824D8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306.65500000000003</c:v>
                </c:pt>
                <c:pt idx="20">
                  <c:v>306.85250000000002</c:v>
                </c:pt>
                <c:pt idx="21">
                  <c:v>306.88400000000001</c:v>
                </c:pt>
                <c:pt idx="22">
                  <c:v>306.78900000000004</c:v>
                </c:pt>
                <c:pt idx="23">
                  <c:v>306.59899999999999</c:v>
                </c:pt>
                <c:pt idx="24">
                  <c:v>307.06450000000001</c:v>
                </c:pt>
                <c:pt idx="25">
                  <c:v>307.20149999999995</c:v>
                </c:pt>
                <c:pt idx="26">
                  <c:v>307.13949999999994</c:v>
                </c:pt>
                <c:pt idx="27">
                  <c:v>307.54349999999999</c:v>
                </c:pt>
                <c:pt idx="28">
                  <c:v>307.93649999999997</c:v>
                </c:pt>
                <c:pt idx="29">
                  <c:v>308.14299999999997</c:v>
                </c:pt>
                <c:pt idx="30">
                  <c:v>308.53800000000001</c:v>
                </c:pt>
                <c:pt idx="31">
                  <c:v>307.47899999999993</c:v>
                </c:pt>
                <c:pt idx="32">
                  <c:v>306.61099999999999</c:v>
                </c:pt>
                <c:pt idx="33">
                  <c:v>306.26450000000006</c:v>
                </c:pt>
                <c:pt idx="34">
                  <c:v>306.49249999999995</c:v>
                </c:pt>
                <c:pt idx="35">
                  <c:v>306.95649999999995</c:v>
                </c:pt>
                <c:pt idx="36">
                  <c:v>307.45999999999992</c:v>
                </c:pt>
                <c:pt idx="37">
                  <c:v>308.06499999999994</c:v>
                </c:pt>
                <c:pt idx="38">
                  <c:v>308.50900000000001</c:v>
                </c:pt>
                <c:pt idx="39">
                  <c:v>308.61800000000005</c:v>
                </c:pt>
                <c:pt idx="40">
                  <c:v>308.83299999999997</c:v>
                </c:pt>
                <c:pt idx="41">
                  <c:v>308.99700000000001</c:v>
                </c:pt>
                <c:pt idx="42">
                  <c:v>309.66750000000002</c:v>
                </c:pt>
                <c:pt idx="43">
                  <c:v>310.24549999999999</c:v>
                </c:pt>
                <c:pt idx="44">
                  <c:v>310.3775</c:v>
                </c:pt>
                <c:pt idx="45">
                  <c:v>310.58000000000004</c:v>
                </c:pt>
                <c:pt idx="46">
                  <c:v>311.06600000000009</c:v>
                </c:pt>
                <c:pt idx="47">
                  <c:v>311.17250000000001</c:v>
                </c:pt>
                <c:pt idx="48">
                  <c:v>311.47350000000006</c:v>
                </c:pt>
                <c:pt idx="49">
                  <c:v>311.57650000000001</c:v>
                </c:pt>
                <c:pt idx="50">
                  <c:v>311.26100000000002</c:v>
                </c:pt>
                <c:pt idx="51">
                  <c:v>312.04149999999998</c:v>
                </c:pt>
                <c:pt idx="52">
                  <c:v>312.88650000000001</c:v>
                </c:pt>
                <c:pt idx="53">
                  <c:v>313.80149999999998</c:v>
                </c:pt>
                <c:pt idx="54">
                  <c:v>314.27800000000002</c:v>
                </c:pt>
                <c:pt idx="55">
                  <c:v>314.62300000000005</c:v>
                </c:pt>
                <c:pt idx="56">
                  <c:v>314.72399999999999</c:v>
                </c:pt>
                <c:pt idx="57">
                  <c:v>314.35499999999996</c:v>
                </c:pt>
                <c:pt idx="58">
                  <c:v>314.10599999999999</c:v>
                </c:pt>
                <c:pt idx="59">
                  <c:v>314.375</c:v>
                </c:pt>
                <c:pt idx="60">
                  <c:v>314.7405</c:v>
                </c:pt>
                <c:pt idx="61">
                  <c:v>315.36599999999999</c:v>
                </c:pt>
                <c:pt idx="62">
                  <c:v>315.40199999999999</c:v>
                </c:pt>
                <c:pt idx="63">
                  <c:v>315.2999999999999</c:v>
                </c:pt>
                <c:pt idx="64">
                  <c:v>315.20449999999994</c:v>
                </c:pt>
                <c:pt idx="65">
                  <c:v>315.09600000000006</c:v>
                </c:pt>
                <c:pt idx="66">
                  <c:v>315.00299999999999</c:v>
                </c:pt>
                <c:pt idx="67">
                  <c:v>314.91999999999996</c:v>
                </c:pt>
                <c:pt idx="68">
                  <c:v>314.53049999999996</c:v>
                </c:pt>
                <c:pt idx="69">
                  <c:v>314.54100000000005</c:v>
                </c:pt>
                <c:pt idx="70">
                  <c:v>314.57700000000006</c:v>
                </c:pt>
                <c:pt idx="71">
                  <c:v>314.41050000000007</c:v>
                </c:pt>
                <c:pt idx="72">
                  <c:v>314.1495000000001</c:v>
                </c:pt>
                <c:pt idx="73">
                  <c:v>313.69200000000001</c:v>
                </c:pt>
                <c:pt idx="74">
                  <c:v>313.38549999999998</c:v>
                </c:pt>
                <c:pt idx="75">
                  <c:v>312.94050000000004</c:v>
                </c:pt>
                <c:pt idx="76">
                  <c:v>312.36599999999999</c:v>
                </c:pt>
                <c:pt idx="77">
                  <c:v>312.01749999999998</c:v>
                </c:pt>
                <c:pt idx="78">
                  <c:v>311.80049999999994</c:v>
                </c:pt>
                <c:pt idx="79">
                  <c:v>311.17199999999997</c:v>
                </c:pt>
                <c:pt idx="80">
                  <c:v>310.05599999999998</c:v>
                </c:pt>
                <c:pt idx="81">
                  <c:v>308.61</c:v>
                </c:pt>
                <c:pt idx="82">
                  <c:v>307.10150000000004</c:v>
                </c:pt>
                <c:pt idx="83">
                  <c:v>305.65249999999997</c:v>
                </c:pt>
                <c:pt idx="84">
                  <c:v>304.41300000000001</c:v>
                </c:pt>
                <c:pt idx="85">
                  <c:v>303.25800000000004</c:v>
                </c:pt>
                <c:pt idx="86">
                  <c:v>301.78800000000001</c:v>
                </c:pt>
                <c:pt idx="87">
                  <c:v>300.42750000000001</c:v>
                </c:pt>
                <c:pt idx="88">
                  <c:v>299.41199999999998</c:v>
                </c:pt>
                <c:pt idx="89">
                  <c:v>298.32799999999997</c:v>
                </c:pt>
                <c:pt idx="90">
                  <c:v>297.56850000000003</c:v>
                </c:pt>
                <c:pt idx="91">
                  <c:v>296.68050000000005</c:v>
                </c:pt>
                <c:pt idx="92">
                  <c:v>295.80600000000004</c:v>
                </c:pt>
                <c:pt idx="93">
                  <c:v>295.0335</c:v>
                </c:pt>
                <c:pt idx="94">
                  <c:v>294.24900000000002</c:v>
                </c:pt>
                <c:pt idx="95">
                  <c:v>293.66100000000006</c:v>
                </c:pt>
                <c:pt idx="96">
                  <c:v>293.55900000000008</c:v>
                </c:pt>
                <c:pt idx="97">
                  <c:v>293.46850000000001</c:v>
                </c:pt>
                <c:pt idx="98">
                  <c:v>293.40449999999998</c:v>
                </c:pt>
                <c:pt idx="99">
                  <c:v>293.29000000000002</c:v>
                </c:pt>
                <c:pt idx="100">
                  <c:v>293.42050000000006</c:v>
                </c:pt>
                <c:pt idx="101">
                  <c:v>293.82349999999991</c:v>
                </c:pt>
                <c:pt idx="102">
                  <c:v>294.19549999999992</c:v>
                </c:pt>
                <c:pt idx="103">
                  <c:v>294.60949999999991</c:v>
                </c:pt>
                <c:pt idx="104">
                  <c:v>295.09199999999998</c:v>
                </c:pt>
                <c:pt idx="105">
                  <c:v>295.42449999999997</c:v>
                </c:pt>
                <c:pt idx="106">
                  <c:v>295.87099999999992</c:v>
                </c:pt>
                <c:pt idx="107">
                  <c:v>296.51299999999998</c:v>
                </c:pt>
                <c:pt idx="108">
                  <c:v>296.8965</c:v>
                </c:pt>
                <c:pt idx="109">
                  <c:v>297.42150000000004</c:v>
                </c:pt>
                <c:pt idx="110">
                  <c:v>297.72750000000002</c:v>
                </c:pt>
                <c:pt idx="111">
                  <c:v>297.99950000000001</c:v>
                </c:pt>
                <c:pt idx="112">
                  <c:v>298.44000000000005</c:v>
                </c:pt>
                <c:pt idx="113">
                  <c:v>298.97500000000002</c:v>
                </c:pt>
                <c:pt idx="114">
                  <c:v>299.33000000000004</c:v>
                </c:pt>
                <c:pt idx="115">
                  <c:v>300.06200000000001</c:v>
                </c:pt>
                <c:pt idx="116">
                  <c:v>300.53800000000001</c:v>
                </c:pt>
                <c:pt idx="117">
                  <c:v>300.815</c:v>
                </c:pt>
                <c:pt idx="118">
                  <c:v>300.93900000000002</c:v>
                </c:pt>
                <c:pt idx="119">
                  <c:v>301.04000000000002</c:v>
                </c:pt>
                <c:pt idx="120">
                  <c:v>301.3485</c:v>
                </c:pt>
                <c:pt idx="121">
                  <c:v>301.77749999999997</c:v>
                </c:pt>
                <c:pt idx="122">
                  <c:v>302.37049999999999</c:v>
                </c:pt>
                <c:pt idx="123">
                  <c:v>303.01850000000002</c:v>
                </c:pt>
                <c:pt idx="124">
                  <c:v>303.60649999999998</c:v>
                </c:pt>
                <c:pt idx="125">
                  <c:v>304.35450000000003</c:v>
                </c:pt>
                <c:pt idx="126">
                  <c:v>305.29149999999998</c:v>
                </c:pt>
                <c:pt idx="127">
                  <c:v>306.07150000000001</c:v>
                </c:pt>
                <c:pt idx="128">
                  <c:v>306.78249999999991</c:v>
                </c:pt>
                <c:pt idx="129">
                  <c:v>307.29599999999994</c:v>
                </c:pt>
                <c:pt idx="130">
                  <c:v>307.68699999999995</c:v>
                </c:pt>
                <c:pt idx="131">
                  <c:v>308.29449999999997</c:v>
                </c:pt>
                <c:pt idx="132">
                  <c:v>308.82699999999994</c:v>
                </c:pt>
                <c:pt idx="133">
                  <c:v>309.40349999999995</c:v>
                </c:pt>
                <c:pt idx="134">
                  <c:v>310.28450000000004</c:v>
                </c:pt>
                <c:pt idx="135">
                  <c:v>310.75100000000003</c:v>
                </c:pt>
                <c:pt idx="136">
                  <c:v>311.07450000000006</c:v>
                </c:pt>
                <c:pt idx="137">
                  <c:v>311.44200000000006</c:v>
                </c:pt>
                <c:pt idx="138">
                  <c:v>311.85000000000008</c:v>
                </c:pt>
                <c:pt idx="139">
                  <c:v>312.065</c:v>
                </c:pt>
                <c:pt idx="140">
                  <c:v>312.23300000000006</c:v>
                </c:pt>
                <c:pt idx="141">
                  <c:v>312.05549999999999</c:v>
                </c:pt>
                <c:pt idx="142">
                  <c:v>311.71249999999998</c:v>
                </c:pt>
                <c:pt idx="143">
                  <c:v>311.44200000000001</c:v>
                </c:pt>
                <c:pt idx="144">
                  <c:v>311.14400000000001</c:v>
                </c:pt>
                <c:pt idx="145">
                  <c:v>310.54700000000003</c:v>
                </c:pt>
                <c:pt idx="146">
                  <c:v>310.005</c:v>
                </c:pt>
                <c:pt idx="147">
                  <c:v>309.45100000000002</c:v>
                </c:pt>
                <c:pt idx="148">
                  <c:v>308.93850000000003</c:v>
                </c:pt>
                <c:pt idx="149">
                  <c:v>308.50800000000004</c:v>
                </c:pt>
                <c:pt idx="150">
                  <c:v>308.05149999999998</c:v>
                </c:pt>
                <c:pt idx="151">
                  <c:v>307.70249999999999</c:v>
                </c:pt>
                <c:pt idx="152">
                  <c:v>307.1749999999999</c:v>
                </c:pt>
                <c:pt idx="153">
                  <c:v>306.58150000000001</c:v>
                </c:pt>
                <c:pt idx="154">
                  <c:v>305.78800000000001</c:v>
                </c:pt>
                <c:pt idx="155">
                  <c:v>304.9325</c:v>
                </c:pt>
                <c:pt idx="156">
                  <c:v>304.26249999999999</c:v>
                </c:pt>
                <c:pt idx="157">
                  <c:v>303.42450000000002</c:v>
                </c:pt>
                <c:pt idx="158">
                  <c:v>302.61450000000002</c:v>
                </c:pt>
                <c:pt idx="159">
                  <c:v>302.03750000000002</c:v>
                </c:pt>
                <c:pt idx="160">
                  <c:v>301.30649999999997</c:v>
                </c:pt>
                <c:pt idx="161">
                  <c:v>300.887</c:v>
                </c:pt>
                <c:pt idx="162">
                  <c:v>300.78899999999999</c:v>
                </c:pt>
                <c:pt idx="163">
                  <c:v>300.85250000000002</c:v>
                </c:pt>
                <c:pt idx="164">
                  <c:v>300.86649999999997</c:v>
                </c:pt>
                <c:pt idx="165">
                  <c:v>301.07600000000002</c:v>
                </c:pt>
                <c:pt idx="166">
                  <c:v>301.36150000000004</c:v>
                </c:pt>
                <c:pt idx="167">
                  <c:v>301.60050000000001</c:v>
                </c:pt>
                <c:pt idx="168">
                  <c:v>301.81499999999994</c:v>
                </c:pt>
                <c:pt idx="169">
                  <c:v>302.10399999999993</c:v>
                </c:pt>
                <c:pt idx="170">
                  <c:v>302.33749999999998</c:v>
                </c:pt>
                <c:pt idx="171">
                  <c:v>302.36500000000001</c:v>
                </c:pt>
                <c:pt idx="172">
                  <c:v>302.71549999999991</c:v>
                </c:pt>
                <c:pt idx="173">
                  <c:v>302.84099999999995</c:v>
                </c:pt>
                <c:pt idx="174">
                  <c:v>302.9325</c:v>
                </c:pt>
                <c:pt idx="175">
                  <c:v>303.06</c:v>
                </c:pt>
                <c:pt idx="176">
                  <c:v>302.9325</c:v>
                </c:pt>
                <c:pt idx="177">
                  <c:v>302.94900000000001</c:v>
                </c:pt>
                <c:pt idx="178">
                  <c:v>303.09350000000006</c:v>
                </c:pt>
                <c:pt idx="179">
                  <c:v>303.65700000000004</c:v>
                </c:pt>
                <c:pt idx="180">
                  <c:v>303.88700000000006</c:v>
                </c:pt>
                <c:pt idx="181">
                  <c:v>304.01949999999999</c:v>
                </c:pt>
                <c:pt idx="182">
                  <c:v>303.96899999999994</c:v>
                </c:pt>
                <c:pt idx="183">
                  <c:v>304.08249999999998</c:v>
                </c:pt>
                <c:pt idx="184">
                  <c:v>304.16699999999997</c:v>
                </c:pt>
                <c:pt idx="185">
                  <c:v>304.27949999999998</c:v>
                </c:pt>
                <c:pt idx="186">
                  <c:v>304.22649999999993</c:v>
                </c:pt>
                <c:pt idx="187">
                  <c:v>304.08299999999997</c:v>
                </c:pt>
                <c:pt idx="188">
                  <c:v>303.93849999999992</c:v>
                </c:pt>
                <c:pt idx="189">
                  <c:v>303.56999999999994</c:v>
                </c:pt>
                <c:pt idx="190">
                  <c:v>303.4294999999999</c:v>
                </c:pt>
                <c:pt idx="191">
                  <c:v>303.60749999999996</c:v>
                </c:pt>
                <c:pt idx="192">
                  <c:v>303.35249999999996</c:v>
                </c:pt>
                <c:pt idx="193">
                  <c:v>303.55499999999995</c:v>
                </c:pt>
                <c:pt idx="194">
                  <c:v>304.05749999999995</c:v>
                </c:pt>
                <c:pt idx="195">
                  <c:v>304.52699999999999</c:v>
                </c:pt>
                <c:pt idx="196">
                  <c:v>304.78399999999999</c:v>
                </c:pt>
                <c:pt idx="197">
                  <c:v>305.00149999999996</c:v>
                </c:pt>
                <c:pt idx="198">
                  <c:v>305.42649999999998</c:v>
                </c:pt>
                <c:pt idx="199">
                  <c:v>305.57</c:v>
                </c:pt>
                <c:pt idx="200">
                  <c:v>306.21099999999996</c:v>
                </c:pt>
                <c:pt idx="201">
                  <c:v>306.71749999999997</c:v>
                </c:pt>
                <c:pt idx="202">
                  <c:v>307.30199999999996</c:v>
                </c:pt>
                <c:pt idx="203">
                  <c:v>307.48699999999997</c:v>
                </c:pt>
                <c:pt idx="204">
                  <c:v>307.62549999999999</c:v>
                </c:pt>
                <c:pt idx="205">
                  <c:v>308.08250000000004</c:v>
                </c:pt>
                <c:pt idx="206">
                  <c:v>308.66750000000002</c:v>
                </c:pt>
                <c:pt idx="207">
                  <c:v>309.14750000000004</c:v>
                </c:pt>
                <c:pt idx="208">
                  <c:v>309.85250000000002</c:v>
                </c:pt>
                <c:pt idx="209">
                  <c:v>310.69799999999998</c:v>
                </c:pt>
                <c:pt idx="210">
                  <c:v>311.28200000000004</c:v>
                </c:pt>
                <c:pt idx="211">
                  <c:v>311.62549999999999</c:v>
                </c:pt>
                <c:pt idx="212">
                  <c:v>311.92250000000001</c:v>
                </c:pt>
                <c:pt idx="213">
                  <c:v>312.06650000000002</c:v>
                </c:pt>
                <c:pt idx="214">
                  <c:v>311.98050000000001</c:v>
                </c:pt>
                <c:pt idx="215">
                  <c:v>311.81600000000003</c:v>
                </c:pt>
                <c:pt idx="216">
                  <c:v>312.03899999999999</c:v>
                </c:pt>
                <c:pt idx="217">
                  <c:v>312.28449999999998</c:v>
                </c:pt>
                <c:pt idx="218">
                  <c:v>312.06200000000001</c:v>
                </c:pt>
                <c:pt idx="219">
                  <c:v>311.62800000000004</c:v>
                </c:pt>
                <c:pt idx="220">
                  <c:v>311.20500000000004</c:v>
                </c:pt>
                <c:pt idx="221">
                  <c:v>310.92349999999999</c:v>
                </c:pt>
                <c:pt idx="222">
                  <c:v>310.82800000000003</c:v>
                </c:pt>
                <c:pt idx="223">
                  <c:v>310.66749999999996</c:v>
                </c:pt>
                <c:pt idx="224">
                  <c:v>310.51949999999994</c:v>
                </c:pt>
                <c:pt idx="225">
                  <c:v>310.15549999999996</c:v>
                </c:pt>
                <c:pt idx="226">
                  <c:v>309.62549999999999</c:v>
                </c:pt>
                <c:pt idx="227">
                  <c:v>309.33149999999995</c:v>
                </c:pt>
                <c:pt idx="228">
                  <c:v>308.76850000000002</c:v>
                </c:pt>
                <c:pt idx="229">
                  <c:v>307.928</c:v>
                </c:pt>
                <c:pt idx="230">
                  <c:v>307.4205</c:v>
                </c:pt>
                <c:pt idx="231">
                  <c:v>306.911</c:v>
                </c:pt>
                <c:pt idx="232">
                  <c:v>306.83149999999995</c:v>
                </c:pt>
                <c:pt idx="233">
                  <c:v>306.8125</c:v>
                </c:pt>
                <c:pt idx="234">
                  <c:v>306.98500000000001</c:v>
                </c:pt>
                <c:pt idx="235">
                  <c:v>307.19849999999997</c:v>
                </c:pt>
                <c:pt idx="236">
                  <c:v>307.57249999999999</c:v>
                </c:pt>
                <c:pt idx="237">
                  <c:v>308.04100000000005</c:v>
                </c:pt>
                <c:pt idx="238">
                  <c:v>308.80450000000002</c:v>
                </c:pt>
                <c:pt idx="239">
                  <c:v>309.78550000000007</c:v>
                </c:pt>
                <c:pt idx="240">
                  <c:v>310.83150000000001</c:v>
                </c:pt>
                <c:pt idx="241">
                  <c:v>311.79750000000001</c:v>
                </c:pt>
                <c:pt idx="242">
                  <c:v>312.7115</c:v>
                </c:pt>
                <c:pt idx="243">
                  <c:v>313.62549999999999</c:v>
                </c:pt>
                <c:pt idx="244">
                  <c:v>314.5865</c:v>
                </c:pt>
                <c:pt idx="245">
                  <c:v>315.27499999999998</c:v>
                </c:pt>
                <c:pt idx="246">
                  <c:v>316.47250000000003</c:v>
                </c:pt>
                <c:pt idx="247">
                  <c:v>317.4205</c:v>
                </c:pt>
                <c:pt idx="248">
                  <c:v>318.43</c:v>
                </c:pt>
                <c:pt idx="249">
                  <c:v>319.68250000000006</c:v>
                </c:pt>
                <c:pt idx="250">
                  <c:v>320.75349999999997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E-4180-B07D-D17A2CD824D8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Data!$L$2:$L$252</c:f>
              <c:numCache>
                <c:formatCode>General</c:formatCode>
                <c:ptCount val="251"/>
                <c:pt idx="19">
                  <c:v>317.89414681159707</c:v>
                </c:pt>
                <c:pt idx="20">
                  <c:v>317.96300119671054</c:v>
                </c:pt>
                <c:pt idx="21">
                  <c:v>317.97367162913787</c:v>
                </c:pt>
                <c:pt idx="22">
                  <c:v>317.88647794961116</c:v>
                </c:pt>
                <c:pt idx="23">
                  <c:v>317.54214474189689</c:v>
                </c:pt>
                <c:pt idx="24">
                  <c:v>318.37635028375576</c:v>
                </c:pt>
                <c:pt idx="25">
                  <c:v>318.7248863352566</c:v>
                </c:pt>
                <c:pt idx="26">
                  <c:v>318.65065792794559</c:v>
                </c:pt>
                <c:pt idx="27">
                  <c:v>319.19981751003451</c:v>
                </c:pt>
                <c:pt idx="28">
                  <c:v>319.86781620215424</c:v>
                </c:pt>
                <c:pt idx="29">
                  <c:v>320.18134242830183</c:v>
                </c:pt>
                <c:pt idx="30">
                  <c:v>321.3758889886231</c:v>
                </c:pt>
                <c:pt idx="31">
                  <c:v>319.34529175437712</c:v>
                </c:pt>
                <c:pt idx="32">
                  <c:v>317.99791936528834</c:v>
                </c:pt>
                <c:pt idx="33">
                  <c:v>318.04720539035031</c:v>
                </c:pt>
                <c:pt idx="34">
                  <c:v>317.88596419293924</c:v>
                </c:pt>
                <c:pt idx="35">
                  <c:v>317.53467072037847</c:v>
                </c:pt>
                <c:pt idx="36">
                  <c:v>317.55763911958991</c:v>
                </c:pt>
                <c:pt idx="37">
                  <c:v>318.71693335552402</c:v>
                </c:pt>
                <c:pt idx="38">
                  <c:v>319.11749490788048</c:v>
                </c:pt>
                <c:pt idx="39">
                  <c:v>319.20252216558146</c:v>
                </c:pt>
                <c:pt idx="40">
                  <c:v>319.45376635157447</c:v>
                </c:pt>
                <c:pt idx="41">
                  <c:v>319.49778312869046</c:v>
                </c:pt>
                <c:pt idx="42">
                  <c:v>320.95673264372789</c:v>
                </c:pt>
                <c:pt idx="43">
                  <c:v>322.11143438998243</c:v>
                </c:pt>
                <c:pt idx="44">
                  <c:v>322.45644361885047</c:v>
                </c:pt>
                <c:pt idx="45">
                  <c:v>322.95436058954164</c:v>
                </c:pt>
                <c:pt idx="46">
                  <c:v>323.62534694916405</c:v>
                </c:pt>
                <c:pt idx="47">
                  <c:v>323.81425849693142</c:v>
                </c:pt>
                <c:pt idx="48">
                  <c:v>324.63751358568931</c:v>
                </c:pt>
                <c:pt idx="49">
                  <c:v>324.77621016428213</c:v>
                </c:pt>
                <c:pt idx="50">
                  <c:v>324.08332411809477</c:v>
                </c:pt>
                <c:pt idx="51">
                  <c:v>323.86753065498442</c:v>
                </c:pt>
                <c:pt idx="52">
                  <c:v>323.39884917909211</c:v>
                </c:pt>
                <c:pt idx="53">
                  <c:v>322.56983603610769</c:v>
                </c:pt>
                <c:pt idx="54">
                  <c:v>321.73169593945818</c:v>
                </c:pt>
                <c:pt idx="55">
                  <c:v>321.20296352573484</c:v>
                </c:pt>
                <c:pt idx="56">
                  <c:v>321.05605844970859</c:v>
                </c:pt>
                <c:pt idx="57">
                  <c:v>321.1964418301838</c:v>
                </c:pt>
                <c:pt idx="58">
                  <c:v>321.56904128778325</c:v>
                </c:pt>
                <c:pt idx="59">
                  <c:v>321.45638107255473</c:v>
                </c:pt>
                <c:pt idx="60">
                  <c:v>321.90769272651067</c:v>
                </c:pt>
                <c:pt idx="61">
                  <c:v>322.50438076877384</c:v>
                </c:pt>
                <c:pt idx="62">
                  <c:v>322.62599393833165</c:v>
                </c:pt>
                <c:pt idx="63">
                  <c:v>322.39750437978387</c:v>
                </c:pt>
                <c:pt idx="64">
                  <c:v>322.30128199868375</c:v>
                </c:pt>
                <c:pt idx="65">
                  <c:v>322.16021493384648</c:v>
                </c:pt>
                <c:pt idx="66">
                  <c:v>322.02102821310945</c:v>
                </c:pt>
                <c:pt idx="67">
                  <c:v>322.00204846963896</c:v>
                </c:pt>
                <c:pt idx="68">
                  <c:v>321.36993203243628</c:v>
                </c:pt>
                <c:pt idx="69">
                  <c:v>321.37531866237947</c:v>
                </c:pt>
                <c:pt idx="70">
                  <c:v>321.36147794989654</c:v>
                </c:pt>
                <c:pt idx="71">
                  <c:v>321.24016432094896</c:v>
                </c:pt>
                <c:pt idx="72">
                  <c:v>320.99523620661267</c:v>
                </c:pt>
                <c:pt idx="73">
                  <c:v>320.63989206957956</c:v>
                </c:pt>
                <c:pt idx="74">
                  <c:v>320.88949605824155</c:v>
                </c:pt>
                <c:pt idx="75">
                  <c:v>321.36951873542267</c:v>
                </c:pt>
                <c:pt idx="76">
                  <c:v>322.48476713938277</c:v>
                </c:pt>
                <c:pt idx="77">
                  <c:v>323.10324404596423</c:v>
                </c:pt>
                <c:pt idx="78">
                  <c:v>323.41583374013572</c:v>
                </c:pt>
                <c:pt idx="79">
                  <c:v>323.51442081517831</c:v>
                </c:pt>
                <c:pt idx="80">
                  <c:v>323.54934245197666</c:v>
                </c:pt>
                <c:pt idx="81">
                  <c:v>323.21409315370539</c:v>
                </c:pt>
                <c:pt idx="82">
                  <c:v>323.0130360666405</c:v>
                </c:pt>
                <c:pt idx="83">
                  <c:v>323.17949917270494</c:v>
                </c:pt>
                <c:pt idx="84">
                  <c:v>322.84499518000666</c:v>
                </c:pt>
                <c:pt idx="85">
                  <c:v>321.90391796726851</c:v>
                </c:pt>
                <c:pt idx="86">
                  <c:v>321.17375776725083</c:v>
                </c:pt>
                <c:pt idx="87">
                  <c:v>320.35896771472585</c:v>
                </c:pt>
                <c:pt idx="88">
                  <c:v>318.95673583723681</c:v>
                </c:pt>
                <c:pt idx="89">
                  <c:v>316.88076356205386</c:v>
                </c:pt>
                <c:pt idx="90">
                  <c:v>314.84738553301861</c:v>
                </c:pt>
                <c:pt idx="91">
                  <c:v>312.51747535582643</c:v>
                </c:pt>
                <c:pt idx="92">
                  <c:v>310.03064044499808</c:v>
                </c:pt>
                <c:pt idx="93">
                  <c:v>307.85459819583991</c:v>
                </c:pt>
                <c:pt idx="94">
                  <c:v>305.74608777771232</c:v>
                </c:pt>
                <c:pt idx="95">
                  <c:v>304.03873913112511</c:v>
                </c:pt>
                <c:pt idx="96">
                  <c:v>303.69386925109762</c:v>
                </c:pt>
                <c:pt idx="97">
                  <c:v>303.32503355314185</c:v>
                </c:pt>
                <c:pt idx="98">
                  <c:v>303.00948439682008</c:v>
                </c:pt>
                <c:pt idx="99">
                  <c:v>302.51515325789114</c:v>
                </c:pt>
                <c:pt idx="100">
                  <c:v>302.89481869512753</c:v>
                </c:pt>
                <c:pt idx="101">
                  <c:v>303.77270843188296</c:v>
                </c:pt>
                <c:pt idx="102">
                  <c:v>304.04033508722898</c:v>
                </c:pt>
                <c:pt idx="103">
                  <c:v>303.9449366740252</c:v>
                </c:pt>
                <c:pt idx="104">
                  <c:v>304.31671873768914</c:v>
                </c:pt>
                <c:pt idx="105">
                  <c:v>304.57864309422092</c:v>
                </c:pt>
                <c:pt idx="106">
                  <c:v>303.78422916320972</c:v>
                </c:pt>
                <c:pt idx="107">
                  <c:v>302.85541561153741</c:v>
                </c:pt>
                <c:pt idx="108">
                  <c:v>302.89351074659174</c:v>
                </c:pt>
                <c:pt idx="109">
                  <c:v>303.51395702747089</c:v>
                </c:pt>
                <c:pt idx="110">
                  <c:v>304.41969144345035</c:v>
                </c:pt>
                <c:pt idx="111">
                  <c:v>304.60322932914664</c:v>
                </c:pt>
                <c:pt idx="112">
                  <c:v>305.11781243727086</c:v>
                </c:pt>
                <c:pt idx="113">
                  <c:v>305.71075065171698</c:v>
                </c:pt>
                <c:pt idx="114">
                  <c:v>305.12777815882498</c:v>
                </c:pt>
                <c:pt idx="115">
                  <c:v>306.1925777181188</c:v>
                </c:pt>
                <c:pt idx="116">
                  <c:v>307.53857020234028</c:v>
                </c:pt>
                <c:pt idx="117">
                  <c:v>308.14175989277089</c:v>
                </c:pt>
                <c:pt idx="118">
                  <c:v>308.42388976116831</c:v>
                </c:pt>
                <c:pt idx="119">
                  <c:v>308.50443638370081</c:v>
                </c:pt>
                <c:pt idx="120">
                  <c:v>308.94929573396587</c:v>
                </c:pt>
                <c:pt idx="121">
                  <c:v>310.08174083161566</c:v>
                </c:pt>
                <c:pt idx="122">
                  <c:v>310.94864475095989</c:v>
                </c:pt>
                <c:pt idx="123">
                  <c:v>311.44437062501402</c:v>
                </c:pt>
                <c:pt idx="124">
                  <c:v>312.52830834867717</c:v>
                </c:pt>
                <c:pt idx="125">
                  <c:v>313.83077613958585</c:v>
                </c:pt>
                <c:pt idx="126">
                  <c:v>314.35363701995402</c:v>
                </c:pt>
                <c:pt idx="127">
                  <c:v>315.34446301933178</c:v>
                </c:pt>
                <c:pt idx="128">
                  <c:v>316.02409447395581</c:v>
                </c:pt>
                <c:pt idx="129">
                  <c:v>316.71504096134942</c:v>
                </c:pt>
                <c:pt idx="130">
                  <c:v>317.11102104367228</c:v>
                </c:pt>
                <c:pt idx="131">
                  <c:v>317.20346762877307</c:v>
                </c:pt>
                <c:pt idx="132">
                  <c:v>317.64852415521557</c:v>
                </c:pt>
                <c:pt idx="133">
                  <c:v>318.46386661277535</c:v>
                </c:pt>
                <c:pt idx="134">
                  <c:v>318.36495458596175</c:v>
                </c:pt>
                <c:pt idx="135">
                  <c:v>319.2594302467117</c:v>
                </c:pt>
                <c:pt idx="136">
                  <c:v>319.62003001035606</c:v>
                </c:pt>
                <c:pt idx="137">
                  <c:v>319.59210648945611</c:v>
                </c:pt>
                <c:pt idx="138">
                  <c:v>319.29372855072262</c:v>
                </c:pt>
                <c:pt idx="139">
                  <c:v>318.4385093200396</c:v>
                </c:pt>
                <c:pt idx="140">
                  <c:v>317.9761225689607</c:v>
                </c:pt>
                <c:pt idx="141">
                  <c:v>318.41247867659922</c:v>
                </c:pt>
                <c:pt idx="142">
                  <c:v>319.38393128071527</c:v>
                </c:pt>
                <c:pt idx="143">
                  <c:v>319.90170660185527</c:v>
                </c:pt>
                <c:pt idx="144">
                  <c:v>320.08580106666381</c:v>
                </c:pt>
                <c:pt idx="145">
                  <c:v>320.48357592194776</c:v>
                </c:pt>
                <c:pt idx="146">
                  <c:v>320.49482966095206</c:v>
                </c:pt>
                <c:pt idx="147">
                  <c:v>320.20393037171488</c:v>
                </c:pt>
                <c:pt idx="148">
                  <c:v>319.86655231358367</c:v>
                </c:pt>
                <c:pt idx="149">
                  <c:v>319.45068051448573</c:v>
                </c:pt>
                <c:pt idx="150">
                  <c:v>319.23992498675352</c:v>
                </c:pt>
                <c:pt idx="151">
                  <c:v>318.77832645128331</c:v>
                </c:pt>
                <c:pt idx="152">
                  <c:v>318.08387904897938</c:v>
                </c:pt>
                <c:pt idx="153">
                  <c:v>316.79306676467786</c:v>
                </c:pt>
                <c:pt idx="154">
                  <c:v>315.22759990231521</c:v>
                </c:pt>
                <c:pt idx="155">
                  <c:v>313.11509738713812</c:v>
                </c:pt>
                <c:pt idx="156">
                  <c:v>311.30260728088115</c:v>
                </c:pt>
                <c:pt idx="157">
                  <c:v>310.16948636415464</c:v>
                </c:pt>
                <c:pt idx="158">
                  <c:v>308.60966111894464</c:v>
                </c:pt>
                <c:pt idx="159">
                  <c:v>308.85056446237093</c:v>
                </c:pt>
                <c:pt idx="160">
                  <c:v>308.36453394422938</c:v>
                </c:pt>
                <c:pt idx="161">
                  <c:v>307.91789153589173</c:v>
                </c:pt>
                <c:pt idx="162">
                  <c:v>307.8050864784924</c:v>
                </c:pt>
                <c:pt idx="163">
                  <c:v>307.98590215575916</c:v>
                </c:pt>
                <c:pt idx="164">
                  <c:v>308.03494040881532</c:v>
                </c:pt>
                <c:pt idx="165">
                  <c:v>308.51779208750719</c:v>
                </c:pt>
                <c:pt idx="166">
                  <c:v>309.42600122450239</c:v>
                </c:pt>
                <c:pt idx="167">
                  <c:v>310.1376793073776</c:v>
                </c:pt>
                <c:pt idx="168">
                  <c:v>310.72765333521301</c:v>
                </c:pt>
                <c:pt idx="169">
                  <c:v>311.70805046129789</c:v>
                </c:pt>
                <c:pt idx="170">
                  <c:v>312.18559439221082</c:v>
                </c:pt>
                <c:pt idx="171">
                  <c:v>312.25022235726806</c:v>
                </c:pt>
                <c:pt idx="172">
                  <c:v>313.17448550982527</c:v>
                </c:pt>
                <c:pt idx="173">
                  <c:v>313.41888537219836</c:v>
                </c:pt>
                <c:pt idx="174">
                  <c:v>313.45737754648104</c:v>
                </c:pt>
                <c:pt idx="175">
                  <c:v>313.49053816041095</c:v>
                </c:pt>
                <c:pt idx="176">
                  <c:v>313.53107959698769</c:v>
                </c:pt>
                <c:pt idx="177">
                  <c:v>313.50333440520257</c:v>
                </c:pt>
                <c:pt idx="178">
                  <c:v>313.34035065866846</c:v>
                </c:pt>
                <c:pt idx="179">
                  <c:v>313.09879978382804</c:v>
                </c:pt>
                <c:pt idx="180">
                  <c:v>312.50717975145352</c:v>
                </c:pt>
                <c:pt idx="181">
                  <c:v>312.26805834293737</c:v>
                </c:pt>
                <c:pt idx="182">
                  <c:v>312.32993900543653</c:v>
                </c:pt>
                <c:pt idx="183">
                  <c:v>312.53831176656496</c:v>
                </c:pt>
                <c:pt idx="184">
                  <c:v>312.7053101988995</c:v>
                </c:pt>
                <c:pt idx="185">
                  <c:v>312.94073723992801</c:v>
                </c:pt>
                <c:pt idx="186">
                  <c:v>312.80210867871926</c:v>
                </c:pt>
                <c:pt idx="187">
                  <c:v>312.50359405330323</c:v>
                </c:pt>
                <c:pt idx="188">
                  <c:v>312.21154125330861</c:v>
                </c:pt>
                <c:pt idx="189">
                  <c:v>311.32599462555112</c:v>
                </c:pt>
                <c:pt idx="190">
                  <c:v>311.0263372227837</c:v>
                </c:pt>
                <c:pt idx="191">
                  <c:v>311.59404625308281</c:v>
                </c:pt>
                <c:pt idx="192">
                  <c:v>310.78619816585609</c:v>
                </c:pt>
                <c:pt idx="193">
                  <c:v>311.53855546700441</c:v>
                </c:pt>
                <c:pt idx="194">
                  <c:v>312.9366106121704</c:v>
                </c:pt>
                <c:pt idx="195">
                  <c:v>314.01585684424242</c:v>
                </c:pt>
                <c:pt idx="196">
                  <c:v>313.84640214466225</c:v>
                </c:pt>
                <c:pt idx="197">
                  <c:v>313.39797112592072</c:v>
                </c:pt>
                <c:pt idx="198">
                  <c:v>313.44044120793319</c:v>
                </c:pt>
                <c:pt idx="199">
                  <c:v>313.70417999619667</c:v>
                </c:pt>
                <c:pt idx="200">
                  <c:v>313.98187111556587</c:v>
                </c:pt>
                <c:pt idx="201">
                  <c:v>313.99541721218151</c:v>
                </c:pt>
                <c:pt idx="202">
                  <c:v>313.84456540702979</c:v>
                </c:pt>
                <c:pt idx="203">
                  <c:v>314.18086553416435</c:v>
                </c:pt>
                <c:pt idx="204">
                  <c:v>314.38600597608132</c:v>
                </c:pt>
                <c:pt idx="205">
                  <c:v>315.97155937959258</c:v>
                </c:pt>
                <c:pt idx="206">
                  <c:v>317.85609676590047</c:v>
                </c:pt>
                <c:pt idx="207">
                  <c:v>318.50878618018749</c:v>
                </c:pt>
                <c:pt idx="208">
                  <c:v>319.86941175226337</c:v>
                </c:pt>
                <c:pt idx="209">
                  <c:v>321.03662375041432</c:v>
                </c:pt>
                <c:pt idx="210">
                  <c:v>321.38241708362375</c:v>
                </c:pt>
                <c:pt idx="211">
                  <c:v>321.91477796556353</c:v>
                </c:pt>
                <c:pt idx="212">
                  <c:v>321.7258224765356</c:v>
                </c:pt>
                <c:pt idx="213">
                  <c:v>321.86335722969096</c:v>
                </c:pt>
                <c:pt idx="214">
                  <c:v>321.79521178223899</c:v>
                </c:pt>
                <c:pt idx="215">
                  <c:v>321.75157859942055</c:v>
                </c:pt>
                <c:pt idx="216">
                  <c:v>321.37757173797274</c:v>
                </c:pt>
                <c:pt idx="217">
                  <c:v>320.56882247968224</c:v>
                </c:pt>
                <c:pt idx="218">
                  <c:v>321.0709770433952</c:v>
                </c:pt>
                <c:pt idx="219">
                  <c:v>322.07319652885081</c:v>
                </c:pt>
                <c:pt idx="220">
                  <c:v>322.37792121251437</c:v>
                </c:pt>
                <c:pt idx="221">
                  <c:v>322.52211384639969</c:v>
                </c:pt>
                <c:pt idx="222">
                  <c:v>322.46263902590704</c:v>
                </c:pt>
                <c:pt idx="223">
                  <c:v>322.40753474396359</c:v>
                </c:pt>
                <c:pt idx="224">
                  <c:v>322.38432545838299</c:v>
                </c:pt>
                <c:pt idx="225">
                  <c:v>321.6606118615756</c:v>
                </c:pt>
                <c:pt idx="226">
                  <c:v>320.42227042355478</c:v>
                </c:pt>
                <c:pt idx="227">
                  <c:v>319.88692020904296</c:v>
                </c:pt>
                <c:pt idx="228">
                  <c:v>318.38126623750117</c:v>
                </c:pt>
                <c:pt idx="229">
                  <c:v>316.40752729566304</c:v>
                </c:pt>
                <c:pt idx="230">
                  <c:v>315.08166790601865</c:v>
                </c:pt>
                <c:pt idx="231">
                  <c:v>313.36903587543623</c:v>
                </c:pt>
                <c:pt idx="232">
                  <c:v>313.12288182461987</c:v>
                </c:pt>
                <c:pt idx="233">
                  <c:v>313.02302375111452</c:v>
                </c:pt>
                <c:pt idx="234">
                  <c:v>313.80915986731969</c:v>
                </c:pt>
                <c:pt idx="235">
                  <c:v>314.47816244156672</c:v>
                </c:pt>
                <c:pt idx="236">
                  <c:v>315.74577062023388</c:v>
                </c:pt>
                <c:pt idx="237">
                  <c:v>316.79874279979549</c:v>
                </c:pt>
                <c:pt idx="238">
                  <c:v>318.42704255709782</c:v>
                </c:pt>
                <c:pt idx="239">
                  <c:v>319.56768891659743</c:v>
                </c:pt>
                <c:pt idx="240">
                  <c:v>321.850802251289</c:v>
                </c:pt>
                <c:pt idx="241">
                  <c:v>323.70575786012205</c:v>
                </c:pt>
                <c:pt idx="242">
                  <c:v>326.35637993428497</c:v>
                </c:pt>
                <c:pt idx="243">
                  <c:v>328.16912073936635</c:v>
                </c:pt>
                <c:pt idx="244">
                  <c:v>329.7442602497689</c:v>
                </c:pt>
                <c:pt idx="245">
                  <c:v>330.69710784965258</c:v>
                </c:pt>
                <c:pt idx="246">
                  <c:v>333.22093951882653</c:v>
                </c:pt>
                <c:pt idx="247">
                  <c:v>334.44162801630284</c:v>
                </c:pt>
                <c:pt idx="248">
                  <c:v>335.35088214696799</c:v>
                </c:pt>
                <c:pt idx="249">
                  <c:v>335.41092264651388</c:v>
                </c:pt>
                <c:pt idx="250">
                  <c:v>335.34627005556985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7E-4180-B07D-D17A2CD824D8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Data!$M$2:$M$252</c:f>
              <c:numCache>
                <c:formatCode>General</c:formatCode>
                <c:ptCount val="251"/>
                <c:pt idx="19">
                  <c:v>295.41585318840299</c:v>
                </c:pt>
                <c:pt idx="20">
                  <c:v>295.7419988032895</c:v>
                </c:pt>
                <c:pt idx="21">
                  <c:v>295.79432837086216</c:v>
                </c:pt>
                <c:pt idx="22">
                  <c:v>295.69152205038893</c:v>
                </c:pt>
                <c:pt idx="23">
                  <c:v>295.65585525810309</c:v>
                </c:pt>
                <c:pt idx="24">
                  <c:v>295.75264971624426</c:v>
                </c:pt>
                <c:pt idx="25">
                  <c:v>295.67811366474331</c:v>
                </c:pt>
                <c:pt idx="26">
                  <c:v>295.62834207205429</c:v>
                </c:pt>
                <c:pt idx="27">
                  <c:v>295.88718248996548</c:v>
                </c:pt>
                <c:pt idx="28">
                  <c:v>296.00518379784569</c:v>
                </c:pt>
                <c:pt idx="29">
                  <c:v>296.10465757169811</c:v>
                </c:pt>
                <c:pt idx="30">
                  <c:v>295.70011101137692</c:v>
                </c:pt>
                <c:pt idx="31">
                  <c:v>295.61270824562274</c:v>
                </c:pt>
                <c:pt idx="32">
                  <c:v>295.22408063471164</c:v>
                </c:pt>
                <c:pt idx="33">
                  <c:v>294.4817946096498</c:v>
                </c:pt>
                <c:pt idx="34">
                  <c:v>295.09903580706066</c:v>
                </c:pt>
                <c:pt idx="35">
                  <c:v>296.37832927962143</c:v>
                </c:pt>
                <c:pt idx="36">
                  <c:v>297.36236088040994</c:v>
                </c:pt>
                <c:pt idx="37">
                  <c:v>297.41306664447586</c:v>
                </c:pt>
                <c:pt idx="38">
                  <c:v>297.90050509211954</c:v>
                </c:pt>
                <c:pt idx="39">
                  <c:v>298.03347783441865</c:v>
                </c:pt>
                <c:pt idx="40">
                  <c:v>298.21223364842547</c:v>
                </c:pt>
                <c:pt idx="41">
                  <c:v>298.49621687130957</c:v>
                </c:pt>
                <c:pt idx="42">
                  <c:v>298.37826735627215</c:v>
                </c:pt>
                <c:pt idx="43">
                  <c:v>298.37956561001755</c:v>
                </c:pt>
                <c:pt idx="44">
                  <c:v>298.29855638114952</c:v>
                </c:pt>
                <c:pt idx="45">
                  <c:v>298.20563941045845</c:v>
                </c:pt>
                <c:pt idx="46">
                  <c:v>298.50665305083612</c:v>
                </c:pt>
                <c:pt idx="47">
                  <c:v>298.53074150306861</c:v>
                </c:pt>
                <c:pt idx="48">
                  <c:v>298.30948641431081</c:v>
                </c:pt>
                <c:pt idx="49">
                  <c:v>298.37678983571789</c:v>
                </c:pt>
                <c:pt idx="50">
                  <c:v>298.43867588190528</c:v>
                </c:pt>
                <c:pt idx="51">
                  <c:v>300.21546934501555</c:v>
                </c:pt>
                <c:pt idx="52">
                  <c:v>302.37415082090791</c:v>
                </c:pt>
                <c:pt idx="53">
                  <c:v>305.03316396389226</c:v>
                </c:pt>
                <c:pt idx="54">
                  <c:v>306.82430406054186</c:v>
                </c:pt>
                <c:pt idx="55">
                  <c:v>308.04303647426525</c:v>
                </c:pt>
                <c:pt idx="56">
                  <c:v>308.39194155029139</c:v>
                </c:pt>
                <c:pt idx="57">
                  <c:v>307.51355816981612</c:v>
                </c:pt>
                <c:pt idx="58">
                  <c:v>306.64295871221674</c:v>
                </c:pt>
                <c:pt idx="59">
                  <c:v>307.29361892744527</c:v>
                </c:pt>
                <c:pt idx="60">
                  <c:v>307.57330727348932</c:v>
                </c:pt>
                <c:pt idx="61">
                  <c:v>308.22761923122613</c:v>
                </c:pt>
                <c:pt idx="62">
                  <c:v>308.17800606166833</c:v>
                </c:pt>
                <c:pt idx="63">
                  <c:v>308.20249562021593</c:v>
                </c:pt>
                <c:pt idx="64">
                  <c:v>308.10771800131613</c:v>
                </c:pt>
                <c:pt idx="65">
                  <c:v>308.03178506615365</c:v>
                </c:pt>
                <c:pt idx="66">
                  <c:v>307.98497178689053</c:v>
                </c:pt>
                <c:pt idx="67">
                  <c:v>307.83795153036095</c:v>
                </c:pt>
                <c:pt idx="68">
                  <c:v>307.69106796756364</c:v>
                </c:pt>
                <c:pt idx="69">
                  <c:v>307.70668133762064</c:v>
                </c:pt>
                <c:pt idx="70">
                  <c:v>307.79252205010357</c:v>
                </c:pt>
                <c:pt idx="71">
                  <c:v>307.58083567905118</c:v>
                </c:pt>
                <c:pt idx="72">
                  <c:v>307.30376379338753</c:v>
                </c:pt>
                <c:pt idx="73">
                  <c:v>306.74410793042045</c:v>
                </c:pt>
                <c:pt idx="74">
                  <c:v>305.88150394175841</c:v>
                </c:pt>
                <c:pt idx="75">
                  <c:v>304.51148126457741</c:v>
                </c:pt>
                <c:pt idx="76">
                  <c:v>302.2472328606172</c:v>
                </c:pt>
                <c:pt idx="77">
                  <c:v>300.93175595403574</c:v>
                </c:pt>
                <c:pt idx="78">
                  <c:v>300.18516625986416</c:v>
                </c:pt>
                <c:pt idx="79">
                  <c:v>298.82957918482163</c:v>
                </c:pt>
                <c:pt idx="80">
                  <c:v>296.56265754802331</c:v>
                </c:pt>
                <c:pt idx="81">
                  <c:v>294.00590684629464</c:v>
                </c:pt>
                <c:pt idx="82">
                  <c:v>291.18996393335959</c:v>
                </c:pt>
                <c:pt idx="83">
                  <c:v>288.12550082729501</c:v>
                </c:pt>
                <c:pt idx="84">
                  <c:v>285.98100481999336</c:v>
                </c:pt>
                <c:pt idx="85">
                  <c:v>284.61208203273156</c:v>
                </c:pt>
                <c:pt idx="86">
                  <c:v>282.40224223274919</c:v>
                </c:pt>
                <c:pt idx="87">
                  <c:v>280.49603228527417</c:v>
                </c:pt>
                <c:pt idx="88">
                  <c:v>279.86726416276315</c:v>
                </c:pt>
                <c:pt idx="89">
                  <c:v>279.77523643794609</c:v>
                </c:pt>
                <c:pt idx="90">
                  <c:v>280.28961446698145</c:v>
                </c:pt>
                <c:pt idx="91">
                  <c:v>280.84352464417367</c:v>
                </c:pt>
                <c:pt idx="92">
                  <c:v>281.581359555002</c:v>
                </c:pt>
                <c:pt idx="93">
                  <c:v>282.21240180416009</c:v>
                </c:pt>
                <c:pt idx="94">
                  <c:v>282.75191222228773</c:v>
                </c:pt>
                <c:pt idx="95">
                  <c:v>283.283260868875</c:v>
                </c:pt>
                <c:pt idx="96">
                  <c:v>283.42413074890254</c:v>
                </c:pt>
                <c:pt idx="97">
                  <c:v>283.61196644685816</c:v>
                </c:pt>
                <c:pt idx="98">
                  <c:v>283.79951560317988</c:v>
                </c:pt>
                <c:pt idx="99">
                  <c:v>284.0648467421089</c:v>
                </c:pt>
                <c:pt idx="100">
                  <c:v>283.9461813048726</c:v>
                </c:pt>
                <c:pt idx="101">
                  <c:v>283.87429156811686</c:v>
                </c:pt>
                <c:pt idx="102">
                  <c:v>284.35066491277087</c:v>
                </c:pt>
                <c:pt idx="103">
                  <c:v>285.27406332597462</c:v>
                </c:pt>
                <c:pt idx="104">
                  <c:v>285.86728126231083</c:v>
                </c:pt>
                <c:pt idx="105">
                  <c:v>286.27035690577901</c:v>
                </c:pt>
                <c:pt idx="106">
                  <c:v>287.95777083679013</c:v>
                </c:pt>
                <c:pt idx="107">
                  <c:v>290.17058438846254</c:v>
                </c:pt>
                <c:pt idx="108">
                  <c:v>290.89948925340826</c:v>
                </c:pt>
                <c:pt idx="109">
                  <c:v>291.32904297252918</c:v>
                </c:pt>
                <c:pt idx="110">
                  <c:v>291.03530855654969</c:v>
                </c:pt>
                <c:pt idx="111">
                  <c:v>291.39577067085338</c:v>
                </c:pt>
                <c:pt idx="112">
                  <c:v>291.76218756272925</c:v>
                </c:pt>
                <c:pt idx="113">
                  <c:v>292.23924934828307</c:v>
                </c:pt>
                <c:pt idx="114">
                  <c:v>293.5322218411751</c:v>
                </c:pt>
                <c:pt idx="115">
                  <c:v>293.93142228188123</c:v>
                </c:pt>
                <c:pt idx="116">
                  <c:v>293.53742979765974</c:v>
                </c:pt>
                <c:pt idx="117">
                  <c:v>293.4882401072291</c:v>
                </c:pt>
                <c:pt idx="118">
                  <c:v>293.45411023883173</c:v>
                </c:pt>
                <c:pt idx="119">
                  <c:v>293.57556361629923</c:v>
                </c:pt>
                <c:pt idx="120">
                  <c:v>293.74770426603413</c:v>
                </c:pt>
                <c:pt idx="121">
                  <c:v>293.47325916838429</c:v>
                </c:pt>
                <c:pt idx="122">
                  <c:v>293.7923552490401</c:v>
                </c:pt>
                <c:pt idx="123">
                  <c:v>294.59262937498602</c:v>
                </c:pt>
                <c:pt idx="124">
                  <c:v>294.68469165132279</c:v>
                </c:pt>
                <c:pt idx="125">
                  <c:v>294.87822386041421</c:v>
                </c:pt>
                <c:pt idx="126">
                  <c:v>296.22936298004595</c:v>
                </c:pt>
                <c:pt idx="127">
                  <c:v>296.79853698066825</c:v>
                </c:pt>
                <c:pt idx="128">
                  <c:v>297.54090552604401</c:v>
                </c:pt>
                <c:pt idx="129">
                  <c:v>297.87695903865045</c:v>
                </c:pt>
                <c:pt idx="130">
                  <c:v>298.26297895632763</c:v>
                </c:pt>
                <c:pt idx="131">
                  <c:v>299.38553237122687</c:v>
                </c:pt>
                <c:pt idx="132">
                  <c:v>300.00547584478431</c:v>
                </c:pt>
                <c:pt idx="133">
                  <c:v>300.34313338722455</c:v>
                </c:pt>
                <c:pt idx="134">
                  <c:v>302.20404541403832</c:v>
                </c:pt>
                <c:pt idx="135">
                  <c:v>302.24256975328836</c:v>
                </c:pt>
                <c:pt idx="136">
                  <c:v>302.52896998964405</c:v>
                </c:pt>
                <c:pt idx="137">
                  <c:v>303.29189351054401</c:v>
                </c:pt>
                <c:pt idx="138">
                  <c:v>304.40627144927754</c:v>
                </c:pt>
                <c:pt idx="139">
                  <c:v>305.6914906799604</c:v>
                </c:pt>
                <c:pt idx="140">
                  <c:v>306.48987743103942</c:v>
                </c:pt>
                <c:pt idx="141">
                  <c:v>305.69852132340077</c:v>
                </c:pt>
                <c:pt idx="142">
                  <c:v>304.04106871928468</c:v>
                </c:pt>
                <c:pt idx="143">
                  <c:v>302.98229339814475</c:v>
                </c:pt>
                <c:pt idx="144">
                  <c:v>302.20219893333621</c:v>
                </c:pt>
                <c:pt idx="145">
                  <c:v>300.61042407805229</c:v>
                </c:pt>
                <c:pt idx="146">
                  <c:v>299.51517033904793</c:v>
                </c:pt>
                <c:pt idx="147">
                  <c:v>298.69806962828517</c:v>
                </c:pt>
                <c:pt idx="148">
                  <c:v>298.0104476864164</c:v>
                </c:pt>
                <c:pt idx="149">
                  <c:v>297.56531948551435</c:v>
                </c:pt>
                <c:pt idx="150">
                  <c:v>296.86307501324643</c:v>
                </c:pt>
                <c:pt idx="151">
                  <c:v>296.62667354871667</c:v>
                </c:pt>
                <c:pt idx="152">
                  <c:v>296.26612095102041</c:v>
                </c:pt>
                <c:pt idx="153">
                  <c:v>296.36993323532215</c:v>
                </c:pt>
                <c:pt idx="154">
                  <c:v>296.34840009768482</c:v>
                </c:pt>
                <c:pt idx="155">
                  <c:v>296.74990261286189</c:v>
                </c:pt>
                <c:pt idx="156">
                  <c:v>297.22239271911883</c:v>
                </c:pt>
                <c:pt idx="157">
                  <c:v>296.67951363584541</c:v>
                </c:pt>
                <c:pt idx="158">
                  <c:v>296.6193388810554</c:v>
                </c:pt>
                <c:pt idx="159">
                  <c:v>295.22443553762912</c:v>
                </c:pt>
                <c:pt idx="160">
                  <c:v>294.24846605577056</c:v>
                </c:pt>
                <c:pt idx="161">
                  <c:v>293.85610846410827</c:v>
                </c:pt>
                <c:pt idx="162">
                  <c:v>293.77291352150758</c:v>
                </c:pt>
                <c:pt idx="163">
                  <c:v>293.71909784424088</c:v>
                </c:pt>
                <c:pt idx="164">
                  <c:v>293.69805959118463</c:v>
                </c:pt>
                <c:pt idx="165">
                  <c:v>293.63420791249285</c:v>
                </c:pt>
                <c:pt idx="166">
                  <c:v>293.29699877549768</c:v>
                </c:pt>
                <c:pt idx="167">
                  <c:v>293.06332069262243</c:v>
                </c:pt>
                <c:pt idx="168">
                  <c:v>292.90234666478688</c:v>
                </c:pt>
                <c:pt idx="169">
                  <c:v>292.49994953870197</c:v>
                </c:pt>
                <c:pt idx="170">
                  <c:v>292.48940560778914</c:v>
                </c:pt>
                <c:pt idx="171">
                  <c:v>292.47977764273196</c:v>
                </c:pt>
                <c:pt idx="172">
                  <c:v>292.25651449017454</c:v>
                </c:pt>
                <c:pt idx="173">
                  <c:v>292.26311462780154</c:v>
                </c:pt>
                <c:pt idx="174">
                  <c:v>292.40762245351897</c:v>
                </c:pt>
                <c:pt idx="175">
                  <c:v>292.62946183958906</c:v>
                </c:pt>
                <c:pt idx="176">
                  <c:v>292.33392040301231</c:v>
                </c:pt>
                <c:pt idx="177">
                  <c:v>292.39466559479746</c:v>
                </c:pt>
                <c:pt idx="178">
                  <c:v>292.84664934133167</c:v>
                </c:pt>
                <c:pt idx="179">
                  <c:v>294.21520021617204</c:v>
                </c:pt>
                <c:pt idx="180">
                  <c:v>295.26682024854659</c:v>
                </c:pt>
                <c:pt idx="181">
                  <c:v>295.77094165706262</c:v>
                </c:pt>
                <c:pt idx="182">
                  <c:v>295.60806099456335</c:v>
                </c:pt>
                <c:pt idx="183">
                  <c:v>295.626688233435</c:v>
                </c:pt>
                <c:pt idx="184">
                  <c:v>295.62868980110045</c:v>
                </c:pt>
                <c:pt idx="185">
                  <c:v>295.61826276007196</c:v>
                </c:pt>
                <c:pt idx="186">
                  <c:v>295.6508913212806</c:v>
                </c:pt>
                <c:pt idx="187">
                  <c:v>295.66240594669671</c:v>
                </c:pt>
                <c:pt idx="188">
                  <c:v>295.66545874669123</c:v>
                </c:pt>
                <c:pt idx="189">
                  <c:v>295.81400537444875</c:v>
                </c:pt>
                <c:pt idx="190">
                  <c:v>295.83266277721611</c:v>
                </c:pt>
                <c:pt idx="191">
                  <c:v>295.62095374691711</c:v>
                </c:pt>
                <c:pt idx="192">
                  <c:v>295.91880183414384</c:v>
                </c:pt>
                <c:pt idx="193">
                  <c:v>295.57144453299549</c:v>
                </c:pt>
                <c:pt idx="194">
                  <c:v>295.1783893878295</c:v>
                </c:pt>
                <c:pt idx="195">
                  <c:v>295.03814315575755</c:v>
                </c:pt>
                <c:pt idx="196">
                  <c:v>295.72159785533773</c:v>
                </c:pt>
                <c:pt idx="197">
                  <c:v>296.60502887407921</c:v>
                </c:pt>
                <c:pt idx="198">
                  <c:v>297.41255879206676</c:v>
                </c:pt>
                <c:pt idx="199">
                  <c:v>297.43582000380331</c:v>
                </c:pt>
                <c:pt idx="200">
                  <c:v>298.44012888443405</c:v>
                </c:pt>
                <c:pt idx="201">
                  <c:v>299.43958278781844</c:v>
                </c:pt>
                <c:pt idx="202">
                  <c:v>300.75943459297014</c:v>
                </c:pt>
                <c:pt idx="203">
                  <c:v>300.79313446583558</c:v>
                </c:pt>
                <c:pt idx="204">
                  <c:v>300.86499402391865</c:v>
                </c:pt>
                <c:pt idx="205">
                  <c:v>300.1934406204075</c:v>
                </c:pt>
                <c:pt idx="206">
                  <c:v>299.47890323409956</c:v>
                </c:pt>
                <c:pt idx="207">
                  <c:v>299.78621381981259</c:v>
                </c:pt>
                <c:pt idx="208">
                  <c:v>299.83558824773667</c:v>
                </c:pt>
                <c:pt idx="209">
                  <c:v>300.35937624958564</c:v>
                </c:pt>
                <c:pt idx="210">
                  <c:v>301.18158291637633</c:v>
                </c:pt>
                <c:pt idx="211">
                  <c:v>301.33622203443645</c:v>
                </c:pt>
                <c:pt idx="212">
                  <c:v>302.11917752346443</c:v>
                </c:pt>
                <c:pt idx="213">
                  <c:v>302.26964277030908</c:v>
                </c:pt>
                <c:pt idx="214">
                  <c:v>302.16578821776102</c:v>
                </c:pt>
                <c:pt idx="215">
                  <c:v>301.88042140057951</c:v>
                </c:pt>
                <c:pt idx="216">
                  <c:v>302.70042826202723</c:v>
                </c:pt>
                <c:pt idx="217">
                  <c:v>304.00017752031772</c:v>
                </c:pt>
                <c:pt idx="218">
                  <c:v>303.05302295660482</c:v>
                </c:pt>
                <c:pt idx="219">
                  <c:v>301.18280347114927</c:v>
                </c:pt>
                <c:pt idx="220">
                  <c:v>300.03207878748572</c:v>
                </c:pt>
                <c:pt idx="221">
                  <c:v>299.32488615360029</c:v>
                </c:pt>
                <c:pt idx="222">
                  <c:v>299.19336097409303</c:v>
                </c:pt>
                <c:pt idx="223">
                  <c:v>298.92746525603633</c:v>
                </c:pt>
                <c:pt idx="224">
                  <c:v>298.65467454161688</c:v>
                </c:pt>
                <c:pt idx="225">
                  <c:v>298.65038813842432</c:v>
                </c:pt>
                <c:pt idx="226">
                  <c:v>298.8287295764452</c:v>
                </c:pt>
                <c:pt idx="227">
                  <c:v>298.77607979095694</c:v>
                </c:pt>
                <c:pt idx="228">
                  <c:v>299.15573376249887</c:v>
                </c:pt>
                <c:pt idx="229">
                  <c:v>299.44847270433695</c:v>
                </c:pt>
                <c:pt idx="230">
                  <c:v>299.75933209398136</c:v>
                </c:pt>
                <c:pt idx="231">
                  <c:v>300.45296412456378</c:v>
                </c:pt>
                <c:pt idx="232">
                  <c:v>300.54011817538003</c:v>
                </c:pt>
                <c:pt idx="233">
                  <c:v>300.60197624888548</c:v>
                </c:pt>
                <c:pt idx="234">
                  <c:v>300.16084013268033</c:v>
                </c:pt>
                <c:pt idx="235">
                  <c:v>299.91883755843321</c:v>
                </c:pt>
                <c:pt idx="236">
                  <c:v>299.3992293797661</c:v>
                </c:pt>
                <c:pt idx="237">
                  <c:v>299.28325720020462</c:v>
                </c:pt>
                <c:pt idx="238">
                  <c:v>299.18195744290222</c:v>
                </c:pt>
                <c:pt idx="239">
                  <c:v>300.00331108340271</c:v>
                </c:pt>
                <c:pt idx="240">
                  <c:v>299.81219774871101</c:v>
                </c:pt>
                <c:pt idx="241">
                  <c:v>299.88924213987798</c:v>
                </c:pt>
                <c:pt idx="242">
                  <c:v>299.06662006571503</c:v>
                </c:pt>
                <c:pt idx="243">
                  <c:v>299.08187926063363</c:v>
                </c:pt>
                <c:pt idx="244">
                  <c:v>299.4287397502311</c:v>
                </c:pt>
                <c:pt idx="245">
                  <c:v>299.85289215034737</c:v>
                </c:pt>
                <c:pt idx="246">
                  <c:v>299.72406048117352</c:v>
                </c:pt>
                <c:pt idx="247">
                  <c:v>300.39937198369716</c:v>
                </c:pt>
                <c:pt idx="248">
                  <c:v>301.50911785303202</c:v>
                </c:pt>
                <c:pt idx="249">
                  <c:v>303.95407735348624</c:v>
                </c:pt>
                <c:pt idx="250">
                  <c:v>306.1607299444301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7E-4180-B07D-D17A2CD82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02591"/>
        <c:axId val="195296351"/>
      </c:lineChart>
      <c:dateAx>
        <c:axId val="195302591"/>
        <c:scaling>
          <c:orientation val="minMax"/>
          <c:min val="4595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6351"/>
        <c:crosses val="autoZero"/>
        <c:auto val="1"/>
        <c:lblOffset val="100"/>
        <c:baseTimeUnit val="days"/>
      </c:dateAx>
      <c:valAx>
        <c:axId val="195296351"/>
        <c:scaling>
          <c:orientation val="minMax"/>
          <c:min val="2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Data!$AA$2:$AA$252</c:f>
              <c:numCache>
                <c:formatCode>General</c:formatCode>
                <c:ptCount val="251"/>
                <c:pt idx="35">
                  <c:v>-0.62523028046953188</c:v>
                </c:pt>
                <c:pt idx="36">
                  <c:v>0.10496303370403437</c:v>
                </c:pt>
                <c:pt idx="37">
                  <c:v>0.3244224861114926</c:v>
                </c:pt>
                <c:pt idx="38">
                  <c:v>0.22492170632028063</c:v>
                </c:pt>
                <c:pt idx="39">
                  <c:v>0.28630874960421693</c:v>
                </c:pt>
                <c:pt idx="40">
                  <c:v>0.13961816462735888</c:v>
                </c:pt>
                <c:pt idx="41">
                  <c:v>0.69568066801081829</c:v>
                </c:pt>
                <c:pt idx="42">
                  <c:v>0.96203828490592591</c:v>
                </c:pt>
                <c:pt idx="43">
                  <c:v>0.92472158326481502</c:v>
                </c:pt>
                <c:pt idx="44">
                  <c:v>0.87432938295026119</c:v>
                </c:pt>
                <c:pt idx="45">
                  <c:v>0.78767263355104822</c:v>
                </c:pt>
                <c:pt idx="46">
                  <c:v>0.52914735219583919</c:v>
                </c:pt>
                <c:pt idx="47">
                  <c:v>0.65132426532747179</c:v>
                </c:pt>
                <c:pt idx="48">
                  <c:v>0.2920235949069796</c:v>
                </c:pt>
                <c:pt idx="49">
                  <c:v>-7.4557858766012952E-2</c:v>
                </c:pt>
                <c:pt idx="50">
                  <c:v>-7.9147937171136995E-2</c:v>
                </c:pt>
                <c:pt idx="51">
                  <c:v>-2.8097336512673543E-2</c:v>
                </c:pt>
                <c:pt idx="52">
                  <c:v>7.2446415744410686E-2</c:v>
                </c:pt>
                <c:pt idx="53">
                  <c:v>-0.18305390271781219</c:v>
                </c:pt>
                <c:pt idx="54">
                  <c:v>-0.33966546498728256</c:v>
                </c:pt>
                <c:pt idx="55">
                  <c:v>-0.54975591192862105</c:v>
                </c:pt>
                <c:pt idx="56">
                  <c:v>-0.87491156022205741</c:v>
                </c:pt>
                <c:pt idx="57">
                  <c:v>-1.1229605165515617</c:v>
                </c:pt>
                <c:pt idx="58">
                  <c:v>-0.78572758843154444</c:v>
                </c:pt>
                <c:pt idx="59">
                  <c:v>-0.27941913104600902</c:v>
                </c:pt>
                <c:pt idx="60">
                  <c:v>0.21059324693035486</c:v>
                </c:pt>
                <c:pt idx="61">
                  <c:v>0.40576277641004888</c:v>
                </c:pt>
                <c:pt idx="62">
                  <c:v>0.28180650465662205</c:v>
                </c:pt>
                <c:pt idx="63">
                  <c:v>4.2179788245761296E-2</c:v>
                </c:pt>
                <c:pt idx="64">
                  <c:v>-0.10495721327408769</c:v>
                </c:pt>
                <c:pt idx="65">
                  <c:v>-0.17851295019391733</c:v>
                </c:pt>
                <c:pt idx="66">
                  <c:v>-0.36059257847709714</c:v>
                </c:pt>
                <c:pt idx="67">
                  <c:v>-0.5282121408819771</c:v>
                </c:pt>
                <c:pt idx="68">
                  <c:v>-0.48723915583909805</c:v>
                </c:pt>
                <c:pt idx="69">
                  <c:v>-0.51822557581506834</c:v>
                </c:pt>
                <c:pt idx="70">
                  <c:v>-0.53534971236059803</c:v>
                </c:pt>
                <c:pt idx="71">
                  <c:v>-0.57549075421376217</c:v>
                </c:pt>
                <c:pt idx="72">
                  <c:v>-0.73959969177702933</c:v>
                </c:pt>
                <c:pt idx="73">
                  <c:v>-0.90921761182349792</c:v>
                </c:pt>
                <c:pt idx="74">
                  <c:v>-1.1325894701263488</c:v>
                </c:pt>
                <c:pt idx="75">
                  <c:v>-1.4883195980803188</c:v>
                </c:pt>
                <c:pt idx="76">
                  <c:v>-1.5450375587705554</c:v>
                </c:pt>
                <c:pt idx="77">
                  <c:v>-1.3982731339287477</c:v>
                </c:pt>
                <c:pt idx="78">
                  <c:v>-1.3001460939670386</c:v>
                </c:pt>
                <c:pt idx="79">
                  <c:v>-1.5135679011099414</c:v>
                </c:pt>
                <c:pt idx="80">
                  <c:v>-1.8029638700497492</c:v>
                </c:pt>
                <c:pt idx="81">
                  <c:v>-2.0377360745188282</c:v>
                </c:pt>
                <c:pt idx="82">
                  <c:v>-2.1887725935024793</c:v>
                </c:pt>
                <c:pt idx="83">
                  <c:v>-2.0044702497199758</c:v>
                </c:pt>
                <c:pt idx="84">
                  <c:v>-1.622096786613465</c:v>
                </c:pt>
                <c:pt idx="85">
                  <c:v>-1.6341687595200458</c:v>
                </c:pt>
                <c:pt idx="86">
                  <c:v>-1.506208073206615</c:v>
                </c:pt>
                <c:pt idx="87">
                  <c:v>-0.92105743003053764</c:v>
                </c:pt>
                <c:pt idx="88">
                  <c:v>-0.41615788480502847</c:v>
                </c:pt>
                <c:pt idx="89">
                  <c:v>0.31286568642218793</c:v>
                </c:pt>
                <c:pt idx="90">
                  <c:v>0.62140766067123199</c:v>
                </c:pt>
                <c:pt idx="91">
                  <c:v>0.79622812554728828</c:v>
                </c:pt>
                <c:pt idx="92">
                  <c:v>0.87625539635998884</c:v>
                </c:pt>
                <c:pt idx="93">
                  <c:v>0.80707466491073365</c:v>
                </c:pt>
                <c:pt idx="94">
                  <c:v>0.85101503098018583</c:v>
                </c:pt>
                <c:pt idx="95">
                  <c:v>1.2181614560060048</c:v>
                </c:pt>
                <c:pt idx="96">
                  <c:v>1.5201663128982235</c:v>
                </c:pt>
                <c:pt idx="97">
                  <c:v>1.790763285441356</c:v>
                </c:pt>
                <c:pt idx="98">
                  <c:v>1.7534590343949263</c:v>
                </c:pt>
                <c:pt idx="99">
                  <c:v>1.6194065263742039</c:v>
                </c:pt>
                <c:pt idx="100">
                  <c:v>1.5678110679037882</c:v>
                </c:pt>
                <c:pt idx="101">
                  <c:v>1.2626191948538221</c:v>
                </c:pt>
                <c:pt idx="102">
                  <c:v>0.93731969758951794</c:v>
                </c:pt>
                <c:pt idx="103">
                  <c:v>0.91810560677656872</c:v>
                </c:pt>
                <c:pt idx="104">
                  <c:v>0.80375147096309951</c:v>
                </c:pt>
                <c:pt idx="105">
                  <c:v>0.4686403694005945</c:v>
                </c:pt>
                <c:pt idx="106">
                  <c:v>0.49859080489914498</c:v>
                </c:pt>
                <c:pt idx="107">
                  <c:v>0.54787906802270658</c:v>
                </c:pt>
                <c:pt idx="108">
                  <c:v>0.77776309975468871</c:v>
                </c:pt>
                <c:pt idx="109">
                  <c:v>0.94683514410836156</c:v>
                </c:pt>
                <c:pt idx="110">
                  <c:v>0.78086721423236349</c:v>
                </c:pt>
                <c:pt idx="111">
                  <c:v>0.81770361999108832</c:v>
                </c:pt>
                <c:pt idx="112">
                  <c:v>0.8834089746890943</c:v>
                </c:pt>
                <c:pt idx="113">
                  <c:v>0.5277908623228692</c:v>
                </c:pt>
                <c:pt idx="114">
                  <c:v>0.84131798592114437</c:v>
                </c:pt>
                <c:pt idx="115">
                  <c:v>1.0045146207709026</c:v>
                </c:pt>
                <c:pt idx="116">
                  <c:v>0.88969661943104716</c:v>
                </c:pt>
                <c:pt idx="117">
                  <c:v>0.69204578039147968</c:v>
                </c:pt>
                <c:pt idx="118">
                  <c:v>0.34723800266269644</c:v>
                </c:pt>
                <c:pt idx="119">
                  <c:v>0.31995770697506365</c:v>
                </c:pt>
                <c:pt idx="120">
                  <c:v>0.52111626406267786</c:v>
                </c:pt>
                <c:pt idx="121">
                  <c:v>0.60483418624692797</c:v>
                </c:pt>
                <c:pt idx="122">
                  <c:v>0.59577371300110427</c:v>
                </c:pt>
                <c:pt idx="123">
                  <c:v>0.68467006808213826</c:v>
                </c:pt>
                <c:pt idx="124">
                  <c:v>0.82363785690663205</c:v>
                </c:pt>
                <c:pt idx="125">
                  <c:v>0.85655378767885626</c:v>
                </c:pt>
                <c:pt idx="126">
                  <c:v>0.86463124287318527</c:v>
                </c:pt>
                <c:pt idx="127">
                  <c:v>0.76029617727825594</c:v>
                </c:pt>
                <c:pt idx="128">
                  <c:v>0.59753596550528387</c:v>
                </c:pt>
                <c:pt idx="129">
                  <c:v>0.34087041745040958</c:v>
                </c:pt>
                <c:pt idx="130">
                  <c:v>0.18480537015968146</c:v>
                </c:pt>
                <c:pt idx="131">
                  <c:v>0.13337810845906795</c:v>
                </c:pt>
                <c:pt idx="132">
                  <c:v>0.20736358738059657</c:v>
                </c:pt>
                <c:pt idx="133">
                  <c:v>0.25413419238416113</c:v>
                </c:pt>
                <c:pt idx="134">
                  <c:v>0.27890149611160098</c:v>
                </c:pt>
                <c:pt idx="135">
                  <c:v>8.3088840106221973E-2</c:v>
                </c:pt>
                <c:pt idx="136">
                  <c:v>-0.17517142086447235</c:v>
                </c:pt>
                <c:pt idx="137">
                  <c:v>-0.37567198711665206</c:v>
                </c:pt>
                <c:pt idx="138">
                  <c:v>-0.93065437431808284</c:v>
                </c:pt>
                <c:pt idx="139">
                  <c:v>-1.0977786452371348</c:v>
                </c:pt>
                <c:pt idx="140">
                  <c:v>-1.362811477172619</c:v>
                </c:pt>
                <c:pt idx="141">
                  <c:v>-1.6913572154735041</c:v>
                </c:pt>
                <c:pt idx="142">
                  <c:v>-1.7482633869462136</c:v>
                </c:pt>
                <c:pt idx="143">
                  <c:v>-1.5985872536699219</c:v>
                </c:pt>
                <c:pt idx="144">
                  <c:v>-1.6752674280990187</c:v>
                </c:pt>
                <c:pt idx="145">
                  <c:v>-1.5624298205999931</c:v>
                </c:pt>
                <c:pt idx="146">
                  <c:v>-1.373365307395197</c:v>
                </c:pt>
                <c:pt idx="147">
                  <c:v>-1.1694693854776177</c:v>
                </c:pt>
                <c:pt idx="148">
                  <c:v>-0.90431192378251124</c:v>
                </c:pt>
                <c:pt idx="149">
                  <c:v>-0.81489779258630179</c:v>
                </c:pt>
                <c:pt idx="150">
                  <c:v>-0.52129230665983151</c:v>
                </c:pt>
                <c:pt idx="151">
                  <c:v>-0.44512046476486433</c:v>
                </c:pt>
                <c:pt idx="152">
                  <c:v>-0.30718471177589945</c:v>
                </c:pt>
                <c:pt idx="153">
                  <c:v>-0.40956864438489582</c:v>
                </c:pt>
                <c:pt idx="154">
                  <c:v>-0.48205745322185711</c:v>
                </c:pt>
                <c:pt idx="155">
                  <c:v>-0.41986715301328648</c:v>
                </c:pt>
                <c:pt idx="156">
                  <c:v>-0.66102444201096722</c:v>
                </c:pt>
                <c:pt idx="157">
                  <c:v>-0.74503744597787813</c:v>
                </c:pt>
                <c:pt idx="158">
                  <c:v>-0.86485212533931932</c:v>
                </c:pt>
                <c:pt idx="159">
                  <c:v>-0.91397705195503853</c:v>
                </c:pt>
                <c:pt idx="160">
                  <c:v>-0.67226771676063901</c:v>
                </c:pt>
                <c:pt idx="161">
                  <c:v>-0.26578943568578861</c:v>
                </c:pt>
                <c:pt idx="162">
                  <c:v>0.30941419943607196</c:v>
                </c:pt>
                <c:pt idx="163">
                  <c:v>0.71955885918620943</c:v>
                </c:pt>
                <c:pt idx="164">
                  <c:v>0.96417849498045749</c:v>
                </c:pt>
                <c:pt idx="165">
                  <c:v>1.2610606681966705</c:v>
                </c:pt>
                <c:pt idx="166">
                  <c:v>1.3757043163732481</c:v>
                </c:pt>
                <c:pt idx="167">
                  <c:v>1.3688935996258946</c:v>
                </c:pt>
                <c:pt idx="168">
                  <c:v>1.4695422618678118</c:v>
                </c:pt>
                <c:pt idx="169">
                  <c:v>1.260690907536784</c:v>
                </c:pt>
                <c:pt idx="170">
                  <c:v>0.99100852342679691</c:v>
                </c:pt>
                <c:pt idx="171">
                  <c:v>1.039054123640208</c:v>
                </c:pt>
                <c:pt idx="172">
                  <c:v>0.78294267031606801</c:v>
                </c:pt>
                <c:pt idx="173">
                  <c:v>0.31911482048672624</c:v>
                </c:pt>
                <c:pt idx="174">
                  <c:v>1.224860413112322E-2</c:v>
                </c:pt>
                <c:pt idx="175">
                  <c:v>-0.44055465250402803</c:v>
                </c:pt>
                <c:pt idx="176">
                  <c:v>-0.83628134280701949</c:v>
                </c:pt>
                <c:pt idx="177">
                  <c:v>-0.86087629302760993</c:v>
                </c:pt>
                <c:pt idx="178">
                  <c:v>-0.41858169642036491</c:v>
                </c:pt>
                <c:pt idx="179">
                  <c:v>-0.58145990584818341</c:v>
                </c:pt>
                <c:pt idx="180">
                  <c:v>-0.57069677724052115</c:v>
                </c:pt>
                <c:pt idx="181">
                  <c:v>-0.56587208104542164</c:v>
                </c:pt>
                <c:pt idx="182">
                  <c:v>-3.4684227801558554E-2</c:v>
                </c:pt>
                <c:pt idx="183">
                  <c:v>0.31236056399857615</c:v>
                </c:pt>
                <c:pt idx="184">
                  <c:v>0.55890681979324941</c:v>
                </c:pt>
                <c:pt idx="185">
                  <c:v>0.65232129643212522</c:v>
                </c:pt>
                <c:pt idx="186">
                  <c:v>0.5425401183087426</c:v>
                </c:pt>
                <c:pt idx="187">
                  <c:v>0.42606634057037207</c:v>
                </c:pt>
                <c:pt idx="188">
                  <c:v>0.21225322528955506</c:v>
                </c:pt>
                <c:pt idx="189">
                  <c:v>0.15683812847488277</c:v>
                </c:pt>
                <c:pt idx="190">
                  <c:v>0.44384391867202594</c:v>
                </c:pt>
                <c:pt idx="191">
                  <c:v>0.31421328000314697</c:v>
                </c:pt>
                <c:pt idx="192">
                  <c:v>0.56769893414628037</c:v>
                </c:pt>
                <c:pt idx="193">
                  <c:v>0.81698883112435539</c:v>
                </c:pt>
                <c:pt idx="194">
                  <c:v>0.88725994820045451</c:v>
                </c:pt>
                <c:pt idx="195">
                  <c:v>0.3501381077517316</c:v>
                </c:pt>
                <c:pt idx="196">
                  <c:v>-0.19571170784628356</c:v>
                </c:pt>
                <c:pt idx="197">
                  <c:v>-9.000582133481716E-2</c:v>
                </c:pt>
                <c:pt idx="198">
                  <c:v>2.5629611642053907E-2</c:v>
                </c:pt>
                <c:pt idx="199">
                  <c:v>0.26006933113258768</c:v>
                </c:pt>
                <c:pt idx="200">
                  <c:v>0.29252385612027476</c:v>
                </c:pt>
                <c:pt idx="201">
                  <c:v>0.35172503314401404</c:v>
                </c:pt>
                <c:pt idx="202">
                  <c:v>0.34337516106297139</c:v>
                </c:pt>
                <c:pt idx="203">
                  <c:v>0.25660280098864408</c:v>
                </c:pt>
                <c:pt idx="204">
                  <c:v>0.62433295323933091</c:v>
                </c:pt>
                <c:pt idx="205">
                  <c:v>0.937148152633835</c:v>
                </c:pt>
                <c:pt idx="206">
                  <c:v>0.79878726137499978</c:v>
                </c:pt>
                <c:pt idx="207">
                  <c:v>0.92041517537634476</c:v>
                </c:pt>
                <c:pt idx="208">
                  <c:v>0.9903942329655111</c:v>
                </c:pt>
                <c:pt idx="209">
                  <c:v>0.71766480492310425</c:v>
                </c:pt>
                <c:pt idx="210">
                  <c:v>0.51018957287236688</c:v>
                </c:pt>
                <c:pt idx="211">
                  <c:v>-1.426196764101384E-2</c:v>
                </c:pt>
                <c:pt idx="212">
                  <c:v>-0.20761798092422223</c:v>
                </c:pt>
                <c:pt idx="213">
                  <c:v>-0.51086327905145179</c:v>
                </c:pt>
                <c:pt idx="214">
                  <c:v>-0.83401523973386915</c:v>
                </c:pt>
                <c:pt idx="215">
                  <c:v>-1.0455041163530243</c:v>
                </c:pt>
                <c:pt idx="216">
                  <c:v>-1.2947887846623034</c:v>
                </c:pt>
                <c:pt idx="217">
                  <c:v>-1.5498295932769692</c:v>
                </c:pt>
                <c:pt idx="218">
                  <c:v>-1.8573083970883555</c:v>
                </c:pt>
                <c:pt idx="219">
                  <c:v>-1.774613133194608</c:v>
                </c:pt>
                <c:pt idx="220">
                  <c:v>-1.5446574916766864</c:v>
                </c:pt>
                <c:pt idx="221">
                  <c:v>-1.0184231456952706</c:v>
                </c:pt>
                <c:pt idx="222">
                  <c:v>-0.73252685802588446</c:v>
                </c:pt>
                <c:pt idx="223">
                  <c:v>-0.54740790094151015</c:v>
                </c:pt>
                <c:pt idx="224">
                  <c:v>-0.22586522653033581</c:v>
                </c:pt>
                <c:pt idx="225">
                  <c:v>-9.0426470113645019E-2</c:v>
                </c:pt>
                <c:pt idx="226">
                  <c:v>3.6343927611457438E-2</c:v>
                </c:pt>
                <c:pt idx="227">
                  <c:v>4.3739141939411086E-2</c:v>
                </c:pt>
                <c:pt idx="228">
                  <c:v>-0.24115511269141099</c:v>
                </c:pt>
                <c:pt idx="229">
                  <c:v>-0.21896305619854539</c:v>
                </c:pt>
                <c:pt idx="230">
                  <c:v>-0.16514186850143808</c:v>
                </c:pt>
                <c:pt idx="231">
                  <c:v>8.9853713800049251E-2</c:v>
                </c:pt>
                <c:pt idx="232">
                  <c:v>0.48800190330253723</c:v>
                </c:pt>
                <c:pt idx="233">
                  <c:v>0.7930710197985873</c:v>
                </c:pt>
                <c:pt idx="234">
                  <c:v>0.8618178439277232</c:v>
                </c:pt>
                <c:pt idx="235">
                  <c:v>1.0346977160345423</c:v>
                </c:pt>
                <c:pt idx="236">
                  <c:v>1.0559323537695482</c:v>
                </c:pt>
                <c:pt idx="237">
                  <c:v>1.2364222200540091</c:v>
                </c:pt>
                <c:pt idx="238">
                  <c:v>1.3398009722792716</c:v>
                </c:pt>
                <c:pt idx="239">
                  <c:v>1.5944205937016425</c:v>
                </c:pt>
                <c:pt idx="240">
                  <c:v>1.6447793994950419</c:v>
                </c:pt>
                <c:pt idx="241">
                  <c:v>1.8089735187227962</c:v>
                </c:pt>
                <c:pt idx="242">
                  <c:v>1.6973825050353879</c:v>
                </c:pt>
                <c:pt idx="243">
                  <c:v>1.5380839113093963</c:v>
                </c:pt>
                <c:pt idx="244">
                  <c:v>1.1539789340707074</c:v>
                </c:pt>
                <c:pt idx="245">
                  <c:v>1.3886743672626265</c:v>
                </c:pt>
                <c:pt idx="246">
                  <c:v>1.1425115521074893</c:v>
                </c:pt>
                <c:pt idx="247">
                  <c:v>0.89498854299460717</c:v>
                </c:pt>
                <c:pt idx="248">
                  <c:v>0.67222675856141567</c:v>
                </c:pt>
                <c:pt idx="249">
                  <c:v>0.40812168312036778</c:v>
                </c:pt>
                <c:pt idx="2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4-4CD9-8B38-A7173070F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8196607"/>
        <c:axId val="148194207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Data!$Y$2:$Y$252</c:f>
              <c:numCache>
                <c:formatCode>General</c:formatCode>
                <c:ptCount val="251"/>
                <c:pt idx="25">
                  <c:v>0.5703200061818734</c:v>
                </c:pt>
                <c:pt idx="26">
                  <c:v>0.90360459480393729</c:v>
                </c:pt>
                <c:pt idx="27">
                  <c:v>1.2549403312479512</c:v>
                </c:pt>
                <c:pt idx="28">
                  <c:v>1.3523692947725294</c:v>
                </c:pt>
                <c:pt idx="29">
                  <c:v>1.9469661260835665</c:v>
                </c:pt>
                <c:pt idx="30">
                  <c:v>0.94196972752564534</c:v>
                </c:pt>
                <c:pt idx="31">
                  <c:v>0.12629483147577503</c:v>
                </c:pt>
                <c:pt idx="32">
                  <c:v>-0.51899227889350641</c:v>
                </c:pt>
                <c:pt idx="33">
                  <c:v>-0.6891859718735418</c:v>
                </c:pt>
                <c:pt idx="34">
                  <c:v>-0.5897173726769438</c:v>
                </c:pt>
                <c:pt idx="35">
                  <c:v>-0.25617681920186897</c:v>
                </c:pt>
                <c:pt idx="36">
                  <c:v>0.50025725339770588</c:v>
                </c:pt>
                <c:pt idx="37">
                  <c:v>0.80082232733303726</c:v>
                </c:pt>
                <c:pt idx="38">
                  <c:v>0.75755197412189546</c:v>
                </c:pt>
                <c:pt idx="39">
                  <c:v>0.89051620480688598</c:v>
                </c:pt>
                <c:pt idx="40">
                  <c:v>0.77873016098686776</c:v>
                </c:pt>
                <c:pt idx="41">
                  <c:v>1.5087128313730318</c:v>
                </c:pt>
                <c:pt idx="42">
                  <c:v>2.015580019494621</c:v>
                </c:pt>
                <c:pt idx="43">
                  <c:v>2.2094437136697138</c:v>
                </c:pt>
                <c:pt idx="44">
                  <c:v>2.3776338590927253</c:v>
                </c:pt>
                <c:pt idx="45">
                  <c:v>2.4878952680812745</c:v>
                </c:pt>
                <c:pt idx="46">
                  <c:v>2.3616568247750251</c:v>
                </c:pt>
                <c:pt idx="47">
                  <c:v>2.6466648042385259</c:v>
                </c:pt>
                <c:pt idx="48">
                  <c:v>2.360370032544779</c:v>
                </c:pt>
                <c:pt idx="49">
                  <c:v>1.975149114180283</c:v>
                </c:pt>
                <c:pt idx="50">
                  <c:v>1.9507720514823745</c:v>
                </c:pt>
                <c:pt idx="51">
                  <c:v>1.9947983180126698</c:v>
                </c:pt>
                <c:pt idx="52">
                  <c:v>2.1134536742058572</c:v>
                </c:pt>
                <c:pt idx="53">
                  <c:v>1.8121898800641816</c:v>
                </c:pt>
                <c:pt idx="54">
                  <c:v>1.5706619515478906</c:v>
                </c:pt>
                <c:pt idx="55">
                  <c:v>1.2231325266243971</c:v>
                </c:pt>
                <c:pt idx="56">
                  <c:v>0.67924898827544666</c:v>
                </c:pt>
                <c:pt idx="57">
                  <c:v>0.15045990280805199</c:v>
                </c:pt>
                <c:pt idx="58">
                  <c:v>0.29126093382018325</c:v>
                </c:pt>
                <c:pt idx="59">
                  <c:v>0.72771460844421654</c:v>
                </c:pt>
                <c:pt idx="60">
                  <c:v>1.2703752981531693</c:v>
                </c:pt>
                <c:pt idx="61">
                  <c:v>1.5669855217353756</c:v>
                </c:pt>
                <c:pt idx="62">
                  <c:v>1.5134808761461045</c:v>
                </c:pt>
                <c:pt idx="63">
                  <c:v>1.284399106796684</c:v>
                </c:pt>
                <c:pt idx="64">
                  <c:v>1.1110228019583133</c:v>
                </c:pt>
                <c:pt idx="65">
                  <c:v>0.99283882749000441</c:v>
                </c:pt>
                <c:pt idx="66">
                  <c:v>0.72061105458755037</c:v>
                </c:pt>
                <c:pt idx="67">
                  <c:v>0.42093845696217613</c:v>
                </c:pt>
                <c:pt idx="68">
                  <c:v>0.34010165304528073</c:v>
                </c:pt>
                <c:pt idx="69">
                  <c:v>0.17955883911554338</c:v>
                </c:pt>
                <c:pt idx="70">
                  <c:v>2.8597274479864154E-2</c:v>
                </c:pt>
                <c:pt idx="71">
                  <c:v>-0.15541645592674058</c:v>
                </c:pt>
                <c:pt idx="72">
                  <c:v>-0.50442531643426491</c:v>
                </c:pt>
                <c:pt idx="73">
                  <c:v>-0.90134763943660801</c:v>
                </c:pt>
                <c:pt idx="74">
                  <c:v>-1.4078668652710462</c:v>
                </c:pt>
                <c:pt idx="75">
                  <c:v>-2.1356768927450958</c:v>
                </c:pt>
                <c:pt idx="76">
                  <c:v>-2.5786542431279713</c:v>
                </c:pt>
                <c:pt idx="77">
                  <c:v>-2.7814581017683508</c:v>
                </c:pt>
                <c:pt idx="78">
                  <c:v>-3.0083675852984015</c:v>
                </c:pt>
                <c:pt idx="79">
                  <c:v>-3.6001813677187897</c:v>
                </c:pt>
                <c:pt idx="80">
                  <c:v>-4.3403183041710349</c:v>
                </c:pt>
                <c:pt idx="81">
                  <c:v>-5.0845245272698207</c:v>
                </c:pt>
                <c:pt idx="82">
                  <c:v>-5.7827541946290921</c:v>
                </c:pt>
                <c:pt idx="83">
                  <c:v>-6.0995694132765834</c:v>
                </c:pt>
                <c:pt idx="84">
                  <c:v>-6.1227201468234398</c:v>
                </c:pt>
                <c:pt idx="85">
                  <c:v>-6.5433343096100316</c:v>
                </c:pt>
                <c:pt idx="86">
                  <c:v>-6.7919256415982545</c:v>
                </c:pt>
                <c:pt idx="87">
                  <c:v>-6.4370393559298122</c:v>
                </c:pt>
                <c:pt idx="88">
                  <c:v>-6.0361792819055609</c:v>
                </c:pt>
                <c:pt idx="89">
                  <c:v>-5.2289392890727981</c:v>
                </c:pt>
                <c:pt idx="90">
                  <c:v>-4.7650453996559463</c:v>
                </c:pt>
                <c:pt idx="91">
                  <c:v>-4.3911679033930682</c:v>
                </c:pt>
                <c:pt idx="92">
                  <c:v>-4.09207678349037</c:v>
                </c:pt>
                <c:pt idx="93">
                  <c:v>-3.959488848711942</c:v>
                </c:pt>
                <c:pt idx="94">
                  <c:v>-3.7027947248974442</c:v>
                </c:pt>
                <c:pt idx="95">
                  <c:v>-3.0311079358701249</c:v>
                </c:pt>
                <c:pt idx="96">
                  <c:v>-2.3490615007533506</c:v>
                </c:pt>
                <c:pt idx="97">
                  <c:v>-1.6307737068498795</c:v>
                </c:pt>
                <c:pt idx="98">
                  <c:v>-1.2297131992975778</c:v>
                </c:pt>
                <c:pt idx="99">
                  <c:v>-0.95891407572474918</c:v>
                </c:pt>
                <c:pt idx="100">
                  <c:v>-0.61855676721921782</c:v>
                </c:pt>
                <c:pt idx="101">
                  <c:v>-0.60809384155572843</c:v>
                </c:pt>
                <c:pt idx="102">
                  <c:v>-0.6990634144226533</c:v>
                </c:pt>
                <c:pt idx="103">
                  <c:v>-0.48875110354146045</c:v>
                </c:pt>
                <c:pt idx="104">
                  <c:v>-0.40216737161415494</c:v>
                </c:pt>
                <c:pt idx="105">
                  <c:v>-0.62011838082651138</c:v>
                </c:pt>
                <c:pt idx="106">
                  <c:v>-0.46552024410317472</c:v>
                </c:pt>
                <c:pt idx="107">
                  <c:v>-0.27926221397393647</c:v>
                </c:pt>
                <c:pt idx="108">
                  <c:v>0.14506259269671773</c:v>
                </c:pt>
                <c:pt idx="109">
                  <c:v>0.55084342307748102</c:v>
                </c:pt>
                <c:pt idx="110">
                  <c:v>0.58009229675957386</c:v>
                </c:pt>
                <c:pt idx="111">
                  <c:v>0.8213546075160707</c:v>
                </c:pt>
                <c:pt idx="112">
                  <c:v>1.1079122058863504</c:v>
                </c:pt>
                <c:pt idx="113">
                  <c:v>0.8842418091008426</c:v>
                </c:pt>
                <c:pt idx="114">
                  <c:v>1.4080984291794039</c:v>
                </c:pt>
                <c:pt idx="115">
                  <c:v>1.8224237192218879</c:v>
                </c:pt>
                <c:pt idx="116">
                  <c:v>1.9300298727397944</c:v>
                </c:pt>
                <c:pt idx="117">
                  <c:v>1.9053904787980969</c:v>
                </c:pt>
                <c:pt idx="118">
                  <c:v>1.6473922017349878</c:v>
                </c:pt>
                <c:pt idx="119">
                  <c:v>1.700101332791121</c:v>
                </c:pt>
                <c:pt idx="120">
                  <c:v>2.0315389558944048</c:v>
                </c:pt>
                <c:pt idx="121">
                  <c:v>2.266465424640387</c:v>
                </c:pt>
                <c:pt idx="122">
                  <c:v>2.4063483796448395</c:v>
                </c:pt>
                <c:pt idx="123">
                  <c:v>2.6664122517464079</c:v>
                </c:pt>
                <c:pt idx="124">
                  <c:v>3.0112895047975599</c:v>
                </c:pt>
                <c:pt idx="125">
                  <c:v>3.2583438824894984</c:v>
                </c:pt>
                <c:pt idx="126">
                  <c:v>3.4825791484021238</c:v>
                </c:pt>
                <c:pt idx="127">
                  <c:v>3.5683181271267586</c:v>
                </c:pt>
                <c:pt idx="128">
                  <c:v>3.5549419067301073</c:v>
                </c:pt>
                <c:pt idx="129">
                  <c:v>3.3834939630378358</c:v>
                </c:pt>
                <c:pt idx="130">
                  <c:v>3.273630258287028</c:v>
                </c:pt>
                <c:pt idx="131">
                  <c:v>3.2555475237011819</c:v>
                </c:pt>
                <c:pt idx="132">
                  <c:v>3.3813738994678602</c:v>
                </c:pt>
                <c:pt idx="133">
                  <c:v>3.4916780525674653</c:v>
                </c:pt>
                <c:pt idx="134">
                  <c:v>3.5861707303228059</c:v>
                </c:pt>
                <c:pt idx="135">
                  <c:v>3.411130284343983</c:v>
                </c:pt>
                <c:pt idx="136">
                  <c:v>3.1090771681571709</c:v>
                </c:pt>
                <c:pt idx="137">
                  <c:v>2.8146586051258282</c:v>
                </c:pt>
                <c:pt idx="138">
                  <c:v>2.0270126243448772</c:v>
                </c:pt>
                <c:pt idx="139">
                  <c:v>1.5854436921165416</c:v>
                </c:pt>
                <c:pt idx="140">
                  <c:v>0.97970799088790272</c:v>
                </c:pt>
                <c:pt idx="141">
                  <c:v>0.22832294871864178</c:v>
                </c:pt>
                <c:pt idx="142">
                  <c:v>-0.26564906949062106</c:v>
                </c:pt>
                <c:pt idx="143">
                  <c:v>-0.51561974963181001</c:v>
                </c:pt>
                <c:pt idx="144">
                  <c:v>-1.0111167810856614</c:v>
                </c:pt>
                <c:pt idx="145">
                  <c:v>-1.2888866287366341</c:v>
                </c:pt>
                <c:pt idx="146">
                  <c:v>-1.4431634423806372</c:v>
                </c:pt>
                <c:pt idx="147">
                  <c:v>-1.5316348668324622</c:v>
                </c:pt>
                <c:pt idx="148">
                  <c:v>-1.4925553860829837</c:v>
                </c:pt>
                <c:pt idx="149">
                  <c:v>-1.6068657030333497</c:v>
                </c:pt>
                <c:pt idx="150">
                  <c:v>-1.4435832937718374</c:v>
                </c:pt>
                <c:pt idx="151">
                  <c:v>-1.4786915680680863</c:v>
                </c:pt>
                <c:pt idx="152">
                  <c:v>-1.4175519930230962</c:v>
                </c:pt>
                <c:pt idx="153">
                  <c:v>-1.6223280867283165</c:v>
                </c:pt>
                <c:pt idx="154">
                  <c:v>-1.8153312588707422</c:v>
                </c:pt>
                <c:pt idx="155">
                  <c:v>-1.8581077469154934</c:v>
                </c:pt>
                <c:pt idx="156">
                  <c:v>-2.2645211464159161</c:v>
                </c:pt>
                <c:pt idx="157">
                  <c:v>-2.5347935118772966</c:v>
                </c:pt>
                <c:pt idx="158">
                  <c:v>-2.8708212225735679</c:v>
                </c:pt>
                <c:pt idx="159">
                  <c:v>-3.1484404121780472</c:v>
                </c:pt>
                <c:pt idx="160">
                  <c:v>-3.0747980061738076</c:v>
                </c:pt>
                <c:pt idx="161">
                  <c:v>-2.7347670840204046</c:v>
                </c:pt>
                <c:pt idx="162">
                  <c:v>-2.0822098990395261</c:v>
                </c:pt>
                <c:pt idx="163">
                  <c:v>-1.4921755244928363</c:v>
                </c:pt>
                <c:pt idx="164">
                  <c:v>-1.006511264953474</c:v>
                </c:pt>
                <c:pt idx="165">
                  <c:v>-0.39436392468809345</c:v>
                </c:pt>
                <c:pt idx="166">
                  <c:v>6.4205802581795979E-2</c:v>
                </c:pt>
                <c:pt idx="167">
                  <c:v>0.39961848574091619</c:v>
                </c:pt>
                <c:pt idx="168">
                  <c:v>0.86765271344978601</c:v>
                </c:pt>
                <c:pt idx="169">
                  <c:v>0.97397408600295421</c:v>
                </c:pt>
                <c:pt idx="170">
                  <c:v>0.95204383274966631</c:v>
                </c:pt>
                <c:pt idx="171">
                  <c:v>1.2598529638731293</c:v>
                </c:pt>
                <c:pt idx="172">
                  <c:v>1.1994771781280065</c:v>
                </c:pt>
                <c:pt idx="173">
                  <c:v>0.81542803342034631</c:v>
                </c:pt>
                <c:pt idx="174">
                  <c:v>0.51162396809752408</c:v>
                </c:pt>
                <c:pt idx="175">
                  <c:v>-5.1317951663634176E-2</c:v>
                </c:pt>
                <c:pt idx="176">
                  <c:v>-0.65611497766838056</c:v>
                </c:pt>
                <c:pt idx="177">
                  <c:v>-0.89592900114587337</c:v>
                </c:pt>
                <c:pt idx="178">
                  <c:v>-0.55827982864371961</c:v>
                </c:pt>
                <c:pt idx="179">
                  <c:v>-0.86652301453358405</c:v>
                </c:pt>
                <c:pt idx="180">
                  <c:v>-0.99843408023605207</c:v>
                </c:pt>
                <c:pt idx="181">
                  <c:v>-1.135077404302308</c:v>
                </c:pt>
                <c:pt idx="182">
                  <c:v>-0.61256060800883461</c:v>
                </c:pt>
                <c:pt idx="183">
                  <c:v>-0.18742567520905595</c:v>
                </c:pt>
                <c:pt idx="184">
                  <c:v>0.19884728553392961</c:v>
                </c:pt>
                <c:pt idx="185">
                  <c:v>0.45534208628083661</c:v>
                </c:pt>
                <c:pt idx="186">
                  <c:v>0.48119593773463976</c:v>
                </c:pt>
                <c:pt idx="187">
                  <c:v>0.47123874513886221</c:v>
                </c:pt>
                <c:pt idx="188">
                  <c:v>0.31048893618043394</c:v>
                </c:pt>
                <c:pt idx="189">
                  <c:v>0.29428337148448236</c:v>
                </c:pt>
                <c:pt idx="190">
                  <c:v>0.69225014134963203</c:v>
                </c:pt>
                <c:pt idx="191">
                  <c:v>0.64117282268153986</c:v>
                </c:pt>
                <c:pt idx="192">
                  <c:v>1.0365832103612433</c:v>
                </c:pt>
                <c:pt idx="193">
                  <c:v>1.4901203151204072</c:v>
                </c:pt>
                <c:pt idx="194">
                  <c:v>1.78220641924662</c:v>
                </c:pt>
                <c:pt idx="195">
                  <c:v>1.3326191057358301</c:v>
                </c:pt>
                <c:pt idx="196">
                  <c:v>0.73784136317624416</c:v>
                </c:pt>
                <c:pt idx="197">
                  <c:v>0.82104579435400638</c:v>
                </c:pt>
                <c:pt idx="198">
                  <c:v>0.943088630241391</c:v>
                </c:pt>
                <c:pt idx="199">
                  <c:v>1.2425456825150718</c:v>
                </c:pt>
                <c:pt idx="200">
                  <c:v>1.3481311715328275</c:v>
                </c:pt>
                <c:pt idx="201">
                  <c:v>1.4952636068425704</c:v>
                </c:pt>
                <c:pt idx="202">
                  <c:v>1.5727575250272707</c:v>
                </c:pt>
                <c:pt idx="203">
                  <c:v>1.5501358652001045</c:v>
                </c:pt>
                <c:pt idx="204">
                  <c:v>2.0739492557606241</c:v>
                </c:pt>
                <c:pt idx="205">
                  <c:v>2.6210514933135869</c:v>
                </c:pt>
                <c:pt idx="206">
                  <c:v>2.6823874173985018</c:v>
                </c:pt>
                <c:pt idx="207">
                  <c:v>3.034119125243933</c:v>
                </c:pt>
                <c:pt idx="208">
                  <c:v>3.3516967410744769</c:v>
                </c:pt>
                <c:pt idx="209">
                  <c:v>3.2583835142628459</c:v>
                </c:pt>
                <c:pt idx="210">
                  <c:v>3.1784556754302002</c:v>
                </c:pt>
                <c:pt idx="211">
                  <c:v>2.6504386430065665</c:v>
                </c:pt>
                <c:pt idx="212">
                  <c:v>2.4051781344923029</c:v>
                </c:pt>
                <c:pt idx="213">
                  <c:v>1.9742170166022106</c:v>
                </c:pt>
                <c:pt idx="214">
                  <c:v>1.442561245986326</c:v>
                </c:pt>
                <c:pt idx="215">
                  <c:v>0.96969634027891516</c:v>
                </c:pt>
                <c:pt idx="216">
                  <c:v>0.39671447580406038</c:v>
                </c:pt>
                <c:pt idx="217">
                  <c:v>-0.24578373112984764</c:v>
                </c:pt>
                <c:pt idx="218">
                  <c:v>-1.0175896342133228</c:v>
                </c:pt>
                <c:pt idx="219">
                  <c:v>-1.3785476536182273</c:v>
                </c:pt>
                <c:pt idx="220">
                  <c:v>-1.5347563850194774</c:v>
                </c:pt>
                <c:pt idx="221">
                  <c:v>-1.2631278254618792</c:v>
                </c:pt>
                <c:pt idx="222">
                  <c:v>-1.1603632522989642</c:v>
                </c:pt>
                <c:pt idx="223">
                  <c:v>-1.1120962704499675</c:v>
                </c:pt>
                <c:pt idx="224">
                  <c:v>-0.84701990267137717</c:v>
                </c:pt>
                <c:pt idx="225">
                  <c:v>-0.73418776378309758</c:v>
                </c:pt>
                <c:pt idx="226">
                  <c:v>-0.59833138415513076</c:v>
                </c:pt>
                <c:pt idx="227">
                  <c:v>-0.5800013843423244</c:v>
                </c:pt>
                <c:pt idx="228">
                  <c:v>-0.9251844171459993</c:v>
                </c:pt>
                <c:pt idx="229">
                  <c:v>-0.95773312470277006</c:v>
                </c:pt>
                <c:pt idx="230">
                  <c:v>-0.94519740413102227</c:v>
                </c:pt>
                <c:pt idx="231">
                  <c:v>-0.66773839337952268</c:v>
                </c:pt>
                <c:pt idx="232">
                  <c:v>-0.14758972805140047</c:v>
                </c:pt>
                <c:pt idx="233">
                  <c:v>0.35574714339429647</c:v>
                </c:pt>
                <c:pt idx="234">
                  <c:v>0.63994842850536315</c:v>
                </c:pt>
                <c:pt idx="235">
                  <c:v>1.0715027296208177</c:v>
                </c:pt>
                <c:pt idx="236">
                  <c:v>1.3567204557982109</c:v>
                </c:pt>
                <c:pt idx="237">
                  <c:v>1.8463158770961741</c:v>
                </c:pt>
                <c:pt idx="238">
                  <c:v>2.2846448723912545</c:v>
                </c:pt>
                <c:pt idx="239">
                  <c:v>2.9378696422390362</c:v>
                </c:pt>
                <c:pt idx="240">
                  <c:v>3.3994232979061962</c:v>
                </c:pt>
                <c:pt idx="241">
                  <c:v>4.0158607968146498</c:v>
                </c:pt>
                <c:pt idx="242">
                  <c:v>4.3286154093860887</c:v>
                </c:pt>
                <c:pt idx="243">
                  <c:v>4.5538377934874461</c:v>
                </c:pt>
                <c:pt idx="244">
                  <c:v>4.4582275497664341</c:v>
                </c:pt>
                <c:pt idx="245">
                  <c:v>5.04009157477401</c:v>
                </c:pt>
                <c:pt idx="246">
                  <c:v>5.0795566476457452</c:v>
                </c:pt>
                <c:pt idx="247">
                  <c:v>5.0557807742815157</c:v>
                </c:pt>
                <c:pt idx="248">
                  <c:v>5.0010756794886788</c:v>
                </c:pt>
                <c:pt idx="249">
                  <c:v>4.8390010248277235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4-4CD9-8B38-A7173070FC9A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45708</c:v>
                </c:pt>
                <c:pt idx="1">
                  <c:v>45709</c:v>
                </c:pt>
                <c:pt idx="2">
                  <c:v>45712</c:v>
                </c:pt>
                <c:pt idx="3">
                  <c:v>45713</c:v>
                </c:pt>
                <c:pt idx="4">
                  <c:v>45714</c:v>
                </c:pt>
                <c:pt idx="5">
                  <c:v>45715</c:v>
                </c:pt>
                <c:pt idx="6">
                  <c:v>45716</c:v>
                </c:pt>
                <c:pt idx="7">
                  <c:v>45719</c:v>
                </c:pt>
                <c:pt idx="8">
                  <c:v>45720</c:v>
                </c:pt>
                <c:pt idx="9">
                  <c:v>45721</c:v>
                </c:pt>
                <c:pt idx="10">
                  <c:v>45722</c:v>
                </c:pt>
                <c:pt idx="11">
                  <c:v>45723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45733</c:v>
                </c:pt>
                <c:pt idx="18">
                  <c:v>45734</c:v>
                </c:pt>
                <c:pt idx="19">
                  <c:v>45735</c:v>
                </c:pt>
                <c:pt idx="20">
                  <c:v>45736</c:v>
                </c:pt>
                <c:pt idx="21">
                  <c:v>45737</c:v>
                </c:pt>
                <c:pt idx="22">
                  <c:v>45740</c:v>
                </c:pt>
                <c:pt idx="23">
                  <c:v>45741</c:v>
                </c:pt>
                <c:pt idx="24">
                  <c:v>45742</c:v>
                </c:pt>
                <c:pt idx="25">
                  <c:v>45743</c:v>
                </c:pt>
                <c:pt idx="26">
                  <c:v>45744</c:v>
                </c:pt>
                <c:pt idx="27">
                  <c:v>45747</c:v>
                </c:pt>
                <c:pt idx="28">
                  <c:v>45748</c:v>
                </c:pt>
                <c:pt idx="29">
                  <c:v>45749</c:v>
                </c:pt>
                <c:pt idx="30">
                  <c:v>45750</c:v>
                </c:pt>
                <c:pt idx="31">
                  <c:v>45751</c:v>
                </c:pt>
                <c:pt idx="32">
                  <c:v>45754</c:v>
                </c:pt>
                <c:pt idx="33">
                  <c:v>45755</c:v>
                </c:pt>
                <c:pt idx="34">
                  <c:v>45756</c:v>
                </c:pt>
                <c:pt idx="35">
                  <c:v>45757</c:v>
                </c:pt>
                <c:pt idx="36">
                  <c:v>45758</c:v>
                </c:pt>
                <c:pt idx="37">
                  <c:v>45761</c:v>
                </c:pt>
                <c:pt idx="38">
                  <c:v>45762</c:v>
                </c:pt>
                <c:pt idx="39">
                  <c:v>45763</c:v>
                </c:pt>
                <c:pt idx="40">
                  <c:v>45764</c:v>
                </c:pt>
                <c:pt idx="41">
                  <c:v>45768</c:v>
                </c:pt>
                <c:pt idx="42">
                  <c:v>45769</c:v>
                </c:pt>
                <c:pt idx="43">
                  <c:v>45770</c:v>
                </c:pt>
                <c:pt idx="44">
                  <c:v>45771</c:v>
                </c:pt>
                <c:pt idx="45">
                  <c:v>45772</c:v>
                </c:pt>
                <c:pt idx="46">
                  <c:v>45775</c:v>
                </c:pt>
                <c:pt idx="47">
                  <c:v>45776</c:v>
                </c:pt>
                <c:pt idx="48">
                  <c:v>45777</c:v>
                </c:pt>
                <c:pt idx="49">
                  <c:v>45778</c:v>
                </c:pt>
                <c:pt idx="50">
                  <c:v>45779</c:v>
                </c:pt>
                <c:pt idx="51">
                  <c:v>45782</c:v>
                </c:pt>
                <c:pt idx="52">
                  <c:v>45783</c:v>
                </c:pt>
                <c:pt idx="53">
                  <c:v>45784</c:v>
                </c:pt>
                <c:pt idx="54">
                  <c:v>45785</c:v>
                </c:pt>
                <c:pt idx="55">
                  <c:v>45786</c:v>
                </c:pt>
                <c:pt idx="56">
                  <c:v>45789</c:v>
                </c:pt>
                <c:pt idx="57">
                  <c:v>45790</c:v>
                </c:pt>
                <c:pt idx="58">
                  <c:v>45791</c:v>
                </c:pt>
                <c:pt idx="59">
                  <c:v>45792</c:v>
                </c:pt>
                <c:pt idx="60">
                  <c:v>45793</c:v>
                </c:pt>
                <c:pt idx="61">
                  <c:v>45796</c:v>
                </c:pt>
                <c:pt idx="62">
                  <c:v>45797</c:v>
                </c:pt>
                <c:pt idx="63">
                  <c:v>45798</c:v>
                </c:pt>
                <c:pt idx="64">
                  <c:v>45799</c:v>
                </c:pt>
                <c:pt idx="65">
                  <c:v>45800</c:v>
                </c:pt>
                <c:pt idx="66">
                  <c:v>45804</c:v>
                </c:pt>
                <c:pt idx="67">
                  <c:v>45805</c:v>
                </c:pt>
                <c:pt idx="68">
                  <c:v>45806</c:v>
                </c:pt>
                <c:pt idx="69">
                  <c:v>45807</c:v>
                </c:pt>
                <c:pt idx="70">
                  <c:v>45810</c:v>
                </c:pt>
                <c:pt idx="71">
                  <c:v>45811</c:v>
                </c:pt>
                <c:pt idx="72">
                  <c:v>45812</c:v>
                </c:pt>
                <c:pt idx="73">
                  <c:v>45813</c:v>
                </c:pt>
                <c:pt idx="74">
                  <c:v>45814</c:v>
                </c:pt>
                <c:pt idx="75">
                  <c:v>45817</c:v>
                </c:pt>
                <c:pt idx="76">
                  <c:v>45818</c:v>
                </c:pt>
                <c:pt idx="77">
                  <c:v>45819</c:v>
                </c:pt>
                <c:pt idx="78">
                  <c:v>45820</c:v>
                </c:pt>
                <c:pt idx="79">
                  <c:v>45821</c:v>
                </c:pt>
                <c:pt idx="80">
                  <c:v>45824</c:v>
                </c:pt>
                <c:pt idx="81">
                  <c:v>45825</c:v>
                </c:pt>
                <c:pt idx="82">
                  <c:v>45826</c:v>
                </c:pt>
                <c:pt idx="83">
                  <c:v>45828</c:v>
                </c:pt>
                <c:pt idx="84">
                  <c:v>45831</c:v>
                </c:pt>
                <c:pt idx="85">
                  <c:v>45832</c:v>
                </c:pt>
                <c:pt idx="86">
                  <c:v>45833</c:v>
                </c:pt>
                <c:pt idx="87">
                  <c:v>45834</c:v>
                </c:pt>
                <c:pt idx="88">
                  <c:v>45835</c:v>
                </c:pt>
                <c:pt idx="89">
                  <c:v>45838</c:v>
                </c:pt>
                <c:pt idx="90">
                  <c:v>45839</c:v>
                </c:pt>
                <c:pt idx="91">
                  <c:v>45840</c:v>
                </c:pt>
                <c:pt idx="92">
                  <c:v>45841</c:v>
                </c:pt>
                <c:pt idx="93">
                  <c:v>45845</c:v>
                </c:pt>
                <c:pt idx="94">
                  <c:v>45846</c:v>
                </c:pt>
                <c:pt idx="95">
                  <c:v>45847</c:v>
                </c:pt>
                <c:pt idx="96">
                  <c:v>45848</c:v>
                </c:pt>
                <c:pt idx="97">
                  <c:v>45849</c:v>
                </c:pt>
                <c:pt idx="98">
                  <c:v>45852</c:v>
                </c:pt>
                <c:pt idx="99">
                  <c:v>45853</c:v>
                </c:pt>
                <c:pt idx="100">
                  <c:v>45854</c:v>
                </c:pt>
                <c:pt idx="101">
                  <c:v>45855</c:v>
                </c:pt>
                <c:pt idx="102">
                  <c:v>45856</c:v>
                </c:pt>
                <c:pt idx="103">
                  <c:v>45859</c:v>
                </c:pt>
                <c:pt idx="104">
                  <c:v>45860</c:v>
                </c:pt>
                <c:pt idx="105">
                  <c:v>45861</c:v>
                </c:pt>
                <c:pt idx="106">
                  <c:v>45862</c:v>
                </c:pt>
                <c:pt idx="107">
                  <c:v>45863</c:v>
                </c:pt>
                <c:pt idx="108">
                  <c:v>45866</c:v>
                </c:pt>
                <c:pt idx="109">
                  <c:v>45867</c:v>
                </c:pt>
                <c:pt idx="110">
                  <c:v>45868</c:v>
                </c:pt>
                <c:pt idx="111">
                  <c:v>45869</c:v>
                </c:pt>
                <c:pt idx="112">
                  <c:v>45870</c:v>
                </c:pt>
                <c:pt idx="113">
                  <c:v>45873</c:v>
                </c:pt>
                <c:pt idx="114">
                  <c:v>45874</c:v>
                </c:pt>
                <c:pt idx="115">
                  <c:v>45875</c:v>
                </c:pt>
                <c:pt idx="116">
                  <c:v>45876</c:v>
                </c:pt>
                <c:pt idx="117">
                  <c:v>45877</c:v>
                </c:pt>
                <c:pt idx="118">
                  <c:v>45880</c:v>
                </c:pt>
                <c:pt idx="119">
                  <c:v>45881</c:v>
                </c:pt>
                <c:pt idx="120">
                  <c:v>45882</c:v>
                </c:pt>
                <c:pt idx="121">
                  <c:v>45883</c:v>
                </c:pt>
                <c:pt idx="122">
                  <c:v>45884</c:v>
                </c:pt>
                <c:pt idx="123">
                  <c:v>45887</c:v>
                </c:pt>
                <c:pt idx="124">
                  <c:v>45888</c:v>
                </c:pt>
                <c:pt idx="125">
                  <c:v>45889</c:v>
                </c:pt>
                <c:pt idx="126">
                  <c:v>45890</c:v>
                </c:pt>
                <c:pt idx="127">
                  <c:v>45891</c:v>
                </c:pt>
                <c:pt idx="128">
                  <c:v>45894</c:v>
                </c:pt>
                <c:pt idx="129">
                  <c:v>45895</c:v>
                </c:pt>
                <c:pt idx="130">
                  <c:v>45896</c:v>
                </c:pt>
                <c:pt idx="131">
                  <c:v>45897</c:v>
                </c:pt>
                <c:pt idx="132">
                  <c:v>45898</c:v>
                </c:pt>
                <c:pt idx="133">
                  <c:v>45902</c:v>
                </c:pt>
                <c:pt idx="134">
                  <c:v>45903</c:v>
                </c:pt>
                <c:pt idx="135">
                  <c:v>45904</c:v>
                </c:pt>
                <c:pt idx="136">
                  <c:v>45905</c:v>
                </c:pt>
                <c:pt idx="137">
                  <c:v>45908</c:v>
                </c:pt>
                <c:pt idx="138">
                  <c:v>45909</c:v>
                </c:pt>
                <c:pt idx="139">
                  <c:v>45910</c:v>
                </c:pt>
                <c:pt idx="140">
                  <c:v>45911</c:v>
                </c:pt>
                <c:pt idx="141">
                  <c:v>45912</c:v>
                </c:pt>
                <c:pt idx="142">
                  <c:v>45915</c:v>
                </c:pt>
                <c:pt idx="143">
                  <c:v>45916</c:v>
                </c:pt>
                <c:pt idx="144">
                  <c:v>45917</c:v>
                </c:pt>
                <c:pt idx="145">
                  <c:v>45918</c:v>
                </c:pt>
                <c:pt idx="146">
                  <c:v>45919</c:v>
                </c:pt>
                <c:pt idx="147">
                  <c:v>45922</c:v>
                </c:pt>
                <c:pt idx="148">
                  <c:v>45923</c:v>
                </c:pt>
                <c:pt idx="149">
                  <c:v>45924</c:v>
                </c:pt>
                <c:pt idx="150">
                  <c:v>45925</c:v>
                </c:pt>
                <c:pt idx="151">
                  <c:v>45926</c:v>
                </c:pt>
                <c:pt idx="152">
                  <c:v>45929</c:v>
                </c:pt>
                <c:pt idx="153">
                  <c:v>45930</c:v>
                </c:pt>
                <c:pt idx="154">
                  <c:v>45931</c:v>
                </c:pt>
                <c:pt idx="155">
                  <c:v>45932</c:v>
                </c:pt>
                <c:pt idx="156">
                  <c:v>45933</c:v>
                </c:pt>
                <c:pt idx="157">
                  <c:v>45936</c:v>
                </c:pt>
                <c:pt idx="158">
                  <c:v>45937</c:v>
                </c:pt>
                <c:pt idx="159">
                  <c:v>45938</c:v>
                </c:pt>
                <c:pt idx="160">
                  <c:v>45939</c:v>
                </c:pt>
                <c:pt idx="161">
                  <c:v>45940</c:v>
                </c:pt>
                <c:pt idx="162">
                  <c:v>45943</c:v>
                </c:pt>
                <c:pt idx="163">
                  <c:v>45944</c:v>
                </c:pt>
                <c:pt idx="164">
                  <c:v>45945</c:v>
                </c:pt>
                <c:pt idx="165">
                  <c:v>45946</c:v>
                </c:pt>
                <c:pt idx="166">
                  <c:v>45947</c:v>
                </c:pt>
                <c:pt idx="167">
                  <c:v>45950</c:v>
                </c:pt>
                <c:pt idx="168">
                  <c:v>45951</c:v>
                </c:pt>
                <c:pt idx="169">
                  <c:v>45952</c:v>
                </c:pt>
                <c:pt idx="170">
                  <c:v>45953</c:v>
                </c:pt>
                <c:pt idx="171">
                  <c:v>45954</c:v>
                </c:pt>
                <c:pt idx="172">
                  <c:v>45957</c:v>
                </c:pt>
                <c:pt idx="173">
                  <c:v>45958</c:v>
                </c:pt>
                <c:pt idx="174">
                  <c:v>45959</c:v>
                </c:pt>
                <c:pt idx="175">
                  <c:v>45960</c:v>
                </c:pt>
                <c:pt idx="176">
                  <c:v>45961</c:v>
                </c:pt>
                <c:pt idx="177">
                  <c:v>45964</c:v>
                </c:pt>
                <c:pt idx="178">
                  <c:v>45965</c:v>
                </c:pt>
                <c:pt idx="179">
                  <c:v>45966</c:v>
                </c:pt>
                <c:pt idx="180">
                  <c:v>45967</c:v>
                </c:pt>
                <c:pt idx="181">
                  <c:v>45968</c:v>
                </c:pt>
                <c:pt idx="182">
                  <c:v>45971</c:v>
                </c:pt>
                <c:pt idx="183">
                  <c:v>45972</c:v>
                </c:pt>
                <c:pt idx="184">
                  <c:v>45973</c:v>
                </c:pt>
                <c:pt idx="185">
                  <c:v>45974</c:v>
                </c:pt>
                <c:pt idx="186">
                  <c:v>45975</c:v>
                </c:pt>
                <c:pt idx="187">
                  <c:v>45978</c:v>
                </c:pt>
                <c:pt idx="188">
                  <c:v>45979</c:v>
                </c:pt>
                <c:pt idx="189">
                  <c:v>45980</c:v>
                </c:pt>
                <c:pt idx="190">
                  <c:v>45981</c:v>
                </c:pt>
                <c:pt idx="191">
                  <c:v>45982</c:v>
                </c:pt>
                <c:pt idx="192">
                  <c:v>45985</c:v>
                </c:pt>
                <c:pt idx="193">
                  <c:v>45986</c:v>
                </c:pt>
                <c:pt idx="194">
                  <c:v>45987</c:v>
                </c:pt>
                <c:pt idx="195">
                  <c:v>45989</c:v>
                </c:pt>
                <c:pt idx="196">
                  <c:v>45992</c:v>
                </c:pt>
                <c:pt idx="197">
                  <c:v>45993</c:v>
                </c:pt>
                <c:pt idx="198">
                  <c:v>45994</c:v>
                </c:pt>
                <c:pt idx="199">
                  <c:v>45995</c:v>
                </c:pt>
                <c:pt idx="200">
                  <c:v>45996</c:v>
                </c:pt>
                <c:pt idx="201">
                  <c:v>45999</c:v>
                </c:pt>
                <c:pt idx="202">
                  <c:v>46000</c:v>
                </c:pt>
                <c:pt idx="203">
                  <c:v>46001</c:v>
                </c:pt>
                <c:pt idx="204">
                  <c:v>46002</c:v>
                </c:pt>
                <c:pt idx="205">
                  <c:v>46003</c:v>
                </c:pt>
                <c:pt idx="206">
                  <c:v>46006</c:v>
                </c:pt>
                <c:pt idx="207">
                  <c:v>46007</c:v>
                </c:pt>
                <c:pt idx="208">
                  <c:v>46008</c:v>
                </c:pt>
                <c:pt idx="209">
                  <c:v>46009</c:v>
                </c:pt>
                <c:pt idx="210">
                  <c:v>46010</c:v>
                </c:pt>
                <c:pt idx="211">
                  <c:v>46013</c:v>
                </c:pt>
                <c:pt idx="212">
                  <c:v>46014</c:v>
                </c:pt>
                <c:pt idx="213">
                  <c:v>46015</c:v>
                </c:pt>
                <c:pt idx="214">
                  <c:v>46017</c:v>
                </c:pt>
                <c:pt idx="215">
                  <c:v>46020</c:v>
                </c:pt>
                <c:pt idx="216">
                  <c:v>46021</c:v>
                </c:pt>
                <c:pt idx="217">
                  <c:v>46022</c:v>
                </c:pt>
                <c:pt idx="218">
                  <c:v>46024</c:v>
                </c:pt>
                <c:pt idx="219">
                  <c:v>46027</c:v>
                </c:pt>
                <c:pt idx="220">
                  <c:v>46028</c:v>
                </c:pt>
                <c:pt idx="221">
                  <c:v>46029</c:v>
                </c:pt>
                <c:pt idx="222">
                  <c:v>46030</c:v>
                </c:pt>
                <c:pt idx="223">
                  <c:v>46031</c:v>
                </c:pt>
                <c:pt idx="224">
                  <c:v>46034</c:v>
                </c:pt>
                <c:pt idx="225">
                  <c:v>46035</c:v>
                </c:pt>
                <c:pt idx="226">
                  <c:v>46036</c:v>
                </c:pt>
                <c:pt idx="227">
                  <c:v>46037</c:v>
                </c:pt>
                <c:pt idx="228">
                  <c:v>46038</c:v>
                </c:pt>
                <c:pt idx="229">
                  <c:v>46042</c:v>
                </c:pt>
                <c:pt idx="230">
                  <c:v>46043</c:v>
                </c:pt>
                <c:pt idx="231">
                  <c:v>46044</c:v>
                </c:pt>
                <c:pt idx="232">
                  <c:v>46045</c:v>
                </c:pt>
                <c:pt idx="233">
                  <c:v>46048</c:v>
                </c:pt>
                <c:pt idx="234">
                  <c:v>46049</c:v>
                </c:pt>
                <c:pt idx="235">
                  <c:v>46050</c:v>
                </c:pt>
                <c:pt idx="236">
                  <c:v>46051</c:v>
                </c:pt>
                <c:pt idx="237">
                  <c:v>46052</c:v>
                </c:pt>
                <c:pt idx="238">
                  <c:v>46055</c:v>
                </c:pt>
                <c:pt idx="239">
                  <c:v>46056</c:v>
                </c:pt>
                <c:pt idx="240">
                  <c:v>46057</c:v>
                </c:pt>
                <c:pt idx="241">
                  <c:v>46058</c:v>
                </c:pt>
                <c:pt idx="242">
                  <c:v>46059</c:v>
                </c:pt>
                <c:pt idx="243">
                  <c:v>46062</c:v>
                </c:pt>
                <c:pt idx="244">
                  <c:v>46063</c:v>
                </c:pt>
                <c:pt idx="245">
                  <c:v>46064</c:v>
                </c:pt>
                <c:pt idx="246">
                  <c:v>46065</c:v>
                </c:pt>
                <c:pt idx="247">
                  <c:v>46066</c:v>
                </c:pt>
                <c:pt idx="248">
                  <c:v>46070</c:v>
                </c:pt>
                <c:pt idx="249">
                  <c:v>46071</c:v>
                </c:pt>
                <c:pt idx="250">
                  <c:v>46072</c:v>
                </c:pt>
              </c:numCache>
            </c:numRef>
          </c:cat>
          <c:val>
            <c:numRef>
              <c:f>Data!$Z$2:$Z$252</c:f>
              <c:numCache>
                <c:formatCode>General</c:formatCode>
                <c:ptCount val="251"/>
                <c:pt idx="34">
                  <c:v>0.52536103138504586</c:v>
                </c:pt>
                <c:pt idx="35">
                  <c:v>0.36905346126766292</c:v>
                </c:pt>
                <c:pt idx="36">
                  <c:v>0.39529421969367151</c:v>
                </c:pt>
                <c:pt idx="37">
                  <c:v>0.47639984122154466</c:v>
                </c:pt>
                <c:pt idx="38">
                  <c:v>0.53263026780161482</c:v>
                </c:pt>
                <c:pt idx="39">
                  <c:v>0.60420745520266905</c:v>
                </c:pt>
                <c:pt idx="40">
                  <c:v>0.63911199635950888</c:v>
                </c:pt>
                <c:pt idx="41">
                  <c:v>0.81303216336221351</c:v>
                </c:pt>
                <c:pt idx="42">
                  <c:v>1.053541734588695</c:v>
                </c:pt>
                <c:pt idx="43">
                  <c:v>1.2847221304048988</c:v>
                </c:pt>
                <c:pt idx="44">
                  <c:v>1.5033044761424641</c:v>
                </c:pt>
                <c:pt idx="45">
                  <c:v>1.7002226345302263</c:v>
                </c:pt>
                <c:pt idx="46">
                  <c:v>1.8325094725791859</c:v>
                </c:pt>
                <c:pt idx="47">
                  <c:v>1.9953405389110541</c:v>
                </c:pt>
                <c:pt idx="48">
                  <c:v>2.0683464376377994</c:v>
                </c:pt>
                <c:pt idx="49">
                  <c:v>2.049706972946296</c:v>
                </c:pt>
                <c:pt idx="50">
                  <c:v>2.0299199886535115</c:v>
                </c:pt>
                <c:pt idx="51">
                  <c:v>2.0228956545253434</c:v>
                </c:pt>
                <c:pt idx="52">
                  <c:v>2.0410072584614465</c:v>
                </c:pt>
                <c:pt idx="53">
                  <c:v>1.9952437827819938</c:v>
                </c:pt>
                <c:pt idx="54">
                  <c:v>1.9103274165351731</c:v>
                </c:pt>
                <c:pt idx="55">
                  <c:v>1.7728884385530181</c:v>
                </c:pt>
                <c:pt idx="56">
                  <c:v>1.5541605484975041</c:v>
                </c:pt>
                <c:pt idx="57">
                  <c:v>1.2734204193596137</c:v>
                </c:pt>
                <c:pt idx="58">
                  <c:v>1.0769885222517277</c:v>
                </c:pt>
                <c:pt idx="59">
                  <c:v>1.0071337394902256</c:v>
                </c:pt>
                <c:pt idx="60">
                  <c:v>1.0597820512228144</c:v>
                </c:pt>
                <c:pt idx="61">
                  <c:v>1.1612227453253268</c:v>
                </c:pt>
                <c:pt idx="62">
                  <c:v>1.2316743714894824</c:v>
                </c:pt>
                <c:pt idx="63">
                  <c:v>1.2422193185509227</c:v>
                </c:pt>
                <c:pt idx="64">
                  <c:v>1.215980015232401</c:v>
                </c:pt>
                <c:pt idx="65">
                  <c:v>1.1713517776839217</c:v>
                </c:pt>
                <c:pt idx="66">
                  <c:v>1.0812036330646475</c:v>
                </c:pt>
                <c:pt idx="67">
                  <c:v>0.94915059784415323</c:v>
                </c:pt>
                <c:pt idx="68">
                  <c:v>0.82734080888437878</c:v>
                </c:pt>
                <c:pt idx="69">
                  <c:v>0.69778441493061172</c:v>
                </c:pt>
                <c:pt idx="70">
                  <c:v>0.56394698684046218</c:v>
                </c:pt>
                <c:pt idx="71">
                  <c:v>0.42007429828702164</c:v>
                </c:pt>
                <c:pt idx="72">
                  <c:v>0.23517437534276436</c:v>
                </c:pt>
                <c:pt idx="73">
                  <c:v>7.8699723868898841E-3</c:v>
                </c:pt>
                <c:pt idx="74">
                  <c:v>-0.27527739514469735</c:v>
                </c:pt>
                <c:pt idx="75">
                  <c:v>-0.64735729466477709</c:v>
                </c:pt>
                <c:pt idx="76">
                  <c:v>-1.0336166843574159</c:v>
                </c:pt>
                <c:pt idx="77">
                  <c:v>-1.3831849678396031</c:v>
                </c:pt>
                <c:pt idx="78">
                  <c:v>-1.7082214913313629</c:v>
                </c:pt>
                <c:pt idx="79">
                  <c:v>-2.0866134666088483</c:v>
                </c:pt>
                <c:pt idx="80">
                  <c:v>-2.5373544341212857</c:v>
                </c:pt>
                <c:pt idx="81">
                  <c:v>-3.0467884527509925</c:v>
                </c:pt>
                <c:pt idx="82">
                  <c:v>-3.5939816011266128</c:v>
                </c:pt>
                <c:pt idx="83">
                  <c:v>-4.0950991635566076</c:v>
                </c:pt>
                <c:pt idx="84">
                  <c:v>-4.5006233602099748</c:v>
                </c:pt>
                <c:pt idx="85">
                  <c:v>-4.9091655500899858</c:v>
                </c:pt>
                <c:pt idx="86">
                  <c:v>-5.2857175683916395</c:v>
                </c:pt>
                <c:pt idx="87">
                  <c:v>-5.5159819258992746</c:v>
                </c:pt>
                <c:pt idx="88">
                  <c:v>-5.6200213971005324</c:v>
                </c:pt>
                <c:pt idx="89">
                  <c:v>-5.5418049754949861</c:v>
                </c:pt>
                <c:pt idx="90">
                  <c:v>-5.3864530603271783</c:v>
                </c:pt>
                <c:pt idx="91">
                  <c:v>-5.1873960289403565</c:v>
                </c:pt>
                <c:pt idx="92">
                  <c:v>-4.9683321798503588</c:v>
                </c:pt>
                <c:pt idx="93">
                  <c:v>-4.7665635136226756</c:v>
                </c:pt>
                <c:pt idx="94">
                  <c:v>-4.55380975587763</c:v>
                </c:pt>
                <c:pt idx="95">
                  <c:v>-4.2492693918761297</c:v>
                </c:pt>
                <c:pt idx="96">
                  <c:v>-3.8692278136515741</c:v>
                </c:pt>
                <c:pt idx="97">
                  <c:v>-3.4215369922912355</c:v>
                </c:pt>
                <c:pt idx="98">
                  <c:v>-2.9831722336925042</c:v>
                </c:pt>
                <c:pt idx="99">
                  <c:v>-2.5783206020989531</c:v>
                </c:pt>
                <c:pt idx="100">
                  <c:v>-2.186367835123006</c:v>
                </c:pt>
                <c:pt idx="101">
                  <c:v>-1.8707130364095506</c:v>
                </c:pt>
                <c:pt idx="102">
                  <c:v>-1.6363831120121712</c:v>
                </c:pt>
                <c:pt idx="103">
                  <c:v>-1.4068567103180292</c:v>
                </c:pt>
                <c:pt idx="104">
                  <c:v>-1.2059188425772545</c:v>
                </c:pt>
                <c:pt idx="105">
                  <c:v>-1.0887587502271059</c:v>
                </c:pt>
                <c:pt idx="106">
                  <c:v>-0.9641110490023197</c:v>
                </c:pt>
                <c:pt idx="107">
                  <c:v>-0.82714128199664305</c:v>
                </c:pt>
                <c:pt idx="108">
                  <c:v>-0.63270050705797098</c:v>
                </c:pt>
                <c:pt idx="109">
                  <c:v>-0.39599172103088054</c:v>
                </c:pt>
                <c:pt idx="110">
                  <c:v>-0.20077491747278964</c:v>
                </c:pt>
                <c:pt idx="111">
                  <c:v>3.6509875249824408E-3</c:v>
                </c:pt>
                <c:pt idx="112">
                  <c:v>0.22450323119725607</c:v>
                </c:pt>
                <c:pt idx="113">
                  <c:v>0.3564509467779734</c:v>
                </c:pt>
                <c:pt idx="114">
                  <c:v>0.56678044325825949</c:v>
                </c:pt>
                <c:pt idx="115">
                  <c:v>0.81790909845098525</c:v>
                </c:pt>
                <c:pt idx="116">
                  <c:v>1.0403332533087473</c:v>
                </c:pt>
                <c:pt idx="117">
                  <c:v>1.2133446984066172</c:v>
                </c:pt>
                <c:pt idx="118">
                  <c:v>1.3001541990722913</c:v>
                </c:pt>
                <c:pt idx="119">
                  <c:v>1.3801436258160573</c:v>
                </c:pt>
                <c:pt idx="120">
                  <c:v>1.5104226918317269</c:v>
                </c:pt>
                <c:pt idx="121">
                  <c:v>1.6616312383934591</c:v>
                </c:pt>
                <c:pt idx="122">
                  <c:v>1.8105746666437352</c:v>
                </c:pt>
                <c:pt idx="123">
                  <c:v>1.9817421836642697</c:v>
                </c:pt>
                <c:pt idx="124">
                  <c:v>2.1876516478909278</c:v>
                </c:pt>
                <c:pt idx="125">
                  <c:v>2.4017900948106421</c:v>
                </c:pt>
                <c:pt idx="126">
                  <c:v>2.6179479055289385</c:v>
                </c:pt>
                <c:pt idx="127">
                  <c:v>2.8080219498485026</c:v>
                </c:pt>
                <c:pt idx="128">
                  <c:v>2.9574059412248235</c:v>
                </c:pt>
                <c:pt idx="129">
                  <c:v>3.0426235455874262</c:v>
                </c:pt>
                <c:pt idx="130">
                  <c:v>3.0888248881273466</c:v>
                </c:pt>
                <c:pt idx="131">
                  <c:v>3.122169415242114</c:v>
                </c:pt>
                <c:pt idx="132">
                  <c:v>3.1740103120872636</c:v>
                </c:pt>
                <c:pt idx="133">
                  <c:v>3.2375438601833042</c:v>
                </c:pt>
                <c:pt idx="134">
                  <c:v>3.3072692342112049</c:v>
                </c:pt>
                <c:pt idx="135">
                  <c:v>3.328041444237761</c:v>
                </c:pt>
                <c:pt idx="136">
                  <c:v>3.2842485890216433</c:v>
                </c:pt>
                <c:pt idx="137">
                  <c:v>3.1903305922424803</c:v>
                </c:pt>
                <c:pt idx="138">
                  <c:v>2.95766699866296</c:v>
                </c:pt>
                <c:pt idx="139">
                  <c:v>2.6832223373536763</c:v>
                </c:pt>
                <c:pt idx="140">
                  <c:v>2.3425194680605217</c:v>
                </c:pt>
                <c:pt idx="141">
                  <c:v>1.9196801641921459</c:v>
                </c:pt>
                <c:pt idx="142">
                  <c:v>1.4826143174555926</c:v>
                </c:pt>
                <c:pt idx="143">
                  <c:v>1.0829675040381119</c:v>
                </c:pt>
                <c:pt idx="144">
                  <c:v>0.66415064701335735</c:v>
                </c:pt>
                <c:pt idx="145">
                  <c:v>0.27354319186335907</c:v>
                </c:pt>
                <c:pt idx="146">
                  <c:v>-6.9798134985440186E-2</c:v>
                </c:pt>
                <c:pt idx="147">
                  <c:v>-0.36216548135484461</c:v>
                </c:pt>
                <c:pt idx="148">
                  <c:v>-0.58824346230047242</c:v>
                </c:pt>
                <c:pt idx="149">
                  <c:v>-0.79196791044704795</c:v>
                </c:pt>
                <c:pt idx="150">
                  <c:v>-0.92229098711200586</c:v>
                </c:pt>
                <c:pt idx="151">
                  <c:v>-1.033571103303222</c:v>
                </c:pt>
                <c:pt idx="152">
                  <c:v>-1.1103672812471967</c:v>
                </c:pt>
                <c:pt idx="153">
                  <c:v>-1.2127594423434207</c:v>
                </c:pt>
                <c:pt idx="154">
                  <c:v>-1.3332738056488851</c:v>
                </c:pt>
                <c:pt idx="155">
                  <c:v>-1.4382405939022069</c:v>
                </c:pt>
                <c:pt idx="156">
                  <c:v>-1.6034967044049488</c:v>
                </c:pt>
                <c:pt idx="157">
                  <c:v>-1.7897560658994185</c:v>
                </c:pt>
                <c:pt idx="158">
                  <c:v>-2.0059690972342485</c:v>
                </c:pt>
                <c:pt idx="159">
                  <c:v>-2.2344633602230086</c:v>
                </c:pt>
                <c:pt idx="160">
                  <c:v>-2.4025302894131686</c:v>
                </c:pt>
                <c:pt idx="161">
                  <c:v>-2.468977648334616</c:v>
                </c:pt>
                <c:pt idx="162">
                  <c:v>-2.3916240984755981</c:v>
                </c:pt>
                <c:pt idx="163">
                  <c:v>-2.2117343836790457</c:v>
                </c:pt>
                <c:pt idx="164">
                  <c:v>-1.9706897599339315</c:v>
                </c:pt>
                <c:pt idx="165">
                  <c:v>-1.655424592884764</c:v>
                </c:pt>
                <c:pt idx="166">
                  <c:v>-1.3114985137914521</c:v>
                </c:pt>
                <c:pt idx="167">
                  <c:v>-0.96927511388497856</c:v>
                </c:pt>
                <c:pt idx="168">
                  <c:v>-0.60188954841802578</c:v>
                </c:pt>
                <c:pt idx="169">
                  <c:v>-0.28671682153382982</c:v>
                </c:pt>
                <c:pt idx="170">
                  <c:v>-3.8964690677130598E-2</c:v>
                </c:pt>
                <c:pt idx="171">
                  <c:v>0.22079884023292137</c:v>
                </c:pt>
                <c:pt idx="172">
                  <c:v>0.41653450781193846</c:v>
                </c:pt>
                <c:pt idx="173">
                  <c:v>0.49631321293362007</c:v>
                </c:pt>
                <c:pt idx="174">
                  <c:v>0.49937536396640086</c:v>
                </c:pt>
                <c:pt idx="175">
                  <c:v>0.38923670084039386</c:v>
                </c:pt>
                <c:pt idx="176">
                  <c:v>0.18016636513863898</c:v>
                </c:pt>
                <c:pt idx="177">
                  <c:v>-3.5052708118263498E-2</c:v>
                </c:pt>
                <c:pt idx="178">
                  <c:v>-0.13969813222335473</c:v>
                </c:pt>
                <c:pt idx="179">
                  <c:v>-0.28506310868540063</c:v>
                </c:pt>
                <c:pt idx="180">
                  <c:v>-0.42773730299553092</c:v>
                </c:pt>
                <c:pt idx="181">
                  <c:v>-0.56920532325688633</c:v>
                </c:pt>
                <c:pt idx="182">
                  <c:v>-0.57787638020727605</c:v>
                </c:pt>
                <c:pt idx="183">
                  <c:v>-0.4997862392076321</c:v>
                </c:pt>
                <c:pt idx="184">
                  <c:v>-0.3600595342593198</c:v>
                </c:pt>
                <c:pt idx="185">
                  <c:v>-0.19697921015128855</c:v>
                </c:pt>
                <c:pt idx="186">
                  <c:v>-6.1344180574102902E-2</c:v>
                </c:pt>
                <c:pt idx="187">
                  <c:v>4.5172404568490115E-2</c:v>
                </c:pt>
                <c:pt idx="188">
                  <c:v>9.8235710890878875E-2</c:v>
                </c:pt>
                <c:pt idx="189">
                  <c:v>0.13744524300959959</c:v>
                </c:pt>
                <c:pt idx="190">
                  <c:v>0.24840622267760609</c:v>
                </c:pt>
                <c:pt idx="191">
                  <c:v>0.32695954267839289</c:v>
                </c:pt>
                <c:pt idx="192">
                  <c:v>0.46888427621496298</c:v>
                </c:pt>
                <c:pt idx="193">
                  <c:v>0.67313148399605183</c:v>
                </c:pt>
                <c:pt idx="194">
                  <c:v>0.89494647104616554</c:v>
                </c:pt>
                <c:pt idx="195">
                  <c:v>0.98248099798409849</c:v>
                </c:pt>
                <c:pt idx="196">
                  <c:v>0.93355307102252771</c:v>
                </c:pt>
                <c:pt idx="197">
                  <c:v>0.91105161568882354</c:v>
                </c:pt>
                <c:pt idx="198">
                  <c:v>0.91745901859933709</c:v>
                </c:pt>
                <c:pt idx="199">
                  <c:v>0.98247635138248413</c:v>
                </c:pt>
                <c:pt idx="200">
                  <c:v>1.0556073154125527</c:v>
                </c:pt>
                <c:pt idx="201">
                  <c:v>1.1435385736985564</c:v>
                </c:pt>
                <c:pt idx="202">
                  <c:v>1.2293823639642993</c:v>
                </c:pt>
                <c:pt idx="203">
                  <c:v>1.2935330642114604</c:v>
                </c:pt>
                <c:pt idx="204">
                  <c:v>1.4496163025212931</c:v>
                </c:pt>
                <c:pt idx="205">
                  <c:v>1.6839033406797519</c:v>
                </c:pt>
                <c:pt idx="206">
                  <c:v>1.8836001560235021</c:v>
                </c:pt>
                <c:pt idx="207">
                  <c:v>2.1137039498675882</c:v>
                </c:pt>
                <c:pt idx="208">
                  <c:v>2.3613025081089658</c:v>
                </c:pt>
                <c:pt idx="209">
                  <c:v>2.5407187093397416</c:v>
                </c:pt>
                <c:pt idx="210">
                  <c:v>2.6682661025578334</c:v>
                </c:pt>
                <c:pt idx="211">
                  <c:v>2.6647006106475803</c:v>
                </c:pt>
                <c:pt idx="212">
                  <c:v>2.6127961154165251</c:v>
                </c:pt>
                <c:pt idx="213">
                  <c:v>2.4850802956536624</c:v>
                </c:pt>
                <c:pt idx="214">
                  <c:v>2.2765764857201951</c:v>
                </c:pt>
                <c:pt idx="215">
                  <c:v>2.0152004566319395</c:v>
                </c:pt>
                <c:pt idx="216">
                  <c:v>1.6915032604663638</c:v>
                </c:pt>
                <c:pt idx="217">
                  <c:v>1.3040458621471216</c:v>
                </c:pt>
                <c:pt idx="218">
                  <c:v>0.83971876287503266</c:v>
                </c:pt>
                <c:pt idx="219">
                  <c:v>0.39606547957638072</c:v>
                </c:pt>
                <c:pt idx="220">
                  <c:v>9.9011066572090578E-3</c:v>
                </c:pt>
                <c:pt idx="221">
                  <c:v>-0.24470467976660859</c:v>
                </c:pt>
                <c:pt idx="222">
                  <c:v>-0.42783639427307973</c:v>
                </c:pt>
                <c:pt idx="223">
                  <c:v>-0.56468836950845736</c:v>
                </c:pt>
                <c:pt idx="224">
                  <c:v>-0.62115467614104136</c:v>
                </c:pt>
                <c:pt idx="225">
                  <c:v>-0.64376129366945256</c:v>
                </c:pt>
                <c:pt idx="226">
                  <c:v>-0.6346753117665882</c:v>
                </c:pt>
                <c:pt idx="227">
                  <c:v>-0.62374052628173549</c:v>
                </c:pt>
                <c:pt idx="228">
                  <c:v>-0.68402930445458832</c:v>
                </c:pt>
                <c:pt idx="229">
                  <c:v>-0.73877006850422466</c:v>
                </c:pt>
                <c:pt idx="230">
                  <c:v>-0.78005553562958418</c:v>
                </c:pt>
                <c:pt idx="231">
                  <c:v>-0.75759210717957193</c:v>
                </c:pt>
                <c:pt idx="232">
                  <c:v>-0.6355916313539377</c:v>
                </c:pt>
                <c:pt idx="233">
                  <c:v>-0.43732387640429082</c:v>
                </c:pt>
                <c:pt idx="234">
                  <c:v>-0.22186941542236002</c:v>
                </c:pt>
                <c:pt idx="235">
                  <c:v>3.6805013586275526E-2</c:v>
                </c:pt>
                <c:pt idx="236">
                  <c:v>0.30078810202866263</c:v>
                </c:pt>
                <c:pt idx="237">
                  <c:v>0.60989365704216492</c:v>
                </c:pt>
                <c:pt idx="238">
                  <c:v>0.94484390011198283</c:v>
                </c:pt>
                <c:pt idx="239">
                  <c:v>1.3434490485373938</c:v>
                </c:pt>
                <c:pt idx="240">
                  <c:v>1.7546438984111543</c:v>
                </c:pt>
                <c:pt idx="241">
                  <c:v>2.2068872780918536</c:v>
                </c:pt>
                <c:pt idx="242">
                  <c:v>2.6312329043507008</c:v>
                </c:pt>
                <c:pt idx="243">
                  <c:v>3.0157538821780498</c:v>
                </c:pt>
                <c:pt idx="244">
                  <c:v>3.3042486156957267</c:v>
                </c:pt>
                <c:pt idx="245">
                  <c:v>3.6514172075113835</c:v>
                </c:pt>
                <c:pt idx="246">
                  <c:v>3.9370450955382559</c:v>
                </c:pt>
                <c:pt idx="247">
                  <c:v>4.1607922312869086</c:v>
                </c:pt>
                <c:pt idx="248">
                  <c:v>4.3288489209272631</c:v>
                </c:pt>
                <c:pt idx="249">
                  <c:v>4.4308793417073558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4-4CD9-8B38-A7173070F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70687"/>
        <c:axId val="148180767"/>
      </c:lineChart>
      <c:dateAx>
        <c:axId val="148170687"/>
        <c:scaling>
          <c:orientation val="minMax"/>
          <c:max val="46070"/>
          <c:min val="45947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80767"/>
        <c:crosses val="autoZero"/>
        <c:auto val="1"/>
        <c:lblOffset val="100"/>
        <c:baseTimeUnit val="days"/>
      </c:dateAx>
      <c:valAx>
        <c:axId val="14818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70687"/>
        <c:crosses val="autoZero"/>
        <c:crossBetween val="between"/>
      </c:valAx>
      <c:valAx>
        <c:axId val="1481942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96607"/>
        <c:crosses val="max"/>
        <c:crossBetween val="between"/>
      </c:valAx>
      <c:dateAx>
        <c:axId val="1481966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1942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Weekly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Forecast!$A$2:$A$61</c:f>
              <c:numCache>
                <c:formatCode>m/d/yyyy</c:formatCode>
                <c:ptCount val="60"/>
                <c:pt idx="0">
                  <c:v>45705</c:v>
                </c:pt>
                <c:pt idx="1">
                  <c:v>45712</c:v>
                </c:pt>
                <c:pt idx="2">
                  <c:v>45719</c:v>
                </c:pt>
                <c:pt idx="3">
                  <c:v>45726</c:v>
                </c:pt>
                <c:pt idx="4">
                  <c:v>45733</c:v>
                </c:pt>
                <c:pt idx="5">
                  <c:v>45740</c:v>
                </c:pt>
                <c:pt idx="6">
                  <c:v>45747</c:v>
                </c:pt>
                <c:pt idx="7">
                  <c:v>45754</c:v>
                </c:pt>
                <c:pt idx="8">
                  <c:v>45761</c:v>
                </c:pt>
                <c:pt idx="9">
                  <c:v>45768</c:v>
                </c:pt>
                <c:pt idx="10">
                  <c:v>45775</c:v>
                </c:pt>
                <c:pt idx="11">
                  <c:v>45782</c:v>
                </c:pt>
                <c:pt idx="12">
                  <c:v>45789</c:v>
                </c:pt>
                <c:pt idx="13">
                  <c:v>45796</c:v>
                </c:pt>
                <c:pt idx="14">
                  <c:v>45803</c:v>
                </c:pt>
                <c:pt idx="15">
                  <c:v>45810</c:v>
                </c:pt>
                <c:pt idx="16">
                  <c:v>45817</c:v>
                </c:pt>
                <c:pt idx="17">
                  <c:v>45824</c:v>
                </c:pt>
                <c:pt idx="18">
                  <c:v>45831</c:v>
                </c:pt>
                <c:pt idx="19">
                  <c:v>45838</c:v>
                </c:pt>
                <c:pt idx="20">
                  <c:v>45845</c:v>
                </c:pt>
                <c:pt idx="21">
                  <c:v>45852</c:v>
                </c:pt>
                <c:pt idx="22">
                  <c:v>45859</c:v>
                </c:pt>
                <c:pt idx="23">
                  <c:v>45866</c:v>
                </c:pt>
                <c:pt idx="24">
                  <c:v>45873</c:v>
                </c:pt>
                <c:pt idx="25">
                  <c:v>45880</c:v>
                </c:pt>
                <c:pt idx="26">
                  <c:v>45887</c:v>
                </c:pt>
                <c:pt idx="27">
                  <c:v>45894</c:v>
                </c:pt>
                <c:pt idx="28">
                  <c:v>45901</c:v>
                </c:pt>
                <c:pt idx="29">
                  <c:v>45908</c:v>
                </c:pt>
                <c:pt idx="30">
                  <c:v>45915</c:v>
                </c:pt>
                <c:pt idx="31">
                  <c:v>45922</c:v>
                </c:pt>
                <c:pt idx="32">
                  <c:v>45929</c:v>
                </c:pt>
                <c:pt idx="33">
                  <c:v>45936</c:v>
                </c:pt>
                <c:pt idx="34">
                  <c:v>45943</c:v>
                </c:pt>
                <c:pt idx="35">
                  <c:v>45950</c:v>
                </c:pt>
                <c:pt idx="36">
                  <c:v>45957</c:v>
                </c:pt>
                <c:pt idx="37">
                  <c:v>45964</c:v>
                </c:pt>
                <c:pt idx="38">
                  <c:v>45971</c:v>
                </c:pt>
                <c:pt idx="39">
                  <c:v>45978</c:v>
                </c:pt>
                <c:pt idx="40">
                  <c:v>45985</c:v>
                </c:pt>
                <c:pt idx="41">
                  <c:v>45992</c:v>
                </c:pt>
                <c:pt idx="42">
                  <c:v>45999</c:v>
                </c:pt>
                <c:pt idx="43">
                  <c:v>46006</c:v>
                </c:pt>
                <c:pt idx="44">
                  <c:v>46013</c:v>
                </c:pt>
                <c:pt idx="45">
                  <c:v>46020</c:v>
                </c:pt>
                <c:pt idx="46">
                  <c:v>46027</c:v>
                </c:pt>
                <c:pt idx="47">
                  <c:v>46034</c:v>
                </c:pt>
                <c:pt idx="48">
                  <c:v>46041</c:v>
                </c:pt>
                <c:pt idx="49">
                  <c:v>46048</c:v>
                </c:pt>
                <c:pt idx="50">
                  <c:v>46055</c:v>
                </c:pt>
                <c:pt idx="51">
                  <c:v>46062</c:v>
                </c:pt>
                <c:pt idx="52">
                  <c:v>46069</c:v>
                </c:pt>
                <c:pt idx="53">
                  <c:v>46076</c:v>
                </c:pt>
                <c:pt idx="54">
                  <c:v>46083</c:v>
                </c:pt>
                <c:pt idx="55">
                  <c:v>46090</c:v>
                </c:pt>
                <c:pt idx="56">
                  <c:v>46097</c:v>
                </c:pt>
                <c:pt idx="57">
                  <c:v>46104</c:v>
                </c:pt>
                <c:pt idx="58">
                  <c:v>46111</c:v>
                </c:pt>
                <c:pt idx="59">
                  <c:v>46118</c:v>
                </c:pt>
              </c:numCache>
            </c:numRef>
          </c:cat>
          <c:val>
            <c:numRef>
              <c:f>Forecast!$B$2:$B$61</c:f>
              <c:numCache>
                <c:formatCode>General</c:formatCode>
                <c:ptCount val="60"/>
                <c:pt idx="0">
                  <c:v>303.93</c:v>
                </c:pt>
                <c:pt idx="1">
                  <c:v>308.16800000000001</c:v>
                </c:pt>
                <c:pt idx="2">
                  <c:v>309.834</c:v>
                </c:pt>
                <c:pt idx="3">
                  <c:v>304.14799999999997</c:v>
                </c:pt>
                <c:pt idx="4">
                  <c:v>305.38600000000002</c:v>
                </c:pt>
                <c:pt idx="5">
                  <c:v>309.19</c:v>
                </c:pt>
                <c:pt idx="6">
                  <c:v>311.19200000000001</c:v>
                </c:pt>
                <c:pt idx="7">
                  <c:v>304.072</c:v>
                </c:pt>
                <c:pt idx="8">
                  <c:v>312.23750000000001</c:v>
                </c:pt>
                <c:pt idx="9">
                  <c:v>315.84800000000001</c:v>
                </c:pt>
                <c:pt idx="10">
                  <c:v>315.31200000000001</c:v>
                </c:pt>
                <c:pt idx="11">
                  <c:v>315.56200000000001</c:v>
                </c:pt>
                <c:pt idx="12">
                  <c:v>312.24</c:v>
                </c:pt>
                <c:pt idx="13">
                  <c:v>317.27</c:v>
                </c:pt>
                <c:pt idx="14">
                  <c:v>313.375</c:v>
                </c:pt>
                <c:pt idx="15">
                  <c:v>310.596</c:v>
                </c:pt>
                <c:pt idx="16">
                  <c:v>302.40000000000003</c:v>
                </c:pt>
                <c:pt idx="17">
                  <c:v>291.42250000000001</c:v>
                </c:pt>
                <c:pt idx="18">
                  <c:v>288.74400000000003</c:v>
                </c:pt>
                <c:pt idx="19">
                  <c:v>294.59249999999997</c:v>
                </c:pt>
                <c:pt idx="20">
                  <c:v>295.30399999999997</c:v>
                </c:pt>
                <c:pt idx="21">
                  <c:v>299.56799999999998</c:v>
                </c:pt>
                <c:pt idx="22">
                  <c:v>297.19600000000003</c:v>
                </c:pt>
                <c:pt idx="23">
                  <c:v>301.69200000000001</c:v>
                </c:pt>
                <c:pt idx="24">
                  <c:v>304.80400000000003</c:v>
                </c:pt>
                <c:pt idx="25">
                  <c:v>305.79000000000002</c:v>
                </c:pt>
                <c:pt idx="26">
                  <c:v>312</c:v>
                </c:pt>
                <c:pt idx="27">
                  <c:v>312.714</c:v>
                </c:pt>
                <c:pt idx="28">
                  <c:v>315.88</c:v>
                </c:pt>
                <c:pt idx="29">
                  <c:v>309.01799999999997</c:v>
                </c:pt>
                <c:pt idx="30">
                  <c:v>302.77</c:v>
                </c:pt>
                <c:pt idx="31">
                  <c:v>303.61</c:v>
                </c:pt>
                <c:pt idx="32">
                  <c:v>301.65199999999999</c:v>
                </c:pt>
                <c:pt idx="33">
                  <c:v>295.51600000000002</c:v>
                </c:pt>
                <c:pt idx="34">
                  <c:v>304.66800000000001</c:v>
                </c:pt>
                <c:pt idx="35">
                  <c:v>307.62400000000002</c:v>
                </c:pt>
                <c:pt idx="36">
                  <c:v>303.92200000000003</c:v>
                </c:pt>
                <c:pt idx="37">
                  <c:v>299.86400000000003</c:v>
                </c:pt>
                <c:pt idx="38">
                  <c:v>305.49599999999998</c:v>
                </c:pt>
                <c:pt idx="39">
                  <c:v>305.14800000000002</c:v>
                </c:pt>
                <c:pt idx="40">
                  <c:v>309.89249999999998</c:v>
                </c:pt>
                <c:pt idx="41">
                  <c:v>306.35399999999998</c:v>
                </c:pt>
                <c:pt idx="42">
                  <c:v>311.50799999999998</c:v>
                </c:pt>
                <c:pt idx="43">
                  <c:v>317.48199999999997</c:v>
                </c:pt>
                <c:pt idx="44">
                  <c:v>312.76749999999998</c:v>
                </c:pt>
                <c:pt idx="45">
                  <c:v>306.36249999999995</c:v>
                </c:pt>
                <c:pt idx="46">
                  <c:v>304.59800000000001</c:v>
                </c:pt>
                <c:pt idx="47">
                  <c:v>308.07400000000001</c:v>
                </c:pt>
                <c:pt idx="48">
                  <c:v>305.95249999999999</c:v>
                </c:pt>
                <c:pt idx="49">
                  <c:v>314.07799999999997</c:v>
                </c:pt>
                <c:pt idx="50">
                  <c:v>322.46800000000002</c:v>
                </c:pt>
                <c:pt idx="51">
                  <c:v>326.88799999999998</c:v>
                </c:pt>
                <c:pt idx="52">
                  <c:v>327.54000000000002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1-43CA-94AB-CD9FCE617BDE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Forecast!$A$2:$A$61</c:f>
              <c:numCache>
                <c:formatCode>m/d/yyyy</c:formatCode>
                <c:ptCount val="60"/>
                <c:pt idx="0">
                  <c:v>45705</c:v>
                </c:pt>
                <c:pt idx="1">
                  <c:v>45712</c:v>
                </c:pt>
                <c:pt idx="2">
                  <c:v>45719</c:v>
                </c:pt>
                <c:pt idx="3">
                  <c:v>45726</c:v>
                </c:pt>
                <c:pt idx="4">
                  <c:v>45733</c:v>
                </c:pt>
                <c:pt idx="5">
                  <c:v>45740</c:v>
                </c:pt>
                <c:pt idx="6">
                  <c:v>45747</c:v>
                </c:pt>
                <c:pt idx="7">
                  <c:v>45754</c:v>
                </c:pt>
                <c:pt idx="8">
                  <c:v>45761</c:v>
                </c:pt>
                <c:pt idx="9">
                  <c:v>45768</c:v>
                </c:pt>
                <c:pt idx="10">
                  <c:v>45775</c:v>
                </c:pt>
                <c:pt idx="11">
                  <c:v>45782</c:v>
                </c:pt>
                <c:pt idx="12">
                  <c:v>45789</c:v>
                </c:pt>
                <c:pt idx="13">
                  <c:v>45796</c:v>
                </c:pt>
                <c:pt idx="14">
                  <c:v>45803</c:v>
                </c:pt>
                <c:pt idx="15">
                  <c:v>45810</c:v>
                </c:pt>
                <c:pt idx="16">
                  <c:v>45817</c:v>
                </c:pt>
                <c:pt idx="17">
                  <c:v>45824</c:v>
                </c:pt>
                <c:pt idx="18">
                  <c:v>45831</c:v>
                </c:pt>
                <c:pt idx="19">
                  <c:v>45838</c:v>
                </c:pt>
                <c:pt idx="20">
                  <c:v>45845</c:v>
                </c:pt>
                <c:pt idx="21">
                  <c:v>45852</c:v>
                </c:pt>
                <c:pt idx="22">
                  <c:v>45859</c:v>
                </c:pt>
                <c:pt idx="23">
                  <c:v>45866</c:v>
                </c:pt>
                <c:pt idx="24">
                  <c:v>45873</c:v>
                </c:pt>
                <c:pt idx="25">
                  <c:v>45880</c:v>
                </c:pt>
                <c:pt idx="26">
                  <c:v>45887</c:v>
                </c:pt>
                <c:pt idx="27">
                  <c:v>45894</c:v>
                </c:pt>
                <c:pt idx="28">
                  <c:v>45901</c:v>
                </c:pt>
                <c:pt idx="29">
                  <c:v>45908</c:v>
                </c:pt>
                <c:pt idx="30">
                  <c:v>45915</c:v>
                </c:pt>
                <c:pt idx="31">
                  <c:v>45922</c:v>
                </c:pt>
                <c:pt idx="32">
                  <c:v>45929</c:v>
                </c:pt>
                <c:pt idx="33">
                  <c:v>45936</c:v>
                </c:pt>
                <c:pt idx="34">
                  <c:v>45943</c:v>
                </c:pt>
                <c:pt idx="35">
                  <c:v>45950</c:v>
                </c:pt>
                <c:pt idx="36">
                  <c:v>45957</c:v>
                </c:pt>
                <c:pt idx="37">
                  <c:v>45964</c:v>
                </c:pt>
                <c:pt idx="38">
                  <c:v>45971</c:v>
                </c:pt>
                <c:pt idx="39">
                  <c:v>45978</c:v>
                </c:pt>
                <c:pt idx="40">
                  <c:v>45985</c:v>
                </c:pt>
                <c:pt idx="41">
                  <c:v>45992</c:v>
                </c:pt>
                <c:pt idx="42">
                  <c:v>45999</c:v>
                </c:pt>
                <c:pt idx="43">
                  <c:v>46006</c:v>
                </c:pt>
                <c:pt idx="44">
                  <c:v>46013</c:v>
                </c:pt>
                <c:pt idx="45">
                  <c:v>46020</c:v>
                </c:pt>
                <c:pt idx="46">
                  <c:v>46027</c:v>
                </c:pt>
                <c:pt idx="47">
                  <c:v>46034</c:v>
                </c:pt>
                <c:pt idx="48">
                  <c:v>46041</c:v>
                </c:pt>
                <c:pt idx="49">
                  <c:v>46048</c:v>
                </c:pt>
                <c:pt idx="50">
                  <c:v>46055</c:v>
                </c:pt>
                <c:pt idx="51">
                  <c:v>46062</c:v>
                </c:pt>
                <c:pt idx="52">
                  <c:v>46069</c:v>
                </c:pt>
                <c:pt idx="53">
                  <c:v>46076</c:v>
                </c:pt>
                <c:pt idx="54">
                  <c:v>46083</c:v>
                </c:pt>
                <c:pt idx="55">
                  <c:v>46090</c:v>
                </c:pt>
                <c:pt idx="56">
                  <c:v>46097</c:v>
                </c:pt>
                <c:pt idx="57">
                  <c:v>46104</c:v>
                </c:pt>
                <c:pt idx="58">
                  <c:v>46111</c:v>
                </c:pt>
                <c:pt idx="59">
                  <c:v>46118</c:v>
                </c:pt>
              </c:numCache>
            </c:numRef>
          </c:cat>
          <c:val>
            <c:numRef>
              <c:f>Forecast!$C$2:$C$61</c:f>
              <c:numCache>
                <c:formatCode>General</c:formatCode>
                <c:ptCount val="60"/>
                <c:pt idx="53">
                  <c:v>317.16587386470667</c:v>
                </c:pt>
                <c:pt idx="54">
                  <c:v>308.54332672664862</c:v>
                </c:pt>
                <c:pt idx="55">
                  <c:v>314.9286607400694</c:v>
                </c:pt>
                <c:pt idx="56">
                  <c:v>331.29230575353495</c:v>
                </c:pt>
                <c:pt idx="57">
                  <c:v>322.70794771814673</c:v>
                </c:pt>
                <c:pt idx="58">
                  <c:v>344.41762674825691</c:v>
                </c:pt>
                <c:pt idx="59">
                  <c:v>334.6065340747611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21-43CA-94AB-CD9FCE617BDE}"/>
            </c:ext>
          </c:extLst>
        </c:ser>
        <c:ser>
          <c:idx val="2"/>
          <c:order val="2"/>
          <c:tx>
            <c:strRef>
              <c:f>Forecast!$G$1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Forecast!$A$2:$A$61</c:f>
              <c:numCache>
                <c:formatCode>m/d/yyyy</c:formatCode>
                <c:ptCount val="60"/>
                <c:pt idx="0">
                  <c:v>45705</c:v>
                </c:pt>
                <c:pt idx="1">
                  <c:v>45712</c:v>
                </c:pt>
                <c:pt idx="2">
                  <c:v>45719</c:v>
                </c:pt>
                <c:pt idx="3">
                  <c:v>45726</c:v>
                </c:pt>
                <c:pt idx="4">
                  <c:v>45733</c:v>
                </c:pt>
                <c:pt idx="5">
                  <c:v>45740</c:v>
                </c:pt>
                <c:pt idx="6">
                  <c:v>45747</c:v>
                </c:pt>
                <c:pt idx="7">
                  <c:v>45754</c:v>
                </c:pt>
                <c:pt idx="8">
                  <c:v>45761</c:v>
                </c:pt>
                <c:pt idx="9">
                  <c:v>45768</c:v>
                </c:pt>
                <c:pt idx="10">
                  <c:v>45775</c:v>
                </c:pt>
                <c:pt idx="11">
                  <c:v>45782</c:v>
                </c:pt>
                <c:pt idx="12">
                  <c:v>45789</c:v>
                </c:pt>
                <c:pt idx="13">
                  <c:v>45796</c:v>
                </c:pt>
                <c:pt idx="14">
                  <c:v>45803</c:v>
                </c:pt>
                <c:pt idx="15">
                  <c:v>45810</c:v>
                </c:pt>
                <c:pt idx="16">
                  <c:v>45817</c:v>
                </c:pt>
                <c:pt idx="17">
                  <c:v>45824</c:v>
                </c:pt>
                <c:pt idx="18">
                  <c:v>45831</c:v>
                </c:pt>
                <c:pt idx="19">
                  <c:v>45838</c:v>
                </c:pt>
                <c:pt idx="20">
                  <c:v>45845</c:v>
                </c:pt>
                <c:pt idx="21">
                  <c:v>45852</c:v>
                </c:pt>
                <c:pt idx="22">
                  <c:v>45859</c:v>
                </c:pt>
                <c:pt idx="23">
                  <c:v>45866</c:v>
                </c:pt>
                <c:pt idx="24">
                  <c:v>45873</c:v>
                </c:pt>
                <c:pt idx="25">
                  <c:v>45880</c:v>
                </c:pt>
                <c:pt idx="26">
                  <c:v>45887</c:v>
                </c:pt>
                <c:pt idx="27">
                  <c:v>45894</c:v>
                </c:pt>
                <c:pt idx="28">
                  <c:v>45901</c:v>
                </c:pt>
                <c:pt idx="29">
                  <c:v>45908</c:v>
                </c:pt>
                <c:pt idx="30">
                  <c:v>45915</c:v>
                </c:pt>
                <c:pt idx="31">
                  <c:v>45922</c:v>
                </c:pt>
                <c:pt idx="32">
                  <c:v>45929</c:v>
                </c:pt>
                <c:pt idx="33">
                  <c:v>45936</c:v>
                </c:pt>
                <c:pt idx="34">
                  <c:v>45943</c:v>
                </c:pt>
                <c:pt idx="35">
                  <c:v>45950</c:v>
                </c:pt>
                <c:pt idx="36">
                  <c:v>45957</c:v>
                </c:pt>
                <c:pt idx="37">
                  <c:v>45964</c:v>
                </c:pt>
                <c:pt idx="38">
                  <c:v>45971</c:v>
                </c:pt>
                <c:pt idx="39">
                  <c:v>45978</c:v>
                </c:pt>
                <c:pt idx="40">
                  <c:v>45985</c:v>
                </c:pt>
                <c:pt idx="41">
                  <c:v>45992</c:v>
                </c:pt>
                <c:pt idx="42">
                  <c:v>45999</c:v>
                </c:pt>
                <c:pt idx="43">
                  <c:v>46006</c:v>
                </c:pt>
                <c:pt idx="44">
                  <c:v>46013</c:v>
                </c:pt>
                <c:pt idx="45">
                  <c:v>46020</c:v>
                </c:pt>
                <c:pt idx="46">
                  <c:v>46027</c:v>
                </c:pt>
                <c:pt idx="47">
                  <c:v>46034</c:v>
                </c:pt>
                <c:pt idx="48">
                  <c:v>46041</c:v>
                </c:pt>
                <c:pt idx="49">
                  <c:v>46048</c:v>
                </c:pt>
                <c:pt idx="50">
                  <c:v>46055</c:v>
                </c:pt>
                <c:pt idx="51">
                  <c:v>46062</c:v>
                </c:pt>
                <c:pt idx="52">
                  <c:v>46069</c:v>
                </c:pt>
                <c:pt idx="53">
                  <c:v>46076</c:v>
                </c:pt>
                <c:pt idx="54">
                  <c:v>46083</c:v>
                </c:pt>
                <c:pt idx="55">
                  <c:v>46090</c:v>
                </c:pt>
                <c:pt idx="56">
                  <c:v>46097</c:v>
                </c:pt>
                <c:pt idx="57">
                  <c:v>46104</c:v>
                </c:pt>
                <c:pt idx="58">
                  <c:v>46111</c:v>
                </c:pt>
                <c:pt idx="59">
                  <c:v>46118</c:v>
                </c:pt>
              </c:numCache>
            </c:numRef>
          </c:cat>
          <c:val>
            <c:numRef>
              <c:f>Forecast!$G$2:$G$61</c:f>
              <c:numCache>
                <c:formatCode>General</c:formatCode>
                <c:ptCount val="60"/>
                <c:pt idx="53">
                  <c:v>337.15053651647099</c:v>
                </c:pt>
                <c:pt idx="54">
                  <c:v>344.56801348024499</c:v>
                </c:pt>
                <c:pt idx="55">
                  <c:v>350.85055665835102</c:v>
                </c:pt>
                <c:pt idx="56">
                  <c:v>355.43409663188697</c:v>
                </c:pt>
                <c:pt idx="57">
                  <c:v>359.07828572812502</c:v>
                </c:pt>
                <c:pt idx="58">
                  <c:v>366.697742591637</c:v>
                </c:pt>
                <c:pt idx="59">
                  <c:v>365.43092570415303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21-43CA-94AB-CD9FCE617BDE}"/>
            </c:ext>
          </c:extLst>
        </c:ser>
        <c:ser>
          <c:idx val="3"/>
          <c:order val="3"/>
          <c:tx>
            <c:strRef>
              <c:f>Forecast!$H$1</c:f>
              <c:strCache>
                <c:ptCount val="1"/>
                <c:pt idx="0">
                  <c:v>GS Simple ML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Forecast!$A$2:$A$61</c:f>
              <c:numCache>
                <c:formatCode>m/d/yyyy</c:formatCode>
                <c:ptCount val="60"/>
                <c:pt idx="0">
                  <c:v>45705</c:v>
                </c:pt>
                <c:pt idx="1">
                  <c:v>45712</c:v>
                </c:pt>
                <c:pt idx="2">
                  <c:v>45719</c:v>
                </c:pt>
                <c:pt idx="3">
                  <c:v>45726</c:v>
                </c:pt>
                <c:pt idx="4">
                  <c:v>45733</c:v>
                </c:pt>
                <c:pt idx="5">
                  <c:v>45740</c:v>
                </c:pt>
                <c:pt idx="6">
                  <c:v>45747</c:v>
                </c:pt>
                <c:pt idx="7">
                  <c:v>45754</c:v>
                </c:pt>
                <c:pt idx="8">
                  <c:v>45761</c:v>
                </c:pt>
                <c:pt idx="9">
                  <c:v>45768</c:v>
                </c:pt>
                <c:pt idx="10">
                  <c:v>45775</c:v>
                </c:pt>
                <c:pt idx="11">
                  <c:v>45782</c:v>
                </c:pt>
                <c:pt idx="12">
                  <c:v>45789</c:v>
                </c:pt>
                <c:pt idx="13">
                  <c:v>45796</c:v>
                </c:pt>
                <c:pt idx="14">
                  <c:v>45803</c:v>
                </c:pt>
                <c:pt idx="15">
                  <c:v>45810</c:v>
                </c:pt>
                <c:pt idx="16">
                  <c:v>45817</c:v>
                </c:pt>
                <c:pt idx="17">
                  <c:v>45824</c:v>
                </c:pt>
                <c:pt idx="18">
                  <c:v>45831</c:v>
                </c:pt>
                <c:pt idx="19">
                  <c:v>45838</c:v>
                </c:pt>
                <c:pt idx="20">
                  <c:v>45845</c:v>
                </c:pt>
                <c:pt idx="21">
                  <c:v>45852</c:v>
                </c:pt>
                <c:pt idx="22">
                  <c:v>45859</c:v>
                </c:pt>
                <c:pt idx="23">
                  <c:v>45866</c:v>
                </c:pt>
                <c:pt idx="24">
                  <c:v>45873</c:v>
                </c:pt>
                <c:pt idx="25">
                  <c:v>45880</c:v>
                </c:pt>
                <c:pt idx="26">
                  <c:v>45887</c:v>
                </c:pt>
                <c:pt idx="27">
                  <c:v>45894</c:v>
                </c:pt>
                <c:pt idx="28">
                  <c:v>45901</c:v>
                </c:pt>
                <c:pt idx="29">
                  <c:v>45908</c:v>
                </c:pt>
                <c:pt idx="30">
                  <c:v>45915</c:v>
                </c:pt>
                <c:pt idx="31">
                  <c:v>45922</c:v>
                </c:pt>
                <c:pt idx="32">
                  <c:v>45929</c:v>
                </c:pt>
                <c:pt idx="33">
                  <c:v>45936</c:v>
                </c:pt>
                <c:pt idx="34">
                  <c:v>45943</c:v>
                </c:pt>
                <c:pt idx="35">
                  <c:v>45950</c:v>
                </c:pt>
                <c:pt idx="36">
                  <c:v>45957</c:v>
                </c:pt>
                <c:pt idx="37">
                  <c:v>45964</c:v>
                </c:pt>
                <c:pt idx="38">
                  <c:v>45971</c:v>
                </c:pt>
                <c:pt idx="39">
                  <c:v>45978</c:v>
                </c:pt>
                <c:pt idx="40">
                  <c:v>45985</c:v>
                </c:pt>
                <c:pt idx="41">
                  <c:v>45992</c:v>
                </c:pt>
                <c:pt idx="42">
                  <c:v>45999</c:v>
                </c:pt>
                <c:pt idx="43">
                  <c:v>46006</c:v>
                </c:pt>
                <c:pt idx="44">
                  <c:v>46013</c:v>
                </c:pt>
                <c:pt idx="45">
                  <c:v>46020</c:v>
                </c:pt>
                <c:pt idx="46">
                  <c:v>46027</c:v>
                </c:pt>
                <c:pt idx="47">
                  <c:v>46034</c:v>
                </c:pt>
                <c:pt idx="48">
                  <c:v>46041</c:v>
                </c:pt>
                <c:pt idx="49">
                  <c:v>46048</c:v>
                </c:pt>
                <c:pt idx="50">
                  <c:v>46055</c:v>
                </c:pt>
                <c:pt idx="51">
                  <c:v>46062</c:v>
                </c:pt>
                <c:pt idx="52">
                  <c:v>46069</c:v>
                </c:pt>
                <c:pt idx="53">
                  <c:v>46076</c:v>
                </c:pt>
                <c:pt idx="54">
                  <c:v>46083</c:v>
                </c:pt>
                <c:pt idx="55">
                  <c:v>46090</c:v>
                </c:pt>
                <c:pt idx="56">
                  <c:v>46097</c:v>
                </c:pt>
                <c:pt idx="57">
                  <c:v>46104</c:v>
                </c:pt>
                <c:pt idx="58">
                  <c:v>46111</c:v>
                </c:pt>
                <c:pt idx="59">
                  <c:v>46118</c:v>
                </c:pt>
              </c:numCache>
            </c:numRef>
          </c:cat>
          <c:val>
            <c:numRef>
              <c:f>Forecast!$H$2:$H$61</c:f>
              <c:numCache>
                <c:formatCode>General</c:formatCode>
                <c:ptCount val="60"/>
                <c:pt idx="53">
                  <c:v>324.02833399999997</c:v>
                </c:pt>
                <c:pt idx="54">
                  <c:v>321.640784</c:v>
                </c:pt>
                <c:pt idx="55">
                  <c:v>320.85024800000002</c:v>
                </c:pt>
                <c:pt idx="56">
                  <c:v>322.43558999999999</c:v>
                </c:pt>
                <c:pt idx="57">
                  <c:v>328.478138</c:v>
                </c:pt>
                <c:pt idx="58">
                  <c:v>328.87377300000003</c:v>
                </c:pt>
                <c:pt idx="59">
                  <c:v>331.03150599999998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21-43CA-94AB-CD9FCE61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38479"/>
        <c:axId val="205838959"/>
      </c:lineChart>
      <c:dateAx>
        <c:axId val="205838479"/>
        <c:scaling>
          <c:orientation val="minMax"/>
          <c:min val="4588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8959"/>
        <c:crosses val="autoZero"/>
        <c:auto val="1"/>
        <c:lblOffset val="100"/>
        <c:baseTimeUnit val="days"/>
      </c:dateAx>
      <c:valAx>
        <c:axId val="205838959"/>
        <c:scaling>
          <c:orientation val="minMax"/>
          <c:min val="2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Dividends!$A$2:$A$1000</c:f>
              <c:numCache>
                <c:formatCode>yyyy\-mm\-dd;@</c:formatCode>
                <c:ptCount val="999"/>
                <c:pt idx="0">
                  <c:v>36843</c:v>
                </c:pt>
                <c:pt idx="1">
                  <c:v>37208</c:v>
                </c:pt>
                <c:pt idx="2">
                  <c:v>37573</c:v>
                </c:pt>
                <c:pt idx="3">
                  <c:v>37937</c:v>
                </c:pt>
                <c:pt idx="4">
                  <c:v>38301</c:v>
                </c:pt>
                <c:pt idx="5">
                  <c:v>38666</c:v>
                </c:pt>
                <c:pt idx="6">
                  <c:v>39034</c:v>
                </c:pt>
                <c:pt idx="7">
                  <c:v>39399</c:v>
                </c:pt>
                <c:pt idx="8">
                  <c:v>39506</c:v>
                </c:pt>
                <c:pt idx="9">
                  <c:v>39604</c:v>
                </c:pt>
                <c:pt idx="10">
                  <c:v>39688</c:v>
                </c:pt>
                <c:pt idx="11">
                  <c:v>39778</c:v>
                </c:pt>
                <c:pt idx="12">
                  <c:v>39870</c:v>
                </c:pt>
                <c:pt idx="13">
                  <c:v>39968</c:v>
                </c:pt>
                <c:pt idx="14">
                  <c:v>40053</c:v>
                </c:pt>
                <c:pt idx="15">
                  <c:v>40144</c:v>
                </c:pt>
                <c:pt idx="16">
                  <c:v>40234</c:v>
                </c:pt>
                <c:pt idx="17">
                  <c:v>40325</c:v>
                </c:pt>
                <c:pt idx="18">
                  <c:v>40420</c:v>
                </c:pt>
                <c:pt idx="19">
                  <c:v>40511</c:v>
                </c:pt>
                <c:pt idx="20">
                  <c:v>40599</c:v>
                </c:pt>
                <c:pt idx="21">
                  <c:v>40690</c:v>
                </c:pt>
                <c:pt idx="22">
                  <c:v>40785</c:v>
                </c:pt>
                <c:pt idx="23">
                  <c:v>40876</c:v>
                </c:pt>
                <c:pt idx="24">
                  <c:v>40967</c:v>
                </c:pt>
                <c:pt idx="25">
                  <c:v>41060</c:v>
                </c:pt>
                <c:pt idx="26">
                  <c:v>41151</c:v>
                </c:pt>
                <c:pt idx="27">
                  <c:v>41242</c:v>
                </c:pt>
                <c:pt idx="28">
                  <c:v>41332</c:v>
                </c:pt>
                <c:pt idx="29">
                  <c:v>41424</c:v>
                </c:pt>
                <c:pt idx="30">
                  <c:v>41515</c:v>
                </c:pt>
                <c:pt idx="31">
                  <c:v>41605</c:v>
                </c:pt>
                <c:pt idx="32">
                  <c:v>41697</c:v>
                </c:pt>
                <c:pt idx="33">
                  <c:v>41788</c:v>
                </c:pt>
                <c:pt idx="34">
                  <c:v>41879</c:v>
                </c:pt>
                <c:pt idx="35">
                  <c:v>41969</c:v>
                </c:pt>
                <c:pt idx="36">
                  <c:v>42061</c:v>
                </c:pt>
                <c:pt idx="37">
                  <c:v>42152</c:v>
                </c:pt>
                <c:pt idx="38">
                  <c:v>42244</c:v>
                </c:pt>
                <c:pt idx="39">
                  <c:v>42335</c:v>
                </c:pt>
                <c:pt idx="40">
                  <c:v>42426</c:v>
                </c:pt>
                <c:pt idx="41">
                  <c:v>42523</c:v>
                </c:pt>
                <c:pt idx="42">
                  <c:v>42612</c:v>
                </c:pt>
                <c:pt idx="43">
                  <c:v>42703</c:v>
                </c:pt>
                <c:pt idx="44">
                  <c:v>42793</c:v>
                </c:pt>
                <c:pt idx="45">
                  <c:v>42887</c:v>
                </c:pt>
                <c:pt idx="46">
                  <c:v>42977</c:v>
                </c:pt>
                <c:pt idx="47">
                  <c:v>43069</c:v>
                </c:pt>
                <c:pt idx="48">
                  <c:v>43159</c:v>
                </c:pt>
                <c:pt idx="49">
                  <c:v>43252</c:v>
                </c:pt>
                <c:pt idx="50">
                  <c:v>43343</c:v>
                </c:pt>
                <c:pt idx="51">
                  <c:v>43434</c:v>
                </c:pt>
                <c:pt idx="52">
                  <c:v>43524</c:v>
                </c:pt>
                <c:pt idx="53">
                  <c:v>43616</c:v>
                </c:pt>
                <c:pt idx="54">
                  <c:v>43707</c:v>
                </c:pt>
                <c:pt idx="55">
                  <c:v>43798</c:v>
                </c:pt>
                <c:pt idx="56">
                  <c:v>43889</c:v>
                </c:pt>
                <c:pt idx="57">
                  <c:v>43980</c:v>
                </c:pt>
                <c:pt idx="58">
                  <c:v>44074</c:v>
                </c:pt>
                <c:pt idx="59">
                  <c:v>44165</c:v>
                </c:pt>
                <c:pt idx="60">
                  <c:v>44253</c:v>
                </c:pt>
                <c:pt idx="61">
                  <c:v>44344</c:v>
                </c:pt>
                <c:pt idx="62">
                  <c:v>44439</c:v>
                </c:pt>
                <c:pt idx="63">
                  <c:v>44530</c:v>
                </c:pt>
                <c:pt idx="64">
                  <c:v>44620</c:v>
                </c:pt>
                <c:pt idx="65">
                  <c:v>44715</c:v>
                </c:pt>
                <c:pt idx="66">
                  <c:v>44804</c:v>
                </c:pt>
                <c:pt idx="67">
                  <c:v>44895</c:v>
                </c:pt>
                <c:pt idx="68">
                  <c:v>44985</c:v>
                </c:pt>
                <c:pt idx="69">
                  <c:v>45079</c:v>
                </c:pt>
                <c:pt idx="70">
                  <c:v>45169</c:v>
                </c:pt>
                <c:pt idx="71">
                  <c:v>45260</c:v>
                </c:pt>
                <c:pt idx="72">
                  <c:v>45351</c:v>
                </c:pt>
                <c:pt idx="73">
                  <c:v>45446</c:v>
                </c:pt>
                <c:pt idx="74">
                  <c:v>45538</c:v>
                </c:pt>
                <c:pt idx="75">
                  <c:v>45628</c:v>
                </c:pt>
                <c:pt idx="76">
                  <c:v>45719</c:v>
                </c:pt>
                <c:pt idx="77">
                  <c:v>45810</c:v>
                </c:pt>
                <c:pt idx="78">
                  <c:v>45902</c:v>
                </c:pt>
                <c:pt idx="79">
                  <c:v>45992</c:v>
                </c:pt>
              </c:numCache>
            </c:numRef>
          </c:cat>
          <c:val>
            <c:numRef>
              <c:f>Dividends!$B$2:$B$1000</c:f>
              <c:numCache>
                <c:formatCode>"$"#,##0.00_);[Red]\("$"#,##0.00\)</c:formatCode>
                <c:ptCount val="999"/>
                <c:pt idx="0">
                  <c:v>0.22</c:v>
                </c:pt>
                <c:pt idx="1">
                  <c:v>0.23</c:v>
                </c:pt>
                <c:pt idx="2">
                  <c:v>0.24</c:v>
                </c:pt>
                <c:pt idx="3">
                  <c:v>0.4</c:v>
                </c:pt>
                <c:pt idx="4">
                  <c:v>0.55000000000000004</c:v>
                </c:pt>
                <c:pt idx="5">
                  <c:v>0.67</c:v>
                </c:pt>
                <c:pt idx="6">
                  <c:v>1</c:v>
                </c:pt>
                <c:pt idx="7">
                  <c:v>1.5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0.61</c:v>
                </c:pt>
                <c:pt idx="20">
                  <c:v>0.61</c:v>
                </c:pt>
                <c:pt idx="21">
                  <c:v>0.61</c:v>
                </c:pt>
                <c:pt idx="22">
                  <c:v>0.61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0.77</c:v>
                </c:pt>
                <c:pt idx="28">
                  <c:v>0.77</c:v>
                </c:pt>
                <c:pt idx="29">
                  <c:v>0.77</c:v>
                </c:pt>
                <c:pt idx="30">
                  <c:v>0.77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0.89</c:v>
                </c:pt>
                <c:pt idx="40">
                  <c:v>0.89</c:v>
                </c:pt>
                <c:pt idx="41">
                  <c:v>0.89</c:v>
                </c:pt>
                <c:pt idx="42">
                  <c:v>0.89</c:v>
                </c:pt>
                <c:pt idx="43">
                  <c:v>0.94</c:v>
                </c:pt>
                <c:pt idx="44">
                  <c:v>0.94</c:v>
                </c:pt>
                <c:pt idx="45">
                  <c:v>0.94</c:v>
                </c:pt>
                <c:pt idx="46">
                  <c:v>0.94</c:v>
                </c:pt>
                <c:pt idx="47">
                  <c:v>1.01</c:v>
                </c:pt>
                <c:pt idx="48">
                  <c:v>1.01</c:v>
                </c:pt>
                <c:pt idx="49">
                  <c:v>1.01</c:v>
                </c:pt>
                <c:pt idx="50">
                  <c:v>1.01</c:v>
                </c:pt>
                <c:pt idx="51">
                  <c:v>1.1599999999999999</c:v>
                </c:pt>
                <c:pt idx="52">
                  <c:v>1.1599999999999999</c:v>
                </c:pt>
                <c:pt idx="53">
                  <c:v>1.1599999999999999</c:v>
                </c:pt>
                <c:pt idx="54">
                  <c:v>1.1599999999999999</c:v>
                </c:pt>
                <c:pt idx="55">
                  <c:v>1.25</c:v>
                </c:pt>
                <c:pt idx="56">
                  <c:v>1.25</c:v>
                </c:pt>
                <c:pt idx="57">
                  <c:v>1.25</c:v>
                </c:pt>
                <c:pt idx="58">
                  <c:v>1.25</c:v>
                </c:pt>
                <c:pt idx="59">
                  <c:v>1.29</c:v>
                </c:pt>
                <c:pt idx="60">
                  <c:v>1.29</c:v>
                </c:pt>
                <c:pt idx="61">
                  <c:v>1.29</c:v>
                </c:pt>
                <c:pt idx="62">
                  <c:v>1.29</c:v>
                </c:pt>
                <c:pt idx="63">
                  <c:v>1.38</c:v>
                </c:pt>
                <c:pt idx="64">
                  <c:v>1.38</c:v>
                </c:pt>
                <c:pt idx="65">
                  <c:v>1.38</c:v>
                </c:pt>
                <c:pt idx="66">
                  <c:v>1.38</c:v>
                </c:pt>
                <c:pt idx="67">
                  <c:v>1.52</c:v>
                </c:pt>
                <c:pt idx="68">
                  <c:v>1.52</c:v>
                </c:pt>
                <c:pt idx="69">
                  <c:v>1.52</c:v>
                </c:pt>
                <c:pt idx="70">
                  <c:v>1.52</c:v>
                </c:pt>
                <c:pt idx="71">
                  <c:v>1.67</c:v>
                </c:pt>
                <c:pt idx="72">
                  <c:v>1.67</c:v>
                </c:pt>
                <c:pt idx="73">
                  <c:v>1.67</c:v>
                </c:pt>
                <c:pt idx="74">
                  <c:v>1.67</c:v>
                </c:pt>
                <c:pt idx="75">
                  <c:v>1.77</c:v>
                </c:pt>
                <c:pt idx="76">
                  <c:v>1.77</c:v>
                </c:pt>
                <c:pt idx="77">
                  <c:v>1.77</c:v>
                </c:pt>
                <c:pt idx="78">
                  <c:v>1.77</c:v>
                </c:pt>
                <c:pt idx="79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9-4280-A0DC-5F75CD7FD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7327"/>
        <c:axId val="148169247"/>
      </c:areaChart>
      <c:dateAx>
        <c:axId val="148167327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9247"/>
        <c:crosses val="autoZero"/>
        <c:auto val="1"/>
        <c:lblOffset val="100"/>
        <c:baseTimeUnit val="months"/>
      </c:dateAx>
      <c:valAx>
        <c:axId val="1481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47625</xdr:rowOff>
    </xdr:from>
    <xdr:to>
      <xdr:col>12</xdr:col>
      <xdr:colOff>381000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EF7DC9-007B-4EB5-A4C1-6E41A9BD3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361950</xdr:colOff>
      <xdr:row>31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FCA097-EFFA-46BD-8C00-F96EF99F6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12</xdr:col>
      <xdr:colOff>400050</xdr:colOff>
      <xdr:row>48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C36CC0-4CC3-40FE-88DC-0CC6EE0CC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51</xdr:row>
      <xdr:rowOff>0</xdr:rowOff>
    </xdr:from>
    <xdr:to>
      <xdr:col>12</xdr:col>
      <xdr:colOff>409575</xdr:colOff>
      <xdr:row>64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B3DC2B-10ED-4000-A506-A74870187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</xdr:colOff>
      <xdr:row>67</xdr:row>
      <xdr:rowOff>0</xdr:rowOff>
    </xdr:from>
    <xdr:to>
      <xdr:col>12</xdr:col>
      <xdr:colOff>438151</xdr:colOff>
      <xdr:row>80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4ED26C-6344-4F7D-B4D6-BA0D1FD3F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476250</xdr:colOff>
      <xdr:row>96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FE47460-B4D1-4E1E-8BDF-D1E65CD4F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63705E-C685-48DB-A5F3-91800D9FA0A4}" autoFormatId="16" applyNumberFormats="0" applyBorderFormats="0" applyFontFormats="0" applyPatternFormats="0" applyAlignmentFormats="0" applyWidthHeightFormats="0">
  <queryTableRefresh nextId="9" unboundColumnsRight="6">
    <queryTableFields count="8">
      <queryTableField id="1" name="Week" tableColumnId="1"/>
      <queryTableField id="2" name="Weekly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1">
    <v t="i">0</v>
    <v t="i">1</v>
    <v t="i">4</v>
    <v t="i">5</v>
    <v t="i">6</v>
    <v t="i">7</v>
    <v t="i">8</v>
    <v t="i">11</v>
    <v t="i">12</v>
    <v t="i">13</v>
    <v t="i">14</v>
    <v t="i">15</v>
    <v t="i">18</v>
    <v t="i">19</v>
    <v t="i">20</v>
    <v t="i">21</v>
    <v t="i">22</v>
    <v t="i">25</v>
    <v t="i">26</v>
    <v t="i">27</v>
    <v t="i">28</v>
    <v t="i">29</v>
    <v t="i">32</v>
    <v t="i">33</v>
    <v t="i">34</v>
    <v t="i">35</v>
    <v t="i">36</v>
    <v t="i">39</v>
    <v t="i">40</v>
    <v t="i">41</v>
    <v t="i">42</v>
    <v t="i">43</v>
    <v t="i">46</v>
    <v t="i">47</v>
    <v t="i">48</v>
    <v t="i">49</v>
    <v t="i">50</v>
    <v t="i">53</v>
    <v t="i">54</v>
    <v t="i">55</v>
    <v t="i">56</v>
    <v t="i">60</v>
    <v t="i">61</v>
    <v t="i">62</v>
    <v t="i">63</v>
    <v t="i">64</v>
    <v t="i">67</v>
    <v t="i">68</v>
    <v t="i">69</v>
    <v t="i">70</v>
    <v t="i">71</v>
    <v t="i">74</v>
    <v t="i">75</v>
    <v t="i">76</v>
    <v t="i">77</v>
    <v t="i">78</v>
    <v t="i">81</v>
    <v t="i">82</v>
    <v t="i">83</v>
    <v t="i">84</v>
    <v t="i">85</v>
    <v t="i">88</v>
    <v t="i">89</v>
    <v t="i">90</v>
    <v t="i">91</v>
    <v t="i">92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116</v>
    <v t="i">117</v>
    <v t="i">118</v>
    <v t="i">120</v>
    <v t="i">123</v>
    <v t="i">124</v>
    <v t="i">125</v>
    <v t="i">126</v>
    <v t="i">127</v>
    <v t="i">130</v>
    <v t="i">131</v>
    <v t="i">132</v>
    <v t="i">133</v>
    <v t="i">137</v>
    <v t="i">138</v>
    <v t="i">139</v>
    <v t="i">140</v>
    <v t="i">141</v>
    <v t="i">144</v>
    <v t="i">145</v>
    <v t="i">146</v>
    <v t="i">147</v>
    <v t="i">148</v>
    <v t="i">151</v>
    <v t="i">152</v>
    <v t="i">153</v>
    <v t="i">154</v>
    <v t="i">155</v>
    <v t="i">158</v>
    <v t="i">159</v>
    <v t="i">160</v>
    <v t="i">161</v>
    <v t="i">162</v>
    <v t="i">165</v>
    <v t="i">166</v>
    <v t="i">167</v>
    <v t="i">168</v>
    <v t="i">169</v>
    <v t="i">172</v>
    <v t="i">173</v>
    <v t="i">174</v>
    <v t="i">175</v>
    <v t="i">176</v>
    <v t="i">179</v>
    <v t="i">180</v>
    <v t="i">181</v>
    <v t="i">182</v>
    <v t="i">183</v>
    <v t="i">186</v>
    <v t="i">187</v>
    <v t="i">188</v>
    <v t="i">189</v>
    <v t="i">190</v>
    <v t="i">194</v>
    <v t="i">195</v>
    <v t="i">196</v>
    <v t="i">197</v>
    <v t="i">200</v>
    <v t="i">201</v>
    <v t="i">202</v>
    <v t="i">203</v>
    <v t="i">204</v>
    <v t="i">207</v>
    <v t="i">208</v>
    <v t="i">209</v>
    <v t="i">210</v>
    <v t="i">211</v>
    <v t="i">214</v>
    <v t="i">215</v>
    <v t="i">216</v>
    <v t="i">217</v>
    <v t="i">218</v>
    <v t="i">221</v>
    <v t="i">222</v>
    <v t="i">223</v>
    <v t="i">224</v>
    <v t="i">225</v>
    <v t="i">228</v>
    <v t="i">229</v>
    <v t="i">230</v>
    <v t="i">231</v>
    <v t="i">232</v>
    <v t="i">235</v>
    <v t="i">236</v>
    <v t="i">237</v>
    <v t="i">238</v>
    <v t="i">239</v>
    <v t="i">242</v>
    <v t="i">243</v>
    <v t="i">244</v>
    <v t="i">245</v>
    <v t="i">246</v>
    <v t="i">249</v>
    <v t="i">250</v>
    <v t="i">251</v>
    <v t="i">252</v>
    <v t="i">253</v>
    <v t="i">256</v>
    <v t="i">257</v>
    <v t="i">258</v>
    <v t="i">259</v>
    <v t="i">260</v>
    <v t="i">263</v>
    <v t="i">264</v>
    <v t="i">265</v>
    <v t="i">266</v>
    <v t="i">267</v>
    <v t="i">270</v>
    <v t="i">271</v>
    <v t="i">272</v>
    <v t="i">273</v>
    <v t="i">274</v>
    <v t="i">277</v>
    <v t="i">278</v>
    <v t="i">279</v>
    <v t="i">281</v>
    <v t="i">284</v>
    <v t="i">285</v>
    <v t="i">286</v>
    <v t="i">287</v>
    <v t="i">288</v>
    <v t="i">291</v>
    <v t="i">292</v>
    <v t="i">293</v>
    <v t="i">294</v>
    <v t="i">295</v>
    <v t="i">298</v>
    <v t="i">299</v>
    <v t="i">300</v>
    <v t="i">301</v>
    <v t="i">302</v>
    <v t="i">305</v>
    <v t="i">306</v>
    <v t="i">307</v>
    <v t="i">309</v>
    <v t="i">312</v>
    <v t="i">313</v>
    <v t="i">314</v>
    <v t="i">316</v>
    <v t="i">319</v>
    <v t="i">320</v>
    <v t="i">321</v>
    <v t="i">322</v>
    <v t="i">323</v>
    <v t="i">326</v>
    <v t="i">327</v>
    <v t="i">328</v>
    <v t="i">329</v>
    <v t="i">330</v>
    <v t="i">334</v>
    <v t="i">335</v>
    <v t="i">336</v>
    <v t="i">337</v>
    <v t="i">340</v>
    <v t="i">341</v>
    <v t="i">342</v>
    <v t="i">343</v>
    <v t="i">344</v>
    <v t="i">347</v>
    <v t="i">348</v>
    <v t="i">349</v>
    <v t="i">350</v>
    <v t="i">351</v>
    <v t="i">354</v>
    <v t="i">355</v>
    <v t="i">356</v>
    <v t="i">357</v>
    <v t="i">358</v>
    <v t="i">362</v>
    <v t="i">363</v>
    <v t="i">364</v>
  </a>
  <a r="1" c="251">
    <v>303.05</v>
    <v>304.81</v>
    <v>307.57</v>
    <v>310.72000000000003</v>
    <v>304.27</v>
    <v>309.95</v>
    <v>308.33</v>
    <v>304.29000000000002</v>
    <v>305.77</v>
    <v>307.45</v>
    <v>310.37</v>
    <v>321.29000000000002</v>
    <v>317.25</v>
    <v>306.76</v>
    <v>299.39999999999998</v>
    <v>297.5</v>
    <v>299.83</v>
    <v>303.97000000000003</v>
    <v>303.60000000000002</v>
    <v>306.92</v>
    <v>307</v>
    <v>305.44</v>
    <v>305.67</v>
    <v>306.92</v>
    <v>313.58</v>
    <v>312.69</v>
    <v>307.08999999999997</v>
    <v>312.37</v>
    <v>313.63</v>
    <v>311.58</v>
    <v>318.27</v>
    <v>300.11</v>
    <v>299.89</v>
    <v>299.83</v>
    <v>303.95999999999998</v>
    <v>306.77999999999997</v>
    <v>309.89999999999998</v>
    <v>316.07</v>
    <v>312.48</v>
    <v>309.10000000000002</v>
    <v>311.3</v>
    <v>308.72000000000003</v>
    <v>319.08</v>
    <v>318.48</v>
    <v>316.22000000000003</v>
    <v>316.74</v>
    <v>316.81</v>
    <v>314.5</v>
    <v>319.64999999999998</v>
    <v>313.64</v>
    <v>311.95999999999998</v>
    <v>315.72000000000003</v>
    <v>316.79000000000002</v>
    <v>318.13</v>
    <v>313.49</v>
    <v>313.68</v>
    <v>311.92</v>
    <v>308.69</v>
    <v>307.5</v>
    <v>314.48</v>
    <v>318.61</v>
    <v>321.23</v>
    <v>319.8</v>
    <v>316.44</v>
    <v>314.31</v>
    <v>314.57</v>
    <v>314.95</v>
    <v>312.83999999999997</v>
    <v>311.86</v>
    <v>313.85000000000002</v>
    <v>312.68</v>
    <v>312.39</v>
    <v>311.57</v>
    <v>308.98</v>
    <v>307.36</v>
    <v>304.77999999999997</v>
    <v>300.43</v>
    <v>301.72000000000003</v>
    <v>303.16000000000003</v>
    <v>301.91000000000003</v>
    <v>296.29000000000002</v>
    <v>292.31</v>
    <v>289.63</v>
    <v>287.45999999999998</v>
    <v>289.52</v>
    <v>291.47000000000003</v>
    <v>285.55</v>
    <v>285.63</v>
    <v>291.55</v>
    <v>292.17</v>
    <v>297.49</v>
    <v>294.63</v>
    <v>294.08</v>
    <v>293.52999999999997</v>
    <v>291.67</v>
    <v>293.02</v>
    <v>298.39</v>
    <v>299.91000000000003</v>
    <v>301.88</v>
    <v>299.62</v>
    <v>298.89999999999998</v>
    <v>300.37</v>
    <v>297.07</v>
    <v>295.74</v>
    <v>299.17</v>
    <v>298.12</v>
    <v>294.48</v>
    <v>298.47000000000003</v>
    <v>299.22000000000003</v>
    <v>302.67</v>
    <v>303.61</v>
    <v>300.07</v>
    <v>302.89</v>
    <v>304.23</v>
    <v>298.77</v>
    <v>307.66000000000003</v>
    <v>307.91000000000003</v>
    <v>305.45</v>
    <v>304.36</v>
    <v>301.64</v>
    <v>305.07</v>
    <v>308.95</v>
    <v>308.93</v>
    <v>308.7</v>
    <v>310.93</v>
    <v>313.08</v>
    <v>313.22000000000003</v>
    <v>314.07</v>
    <v>313.44</v>
    <v>312.94</v>
    <v>311.43</v>
    <v>312.22000000000003</v>
    <v>313.54000000000002</v>
    <v>315.76</v>
    <v>316.39</v>
    <v>316.99</v>
    <v>314.38</v>
    <v>312.8</v>
    <v>312.52</v>
    <v>305.94</v>
    <v>308.43</v>
    <v>305.39999999999998</v>
    <v>302.07</v>
    <v>303.29000000000002</v>
    <v>304.97000000000003</v>
    <v>301.14</v>
    <v>302.38</v>
    <v>302.99</v>
    <v>303.19</v>
    <v>304.33</v>
    <v>302.3</v>
    <v>305.24</v>
    <v>302.99</v>
    <v>303.89</v>
    <v>300.52</v>
    <v>299.88</v>
    <v>300.98</v>
    <v>296.04000000000002</v>
    <v>296.32</v>
    <v>294.39999999999998</v>
    <v>293.81</v>
    <v>297.01</v>
    <v>300.11</v>
    <v>304.56</v>
    <v>305.25</v>
    <v>305.33</v>
    <v>308.08999999999997</v>
    <v>307.77</v>
    <v>307.48</v>
    <v>310.11</v>
    <v>306.97000000000003</v>
    <v>305.79000000000002</v>
    <v>310</v>
    <v>306.39999999999998</v>
    <v>302.35000000000002</v>
    <v>302.43</v>
    <v>298.43</v>
    <v>296.37</v>
    <v>299.20999999999998</v>
    <v>305.67</v>
    <v>298.41000000000003</v>
    <v>299.66000000000003</v>
    <v>299.10000000000002</v>
    <v>306.83</v>
    <v>306.94</v>
    <v>307.58</v>
    <v>307.02999999999997</v>
    <v>304.89999999999998</v>
    <v>304.58999999999997</v>
    <v>302.74</v>
    <v>304.16000000000003</v>
    <v>309.35000000000002</v>
    <v>304.89999999999998</v>
    <v>310.45</v>
    <v>312.39999999999998</v>
    <v>311.82</v>
    <v>303.57</v>
    <v>300.72000000000003</v>
    <v>307.70999999999998</v>
    <v>308.54000000000002</v>
    <v>311.23</v>
    <v>309.79000000000002</v>
    <v>310.79000000000002</v>
    <v>310.52999999999997</v>
    <v>309.70999999999998</v>
    <v>316.72000000000003</v>
    <v>318.73</v>
    <v>314.5</v>
    <v>318.69</v>
    <v>319.64999999999998</v>
    <v>315.83999999999997</v>
    <v>316.22000000000003</v>
    <v>310.83999999999997</v>
    <v>313.33</v>
    <v>310.68</v>
    <v>308.52999999999997</v>
    <v>308.02999999999997</v>
    <v>305.63</v>
    <v>303.26</v>
    <v>299.86</v>
    <v>302.77</v>
    <v>304.16000000000003</v>
    <v>308.88</v>
    <v>307.32</v>
    <v>306.75</v>
    <v>309.44</v>
    <v>308.13</v>
    <v>308.62</v>
    <v>307.43</v>
    <v>302.83999999999997</v>
    <v>305.69</v>
    <v>306.02999999999997</v>
    <v>309.25</v>
    <v>312.95</v>
    <v>314.13</v>
    <v>312.8</v>
    <v>315.51</v>
    <v>315</v>
    <v>318.52999999999997</v>
    <v>319.48</v>
    <v>323.69</v>
    <v>323.48</v>
    <v>327.16000000000003</v>
    <v>325.60000000000002</v>
    <v>325.97000000000003</v>
    <v>323.20999999999998</v>
    <v>332.08</v>
    <v>327.58</v>
    <v>327.62</v>
    <v>327.89</v>
    <v>327.11</v>
  </a>
  <a r="1" c="251">
    <v>3020024</v>
    <v>3036654</v>
    <v>3397553</v>
    <v>3891555</v>
    <v>4140908</v>
    <v>3350723</v>
    <v>4972872</v>
    <v>4371634</v>
    <v>3954691</v>
    <v>2327472</v>
    <v>2954920</v>
    <v>7607616</v>
    <v>4707592</v>
    <v>4513135</v>
    <v>4546240</v>
    <v>4178882</v>
    <v>2696979</v>
    <v>2758628</v>
    <v>2435418</v>
    <v>2812212</v>
    <v>2723487</v>
    <v>6016138</v>
    <v>3443511</v>
    <v>2657170</v>
    <v>2624998</v>
    <v>3119455</v>
    <v>3211862</v>
    <v>4418823</v>
    <v>2411454</v>
    <v>2776755</v>
    <v>7023851</v>
    <v>8831090</v>
    <v>7725857</v>
    <v>5562462</v>
    <v>8265701</v>
    <v>6049543</v>
    <v>4440059</v>
    <v>4068713</v>
    <v>2901367</v>
    <v>3099078</v>
    <v>2728460</v>
    <v>2669905</v>
    <v>4200708</v>
    <v>3210134</v>
    <v>2479485</v>
    <v>2283147</v>
    <v>2578256</v>
    <v>3164531</v>
    <v>5564594</v>
    <v>5186858</v>
    <v>3994578</v>
    <v>3534301</v>
    <v>2691660</v>
    <v>2726245</v>
    <v>2131496</v>
    <v>1917830</v>
    <v>4137861</v>
    <v>3018600</v>
    <v>2657043</v>
    <v>2928718</v>
    <v>2637287</v>
    <v>2749002</v>
    <v>2034967</v>
    <v>2386740</v>
    <v>2642001</v>
    <v>2701615</v>
    <v>2527016</v>
    <v>1935645</v>
    <v>2248937</v>
    <v>4062917</v>
    <v>2577048</v>
    <v>3028181</v>
    <v>2069546</v>
    <v>3817236</v>
    <v>2622767</v>
    <v>4059771</v>
    <v>4698701</v>
    <v>3312510</v>
    <v>2584667</v>
    <v>2435628</v>
    <v>4045666</v>
    <v>3378975</v>
    <v>4008675</v>
    <v>7084966</v>
    <v>5172494</v>
    <v>4461222</v>
    <v>4259763</v>
    <v>5354904</v>
    <v>7422178</v>
    <v>5054752</v>
    <v>5121903</v>
    <v>4021460</v>
    <v>1678645</v>
    <v>3404279</v>
    <v>3123607</v>
    <v>3266050</v>
    <v>5368072</v>
    <v>4524080</v>
    <v>5707576</v>
    <v>2937595</v>
    <v>2804844</v>
    <v>3134529</v>
    <v>3481263</v>
    <v>3037506</v>
    <v>2672021</v>
    <v>2467609</v>
    <v>4426029</v>
    <v>3401033</v>
    <v>3070470</v>
    <v>3148084</v>
    <v>2805919</v>
    <v>3639588</v>
    <v>3344793</v>
    <v>4734465</v>
    <v>4222907</v>
    <v>6474304</v>
    <v>3603475</v>
    <v>2622369</v>
    <v>2648956</v>
    <v>3440070</v>
    <v>2999334</v>
    <v>4699435</v>
    <v>3416604</v>
    <v>3272917</v>
    <v>2893574</v>
    <v>3880218</v>
    <v>2282444</v>
    <v>2796930</v>
    <v>2944405</v>
    <v>2807730</v>
    <v>3234836</v>
    <v>3471683</v>
    <v>2492471</v>
    <v>3228651</v>
    <v>3219733</v>
    <v>2881528</v>
    <v>2533259</v>
    <v>2873797</v>
    <v>2310842</v>
    <v>3479927</v>
    <v>2761496</v>
    <v>2072848</v>
    <v>3584545</v>
    <v>3578515</v>
    <v>2681606</v>
    <v>4654057</v>
    <v>5696853</v>
    <v>3657877</v>
    <v>2976905</v>
    <v>2427617</v>
    <v>2558353</v>
    <v>2284795</v>
    <v>3073835</v>
    <v>2640436</v>
    <v>3055347</v>
    <v>2690402</v>
    <v>2599053</v>
    <v>3814151</v>
    <v>2516057</v>
    <v>2464566</v>
    <v>2802739</v>
    <v>4016226</v>
    <v>3369584</v>
    <v>2992849</v>
    <v>2522103</v>
    <v>2021608</v>
    <v>2194185</v>
    <v>2329755</v>
    <v>2461407</v>
    <v>2735723</v>
    <v>2081527</v>
    <v>1994545</v>
    <v>2139674</v>
    <v>2336495</v>
    <v>2502261</v>
    <v>3128398</v>
    <v>3582719</v>
    <v>3899313</v>
    <v>4151259</v>
    <v>6070334</v>
    <v>3544869</v>
    <v>3250197</v>
    <v>3824334</v>
    <v>2755799</v>
    <v>2818642</v>
    <v>2294288</v>
    <v>3112574</v>
    <v>2435713</v>
    <v>2774197</v>
    <v>2008521</v>
    <v>4205133</v>
    <v>3348908</v>
    <v>3687330</v>
    <v>4189915</v>
    <v>2786843</v>
    <v>1850687</v>
    <v>3354081</v>
    <v>3947816</v>
    <v>4986897</v>
    <v>4632369</v>
    <v>3147587</v>
    <v>3575017</v>
    <v>2355256</v>
    <v>4104201</v>
    <v>4844183</v>
    <v>3771935</v>
    <v>3814860</v>
    <v>2972523</v>
    <v>3329002</v>
    <v>3335221</v>
    <v>7128705</v>
    <v>2514579</v>
    <v>2922808</v>
    <v>1011483</v>
    <v>1308854</v>
    <v>2148502</v>
    <v>1678742</v>
    <v>1903701</v>
    <v>3124487</v>
    <v>4573300</v>
    <v>3769102</v>
    <v>4100536</v>
    <v>3268280</v>
    <v>2971973</v>
    <v>3206608</v>
    <v>2967887</v>
    <v>2949126</v>
    <v>3189620</v>
    <v>2590593</v>
    <v>3017998</v>
    <v>3630850</v>
    <v>2809356</v>
    <v>2350447</v>
    <v>3385352</v>
    <v>2506830</v>
    <v>2184937</v>
    <v>3211259</v>
    <v>2983277</v>
    <v>3309834</v>
    <v>4043582</v>
    <v>4805925</v>
    <v>3936775</v>
    <v>2831866</v>
    <v>2674131</v>
    <v>3502928</v>
    <v>4553181</v>
    <v>6499731</v>
    <v>3587877</v>
    <v>3367458</v>
    <v>3661833</v>
    <v>4032263</v>
  </a>
</arrayData>
</file>

<file path=xl/richData/rdrichvalue.xml><?xml version="1.0" encoding="utf-8"?>
<rvData xmlns="http://schemas.microsoft.com/office/spreadsheetml/2017/richdata" count="743">
  <rv s="0">
    <fb>45708</fb>
    <v>0</v>
  </rv>
  <rv s="0">
    <fb>303.05</fb>
    <v>1</v>
  </rv>
  <rv s="0">
    <fb>3020024</fb>
    <v>2</v>
  </rv>
  <rv s="0">
    <fb>45709</fb>
    <v>0</v>
  </rv>
  <rv s="0">
    <fb>304.81</fb>
    <v>1</v>
  </rv>
  <rv s="0">
    <fb>3036654</fb>
    <v>2</v>
  </rv>
  <rv s="0">
    <fb>45712</fb>
    <v>0</v>
  </rv>
  <rv s="0">
    <fb>307.57</fb>
    <v>1</v>
  </rv>
  <rv s="0">
    <fb>3397553</fb>
    <v>2</v>
  </rv>
  <rv s="0">
    <fb>45713</fb>
    <v>0</v>
  </rv>
  <rv s="0">
    <fb>310.72000000000003</fb>
    <v>1</v>
  </rv>
  <rv s="0">
    <fb>3891555</fb>
    <v>2</v>
  </rv>
  <rv s="0">
    <fb>45714</fb>
    <v>0</v>
  </rv>
  <rv s="0">
    <fb>304.27</fb>
    <v>1</v>
  </rv>
  <rv s="0">
    <fb>4140908</fb>
    <v>2</v>
  </rv>
  <rv s="0">
    <fb>45715</fb>
    <v>0</v>
  </rv>
  <rv s="0">
    <fb>309.95</fb>
    <v>1</v>
  </rv>
  <rv s="0">
    <fb>3350723</fb>
    <v>2</v>
  </rv>
  <rv s="0">
    <fb>45716</fb>
    <v>0</v>
  </rv>
  <rv s="0">
    <fb>308.33</fb>
    <v>1</v>
  </rv>
  <rv s="0">
    <fb>4972872</fb>
    <v>2</v>
  </rv>
  <rv s="0">
    <fb>45719</fb>
    <v>0</v>
  </rv>
  <rv s="0">
    <fb>304.29000000000002</fb>
    <v>1</v>
  </rv>
  <rv s="0">
    <fb>4371634</fb>
    <v>2</v>
  </rv>
  <rv s="0">
    <fb>45720</fb>
    <v>0</v>
  </rv>
  <rv s="0">
    <fb>305.77</fb>
    <v>1</v>
  </rv>
  <rv s="0">
    <fb>3954691</fb>
    <v>2</v>
  </rv>
  <rv s="0">
    <fb>45721</fb>
    <v>0</v>
  </rv>
  <rv s="0">
    <fb>307.45</fb>
    <v>1</v>
  </rv>
  <rv s="0">
    <fb>2327472</fb>
    <v>2</v>
  </rv>
  <rv s="0">
    <fb>45722</fb>
    <v>0</v>
  </rv>
  <rv s="0">
    <fb>310.37</fb>
    <v>1</v>
  </rv>
  <rv s="0">
    <fb>2954920</fb>
    <v>2</v>
  </rv>
  <rv s="0">
    <fb>45723</fb>
    <v>0</v>
  </rv>
  <rv s="0">
    <fb>321.29000000000002</fb>
    <v>1</v>
  </rv>
  <rv s="0">
    <fb>7607616</fb>
    <v>2</v>
  </rv>
  <rv s="0">
    <fb>45726</fb>
    <v>0</v>
  </rv>
  <rv s="0">
    <fb>317.25</fb>
    <v>1</v>
  </rv>
  <rv s="0">
    <fb>4707592</fb>
    <v>2</v>
  </rv>
  <rv s="0">
    <fb>45727</fb>
    <v>0</v>
  </rv>
  <rv s="0">
    <fb>306.76</fb>
    <v>1</v>
  </rv>
  <rv s="0">
    <fb>4513135</fb>
    <v>2</v>
  </rv>
  <rv s="0">
    <fb>45728</fb>
    <v>0</v>
  </rv>
  <rv s="0">
    <fb>299.39999999999998</fb>
    <v>1</v>
  </rv>
  <rv s="0">
    <fb>4546240</fb>
    <v>2</v>
  </rv>
  <rv s="0">
    <fb>45729</fb>
    <v>0</v>
  </rv>
  <rv s="0">
    <fb>297.5</fb>
    <v>1</v>
  </rv>
  <rv s="0">
    <fb>4178882</fb>
    <v>2</v>
  </rv>
  <rv s="0">
    <fb>45730</fb>
    <v>0</v>
  </rv>
  <rv s="0">
    <fb>299.83</fb>
    <v>1</v>
  </rv>
  <rv s="0">
    <fb>2696979</fb>
    <v>2</v>
  </rv>
  <rv s="0">
    <fb>45733</fb>
    <v>0</v>
  </rv>
  <rv s="0">
    <fb>303.97000000000003</fb>
    <v>1</v>
  </rv>
  <rv s="0">
    <fb>2758628</fb>
    <v>2</v>
  </rv>
  <rv s="0">
    <fb>45734</fb>
    <v>0</v>
  </rv>
  <rv s="0">
    <fb>303.60000000000002</fb>
    <v>1</v>
  </rv>
  <rv s="0">
    <fb>2435418</fb>
    <v>2</v>
  </rv>
  <rv s="0">
    <fb>45735</fb>
    <v>0</v>
  </rv>
  <rv s="0">
    <fb>306.92</fb>
    <v>1</v>
  </rv>
  <rv s="0">
    <fb>2812212</fb>
    <v>2</v>
  </rv>
  <rv s="0">
    <fb>45736</fb>
    <v>0</v>
  </rv>
  <rv s="0">
    <fb>307</fb>
    <v>1</v>
  </rv>
  <rv s="0">
    <fb>2723487</fb>
    <v>2</v>
  </rv>
  <rv s="0">
    <fb>45737</fb>
    <v>0</v>
  </rv>
  <rv s="0">
    <fb>305.44</fb>
    <v>1</v>
  </rv>
  <rv s="0">
    <fb>6016138</fb>
    <v>2</v>
  </rv>
  <rv s="0">
    <fb>45740</fb>
    <v>0</v>
  </rv>
  <rv s="0">
    <fb>305.67</fb>
    <v>1</v>
  </rv>
  <rv s="0">
    <fb>3443511</fb>
    <v>2</v>
  </rv>
  <rv s="0">
    <fb>45741</fb>
    <v>0</v>
  </rv>
  <rv s="0">
    <fb>2657170</fb>
    <v>2</v>
  </rv>
  <rv s="0">
    <fb>45742</fb>
    <v>0</v>
  </rv>
  <rv s="0">
    <fb>313.58</fb>
    <v>1</v>
  </rv>
  <rv s="0">
    <fb>2624998</fb>
    <v>2</v>
  </rv>
  <rv s="0">
    <fb>45743</fb>
    <v>0</v>
  </rv>
  <rv s="0">
    <fb>312.69</fb>
    <v>1</v>
  </rv>
  <rv s="0">
    <fb>3119455</fb>
    <v>2</v>
  </rv>
  <rv s="0">
    <fb>45744</fb>
    <v>0</v>
  </rv>
  <rv s="0">
    <fb>307.08999999999997</fb>
    <v>1</v>
  </rv>
  <rv s="0">
    <fb>3211862</fb>
    <v>2</v>
  </rv>
  <rv s="0">
    <fb>45747</fb>
    <v>0</v>
  </rv>
  <rv s="0">
    <fb>312.37</fb>
    <v>1</v>
  </rv>
  <rv s="0">
    <fb>4418823</fb>
    <v>2</v>
  </rv>
  <rv s="0">
    <fb>45748</fb>
    <v>0</v>
  </rv>
  <rv s="0">
    <fb>313.63</fb>
    <v>1</v>
  </rv>
  <rv s="0">
    <fb>2411454</fb>
    <v>2</v>
  </rv>
  <rv s="0">
    <fb>45749</fb>
    <v>0</v>
  </rv>
  <rv s="0">
    <fb>311.58</fb>
    <v>1</v>
  </rv>
  <rv s="0">
    <fb>2776755</fb>
    <v>2</v>
  </rv>
  <rv s="0">
    <fb>45750</fb>
    <v>0</v>
  </rv>
  <rv s="0">
    <fb>318.27</fb>
    <v>1</v>
  </rv>
  <rv s="0">
    <fb>7023851</fb>
    <v>2</v>
  </rv>
  <rv s="0">
    <fb>45751</fb>
    <v>0</v>
  </rv>
  <rv s="0">
    <fb>300.11</fb>
    <v>1</v>
  </rv>
  <rv s="0">
    <fb>8831090</fb>
    <v>2</v>
  </rv>
  <rv s="0">
    <fb>45754</fb>
    <v>0</v>
  </rv>
  <rv s="0">
    <fb>299.89</fb>
    <v>1</v>
  </rv>
  <rv s="0">
    <fb>7725857</fb>
    <v>2</v>
  </rv>
  <rv s="0">
    <fb>45755</fb>
    <v>0</v>
  </rv>
  <rv s="0">
    <fb>5562462</fb>
    <v>2</v>
  </rv>
  <rv s="0">
    <fb>45756</fb>
    <v>0</v>
  </rv>
  <rv s="0">
    <fb>303.95999999999998</fb>
    <v>1</v>
  </rv>
  <rv s="0">
    <fb>8265701</fb>
    <v>2</v>
  </rv>
  <rv s="0">
    <fb>45757</fb>
    <v>0</v>
  </rv>
  <rv s="0">
    <fb>306.77999999999997</fb>
    <v>1</v>
  </rv>
  <rv s="0">
    <fb>6049543</fb>
    <v>2</v>
  </rv>
  <rv s="0">
    <fb>45758</fb>
    <v>0</v>
  </rv>
  <rv s="0">
    <fb>309.89999999999998</fb>
    <v>1</v>
  </rv>
  <rv s="0">
    <fb>4440059</fb>
    <v>2</v>
  </rv>
  <rv s="0">
    <fb>45761</fb>
    <v>0</v>
  </rv>
  <rv s="0">
    <fb>316.07</fb>
    <v>1</v>
  </rv>
  <rv s="0">
    <fb>4068713</fb>
    <v>2</v>
  </rv>
  <rv s="0">
    <fb>45762</fb>
    <v>0</v>
  </rv>
  <rv s="0">
    <fb>312.48</fb>
    <v>1</v>
  </rv>
  <rv s="0">
    <fb>2901367</fb>
    <v>2</v>
  </rv>
  <rv s="0">
    <fb>45763</fb>
    <v>0</v>
  </rv>
  <rv s="0">
    <fb>309.10000000000002</fb>
    <v>1</v>
  </rv>
  <rv s="0">
    <fb>3099078</fb>
    <v>2</v>
  </rv>
  <rv s="0">
    <fb>45764</fb>
    <v>0</v>
  </rv>
  <rv s="0">
    <fb>311.3</fb>
    <v>1</v>
  </rv>
  <rv s="0">
    <fb>2728460</fb>
    <v>2</v>
  </rv>
  <rv s="0">
    <fb>45768</fb>
    <v>0</v>
  </rv>
  <rv s="0">
    <fb>308.72000000000003</fb>
    <v>1</v>
  </rv>
  <rv s="0">
    <fb>2669905</fb>
    <v>2</v>
  </rv>
  <rv s="0">
    <fb>45769</fb>
    <v>0</v>
  </rv>
  <rv s="0">
    <fb>319.08</fb>
    <v>1</v>
  </rv>
  <rv s="0">
    <fb>4200708</fb>
    <v>2</v>
  </rv>
  <rv s="0">
    <fb>45770</fb>
    <v>0</v>
  </rv>
  <rv s="0">
    <fb>318.48</fb>
    <v>1</v>
  </rv>
  <rv s="0">
    <fb>3210134</fb>
    <v>2</v>
  </rv>
  <rv s="0">
    <fb>45771</fb>
    <v>0</v>
  </rv>
  <rv s="0">
    <fb>316.22000000000003</fb>
    <v>1</v>
  </rv>
  <rv s="0">
    <fb>2479485</fb>
    <v>2</v>
  </rv>
  <rv s="0">
    <fb>45772</fb>
    <v>0</v>
  </rv>
  <rv s="0">
    <fb>316.74</fb>
    <v>1</v>
  </rv>
  <rv s="0">
    <fb>2283147</fb>
    <v>2</v>
  </rv>
  <rv s="0">
    <fb>45775</fb>
    <v>0</v>
  </rv>
  <rv s="0">
    <fb>316.81</fb>
    <v>1</v>
  </rv>
  <rv s="0">
    <fb>2578256</fb>
    <v>2</v>
  </rv>
  <rv s="0">
    <fb>45776</fb>
    <v>0</v>
  </rv>
  <rv s="0">
    <fb>314.5</fb>
    <v>1</v>
  </rv>
  <rv s="0">
    <fb>3164531</fb>
    <v>2</v>
  </rv>
  <rv s="0">
    <fb>45777</fb>
    <v>0</v>
  </rv>
  <rv s="0">
    <fb>319.64999999999998</fb>
    <v>1</v>
  </rv>
  <rv s="0">
    <fb>5564594</fb>
    <v>2</v>
  </rv>
  <rv s="0">
    <fb>45778</fb>
    <v>0</v>
  </rv>
  <rv s="0">
    <fb>313.64</fb>
    <v>1</v>
  </rv>
  <rv s="0">
    <fb>5186858</fb>
    <v>2</v>
  </rv>
  <rv s="0">
    <fb>45779</fb>
    <v>0</v>
  </rv>
  <rv s="0">
    <fb>311.95999999999998</fb>
    <v>1</v>
  </rv>
  <rv s="0">
    <fb>3994578</fb>
    <v>2</v>
  </rv>
  <rv s="0">
    <fb>45782</fb>
    <v>0</v>
  </rv>
  <rv s="0">
    <fb>315.72000000000003</fb>
    <v>1</v>
  </rv>
  <rv s="0">
    <fb>3534301</fb>
    <v>2</v>
  </rv>
  <rv s="0">
    <fb>45783</fb>
    <v>0</v>
  </rv>
  <rv s="0">
    <fb>316.79000000000002</fb>
    <v>1</v>
  </rv>
  <rv s="0">
    <fb>2691660</fb>
    <v>2</v>
  </rv>
  <rv s="0">
    <fb>45784</fb>
    <v>0</v>
  </rv>
  <rv s="0">
    <fb>318.13</fb>
    <v>1</v>
  </rv>
  <rv s="0">
    <fb>2726245</fb>
    <v>2</v>
  </rv>
  <rv s="0">
    <fb>45785</fb>
    <v>0</v>
  </rv>
  <rv s="0">
    <fb>313.49</fb>
    <v>1</v>
  </rv>
  <rv s="0">
    <fb>2131496</fb>
    <v>2</v>
  </rv>
  <rv s="0">
    <fb>45786</fb>
    <v>0</v>
  </rv>
  <rv s="0">
    <fb>313.68</fb>
    <v>1</v>
  </rv>
  <rv s="0">
    <fb>1917830</fb>
    <v>2</v>
  </rv>
  <rv s="0">
    <fb>45789</fb>
    <v>0</v>
  </rv>
  <rv s="0">
    <fb>311.92</fb>
    <v>1</v>
  </rv>
  <rv s="0">
    <fb>4137861</fb>
    <v>2</v>
  </rv>
  <rv s="0">
    <fb>45790</fb>
    <v>0</v>
  </rv>
  <rv s="0">
    <fb>308.69</fb>
    <v>1</v>
  </rv>
  <rv s="0">
    <fb>3018600</fb>
    <v>2</v>
  </rv>
  <rv s="0">
    <fb>45791</fb>
    <v>0</v>
  </rv>
  <rv s="0">
    <fb>307.5</fb>
    <v>1</v>
  </rv>
  <rv s="0">
    <fb>2657043</fb>
    <v>2</v>
  </rv>
  <rv s="0">
    <fb>45792</fb>
    <v>0</v>
  </rv>
  <rv s="0">
    <fb>314.48</fb>
    <v>1</v>
  </rv>
  <rv s="0">
    <fb>2928718</fb>
    <v>2</v>
  </rv>
  <rv s="0">
    <fb>45793</fb>
    <v>0</v>
  </rv>
  <rv s="0">
    <fb>318.61</fb>
    <v>1</v>
  </rv>
  <rv s="0">
    <fb>2637287</fb>
    <v>2</v>
  </rv>
  <rv s="0">
    <fb>45796</fb>
    <v>0</v>
  </rv>
  <rv s="0">
    <fb>321.23</fb>
    <v>1</v>
  </rv>
  <rv s="0">
    <fb>2749002</fb>
    <v>2</v>
  </rv>
  <rv s="0">
    <fb>45797</fb>
    <v>0</v>
  </rv>
  <rv s="0">
    <fb>319.8</fb>
    <v>1</v>
  </rv>
  <rv s="0">
    <fb>2034967</fb>
    <v>2</v>
  </rv>
  <rv s="0">
    <fb>45798</fb>
    <v>0</v>
  </rv>
  <rv s="0">
    <fb>316.44</fb>
    <v>1</v>
  </rv>
  <rv s="0">
    <fb>2386740</fb>
    <v>2</v>
  </rv>
  <rv s="0">
    <fb>45799</fb>
    <v>0</v>
  </rv>
  <rv s="0">
    <fb>314.31</fb>
    <v>1</v>
  </rv>
  <rv s="0">
    <fb>2642001</fb>
    <v>2</v>
  </rv>
  <rv s="0">
    <fb>45800</fb>
    <v>0</v>
  </rv>
  <rv s="0">
    <fb>314.57</fb>
    <v>1</v>
  </rv>
  <rv s="0">
    <fb>2701615</fb>
    <v>2</v>
  </rv>
  <rv s="0">
    <fb>45804</fb>
    <v>0</v>
  </rv>
  <rv s="0">
    <fb>314.95</fb>
    <v>1</v>
  </rv>
  <rv s="0">
    <fb>2527016</fb>
    <v>2</v>
  </rv>
  <rv s="0">
    <fb>45805</fb>
    <v>0</v>
  </rv>
  <rv s="0">
    <fb>312.83999999999997</fb>
    <v>1</v>
  </rv>
  <rv s="0">
    <fb>1935645</fb>
    <v>2</v>
  </rv>
  <rv s="0">
    <fb>45806</fb>
    <v>0</v>
  </rv>
  <rv s="0">
    <fb>311.86</fb>
    <v>1</v>
  </rv>
  <rv s="0">
    <fb>2248937</fb>
    <v>2</v>
  </rv>
  <rv s="0">
    <fb>45807</fb>
    <v>0</v>
  </rv>
  <rv s="0">
    <fb>313.85000000000002</fb>
    <v>1</v>
  </rv>
  <rv s="0">
    <fb>4062917</fb>
    <v>2</v>
  </rv>
  <rv s="0">
    <fb>45810</fb>
    <v>0</v>
  </rv>
  <rv s="0">
    <fb>312.68</fb>
    <v>1</v>
  </rv>
  <rv s="0">
    <fb>2577048</fb>
    <v>2</v>
  </rv>
  <rv s="0">
    <fb>45811</fb>
    <v>0</v>
  </rv>
  <rv s="0">
    <fb>312.39</fb>
    <v>1</v>
  </rv>
  <rv s="0">
    <fb>3028181</fb>
    <v>2</v>
  </rv>
  <rv s="0">
    <fb>45812</fb>
    <v>0</v>
  </rv>
  <rv s="0">
    <fb>311.57</fb>
    <v>1</v>
  </rv>
  <rv s="0">
    <fb>2069546</fb>
    <v>2</v>
  </rv>
  <rv s="0">
    <fb>45813</fb>
    <v>0</v>
  </rv>
  <rv s="0">
    <fb>308.98</fb>
    <v>1</v>
  </rv>
  <rv s="0">
    <fb>3817236</fb>
    <v>2</v>
  </rv>
  <rv s="0">
    <fb>45814</fb>
    <v>0</v>
  </rv>
  <rv s="0">
    <fb>307.36</fb>
    <v>1</v>
  </rv>
  <rv s="0">
    <fb>2622767</fb>
    <v>2</v>
  </rv>
  <rv s="0">
    <fb>45817</fb>
    <v>0</v>
  </rv>
  <rv s="0">
    <fb>304.77999999999997</fb>
    <v>1</v>
  </rv>
  <rv s="0">
    <fb>4059771</fb>
    <v>2</v>
  </rv>
  <rv s="0">
    <fb>45818</fb>
    <v>0</v>
  </rv>
  <rv s="0">
    <fb>300.43</fb>
    <v>1</v>
  </rv>
  <rv s="0">
    <fb>4698701</fb>
    <v>2</v>
  </rv>
  <rv s="0">
    <fb>45819</fb>
    <v>0</v>
  </rv>
  <rv s="0">
    <fb>301.72000000000003</fb>
    <v>1</v>
  </rv>
  <rv s="0">
    <fb>3312510</fb>
    <v>2</v>
  </rv>
  <rv s="0">
    <fb>45820</fb>
    <v>0</v>
  </rv>
  <rv s="0">
    <fb>303.16000000000003</fb>
    <v>1</v>
  </rv>
  <rv s="0">
    <fb>2584667</fb>
    <v>2</v>
  </rv>
  <rv s="0">
    <fb>45821</fb>
    <v>0</v>
  </rv>
  <rv s="0">
    <fb>301.91000000000003</fb>
    <v>1</v>
  </rv>
  <rv s="0">
    <fb>2435628</fb>
    <v>2</v>
  </rv>
  <rv s="0">
    <fb>45824</fb>
    <v>0</v>
  </rv>
  <rv s="0">
    <fb>296.29000000000002</fb>
    <v>1</v>
  </rv>
  <rv s="0">
    <fb>4045666</fb>
    <v>2</v>
  </rv>
  <rv s="0">
    <fb>45825</fb>
    <v>0</v>
  </rv>
  <rv s="0">
    <fb>292.31</fb>
    <v>1</v>
  </rv>
  <rv s="0">
    <fb>3378975</fb>
    <v>2</v>
  </rv>
  <rv s="0">
    <fb>45826</fb>
    <v>0</v>
  </rv>
  <rv s="0">
    <fb>289.63</fb>
    <v>1</v>
  </rv>
  <rv s="0">
    <fb>4008675</fb>
    <v>2</v>
  </rv>
  <rv s="0">
    <fb>45828</fb>
    <v>0</v>
  </rv>
  <rv s="0">
    <fb>287.45999999999998</fb>
    <v>1</v>
  </rv>
  <rv s="0">
    <fb>7084966</fb>
    <v>2</v>
  </rv>
  <rv s="0">
    <fb>45831</fb>
    <v>0</v>
  </rv>
  <rv s="0">
    <fb>289.52</fb>
    <v>1</v>
  </rv>
  <rv s="0">
    <fb>5172494</fb>
    <v>2</v>
  </rv>
  <rv s="0">
    <fb>45832</fb>
    <v>0</v>
  </rv>
  <rv s="0">
    <fb>291.47000000000003</fb>
    <v>1</v>
  </rv>
  <rv s="0">
    <fb>4461222</fb>
    <v>2</v>
  </rv>
  <rv s="0">
    <fb>45833</fb>
    <v>0</v>
  </rv>
  <rv s="0">
    <fb>285.55</fb>
    <v>1</v>
  </rv>
  <rv s="0">
    <fb>4259763</fb>
    <v>2</v>
  </rv>
  <rv s="0">
    <fb>45834</fb>
    <v>0</v>
  </rv>
  <rv s="0">
    <fb>285.63</fb>
    <v>1</v>
  </rv>
  <rv s="0">
    <fb>5354904</fb>
    <v>2</v>
  </rv>
  <rv s="0">
    <fb>45835</fb>
    <v>0</v>
  </rv>
  <rv s="0">
    <fb>291.55</fb>
    <v>1</v>
  </rv>
  <rv s="0">
    <fb>7422178</fb>
    <v>2</v>
  </rv>
  <rv s="0">
    <fb>45838</fb>
    <v>0</v>
  </rv>
  <rv s="0">
    <fb>292.17</fb>
    <v>1</v>
  </rv>
  <rv s="0">
    <fb>5054752</fb>
    <v>2</v>
  </rv>
  <rv s="0">
    <fb>45839</fb>
    <v>0</v>
  </rv>
  <rv s="0">
    <fb>297.49</fb>
    <v>1</v>
  </rv>
  <rv s="0">
    <fb>5121903</fb>
    <v>2</v>
  </rv>
  <rv s="0">
    <fb>45840</fb>
    <v>0</v>
  </rv>
  <rv s="0">
    <fb>294.63</fb>
    <v>1</v>
  </rv>
  <rv s="0">
    <fb>4021460</fb>
    <v>2</v>
  </rv>
  <rv s="0">
    <fb>45841</fb>
    <v>0</v>
  </rv>
  <rv s="0">
    <fb>294.08</fb>
    <v>1</v>
  </rv>
  <rv s="0">
    <fb>1678645</fb>
    <v>2</v>
  </rv>
  <rv s="0">
    <fb>45845</fb>
    <v>0</v>
  </rv>
  <rv s="0">
    <fb>293.52999999999997</fb>
    <v>1</v>
  </rv>
  <rv s="0">
    <fb>3404279</fb>
    <v>2</v>
  </rv>
  <rv s="0">
    <fb>45846</fb>
    <v>0</v>
  </rv>
  <rv s="0">
    <fb>291.67</fb>
    <v>1</v>
  </rv>
  <rv s="0">
    <fb>3123607</fb>
    <v>2</v>
  </rv>
  <rv s="0">
    <fb>45847</fb>
    <v>0</v>
  </rv>
  <rv s="0">
    <fb>293.02</fb>
    <v>1</v>
  </rv>
  <rv s="0">
    <fb>3266050</fb>
    <v>2</v>
  </rv>
  <rv s="0">
    <fb>45848</fb>
    <v>0</v>
  </rv>
  <rv s="0">
    <fb>298.39</fb>
    <v>1</v>
  </rv>
  <rv s="0">
    <fb>5368072</fb>
    <v>2</v>
  </rv>
  <rv s="0">
    <fb>45849</fb>
    <v>0</v>
  </rv>
  <rv s="0">
    <fb>299.91000000000003</fb>
    <v>1</v>
  </rv>
  <rv s="0">
    <fb>4524080</fb>
    <v>2</v>
  </rv>
  <rv s="0">
    <fb>45852</fb>
    <v>0</v>
  </rv>
  <rv s="0">
    <fb>301.88</fb>
    <v>1</v>
  </rv>
  <rv s="0">
    <fb>5707576</fb>
    <v>2</v>
  </rv>
  <rv s="0">
    <fb>45853</fb>
    <v>0</v>
  </rv>
  <rv s="0">
    <fb>299.62</fb>
    <v>1</v>
  </rv>
  <rv s="0">
    <fb>2937595</fb>
    <v>2</v>
  </rv>
  <rv s="0">
    <fb>45854</fb>
    <v>0</v>
  </rv>
  <rv s="0">
    <fb>298.89999999999998</fb>
    <v>1</v>
  </rv>
  <rv s="0">
    <fb>2804844</fb>
    <v>2</v>
  </rv>
  <rv s="0">
    <fb>45855</fb>
    <v>0</v>
  </rv>
  <rv s="0">
    <fb>300.37</fb>
    <v>1</v>
  </rv>
  <rv s="0">
    <fb>3134529</fb>
    <v>2</v>
  </rv>
  <rv s="0">
    <fb>45856</fb>
    <v>0</v>
  </rv>
  <rv s="0">
    <fb>297.07</fb>
    <v>1</v>
  </rv>
  <rv s="0">
    <fb>3481263</fb>
    <v>2</v>
  </rv>
  <rv s="0">
    <fb>45859</fb>
    <v>0</v>
  </rv>
  <rv s="0">
    <fb>295.74</fb>
    <v>1</v>
  </rv>
  <rv s="0">
    <fb>3037506</fb>
    <v>2</v>
  </rv>
  <rv s="0">
    <fb>45860</fb>
    <v>0</v>
  </rv>
  <rv s="0">
    <fb>299.17</fb>
    <v>1</v>
  </rv>
  <rv s="0">
    <fb>2672021</fb>
    <v>2</v>
  </rv>
  <rv s="0">
    <fb>45861</fb>
    <v>0</v>
  </rv>
  <rv s="0">
    <fb>298.12</fb>
    <v>1</v>
  </rv>
  <rv s="0">
    <fb>2467609</fb>
    <v>2</v>
  </rv>
  <rv s="0">
    <fb>45862</fb>
    <v>0</v>
  </rv>
  <rv s="0">
    <fb>294.48</fb>
    <v>1</v>
  </rv>
  <rv s="0">
    <fb>4426029</fb>
    <v>2</v>
  </rv>
  <rv s="0">
    <fb>45863</fb>
    <v>0</v>
  </rv>
  <rv s="0">
    <fb>298.47000000000003</fb>
    <v>1</v>
  </rv>
  <rv s="0">
    <fb>3401033</fb>
    <v>2</v>
  </rv>
  <rv s="0">
    <fb>45866</fb>
    <v>0</v>
  </rv>
  <rv s="0">
    <fb>299.22000000000003</fb>
    <v>1</v>
  </rv>
  <rv s="0">
    <fb>3070470</fb>
    <v>2</v>
  </rv>
  <rv s="0">
    <fb>45867</fb>
    <v>0</v>
  </rv>
  <rv s="0">
    <fb>302.67</fb>
    <v>1</v>
  </rv>
  <rv s="0">
    <fb>3148084</fb>
    <v>2</v>
  </rv>
  <rv s="0">
    <fb>45868</fb>
    <v>0</v>
  </rv>
  <rv s="0">
    <fb>303.61</fb>
    <v>1</v>
  </rv>
  <rv s="0">
    <fb>2805919</fb>
    <v>2</v>
  </rv>
  <rv s="0">
    <fb>45869</fb>
    <v>0</v>
  </rv>
  <rv s="0">
    <fb>300.07</fb>
    <v>1</v>
  </rv>
  <rv s="0">
    <fb>3639588</fb>
    <v>2</v>
  </rv>
  <rv s="0">
    <fb>45870</fb>
    <v>0</v>
  </rv>
  <rv s="0">
    <fb>302.89</fb>
    <v>1</v>
  </rv>
  <rv s="0">
    <fb>3344793</fb>
    <v>2</v>
  </rv>
  <rv s="0">
    <fb>45873</fb>
    <v>0</v>
  </rv>
  <rv s="0">
    <fb>304.23</fb>
    <v>1</v>
  </rv>
  <rv s="0">
    <fb>4734465</fb>
    <v>2</v>
  </rv>
  <rv s="0">
    <fb>45874</fb>
    <v>0</v>
  </rv>
  <rv s="0">
    <fb>298.77</fb>
    <v>1</v>
  </rv>
  <rv s="0">
    <fb>4222907</fb>
    <v>2</v>
  </rv>
  <rv s="0">
    <fb>45875</fb>
    <v>0</v>
  </rv>
  <rv s="0">
    <fb>307.66000000000003</fb>
    <v>1</v>
  </rv>
  <rv s="0">
    <fb>6474304</fb>
    <v>2</v>
  </rv>
  <rv s="0">
    <fb>45876</fb>
    <v>0</v>
  </rv>
  <rv s="0">
    <fb>307.91000000000003</fb>
    <v>1</v>
  </rv>
  <rv s="0">
    <fb>3603475</fb>
    <v>2</v>
  </rv>
  <rv s="0">
    <fb>45877</fb>
    <v>0</v>
  </rv>
  <rv s="0">
    <fb>305.45</fb>
    <v>1</v>
  </rv>
  <rv s="0">
    <fb>2622369</fb>
    <v>2</v>
  </rv>
  <rv s="0">
    <fb>45880</fb>
    <v>0</v>
  </rv>
  <rv s="0">
    <fb>304.36</fb>
    <v>1</v>
  </rv>
  <rv s="0">
    <fb>2648956</fb>
    <v>2</v>
  </rv>
  <rv s="0">
    <fb>45881</fb>
    <v>0</v>
  </rv>
  <rv s="0">
    <fb>301.64</fb>
    <v>1</v>
  </rv>
  <rv s="0">
    <fb>3440070</fb>
    <v>2</v>
  </rv>
  <rv s="0">
    <fb>45882</fb>
    <v>0</v>
  </rv>
  <rv s="0">
    <fb>305.07</fb>
    <v>1</v>
  </rv>
  <rv s="0">
    <fb>2999334</fb>
    <v>2</v>
  </rv>
  <rv s="0">
    <fb>45883</fb>
    <v>0</v>
  </rv>
  <rv s="0">
    <fb>308.95</fb>
    <v>1</v>
  </rv>
  <rv s="0">
    <fb>4699435</fb>
    <v>2</v>
  </rv>
  <rv s="0">
    <fb>45884</fb>
    <v>0</v>
  </rv>
  <rv s="0">
    <fb>308.93</fb>
    <v>1</v>
  </rv>
  <rv s="0">
    <fb>3416604</fb>
    <v>2</v>
  </rv>
  <rv s="0">
    <fb>45887</fb>
    <v>0</v>
  </rv>
  <rv s="0">
    <fb>308.7</fb>
    <v>1</v>
  </rv>
  <rv s="0">
    <fb>3272917</fb>
    <v>2</v>
  </rv>
  <rv s="0">
    <fb>45888</fb>
    <v>0</v>
  </rv>
  <rv s="0">
    <fb>310.93</fb>
    <v>1</v>
  </rv>
  <rv s="0">
    <fb>2893574</fb>
    <v>2</v>
  </rv>
  <rv s="0">
    <fb>45889</fb>
    <v>0</v>
  </rv>
  <rv s="0">
    <fb>313.08</fb>
    <v>1</v>
  </rv>
  <rv s="0">
    <fb>3880218</fb>
    <v>2</v>
  </rv>
  <rv s="0">
    <fb>45890</fb>
    <v>0</v>
  </rv>
  <rv s="0">
    <fb>313.22000000000003</fb>
    <v>1</v>
  </rv>
  <rv s="0">
    <fb>2282444</fb>
    <v>2</v>
  </rv>
  <rv s="0">
    <fb>45891</fb>
    <v>0</v>
  </rv>
  <rv s="0">
    <fb>314.07</fb>
    <v>1</v>
  </rv>
  <rv s="0">
    <fb>2796930</fb>
    <v>2</v>
  </rv>
  <rv s="0">
    <fb>45894</fb>
    <v>0</v>
  </rv>
  <rv s="0">
    <fb>313.44</fb>
    <v>1</v>
  </rv>
  <rv s="0">
    <fb>2944405</fb>
    <v>2</v>
  </rv>
  <rv s="0">
    <fb>45895</fb>
    <v>0</v>
  </rv>
  <rv s="0">
    <fb>312.94</fb>
    <v>1</v>
  </rv>
  <rv s="0">
    <fb>2807730</fb>
    <v>2</v>
  </rv>
  <rv s="0">
    <fb>45896</fb>
    <v>0</v>
  </rv>
  <rv s="0">
    <fb>311.43</fb>
    <v>1</v>
  </rv>
  <rv s="0">
    <fb>3234836</fb>
    <v>2</v>
  </rv>
  <rv s="0">
    <fb>45897</fb>
    <v>0</v>
  </rv>
  <rv s="0">
    <fb>312.22000000000003</fb>
    <v>1</v>
  </rv>
  <rv s="0">
    <fb>3471683</fb>
    <v>2</v>
  </rv>
  <rv s="0">
    <fb>45898</fb>
    <v>0</v>
  </rv>
  <rv s="0">
    <fb>313.54000000000002</fb>
    <v>1</v>
  </rv>
  <rv s="0">
    <fb>2492471</fb>
    <v>2</v>
  </rv>
  <rv s="0">
    <fb>45902</fb>
    <v>0</v>
  </rv>
  <rv s="0">
    <fb>315.76</fb>
    <v>1</v>
  </rv>
  <rv s="0">
    <fb>3228651</fb>
    <v>2</v>
  </rv>
  <rv s="0">
    <fb>45903</fb>
    <v>0</v>
  </rv>
  <rv s="0">
    <fb>316.39</fb>
    <v>1</v>
  </rv>
  <rv s="0">
    <fb>3219733</fb>
    <v>2</v>
  </rv>
  <rv s="0">
    <fb>45904</fb>
    <v>0</v>
  </rv>
  <rv s="0">
    <fb>316.99</fb>
    <v>1</v>
  </rv>
  <rv s="0">
    <fb>2881528</fb>
    <v>2</v>
  </rv>
  <rv s="0">
    <fb>45905</fb>
    <v>0</v>
  </rv>
  <rv s="0">
    <fb>314.38</fb>
    <v>1</v>
  </rv>
  <rv s="0">
    <fb>2533259</fb>
    <v>2</v>
  </rv>
  <rv s="0">
    <fb>45908</fb>
    <v>0</v>
  </rv>
  <rv s="0">
    <fb>312.8</fb>
    <v>1</v>
  </rv>
  <rv s="0">
    <fb>2873797</fb>
    <v>2</v>
  </rv>
  <rv s="0">
    <fb>45909</fb>
    <v>0</v>
  </rv>
  <rv s="0">
    <fb>312.52</fb>
    <v>1</v>
  </rv>
  <rv s="0">
    <fb>2310842</fb>
    <v>2</v>
  </rv>
  <rv s="0">
    <fb>45910</fb>
    <v>0</v>
  </rv>
  <rv s="0">
    <fb>305.94</fb>
    <v>1</v>
  </rv>
  <rv s="0">
    <fb>3479927</fb>
    <v>2</v>
  </rv>
  <rv s="0">
    <fb>45911</fb>
    <v>0</v>
  </rv>
  <rv s="0">
    <fb>308.43</fb>
    <v>1</v>
  </rv>
  <rv s="0">
    <fb>2761496</fb>
    <v>2</v>
  </rv>
  <rv s="0">
    <fb>45912</fb>
    <v>0</v>
  </rv>
  <rv s="0">
    <fb>305.39999999999998</fb>
    <v>1</v>
  </rv>
  <rv s="0">
    <fb>2072848</fb>
    <v>2</v>
  </rv>
  <rv s="0">
    <fb>45915</fb>
    <v>0</v>
  </rv>
  <rv s="0">
    <fb>302.07</fb>
    <v>1</v>
  </rv>
  <rv s="0">
    <fb>3584545</fb>
    <v>2</v>
  </rv>
  <rv s="0">
    <fb>45916</fb>
    <v>0</v>
  </rv>
  <rv s="0">
    <fb>303.29000000000002</fb>
    <v>1</v>
  </rv>
  <rv s="0">
    <fb>3578515</fb>
    <v>2</v>
  </rv>
  <rv s="0">
    <fb>45917</fb>
    <v>0</v>
  </rv>
  <rv s="0">
    <fb>304.97000000000003</fb>
    <v>1</v>
  </rv>
  <rv s="0">
    <fb>2681606</fb>
    <v>2</v>
  </rv>
  <rv s="0">
    <fb>45918</fb>
    <v>0</v>
  </rv>
  <rv s="0">
    <fb>301.14</fb>
    <v>1</v>
  </rv>
  <rv s="0">
    <fb>4654057</fb>
    <v>2</v>
  </rv>
  <rv s="0">
    <fb>45919</fb>
    <v>0</v>
  </rv>
  <rv s="0">
    <fb>302.38</fb>
    <v>1</v>
  </rv>
  <rv s="0">
    <fb>5696853</fb>
    <v>2</v>
  </rv>
  <rv s="0">
    <fb>45922</fb>
    <v>0</v>
  </rv>
  <rv s="0">
    <fb>302.99</fb>
    <v>1</v>
  </rv>
  <rv s="0">
    <fb>3657877</fb>
    <v>2</v>
  </rv>
  <rv s="0">
    <fb>45923</fb>
    <v>0</v>
  </rv>
  <rv s="0">
    <fb>303.19</fb>
    <v>1</v>
  </rv>
  <rv s="0">
    <fb>2976905</fb>
    <v>2</v>
  </rv>
  <rv s="0">
    <fb>45924</fb>
    <v>0</v>
  </rv>
  <rv s="0">
    <fb>304.33</fb>
    <v>1</v>
  </rv>
  <rv s="0">
    <fb>2427617</fb>
    <v>2</v>
  </rv>
  <rv s="0">
    <fb>45925</fb>
    <v>0</v>
  </rv>
  <rv s="0">
    <fb>302.3</fb>
    <v>1</v>
  </rv>
  <rv s="0">
    <fb>2558353</fb>
    <v>2</v>
  </rv>
  <rv s="0">
    <fb>45926</fb>
    <v>0</v>
  </rv>
  <rv s="0">
    <fb>305.24</fb>
    <v>1</v>
  </rv>
  <rv s="0">
    <fb>2284795</fb>
    <v>2</v>
  </rv>
  <rv s="0">
    <fb>45929</fb>
    <v>0</v>
  </rv>
  <rv s="0">
    <fb>3073835</fb>
    <v>2</v>
  </rv>
  <rv s="0">
    <fb>45930</fb>
    <v>0</v>
  </rv>
  <rv s="0">
    <fb>303.89</fb>
    <v>1</v>
  </rv>
  <rv s="0">
    <fb>2640436</fb>
    <v>2</v>
  </rv>
  <rv s="0">
    <fb>45931</fb>
    <v>0</v>
  </rv>
  <rv s="0">
    <fb>300.52</fb>
    <v>1</v>
  </rv>
  <rv s="0">
    <fb>3055347</fb>
    <v>2</v>
  </rv>
  <rv s="0">
    <fb>45932</fb>
    <v>0</v>
  </rv>
  <rv s="0">
    <fb>299.88</fb>
    <v>1</v>
  </rv>
  <rv s="0">
    <fb>2690402</fb>
    <v>2</v>
  </rv>
  <rv s="0">
    <fb>45933</fb>
    <v>0</v>
  </rv>
  <rv s="0">
    <fb>300.98</fb>
    <v>1</v>
  </rv>
  <rv s="0">
    <fb>2599053</fb>
    <v>2</v>
  </rv>
  <rv s="0">
    <fb>45936</fb>
    <v>0</v>
  </rv>
  <rv s="0">
    <fb>296.04000000000002</fb>
    <v>1</v>
  </rv>
  <rv s="0">
    <fb>3814151</fb>
    <v>2</v>
  </rv>
  <rv s="0">
    <fb>45937</fb>
    <v>0</v>
  </rv>
  <rv s="0">
    <fb>296.32</fb>
    <v>1</v>
  </rv>
  <rv s="0">
    <fb>2516057</fb>
    <v>2</v>
  </rv>
  <rv s="0">
    <fb>45938</fb>
    <v>0</v>
  </rv>
  <rv s="0">
    <fb>294.39999999999998</fb>
    <v>1</v>
  </rv>
  <rv s="0">
    <fb>2464566</fb>
    <v>2</v>
  </rv>
  <rv s="0">
    <fb>45939</fb>
    <v>0</v>
  </rv>
  <rv s="0">
    <fb>293.81</fb>
    <v>1</v>
  </rv>
  <rv s="0">
    <fb>2802739</fb>
    <v>2</v>
  </rv>
  <rv s="0">
    <fb>45940</fb>
    <v>0</v>
  </rv>
  <rv s="0">
    <fb>297.01</fb>
    <v>1</v>
  </rv>
  <rv s="0">
    <fb>4016226</fb>
    <v>2</v>
  </rv>
  <rv s="0">
    <fb>45943</fb>
    <v>0</v>
  </rv>
  <rv s="0">
    <fb>3369584</fb>
    <v>2</v>
  </rv>
  <rv s="0">
    <fb>45944</fb>
    <v>0</v>
  </rv>
  <rv s="0">
    <fb>304.56</fb>
    <v>1</v>
  </rv>
  <rv s="0">
    <fb>2992849</fb>
    <v>2</v>
  </rv>
  <rv s="0">
    <fb>45945</fb>
    <v>0</v>
  </rv>
  <rv s="0">
    <fb>305.25</fb>
    <v>1</v>
  </rv>
  <rv s="0">
    <fb>2522103</fb>
    <v>2</v>
  </rv>
  <rv s="0">
    <fb>45946</fb>
    <v>0</v>
  </rv>
  <rv s="0">
    <fb>305.33</fb>
    <v>1</v>
  </rv>
  <rv s="0">
    <fb>2021608</fb>
    <v>2</v>
  </rv>
  <rv s="0">
    <fb>45947</fb>
    <v>0</v>
  </rv>
  <rv s="0">
    <fb>308.08999999999997</fb>
    <v>1</v>
  </rv>
  <rv s="0">
    <fb>2194185</fb>
    <v>2</v>
  </rv>
  <rv s="0">
    <fb>45950</fb>
    <v>0</v>
  </rv>
  <rv s="0">
    <fb>307.77</fb>
    <v>1</v>
  </rv>
  <rv s="0">
    <fb>2329755</fb>
    <v>2</v>
  </rv>
  <rv s="0">
    <fb>45951</fb>
    <v>0</v>
  </rv>
  <rv s="0">
    <fb>307.48</fb>
    <v>1</v>
  </rv>
  <rv s="0">
    <fb>2461407</fb>
    <v>2</v>
  </rv>
  <rv s="0">
    <fb>45952</fb>
    <v>0</v>
  </rv>
  <rv s="0">
    <fb>310.11</fb>
    <v>1</v>
  </rv>
  <rv s="0">
    <fb>2735723</fb>
    <v>2</v>
  </rv>
  <rv s="0">
    <fb>45953</fb>
    <v>0</v>
  </rv>
  <rv s="0">
    <fb>306.97000000000003</fb>
    <v>1</v>
  </rv>
  <rv s="0">
    <fb>2081527</fb>
    <v>2</v>
  </rv>
  <rv s="0">
    <fb>45954</fb>
    <v>0</v>
  </rv>
  <rv s="0">
    <fb>305.79000000000002</fb>
    <v>1</v>
  </rv>
  <rv s="0">
    <fb>1994545</fb>
    <v>2</v>
  </rv>
  <rv s="0">
    <fb>45957</fb>
    <v>0</v>
  </rv>
  <rv s="0">
    <fb>310</fb>
    <v>1</v>
  </rv>
  <rv s="0">
    <fb>2139674</fb>
    <v>2</v>
  </rv>
  <rv s="0">
    <fb>45958</fb>
    <v>0</v>
  </rv>
  <rv s="0">
    <fb>306.39999999999998</fb>
    <v>1</v>
  </rv>
  <rv s="0">
    <fb>2336495</fb>
    <v>2</v>
  </rv>
  <rv s="0">
    <fb>45959</fb>
    <v>0</v>
  </rv>
  <rv s="0">
    <fb>302.35000000000002</fb>
    <v>1</v>
  </rv>
  <rv s="0">
    <fb>2502261</fb>
    <v>2</v>
  </rv>
  <rv s="0">
    <fb>45960</fb>
    <v>0</v>
  </rv>
  <rv s="0">
    <fb>302.43</fb>
    <v>1</v>
  </rv>
  <rv s="0">
    <fb>3128398</fb>
    <v>2</v>
  </rv>
  <rv s="0">
    <fb>45961</fb>
    <v>0</v>
  </rv>
  <rv s="0">
    <fb>298.43</fb>
    <v>1</v>
  </rv>
  <rv s="0">
    <fb>3582719</fb>
    <v>2</v>
  </rv>
  <rv s="0">
    <fb>45964</fb>
    <v>0</v>
  </rv>
  <rv s="0">
    <fb>296.37</fb>
    <v>1</v>
  </rv>
  <rv s="0">
    <fb>3899313</fb>
    <v>2</v>
  </rv>
  <rv s="0">
    <fb>45965</fb>
    <v>0</v>
  </rv>
  <rv s="0">
    <fb>299.20999999999998</fb>
    <v>1</v>
  </rv>
  <rv s="0">
    <fb>4151259</fb>
    <v>2</v>
  </rv>
  <rv s="0">
    <fb>45966</fb>
    <v>0</v>
  </rv>
  <rv s="0">
    <fb>6070334</fb>
    <v>2</v>
  </rv>
  <rv s="0">
    <fb>45967</fb>
    <v>0</v>
  </rv>
  <rv s="0">
    <fb>298.41000000000003</fb>
    <v>1</v>
  </rv>
  <rv s="0">
    <fb>3544869</fb>
    <v>2</v>
  </rv>
  <rv s="0">
    <fb>45968</fb>
    <v>0</v>
  </rv>
  <rv s="0">
    <fb>299.66000000000003</fb>
    <v>1</v>
  </rv>
  <rv s="0">
    <fb>3250197</fb>
    <v>2</v>
  </rv>
  <rv s="0">
    <fb>45971</fb>
    <v>0</v>
  </rv>
  <rv s="0">
    <fb>299.10000000000002</fb>
    <v>1</v>
  </rv>
  <rv s="0">
    <fb>3824334</fb>
    <v>2</v>
  </rv>
  <rv s="0">
    <fb>45972</fb>
    <v>0</v>
  </rv>
  <rv s="0">
    <fb>306.83</fb>
    <v>1</v>
  </rv>
  <rv s="0">
    <fb>2755799</fb>
    <v>2</v>
  </rv>
  <rv s="0">
    <fb>45973</fb>
    <v>0</v>
  </rv>
  <rv s="0">
    <fb>306.94</fb>
    <v>1</v>
  </rv>
  <rv s="0">
    <fb>2818642</fb>
    <v>2</v>
  </rv>
  <rv s="0">
    <fb>45974</fb>
    <v>0</v>
  </rv>
  <rv s="0">
    <fb>307.58</fb>
    <v>1</v>
  </rv>
  <rv s="0">
    <fb>2294288</fb>
    <v>2</v>
  </rv>
  <rv s="0">
    <fb>45975</fb>
    <v>0</v>
  </rv>
  <rv s="0">
    <fb>307.02999999999997</fb>
    <v>1</v>
  </rv>
  <rv s="0">
    <fb>3112574</fb>
    <v>2</v>
  </rv>
  <rv s="0">
    <fb>45978</fb>
    <v>0</v>
  </rv>
  <rv s="0">
    <fb>304.89999999999998</fb>
    <v>1</v>
  </rv>
  <rv s="0">
    <fb>2435713</fb>
    <v>2</v>
  </rv>
  <rv s="0">
    <fb>45979</fb>
    <v>0</v>
  </rv>
  <rv s="0">
    <fb>304.58999999999997</fb>
    <v>1</v>
  </rv>
  <rv s="0">
    <fb>2774197</fb>
    <v>2</v>
  </rv>
  <rv s="0">
    <fb>45980</fb>
    <v>0</v>
  </rv>
  <rv s="0">
    <fb>302.74</fb>
    <v>1</v>
  </rv>
  <rv s="0">
    <fb>2008521</fb>
    <v>2</v>
  </rv>
  <rv s="0">
    <fb>45981</fb>
    <v>0</v>
  </rv>
  <rv s="0">
    <fb>304.16000000000003</fb>
    <v>1</v>
  </rv>
  <rv s="0">
    <fb>4205133</fb>
    <v>2</v>
  </rv>
  <rv s="0">
    <fb>45982</fb>
    <v>0</v>
  </rv>
  <rv s="0">
    <fb>309.35000000000002</fb>
    <v>1</v>
  </rv>
  <rv s="0">
    <fb>3348908</fb>
    <v>2</v>
  </rv>
  <rv s="0">
    <fb>45985</fb>
    <v>0</v>
  </rv>
  <rv s="0">
    <fb>3687330</fb>
    <v>2</v>
  </rv>
  <rv s="0">
    <fb>45986</fb>
    <v>0</v>
  </rv>
  <rv s="0">
    <fb>310.45</fb>
    <v>1</v>
  </rv>
  <rv s="0">
    <fb>4189915</fb>
    <v>2</v>
  </rv>
  <rv s="0">
    <fb>45987</fb>
    <v>0</v>
  </rv>
  <rv s="0">
    <fb>312.39999999999998</fb>
    <v>1</v>
  </rv>
  <rv s="0">
    <fb>2786843</fb>
    <v>2</v>
  </rv>
  <rv s="0">
    <fb>45989</fb>
    <v>0</v>
  </rv>
  <rv s="0">
    <fb>311.82</fb>
    <v>1</v>
  </rv>
  <rv s="0">
    <fb>1850687</fb>
    <v>2</v>
  </rv>
  <rv s="0">
    <fb>45992</fb>
    <v>0</v>
  </rv>
  <rv s="0">
    <fb>303.57</fb>
    <v>1</v>
  </rv>
  <rv s="0">
    <fb>3354081</fb>
    <v>2</v>
  </rv>
  <rv s="0">
    <fb>45993</fb>
    <v>0</v>
  </rv>
  <rv s="0">
    <fb>300.72000000000003</fb>
    <v>1</v>
  </rv>
  <rv s="0">
    <fb>3947816</fb>
    <v>2</v>
  </rv>
  <rv s="0">
    <fb>45994</fb>
    <v>0</v>
  </rv>
  <rv s="0">
    <fb>307.70999999999998</fb>
    <v>1</v>
  </rv>
  <rv s="0">
    <fb>4986897</fb>
    <v>2</v>
  </rv>
  <rv s="0">
    <fb>45995</fb>
    <v>0</v>
  </rv>
  <rv s="0">
    <fb>308.54000000000002</fb>
    <v>1</v>
  </rv>
  <rv s="0">
    <fb>4632369</fb>
    <v>2</v>
  </rv>
  <rv s="0">
    <fb>45996</fb>
    <v>0</v>
  </rv>
  <rv s="0">
    <fb>311.23</fb>
    <v>1</v>
  </rv>
  <rv s="0">
    <fb>3147587</fb>
    <v>2</v>
  </rv>
  <rv s="0">
    <fb>45999</fb>
    <v>0</v>
  </rv>
  <rv s="0">
    <fb>309.79000000000002</fb>
    <v>1</v>
  </rv>
  <rv s="0">
    <fb>3575017</fb>
    <v>2</v>
  </rv>
  <rv s="0">
    <fb>46000</fb>
    <v>0</v>
  </rv>
  <rv s="0">
    <fb>310.79000000000002</fb>
    <v>1</v>
  </rv>
  <rv s="0">
    <fb>2355256</fb>
    <v>2</v>
  </rv>
  <rv s="0">
    <fb>46001</fb>
    <v>0</v>
  </rv>
  <rv s="0">
    <fb>310.52999999999997</fb>
    <v>1</v>
  </rv>
  <rv s="0">
    <fb>4104201</fb>
    <v>2</v>
  </rv>
  <rv s="0">
    <fb>46002</fb>
    <v>0</v>
  </rv>
  <rv s="0">
    <fb>309.70999999999998</fb>
    <v>1</v>
  </rv>
  <rv s="0">
    <fb>4844183</fb>
    <v>2</v>
  </rv>
  <rv s="0">
    <fb>46003</fb>
    <v>0</v>
  </rv>
  <rv s="0">
    <fb>316.72000000000003</fb>
    <v>1</v>
  </rv>
  <rv s="0">
    <fb>3771935</fb>
    <v>2</v>
  </rv>
  <rv s="0">
    <fb>46006</fb>
    <v>0</v>
  </rv>
  <rv s="0">
    <fb>318.73</fb>
    <v>1</v>
  </rv>
  <rv s="0">
    <fb>3814860</fb>
    <v>2</v>
  </rv>
  <rv s="0">
    <fb>46007</fb>
    <v>0</v>
  </rv>
  <rv s="0">
    <fb>2972523</fb>
    <v>2</v>
  </rv>
  <rv s="0">
    <fb>46008</fb>
    <v>0</v>
  </rv>
  <rv s="0">
    <fb>318.69</fb>
    <v>1</v>
  </rv>
  <rv s="0">
    <fb>3329002</fb>
    <v>2</v>
  </rv>
  <rv s="0">
    <fb>46009</fb>
    <v>0</v>
  </rv>
  <rv s="0">
    <fb>3335221</fb>
    <v>2</v>
  </rv>
  <rv s="0">
    <fb>46010</fb>
    <v>0</v>
  </rv>
  <rv s="0">
    <fb>315.83999999999997</fb>
    <v>1</v>
  </rv>
  <rv s="0">
    <fb>7128705</fb>
    <v>2</v>
  </rv>
  <rv s="0">
    <fb>46013</fb>
    <v>0</v>
  </rv>
  <rv s="0">
    <fb>2514579</fb>
    <v>2</v>
  </rv>
  <rv s="0">
    <fb>46014</fb>
    <v>0</v>
  </rv>
  <rv s="0">
    <fb>310.83999999999997</fb>
    <v>1</v>
  </rv>
  <rv s="0">
    <fb>2922808</fb>
    <v>2</v>
  </rv>
  <rv s="0">
    <fb>46015</fb>
    <v>0</v>
  </rv>
  <rv s="0">
    <fb>313.33</fb>
    <v>1</v>
  </rv>
  <rv s="0">
    <fb>1011483</fb>
    <v>2</v>
  </rv>
  <rv s="0">
    <fb>46017</fb>
    <v>0</v>
  </rv>
  <rv s="0">
    <fb>310.68</fb>
    <v>1</v>
  </rv>
  <rv s="0">
    <fb>1308854</fb>
    <v>2</v>
  </rv>
  <rv s="0">
    <fb>46020</fb>
    <v>0</v>
  </rv>
  <rv s="0">
    <fb>308.52999999999997</fb>
    <v>1</v>
  </rv>
  <rv s="0">
    <fb>2148502</fb>
    <v>2</v>
  </rv>
  <rv s="0">
    <fb>46021</fb>
    <v>0</v>
  </rv>
  <rv s="0">
    <fb>308.02999999999997</fb>
    <v>1</v>
  </rv>
  <rv s="0">
    <fb>1678742</fb>
    <v>2</v>
  </rv>
  <rv s="0">
    <fb>46022</fb>
    <v>0</v>
  </rv>
  <rv s="0">
    <fb>305.63</fb>
    <v>1</v>
  </rv>
  <rv s="0">
    <fb>1903701</fb>
    <v>2</v>
  </rv>
  <rv s="0">
    <fb>46024</fb>
    <v>0</v>
  </rv>
  <rv s="0">
    <fb>303.26</fb>
    <v>1</v>
  </rv>
  <rv s="0">
    <fb>3124487</fb>
    <v>2</v>
  </rv>
  <rv s="0">
    <fb>46027</fb>
    <v>0</v>
  </rv>
  <rv s="0">
    <fb>299.86</fb>
    <v>1</v>
  </rv>
  <rv s="0">
    <fb>4573300</fb>
    <v>2</v>
  </rv>
  <rv s="0">
    <fb>46028</fb>
    <v>0</v>
  </rv>
  <rv s="0">
    <fb>302.77</fb>
    <v>1</v>
  </rv>
  <rv s="0">
    <fb>3769102</fb>
    <v>2</v>
  </rv>
  <rv s="0">
    <fb>46029</fb>
    <v>0</v>
  </rv>
  <rv s="0">
    <fb>4100536</fb>
    <v>2</v>
  </rv>
  <rv s="0">
    <fb>46030</fb>
    <v>0</v>
  </rv>
  <rv s="0">
    <fb>308.88</fb>
    <v>1</v>
  </rv>
  <rv s="0">
    <fb>3268280</fb>
    <v>2</v>
  </rv>
  <rv s="0">
    <fb>46031</fb>
    <v>0</v>
  </rv>
  <rv s="0">
    <fb>307.32</fb>
    <v>1</v>
  </rv>
  <rv s="0">
    <fb>2971973</fb>
    <v>2</v>
  </rv>
  <rv s="0">
    <fb>46034</fb>
    <v>0</v>
  </rv>
  <rv s="0">
    <fb>306.75</fb>
    <v>1</v>
  </rv>
  <rv s="0">
    <fb>3206608</fb>
    <v>2</v>
  </rv>
  <rv s="0">
    <fb>46035</fb>
    <v>0</v>
  </rv>
  <rv s="0">
    <fb>309.44</fb>
    <v>1</v>
  </rv>
  <rv s="0">
    <fb>2967887</fb>
    <v>2</v>
  </rv>
  <rv s="0">
    <fb>46036</fb>
    <v>0</v>
  </rv>
  <rv s="0">
    <fb>308.13</fb>
    <v>1</v>
  </rv>
  <rv s="0">
    <fb>2949126</fb>
    <v>2</v>
  </rv>
  <rv s="0">
    <fb>46037</fb>
    <v>0</v>
  </rv>
  <rv s="0">
    <fb>308.62</fb>
    <v>1</v>
  </rv>
  <rv s="0">
    <fb>3189620</fb>
    <v>2</v>
  </rv>
  <rv s="0">
    <fb>46038</fb>
    <v>0</v>
  </rv>
  <rv s="0">
    <fb>307.43</fb>
    <v>1</v>
  </rv>
  <rv s="0">
    <fb>2590593</fb>
    <v>2</v>
  </rv>
  <rv s="0">
    <fb>46042</fb>
    <v>0</v>
  </rv>
  <rv s="0">
    <fb>302.83999999999997</fb>
    <v>1</v>
  </rv>
  <rv s="0">
    <fb>3017998</fb>
    <v>2</v>
  </rv>
  <rv s="0">
    <fb>46043</fb>
    <v>0</v>
  </rv>
  <rv s="0">
    <fb>305.69</fb>
    <v>1</v>
  </rv>
  <rv s="0">
    <fb>3630850</fb>
    <v>2</v>
  </rv>
  <rv s="0">
    <fb>46044</fb>
    <v>0</v>
  </rv>
  <rv s="0">
    <fb>306.02999999999997</fb>
    <v>1</v>
  </rv>
  <rv s="0">
    <fb>2809356</fb>
    <v>2</v>
  </rv>
  <rv s="0">
    <fb>46045</fb>
    <v>0</v>
  </rv>
  <rv s="0">
    <fb>309.25</fb>
    <v>1</v>
  </rv>
  <rv s="0">
    <fb>2350447</fb>
    <v>2</v>
  </rv>
  <rv s="0">
    <fb>46048</fb>
    <v>0</v>
  </rv>
  <rv s="0">
    <fb>312.95</fb>
    <v>1</v>
  </rv>
  <rv s="0">
    <fb>3385352</fb>
    <v>2</v>
  </rv>
  <rv s="0">
    <fb>46049</fb>
    <v>0</v>
  </rv>
  <rv s="0">
    <fb>314.13</fb>
    <v>1</v>
  </rv>
  <rv s="0">
    <fb>2506830</fb>
    <v>2</v>
  </rv>
  <rv s="0">
    <fb>46050</fb>
    <v>0</v>
  </rv>
  <rv s="0">
    <fb>2184937</fb>
    <v>2</v>
  </rv>
  <rv s="0">
    <fb>46051</fb>
    <v>0</v>
  </rv>
  <rv s="0">
    <fb>315.51</fb>
    <v>1</v>
  </rv>
  <rv s="0">
    <fb>3211259</fb>
    <v>2</v>
  </rv>
  <rv s="0">
    <fb>46052</fb>
    <v>0</v>
  </rv>
  <rv s="0">
    <fb>315</fb>
    <v>1</v>
  </rv>
  <rv s="0">
    <fb>2983277</fb>
    <v>2</v>
  </rv>
  <rv s="0">
    <fb>46055</fb>
    <v>0</v>
  </rv>
  <rv s="0">
    <fb>318.52999999999997</fb>
    <v>1</v>
  </rv>
  <rv s="0">
    <fb>3309834</fb>
    <v>2</v>
  </rv>
  <rv s="0">
    <fb>46056</fb>
    <v>0</v>
  </rv>
  <rv s="0">
    <fb>319.48</fb>
    <v>1</v>
  </rv>
  <rv s="0">
    <fb>4043582</fb>
    <v>2</v>
  </rv>
  <rv s="0">
    <fb>46057</fb>
    <v>0</v>
  </rv>
  <rv s="0">
    <fb>323.69</fb>
    <v>1</v>
  </rv>
  <rv s="0">
    <fb>4805925</fb>
    <v>2</v>
  </rv>
  <rv s="0">
    <fb>46058</fb>
    <v>0</v>
  </rv>
  <rv s="0">
    <fb>323.48</fb>
    <v>1</v>
  </rv>
  <rv s="0">
    <fb>3936775</fb>
    <v>2</v>
  </rv>
  <rv s="0">
    <fb>46059</fb>
    <v>0</v>
  </rv>
  <rv s="0">
    <fb>327.16000000000003</fb>
    <v>1</v>
  </rv>
  <rv s="0">
    <fb>2831866</fb>
    <v>2</v>
  </rv>
  <rv s="0">
    <fb>46062</fb>
    <v>0</v>
  </rv>
  <rv s="0">
    <fb>325.60000000000002</fb>
    <v>1</v>
  </rv>
  <rv s="0">
    <fb>2674131</fb>
    <v>2</v>
  </rv>
  <rv s="0">
    <fb>46063</fb>
    <v>0</v>
  </rv>
  <rv s="0">
    <fb>325.97000000000003</fb>
    <v>1</v>
  </rv>
  <rv s="0">
    <fb>3502928</fb>
    <v>2</v>
  </rv>
  <rv s="0">
    <fb>46064</fb>
    <v>0</v>
  </rv>
  <rv s="0">
    <fb>323.20999999999998</fb>
    <v>1</v>
  </rv>
  <rv s="0">
    <fb>4553181</fb>
    <v>2</v>
  </rv>
  <rv s="0">
    <fb>46065</fb>
    <v>0</v>
  </rv>
  <rv s="0">
    <fb>332.08</fb>
    <v>1</v>
  </rv>
  <rv s="0">
    <fb>6499731</fb>
    <v>2</v>
  </rv>
  <rv s="0">
    <fb>46066</fb>
    <v>0</v>
  </rv>
  <rv s="0">
    <fb>327.58</fb>
    <v>1</v>
  </rv>
  <rv s="0">
    <fb>3587877</fb>
    <v>2</v>
  </rv>
  <rv s="0">
    <fb>46070</fb>
    <v>0</v>
  </rv>
  <rv s="0">
    <fb>327.62</fb>
    <v>1</v>
  </rv>
  <rv s="0">
    <fb>3367458</fb>
    <v>2</v>
  </rv>
  <rv s="0">
    <fb>46071</fb>
    <v>0</v>
  </rv>
  <rv s="0">
    <fb>327.89</fb>
    <v>1</v>
  </rv>
  <rv s="0">
    <fb>3661833</fb>
    <v>2</v>
  </rv>
  <rv s="0">
    <fb>46072</fb>
    <v>0</v>
  </rv>
  <rv s="0">
    <fb>327.11</fb>
    <v>1</v>
  </rv>
  <rv s="0">
    <fb>4032263</fb>
    <v>2</v>
  </rv>
  <rv s="1">
    <v>3</v>
    <v>MCD</v>
    <v>Daily</v>
    <v>45708</v>
    <v>46073</v>
    <v>0</v>
    <v>1</v>
    <v>639070560000000000,639072317577452940,0</v>
    <v>0</v>
    <v>a1xdec</v>
    <v>XNYS:MCD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B80F8-3C70-423A-A978-9694E0E4FBAC}" name="Forecast" displayName="Forecast" ref="A1:H61" tableType="queryTable" totalsRowShown="0">
  <autoFilter ref="A1:H61" xr:uid="{707B80F8-3C70-423A-A978-9694E0E4FBAC}"/>
  <tableColumns count="8">
    <tableColumn id="1" xr3:uid="{2815C8D3-C94B-4FB2-8D06-E197A77FA557}" uniqueName="1" name="Week" queryTableFieldId="1" dataDxfId="2"/>
    <tableColumn id="2" xr3:uid="{7F2879BE-7CA0-4DC7-9EFD-EDBA263F9FDE}" uniqueName="2" name="Weekly" queryTableFieldId="2"/>
    <tableColumn id="3" xr3:uid="{73C26229-9EBA-4121-9F9E-6949FF3A97EE}" uniqueName="3" name="XL Forecast" queryTableFieldId="3"/>
    <tableColumn id="4" xr3:uid="{B64E2B74-986E-40D7-8574-DD9B5077B1CA}" uniqueName="4" name="CI/PI" queryTableFieldId="4"/>
    <tableColumn id="5" xr3:uid="{A502575E-A23A-41DF-AD4E-96FB9895A85F}" uniqueName="5" name="Lower" queryTableFieldId="5" dataDxfId="1">
      <calculatedColumnFormula>Forecast[[#This Row],[XL Forecast]]-Forecast[[#This Row],[CI/PI]]</calculatedColumnFormula>
    </tableColumn>
    <tableColumn id="6" xr3:uid="{7DA5E3BD-6A75-4608-8ACA-A01E75A80E13}" uniqueName="6" name="Upper" queryTableFieldId="6" dataDxfId="0">
      <calculatedColumnFormula>Forecast[[#This Row],[XL Forecast]]+Forecast[[#This Row],[CI/PI]]</calculatedColumnFormula>
    </tableColumn>
    <tableColumn id="7" xr3:uid="{B4EDFFFE-C1CF-45D7-BB53-F2076B565CA6}" uniqueName="7" name="Calc Forecast" queryTableFieldId="7"/>
    <tableColumn id="8" xr3:uid="{39ABD6A6-7C1E-413F-BCFF-ADBBF3EF6A92}" uniqueName="8" name="GS Simple ML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9B07B-2C42-42F5-8263-CF1C0F4CCD6D}" name="Table1" displayName="Table1" ref="A1:B252" totalsRowShown="0">
  <autoFilter ref="A1:B252" xr:uid="{1159B07B-2C42-42F5-8263-CF1C0F4CCD6D}"/>
  <tableColumns count="2">
    <tableColumn id="1" xr3:uid="{5D161E53-85CC-4555-8D56-221FCC702CAA}" name="Week" dataDxfId="3"/>
    <tableColumn id="2" xr3:uid="{496CD20B-71EE-42BC-B503-8818CDAA13C2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3" t="s">
        <v>26</v>
      </c>
      <c r="B2" s="13" t="s">
        <v>27</v>
      </c>
    </row>
    <row r="3" spans="1:2" x14ac:dyDescent="0.25">
      <c r="A3" s="14" t="s">
        <v>1</v>
      </c>
      <c r="B3" s="14" t="s">
        <v>28</v>
      </c>
    </row>
    <row r="4" spans="1:2" x14ac:dyDescent="0.25">
      <c r="A4" s="15" t="s">
        <v>29</v>
      </c>
      <c r="B4" s="15" t="s">
        <v>30</v>
      </c>
    </row>
    <row r="5" spans="1:2" x14ac:dyDescent="0.25">
      <c r="A5" s="16" t="s">
        <v>15</v>
      </c>
      <c r="B5" s="16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7" t="s">
        <v>23</v>
      </c>
      <c r="B7" s="1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252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1" customWidth="1"/>
    <col min="2" max="2" width="12" bestFit="1" customWidth="1"/>
    <col min="3" max="3" width="10.5703125" bestFit="1" customWidth="1"/>
    <col min="4" max="4" width="11.1406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5.42578125" style="19" bestFit="1" customWidth="1"/>
  </cols>
  <sheetData>
    <row r="1" spans="1:31" s="8" customFormat="1" x14ac:dyDescent="0.25">
      <c r="A1" s="20" t="s">
        <v>45</v>
      </c>
      <c r="B1" s="4" t="str" cm="1">
        <f t="array" aca="1" ref="B1:D252" ca="1">_xlfn.STOCKHISTORY("MCD",TODAY()-365,TODAY(),0,1,0,1,5)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8" t="s">
        <v>44</v>
      </c>
    </row>
    <row r="2" spans="1:31" x14ac:dyDescent="0.25">
      <c r="A2" s="21">
        <f ca="1">B2 - WEEKDAY(B2, 2) + 1</f>
        <v>45705</v>
      </c>
      <c r="B2" vm="1">
        <f ca="1"/>
        <v>45708</v>
      </c>
      <c r="C2" vm="2">
        <f ca="1"/>
        <v>303.05</v>
      </c>
      <c r="D2" vm="3">
        <f ca="1"/>
        <v>3020024</v>
      </c>
      <c r="E2">
        <f ca="1">C2*D2</f>
        <v>915218273.20000005</v>
      </c>
      <c r="F2">
        <f ca="1">SUM($E$2:E2)/SUM($D$2:D2)</f>
        <v>303.05</v>
      </c>
      <c r="G2">
        <f ca="1">_xlfn.STDEV.P($C$2:C2)</f>
        <v>0</v>
      </c>
      <c r="H2">
        <f ca="1">F2 + G2</f>
        <v>303.05</v>
      </c>
      <c r="I2">
        <f ca="1">F2 - G2</f>
        <v>303.05</v>
      </c>
      <c r="AC2" t="s">
        <v>39</v>
      </c>
      <c r="AD2">
        <f ca="1">MIN(C:C)</f>
        <v>285.55</v>
      </c>
      <c r="AE2" s="19">
        <f ca="1">MIN(D:D)</f>
        <v>1011483</v>
      </c>
    </row>
    <row r="3" spans="1:31" x14ac:dyDescent="0.25">
      <c r="A3" s="21">
        <f t="shared" ref="A3:A66" ca="1" si="0">B3 - WEEKDAY(B3, 2) + 1</f>
        <v>45705</v>
      </c>
      <c r="B3" vm="4">
        <f ca="1"/>
        <v>45709</v>
      </c>
      <c r="C3" vm="5">
        <f ca="1"/>
        <v>304.81</v>
      </c>
      <c r="D3" vm="6">
        <f ca="1"/>
        <v>3036654</v>
      </c>
      <c r="E3">
        <f t="shared" ref="E3:E66" ca="1" si="1">C3*D3</f>
        <v>925602505.74000001</v>
      </c>
      <c r="F3">
        <f ca="1">SUM($E$2:E3)/SUM($D$2:D3)</f>
        <v>303.93241624203898</v>
      </c>
      <c r="G3">
        <f ca="1">_xlfn.STDEV.P($C$2:C3)</f>
        <v>0.87999999999999545</v>
      </c>
      <c r="H3">
        <f t="shared" ref="H3:H66" ca="1" si="2">F3 + G3</f>
        <v>304.81241624203898</v>
      </c>
      <c r="I3">
        <f t="shared" ref="I3:I66" ca="1" si="3">F3 - G3</f>
        <v>303.05241624203899</v>
      </c>
      <c r="N3">
        <f ca="1">C3-C2</f>
        <v>1.7599999999999909</v>
      </c>
      <c r="O3">
        <f ca="1">MAX(N3,0)</f>
        <v>1.7599999999999909</v>
      </c>
      <c r="P3">
        <f ca="1">MAX(-N3,0)</f>
        <v>0</v>
      </c>
      <c r="AC3" t="s">
        <v>40</v>
      </c>
      <c r="AD3">
        <f ca="1">MAX(C:C)</f>
        <v>332.08</v>
      </c>
      <c r="AE3" s="19">
        <f ca="1">MAX(D:D)</f>
        <v>8831090</v>
      </c>
    </row>
    <row r="4" spans="1:31" x14ac:dyDescent="0.25">
      <c r="A4" s="21">
        <f t="shared" ca="1" si="0"/>
        <v>45712</v>
      </c>
      <c r="B4" vm="7">
        <f ca="1"/>
        <v>45712</v>
      </c>
      <c r="C4" vm="8">
        <f ca="1"/>
        <v>307.57</v>
      </c>
      <c r="D4" vm="9">
        <f ca="1"/>
        <v>3397553</v>
      </c>
      <c r="E4">
        <f t="shared" ca="1" si="1"/>
        <v>1044985376.2099999</v>
      </c>
      <c r="F4">
        <f ca="1">SUM($E$2:E4)/SUM($D$2:D4)</f>
        <v>305.23964933266387</v>
      </c>
      <c r="G4">
        <f ca="1">_xlfn.STDEV.P($C$2:C4)</f>
        <v>1.8602747706245428</v>
      </c>
      <c r="H4">
        <f t="shared" ca="1" si="2"/>
        <v>307.0999241032884</v>
      </c>
      <c r="I4">
        <f t="shared" ca="1" si="3"/>
        <v>303.37937456203935</v>
      </c>
      <c r="N4">
        <f t="shared" ref="N4:N67" ca="1" si="4">C4-C3</f>
        <v>2.7599999999999909</v>
      </c>
      <c r="O4">
        <f t="shared" ref="O4:O67" ca="1" si="5">MAX(N4,0)</f>
        <v>2.7599999999999909</v>
      </c>
      <c r="P4">
        <f t="shared" ref="P4:P67" ca="1" si="6">MAX(-N4,0)</f>
        <v>0</v>
      </c>
      <c r="AC4" t="s">
        <v>41</v>
      </c>
      <c r="AD4">
        <f ca="1">MEDIAN(C:C)</f>
        <v>307.43</v>
      </c>
      <c r="AE4" s="19">
        <f ca="1">MEDIAN(D:D)</f>
        <v>3147587</v>
      </c>
    </row>
    <row r="5" spans="1:31" x14ac:dyDescent="0.25">
      <c r="A5" s="21">
        <f t="shared" ca="1" si="0"/>
        <v>45712</v>
      </c>
      <c r="B5" vm="10">
        <f ca="1"/>
        <v>45713</v>
      </c>
      <c r="C5" vm="11">
        <f ca="1"/>
        <v>310.72000000000003</v>
      </c>
      <c r="D5" vm="12">
        <f ca="1"/>
        <v>3891555</v>
      </c>
      <c r="E5">
        <f t="shared" ca="1" si="1"/>
        <v>1209183969.6000001</v>
      </c>
      <c r="F5">
        <f ca="1">SUM($E$2:E5)/SUM($D$2:D5)</f>
        <v>306.83768829726478</v>
      </c>
      <c r="G5">
        <f ca="1">_xlfn.STDEV.P($C$2:C5)</f>
        <v>2.902855275414197</v>
      </c>
      <c r="H5">
        <f t="shared" ca="1" si="2"/>
        <v>309.74054357267897</v>
      </c>
      <c r="I5">
        <f t="shared" ca="1" si="3"/>
        <v>303.93483302185058</v>
      </c>
      <c r="N5">
        <f t="shared" ca="1" si="4"/>
        <v>3.1500000000000341</v>
      </c>
      <c r="O5">
        <f t="shared" ca="1" si="5"/>
        <v>3.1500000000000341</v>
      </c>
      <c r="P5">
        <f t="shared" ca="1" si="6"/>
        <v>0</v>
      </c>
      <c r="AC5" t="s">
        <v>42</v>
      </c>
      <c r="AD5">
        <f ca="1">AVERAGE(C:C)</f>
        <v>307.52689243027896</v>
      </c>
      <c r="AE5" s="19">
        <f ca="1">AVERAGE(D:D)</f>
        <v>3444934.5816733069</v>
      </c>
    </row>
    <row r="6" spans="1:31" x14ac:dyDescent="0.25">
      <c r="A6" s="21">
        <f t="shared" ca="1" si="0"/>
        <v>45712</v>
      </c>
      <c r="B6" vm="13">
        <f ca="1"/>
        <v>45714</v>
      </c>
      <c r="C6" vm="14">
        <f ca="1"/>
        <v>304.27</v>
      </c>
      <c r="D6" vm="15">
        <f ca="1"/>
        <v>4140908</v>
      </c>
      <c r="E6">
        <f t="shared" ca="1" si="1"/>
        <v>1259954077.1599998</v>
      </c>
      <c r="F6">
        <f ca="1">SUM($E$2:E6)/SUM($D$2:D6)</f>
        <v>306.22965106554733</v>
      </c>
      <c r="G6">
        <f ca="1">_xlfn.STDEV.P($C$2:C6)</f>
        <v>2.7502552608803508</v>
      </c>
      <c r="H6">
        <f t="shared" ca="1" si="2"/>
        <v>308.97990632642768</v>
      </c>
      <c r="I6">
        <f t="shared" ca="1" si="3"/>
        <v>303.47939580466698</v>
      </c>
      <c r="N6">
        <f t="shared" ca="1" si="4"/>
        <v>-6.4500000000000455</v>
      </c>
      <c r="O6">
        <f t="shared" ca="1" si="5"/>
        <v>0</v>
      </c>
      <c r="P6">
        <f t="shared" ca="1" si="6"/>
        <v>6.4500000000000455</v>
      </c>
    </row>
    <row r="7" spans="1:31" x14ac:dyDescent="0.25">
      <c r="A7" s="21">
        <f t="shared" ca="1" si="0"/>
        <v>45712</v>
      </c>
      <c r="B7" vm="16">
        <f ca="1"/>
        <v>45715</v>
      </c>
      <c r="C7" vm="17">
        <f ca="1"/>
        <v>309.95</v>
      </c>
      <c r="D7" vm="18">
        <f ca="1"/>
        <v>3350723</v>
      </c>
      <c r="E7">
        <f t="shared" ca="1" si="1"/>
        <v>1038556593.8499999</v>
      </c>
      <c r="F7">
        <f ca="1">SUM($E$2:E7)/SUM($D$2:D7)</f>
        <v>306.82789501980983</v>
      </c>
      <c r="G7">
        <f ca="1">_xlfn.STDEV.P($C$2:C7)</f>
        <v>2.8946641524632137</v>
      </c>
      <c r="H7">
        <f t="shared" ca="1" si="2"/>
        <v>309.72255917227307</v>
      </c>
      <c r="I7">
        <f t="shared" ca="1" si="3"/>
        <v>303.93323086734659</v>
      </c>
      <c r="N7">
        <f t="shared" ca="1" si="4"/>
        <v>5.6800000000000068</v>
      </c>
      <c r="O7">
        <f t="shared" ca="1" si="5"/>
        <v>5.6800000000000068</v>
      </c>
      <c r="P7">
        <f t="shared" ca="1" si="6"/>
        <v>0</v>
      </c>
    </row>
    <row r="8" spans="1:31" x14ac:dyDescent="0.25">
      <c r="A8" s="21">
        <f t="shared" ca="1" si="0"/>
        <v>45712</v>
      </c>
      <c r="B8" vm="19">
        <f ca="1"/>
        <v>45716</v>
      </c>
      <c r="C8" vm="20">
        <f ca="1"/>
        <v>308.33</v>
      </c>
      <c r="D8" vm="21">
        <f ca="1"/>
        <v>4972872</v>
      </c>
      <c r="E8">
        <f t="shared" ca="1" si="1"/>
        <v>1533285623.76</v>
      </c>
      <c r="F8">
        <f ca="1">SUM($E$2:E8)/SUM($D$2:D8)</f>
        <v>307.11730579692465</v>
      </c>
      <c r="G8">
        <f ca="1">_xlfn.STDEV.P($C$2:C8)</f>
        <v>2.7379174269387132</v>
      </c>
      <c r="H8">
        <f t="shared" ca="1" si="2"/>
        <v>309.85522322386339</v>
      </c>
      <c r="I8">
        <f t="shared" ca="1" si="3"/>
        <v>304.37938836998592</v>
      </c>
      <c r="N8">
        <f t="shared" ca="1" si="4"/>
        <v>-1.6200000000000045</v>
      </c>
      <c r="O8">
        <f t="shared" ca="1" si="5"/>
        <v>0</v>
      </c>
      <c r="P8">
        <f t="shared" ca="1" si="6"/>
        <v>1.6200000000000045</v>
      </c>
    </row>
    <row r="9" spans="1:31" x14ac:dyDescent="0.25">
      <c r="A9" s="21">
        <f t="shared" ca="1" si="0"/>
        <v>45719</v>
      </c>
      <c r="B9" vm="22">
        <f ca="1"/>
        <v>45719</v>
      </c>
      <c r="C9" vm="23">
        <f ca="1"/>
        <v>304.29000000000002</v>
      </c>
      <c r="D9" vm="24">
        <f ca="1"/>
        <v>4371634</v>
      </c>
      <c r="E9">
        <f t="shared" ca="1" si="1"/>
        <v>1330244509.8600001</v>
      </c>
      <c r="F9">
        <f ca="1">SUM($E$2:E9)/SUM($D$2:D9)</f>
        <v>306.70779093101527</v>
      </c>
      <c r="G9">
        <f ca="1">_xlfn.STDEV.P($C$2:C9)</f>
        <v>2.7087309644001185</v>
      </c>
      <c r="H9">
        <f t="shared" ca="1" si="2"/>
        <v>309.41652189541537</v>
      </c>
      <c r="I9">
        <f t="shared" ca="1" si="3"/>
        <v>303.99905996661516</v>
      </c>
      <c r="N9">
        <f t="shared" ca="1" si="4"/>
        <v>-4.0399999999999636</v>
      </c>
      <c r="O9">
        <f t="shared" ca="1" si="5"/>
        <v>0</v>
      </c>
      <c r="P9">
        <f t="shared" ca="1" si="6"/>
        <v>4.0399999999999636</v>
      </c>
    </row>
    <row r="10" spans="1:31" x14ac:dyDescent="0.25">
      <c r="A10" s="21">
        <f t="shared" ca="1" si="0"/>
        <v>45719</v>
      </c>
      <c r="B10" vm="25">
        <f ca="1"/>
        <v>45720</v>
      </c>
      <c r="C10" vm="26">
        <f ca="1"/>
        <v>305.77</v>
      </c>
      <c r="D10" vm="27">
        <f ca="1"/>
        <v>3954691</v>
      </c>
      <c r="E10">
        <f t="shared" ca="1" si="1"/>
        <v>1209225867.0699999</v>
      </c>
      <c r="F10">
        <f ca="1">SUM($E$2:E10)/SUM($D$2:D10)</f>
        <v>306.59914883327332</v>
      </c>
      <c r="G10">
        <f ca="1">_xlfn.STDEV.P($C$2:C10)</f>
        <v>2.5678717709610748</v>
      </c>
      <c r="H10">
        <f t="shared" ca="1" si="2"/>
        <v>309.16702060423438</v>
      </c>
      <c r="I10">
        <f t="shared" ca="1" si="3"/>
        <v>304.03127706231226</v>
      </c>
      <c r="N10">
        <f t="shared" ca="1" si="4"/>
        <v>1.4799999999999613</v>
      </c>
      <c r="O10">
        <f t="shared" ca="1" si="5"/>
        <v>1.4799999999999613</v>
      </c>
      <c r="P10">
        <f t="shared" ca="1" si="6"/>
        <v>0</v>
      </c>
    </row>
    <row r="11" spans="1:31" x14ac:dyDescent="0.25">
      <c r="A11" s="21">
        <f t="shared" ca="1" si="0"/>
        <v>45719</v>
      </c>
      <c r="B11" vm="28">
        <f ca="1"/>
        <v>45721</v>
      </c>
      <c r="C11" vm="29">
        <f ca="1"/>
        <v>307.45</v>
      </c>
      <c r="D11" vm="30">
        <f ca="1"/>
        <v>2327472</v>
      </c>
      <c r="E11">
        <f t="shared" ca="1" si="1"/>
        <v>715581266.39999998</v>
      </c>
      <c r="F11">
        <f ca="1">SUM($E$2:E11)/SUM($D$2:D11)</f>
        <v>306.6534579490077</v>
      </c>
      <c r="G11">
        <f ca="1">_xlfn.STDEV.P($C$2:C11)</f>
        <v>2.451719600606888</v>
      </c>
      <c r="H11">
        <f t="shared" ca="1" si="2"/>
        <v>309.10517754961461</v>
      </c>
      <c r="I11">
        <f t="shared" ca="1" si="3"/>
        <v>304.2017383484008</v>
      </c>
      <c r="N11">
        <f t="shared" ca="1" si="4"/>
        <v>1.6800000000000068</v>
      </c>
      <c r="O11">
        <f t="shared" ca="1" si="5"/>
        <v>1.6800000000000068</v>
      </c>
      <c r="P11">
        <f t="shared" ca="1" si="6"/>
        <v>0</v>
      </c>
    </row>
    <row r="12" spans="1:31" x14ac:dyDescent="0.25">
      <c r="A12" s="21">
        <f t="shared" ca="1" si="0"/>
        <v>45719</v>
      </c>
      <c r="B12" vm="31">
        <f ca="1"/>
        <v>45722</v>
      </c>
      <c r="C12" vm="32">
        <f ca="1"/>
        <v>310.37</v>
      </c>
      <c r="D12" vm="33">
        <f ca="1"/>
        <v>2954920</v>
      </c>
      <c r="E12">
        <f t="shared" ca="1" si="1"/>
        <v>917118520.39999998</v>
      </c>
      <c r="F12">
        <f ca="1">SUM($E$2:E12)/SUM($D$2:D12)</f>
        <v>306.93205666449325</v>
      </c>
      <c r="G12">
        <f ca="1">_xlfn.STDEV.P($C$2:C12)</f>
        <v>2.5741117379922391</v>
      </c>
      <c r="H12">
        <f t="shared" ca="1" si="2"/>
        <v>309.50616840248546</v>
      </c>
      <c r="I12">
        <f t="shared" ca="1" si="3"/>
        <v>304.35794492650103</v>
      </c>
      <c r="N12">
        <f t="shared" ca="1" si="4"/>
        <v>2.9200000000000159</v>
      </c>
      <c r="O12">
        <f t="shared" ca="1" si="5"/>
        <v>2.9200000000000159</v>
      </c>
      <c r="P12">
        <f t="shared" ca="1" si="6"/>
        <v>0</v>
      </c>
    </row>
    <row r="13" spans="1:31" x14ac:dyDescent="0.25">
      <c r="A13" s="21">
        <f t="shared" ca="1" si="0"/>
        <v>45719</v>
      </c>
      <c r="B13" vm="34">
        <f ca="1"/>
        <v>45723</v>
      </c>
      <c r="C13" vm="35">
        <f ca="1"/>
        <v>321.29000000000002</v>
      </c>
      <c r="D13" vm="36">
        <f ca="1"/>
        <v>7607616</v>
      </c>
      <c r="E13">
        <f t="shared" ca="1" si="1"/>
        <v>2444250944.6400003</v>
      </c>
      <c r="F13">
        <f ca="1">SUM($E$2:E13)/SUM($D$2:D13)</f>
        <v>309.25477760001559</v>
      </c>
      <c r="G13">
        <f ca="1">_xlfn.STDEV.P($C$2:C13)</f>
        <v>4.6643621542023954</v>
      </c>
      <c r="H13">
        <f t="shared" ca="1" si="2"/>
        <v>313.91913975421801</v>
      </c>
      <c r="I13">
        <f t="shared" ca="1" si="3"/>
        <v>304.59041544581316</v>
      </c>
      <c r="N13">
        <f t="shared" ca="1" si="4"/>
        <v>10.920000000000016</v>
      </c>
      <c r="O13">
        <f t="shared" ca="1" si="5"/>
        <v>10.920000000000016</v>
      </c>
      <c r="P13">
        <f t="shared" ca="1" si="6"/>
        <v>0</v>
      </c>
      <c r="W13" s="9">
        <f ca="1">AVERAGE(C2:C13)</f>
        <v>308.15583333333331</v>
      </c>
    </row>
    <row r="14" spans="1:31" x14ac:dyDescent="0.25">
      <c r="A14" s="21">
        <f t="shared" ca="1" si="0"/>
        <v>45726</v>
      </c>
      <c r="B14" vm="37">
        <f ca="1"/>
        <v>45726</v>
      </c>
      <c r="C14" vm="38">
        <f ca="1"/>
        <v>317.25</v>
      </c>
      <c r="D14" vm="39">
        <f ca="1"/>
        <v>4707592</v>
      </c>
      <c r="E14">
        <f t="shared" ca="1" si="1"/>
        <v>1493483562</v>
      </c>
      <c r="F14">
        <f ca="1">SUM($E$2:E14)/SUM($D$2:D14)</f>
        <v>309.98230861089337</v>
      </c>
      <c r="G14">
        <f ca="1">_xlfn.STDEV.P($C$2:C14)</f>
        <v>5.0946225275504853</v>
      </c>
      <c r="H14">
        <f t="shared" ca="1" si="2"/>
        <v>315.07693113844385</v>
      </c>
      <c r="I14">
        <f t="shared" ca="1" si="3"/>
        <v>304.88768608334289</v>
      </c>
      <c r="N14">
        <f t="shared" ca="1" si="4"/>
        <v>-4.0400000000000205</v>
      </c>
      <c r="O14">
        <f t="shared" ca="1" si="5"/>
        <v>0</v>
      </c>
      <c r="P14">
        <f t="shared" ca="1" si="6"/>
        <v>4.0400000000000205</v>
      </c>
      <c r="W14">
        <f ca="1">C14*(2/(12+1)) + W13*(1-(2/(12+1)))</f>
        <v>309.55493589743588</v>
      </c>
    </row>
    <row r="15" spans="1:31" x14ac:dyDescent="0.25">
      <c r="A15" s="21">
        <f t="shared" ca="1" si="0"/>
        <v>45726</v>
      </c>
      <c r="B15" vm="40">
        <f ca="1"/>
        <v>45727</v>
      </c>
      <c r="C15" vm="41">
        <f ca="1"/>
        <v>306.76</v>
      </c>
      <c r="D15" vm="42">
        <f ca="1"/>
        <v>4513135</v>
      </c>
      <c r="E15">
        <f t="shared" ca="1" si="1"/>
        <v>1384449292.5999999</v>
      </c>
      <c r="F15">
        <f ca="1">SUM($E$2:E15)/SUM($D$2:D15)</f>
        <v>309.72375929201564</v>
      </c>
      <c r="G15">
        <f ca="1">_xlfn.STDEV.P($C$2:C15)</f>
        <v>4.9388716384640459</v>
      </c>
      <c r="H15">
        <f t="shared" ca="1" si="2"/>
        <v>314.66263093047968</v>
      </c>
      <c r="I15">
        <f t="shared" ca="1" si="3"/>
        <v>304.78488765355161</v>
      </c>
      <c r="N15">
        <f t="shared" ca="1" si="4"/>
        <v>-10.490000000000009</v>
      </c>
      <c r="O15">
        <f t="shared" ca="1" si="5"/>
        <v>0</v>
      </c>
      <c r="P15">
        <f t="shared" ca="1" si="6"/>
        <v>10.490000000000009</v>
      </c>
      <c r="Q15" s="2">
        <f ca="1">AVERAGE(O3:O16)</f>
        <v>2.1678571428571445</v>
      </c>
      <c r="R15" s="2">
        <f ca="1">AVERAGE(P3:P16)</f>
        <v>2.4285714285714328</v>
      </c>
      <c r="S15">
        <f ca="1">IF(R15=0,NA(),Q15/R15)</f>
        <v>0.89264705882352857</v>
      </c>
      <c r="T15">
        <f ca="1">100-(100/(1+S15))</f>
        <v>47.163947163947135</v>
      </c>
      <c r="U15">
        <f>70</f>
        <v>70</v>
      </c>
      <c r="V15">
        <f>30</f>
        <v>30</v>
      </c>
      <c r="W15">
        <f t="shared" ref="W15:W78" ca="1" si="7">C15*(2/(12+1)) + W14*(1-(2/(12+1)))</f>
        <v>309.12494575936881</v>
      </c>
    </row>
    <row r="16" spans="1:31" x14ac:dyDescent="0.25">
      <c r="A16" s="21">
        <f t="shared" ca="1" si="0"/>
        <v>45726</v>
      </c>
      <c r="B16" vm="43">
        <f ca="1"/>
        <v>45728</v>
      </c>
      <c r="C16" vm="44">
        <f ca="1"/>
        <v>299.39999999999998</v>
      </c>
      <c r="D16" vm="45">
        <f ca="1"/>
        <v>4546240</v>
      </c>
      <c r="E16">
        <f t="shared" ca="1" si="1"/>
        <v>1361144256</v>
      </c>
      <c r="F16">
        <f ca="1">SUM($E$2:E16)/SUM($D$2:D16)</f>
        <v>308.95173236918117</v>
      </c>
      <c r="G16">
        <f ca="1">_xlfn.STDEV.P($C$2:C16)</f>
        <v>5.3060818773261458</v>
      </c>
      <c r="H16">
        <f t="shared" ca="1" si="2"/>
        <v>314.25781424650734</v>
      </c>
      <c r="I16">
        <f t="shared" ca="1" si="3"/>
        <v>303.64565049185501</v>
      </c>
      <c r="N16">
        <f t="shared" ca="1" si="4"/>
        <v>-7.3600000000000136</v>
      </c>
      <c r="O16">
        <f t="shared" ca="1" si="5"/>
        <v>0</v>
      </c>
      <c r="P16">
        <f t="shared" ca="1" si="6"/>
        <v>7.3600000000000136</v>
      </c>
      <c r="Q16">
        <f ca="1">(Q15*13+O16)/14</f>
        <v>2.0130102040816342</v>
      </c>
      <c r="R16">
        <f ca="1">(R15*13+P16)/14</f>
        <v>2.7808163265306169</v>
      </c>
      <c r="S16">
        <f t="shared" ref="S16:S79" ca="1" si="8">IF(R16=0,NA(),Q16/R16)</f>
        <v>0.72389182445325051</v>
      </c>
      <c r="T16">
        <f t="shared" ref="T16:T79" ca="1" si="9">100-(100/(1+S16))</f>
        <v>41.991719792675511</v>
      </c>
      <c r="U16">
        <f>70</f>
        <v>70</v>
      </c>
      <c r="V16">
        <f>30</f>
        <v>30</v>
      </c>
      <c r="W16">
        <f t="shared" ca="1" si="7"/>
        <v>307.62880025792748</v>
      </c>
    </row>
    <row r="17" spans="1:25" x14ac:dyDescent="0.25">
      <c r="A17" s="21">
        <f t="shared" ca="1" si="0"/>
        <v>45726</v>
      </c>
      <c r="B17" vm="46">
        <f ca="1"/>
        <v>45729</v>
      </c>
      <c r="C17" vm="47">
        <f ca="1"/>
        <v>297.5</v>
      </c>
      <c r="D17" vm="48">
        <f ca="1"/>
        <v>4178882</v>
      </c>
      <c r="E17">
        <f t="shared" ca="1" si="1"/>
        <v>1243217395</v>
      </c>
      <c r="F17">
        <f ca="1">SUM($E$2:E17)/SUM($D$2:D17)</f>
        <v>308.21518291169804</v>
      </c>
      <c r="G17">
        <f ca="1">_xlfn.STDEV.P($C$2:C17)</f>
        <v>5.7411005859068576</v>
      </c>
      <c r="H17">
        <f t="shared" ca="1" si="2"/>
        <v>313.95628349760489</v>
      </c>
      <c r="I17">
        <f t="shared" ca="1" si="3"/>
        <v>302.47408232579119</v>
      </c>
      <c r="N17">
        <f t="shared" ca="1" si="4"/>
        <v>-1.8999999999999773</v>
      </c>
      <c r="O17">
        <f t="shared" ca="1" si="5"/>
        <v>0</v>
      </c>
      <c r="P17">
        <f t="shared" ca="1" si="6"/>
        <v>1.8999999999999773</v>
      </c>
      <c r="Q17">
        <f t="shared" ref="Q17:Q80" ca="1" si="10">(Q16*13+O17)/14</f>
        <v>1.8692237609329461</v>
      </c>
      <c r="R17">
        <f t="shared" ref="R17:R80" ca="1" si="11">(R16*13+P17)/14</f>
        <v>2.7179008746355713</v>
      </c>
      <c r="S17">
        <f t="shared" ca="1" si="8"/>
        <v>0.68774537672702296</v>
      </c>
      <c r="T17">
        <f t="shared" ca="1" si="9"/>
        <v>40.749356283869076</v>
      </c>
      <c r="U17">
        <f>70</f>
        <v>70</v>
      </c>
      <c r="V17">
        <f>30</f>
        <v>30</v>
      </c>
      <c r="W17">
        <f t="shared" ca="1" si="7"/>
        <v>306.07052329516938</v>
      </c>
    </row>
    <row r="18" spans="1:25" x14ac:dyDescent="0.25">
      <c r="A18" s="21">
        <f t="shared" ca="1" si="0"/>
        <v>45726</v>
      </c>
      <c r="B18" vm="49">
        <f ca="1"/>
        <v>45730</v>
      </c>
      <c r="C18" vm="50">
        <f ca="1"/>
        <v>299.83</v>
      </c>
      <c r="D18" vm="51">
        <f ca="1"/>
        <v>2696979</v>
      </c>
      <c r="E18">
        <f t="shared" ca="1" si="1"/>
        <v>808635213.56999993</v>
      </c>
      <c r="F18">
        <f ca="1">SUM($E$2:E18)/SUM($D$2:D18)</f>
        <v>307.88098982716718</v>
      </c>
      <c r="G18">
        <f ca="1">_xlfn.STDEV.P($C$2:C18)</f>
        <v>5.8492671885971061</v>
      </c>
      <c r="H18">
        <f t="shared" ca="1" si="2"/>
        <v>313.73025701576427</v>
      </c>
      <c r="I18">
        <f t="shared" ca="1" si="3"/>
        <v>302.0317226385701</v>
      </c>
      <c r="N18">
        <f t="shared" ca="1" si="4"/>
        <v>2.3299999999999841</v>
      </c>
      <c r="O18">
        <f t="shared" ca="1" si="5"/>
        <v>2.3299999999999841</v>
      </c>
      <c r="P18">
        <f t="shared" ca="1" si="6"/>
        <v>0</v>
      </c>
      <c r="Q18">
        <f t="shared" ca="1" si="10"/>
        <v>1.9021363494377346</v>
      </c>
      <c r="R18">
        <f t="shared" ca="1" si="11"/>
        <v>2.5237650978758879</v>
      </c>
      <c r="S18">
        <f t="shared" ca="1" si="8"/>
        <v>0.75368993375756588</v>
      </c>
      <c r="T18">
        <f t="shared" ca="1" si="9"/>
        <v>42.977376972374053</v>
      </c>
      <c r="U18">
        <f>70</f>
        <v>70</v>
      </c>
      <c r="V18">
        <f>30</f>
        <v>30</v>
      </c>
      <c r="W18">
        <f t="shared" ca="1" si="7"/>
        <v>305.11044278822027</v>
      </c>
    </row>
    <row r="19" spans="1:25" x14ac:dyDescent="0.25">
      <c r="A19" s="21">
        <f t="shared" ca="1" si="0"/>
        <v>45733</v>
      </c>
      <c r="B19" vm="52">
        <f ca="1"/>
        <v>45733</v>
      </c>
      <c r="C19" vm="53">
        <f ca="1"/>
        <v>303.97000000000003</v>
      </c>
      <c r="D19" vm="54">
        <f ca="1"/>
        <v>2758628</v>
      </c>
      <c r="E19">
        <f t="shared" ca="1" si="1"/>
        <v>838540153.16000009</v>
      </c>
      <c r="F19">
        <f ca="1">SUM($E$2:E19)/SUM($D$2:D19)</f>
        <v>307.7277985666455</v>
      </c>
      <c r="G19">
        <f ca="1">_xlfn.STDEV.P($C$2:C19)</f>
        <v>5.7260457560169797</v>
      </c>
      <c r="H19">
        <f t="shared" ca="1" si="2"/>
        <v>313.45384432266246</v>
      </c>
      <c r="I19">
        <f t="shared" ca="1" si="3"/>
        <v>302.00175281062855</v>
      </c>
      <c r="N19">
        <f t="shared" ca="1" si="4"/>
        <v>4.1400000000000432</v>
      </c>
      <c r="O19">
        <f t="shared" ca="1" si="5"/>
        <v>4.1400000000000432</v>
      </c>
      <c r="P19">
        <f t="shared" ca="1" si="6"/>
        <v>0</v>
      </c>
      <c r="Q19">
        <f t="shared" ca="1" si="10"/>
        <v>2.0619837530493279</v>
      </c>
      <c r="R19">
        <f t="shared" ca="1" si="11"/>
        <v>2.3434961623133246</v>
      </c>
      <c r="S19">
        <f t="shared" ca="1" si="8"/>
        <v>0.87987502868956757</v>
      </c>
      <c r="T19">
        <f t="shared" ca="1" si="9"/>
        <v>46.80497454678757</v>
      </c>
      <c r="U19">
        <f>70</f>
        <v>70</v>
      </c>
      <c r="V19">
        <f>30</f>
        <v>30</v>
      </c>
      <c r="W19">
        <f t="shared" ca="1" si="7"/>
        <v>304.93499005157099</v>
      </c>
    </row>
    <row r="20" spans="1:25" x14ac:dyDescent="0.25">
      <c r="A20" s="21">
        <f t="shared" ca="1" si="0"/>
        <v>45733</v>
      </c>
      <c r="B20" vm="55">
        <f ca="1"/>
        <v>45734</v>
      </c>
      <c r="C20" vm="56">
        <f ca="1"/>
        <v>303.60000000000002</v>
      </c>
      <c r="D20" vm="57">
        <f ca="1"/>
        <v>2435418</v>
      </c>
      <c r="E20">
        <f t="shared" ca="1" si="1"/>
        <v>739392904.80000007</v>
      </c>
      <c r="F20">
        <f ca="1">SUM($E$2:E20)/SUM($D$2:D20)</f>
        <v>307.58982941224775</v>
      </c>
      <c r="G20">
        <f ca="1">_xlfn.STDEV.P($C$2:C20)</f>
        <v>5.6192272316965877</v>
      </c>
      <c r="H20">
        <f t="shared" ca="1" si="2"/>
        <v>313.20905664394434</v>
      </c>
      <c r="I20">
        <f t="shared" ca="1" si="3"/>
        <v>301.97060218055117</v>
      </c>
      <c r="N20">
        <f t="shared" ca="1" si="4"/>
        <v>-0.37000000000000455</v>
      </c>
      <c r="O20">
        <f t="shared" ca="1" si="5"/>
        <v>0</v>
      </c>
      <c r="P20">
        <f t="shared" ca="1" si="6"/>
        <v>0.37000000000000455</v>
      </c>
      <c r="Q20">
        <f t="shared" ca="1" si="10"/>
        <v>1.9146991992600901</v>
      </c>
      <c r="R20">
        <f t="shared" ca="1" si="11"/>
        <v>2.2025321507195161</v>
      </c>
      <c r="S20">
        <f t="shared" ca="1" si="8"/>
        <v>0.86931725316000596</v>
      </c>
      <c r="T20">
        <f t="shared" ca="1" si="9"/>
        <v>46.504532694515071</v>
      </c>
      <c r="U20">
        <f>70</f>
        <v>70</v>
      </c>
      <c r="V20">
        <f>30</f>
        <v>30</v>
      </c>
      <c r="W20">
        <f t="shared" ca="1" si="7"/>
        <v>304.7296069667139</v>
      </c>
    </row>
    <row r="21" spans="1:25" x14ac:dyDescent="0.25">
      <c r="A21" s="21">
        <f t="shared" ca="1" si="0"/>
        <v>45733</v>
      </c>
      <c r="B21" vm="58">
        <f ca="1"/>
        <v>45735</v>
      </c>
      <c r="C21" vm="59">
        <f ca="1"/>
        <v>306.92</v>
      </c>
      <c r="D21" vm="60">
        <f ca="1"/>
        <v>2812212</v>
      </c>
      <c r="E21">
        <f t="shared" ca="1" si="1"/>
        <v>863124107.04000008</v>
      </c>
      <c r="F21">
        <f ca="1">SUM($E$2:E21)/SUM($D$2:D21)</f>
        <v>307.56493764234091</v>
      </c>
      <c r="G21">
        <f ca="1">_xlfn.STDEV.P($C$2:C21)</f>
        <v>5.4772826291875836</v>
      </c>
      <c r="H21">
        <f t="shared" ca="1" si="2"/>
        <v>313.04222027152849</v>
      </c>
      <c r="I21">
        <f t="shared" ca="1" si="3"/>
        <v>302.08765501315332</v>
      </c>
      <c r="J21">
        <f ca="1">AVERAGE(C2:C21)</f>
        <v>306.65500000000003</v>
      </c>
      <c r="K21">
        <f ca="1">_xlfn.STDEV.S(C2:C21)</f>
        <v>5.6195734057985174</v>
      </c>
      <c r="L21">
        <f ca="1">J21 + 2*K21</f>
        <v>317.89414681159707</v>
      </c>
      <c r="M21">
        <f ca="1">J21-2*K21</f>
        <v>295.41585318840299</v>
      </c>
      <c r="N21">
        <f t="shared" ca="1" si="4"/>
        <v>3.3199999999999932</v>
      </c>
      <c r="O21">
        <f t="shared" ca="1" si="5"/>
        <v>3.3199999999999932</v>
      </c>
      <c r="P21">
        <f t="shared" ca="1" si="6"/>
        <v>0</v>
      </c>
      <c r="Q21">
        <f t="shared" ca="1" si="10"/>
        <v>2.0150778278843688</v>
      </c>
      <c r="R21">
        <f t="shared" ca="1" si="11"/>
        <v>2.0452084256681222</v>
      </c>
      <c r="S21">
        <f t="shared" ca="1" si="8"/>
        <v>0.98526771286212045</v>
      </c>
      <c r="T21">
        <f t="shared" ca="1" si="9"/>
        <v>49.628959685325249</v>
      </c>
      <c r="U21">
        <f>70</f>
        <v>70</v>
      </c>
      <c r="V21">
        <f>30</f>
        <v>30</v>
      </c>
      <c r="W21">
        <f t="shared" ca="1" si="7"/>
        <v>305.06659051029641</v>
      </c>
    </row>
    <row r="22" spans="1:25" x14ac:dyDescent="0.25">
      <c r="A22" s="21">
        <f t="shared" ca="1" si="0"/>
        <v>45733</v>
      </c>
      <c r="B22" vm="61">
        <f ca="1"/>
        <v>45736</v>
      </c>
      <c r="C22" vm="62">
        <f ca="1"/>
        <v>307</v>
      </c>
      <c r="D22" vm="63">
        <f ca="1"/>
        <v>2723487</v>
      </c>
      <c r="E22">
        <f t="shared" ca="1" si="1"/>
        <v>836110509</v>
      </c>
      <c r="F22">
        <f ca="1">SUM($E$2:E22)/SUM($D$2:D22)</f>
        <v>307.54531243669015</v>
      </c>
      <c r="G22">
        <f ca="1">_xlfn.STDEV.P($C$2:C22)</f>
        <v>5.3457854211245248</v>
      </c>
      <c r="H22">
        <f t="shared" ca="1" si="2"/>
        <v>312.89109785781466</v>
      </c>
      <c r="I22">
        <f t="shared" ca="1" si="3"/>
        <v>302.19952701556565</v>
      </c>
      <c r="J22">
        <f t="shared" ref="J22:J85" ca="1" si="12">AVERAGE(C3:C22)</f>
        <v>306.85250000000002</v>
      </c>
      <c r="K22">
        <f t="shared" ref="K22:K85" ca="1" si="13">_xlfn.STDEV.S(C3:C22)</f>
        <v>5.5552505983552498</v>
      </c>
      <c r="L22">
        <f t="shared" ref="L22:L85" ca="1" si="14">J22 + 2*K22</f>
        <v>317.96300119671054</v>
      </c>
      <c r="M22">
        <f t="shared" ref="M22:M85" ca="1" si="15">J22-2*K22</f>
        <v>295.7419988032895</v>
      </c>
      <c r="N22">
        <f t="shared" ca="1" si="4"/>
        <v>7.9999999999984084E-2</v>
      </c>
      <c r="O22">
        <f t="shared" ca="1" si="5"/>
        <v>7.9999999999984084E-2</v>
      </c>
      <c r="P22">
        <f t="shared" ca="1" si="6"/>
        <v>0</v>
      </c>
      <c r="Q22">
        <f t="shared" ca="1" si="10"/>
        <v>1.8768579830354841</v>
      </c>
      <c r="R22">
        <f t="shared" ca="1" si="11"/>
        <v>1.8991221095489708</v>
      </c>
      <c r="S22">
        <f t="shared" ca="1" si="8"/>
        <v>0.98827662191833776</v>
      </c>
      <c r="T22">
        <f t="shared" ca="1" si="9"/>
        <v>49.705187448455959</v>
      </c>
      <c r="U22">
        <f>70</f>
        <v>70</v>
      </c>
      <c r="V22">
        <f>30</f>
        <v>30</v>
      </c>
      <c r="W22">
        <f t="shared" ca="1" si="7"/>
        <v>305.36403812409696</v>
      </c>
    </row>
    <row r="23" spans="1:25" x14ac:dyDescent="0.25">
      <c r="A23" s="21">
        <f t="shared" ca="1" si="0"/>
        <v>45733</v>
      </c>
      <c r="B23" vm="64">
        <f ca="1"/>
        <v>45737</v>
      </c>
      <c r="C23" vm="65">
        <f ca="1"/>
        <v>305.44</v>
      </c>
      <c r="D23" vm="66">
        <f ca="1"/>
        <v>6016138</v>
      </c>
      <c r="E23">
        <f t="shared" ca="1" si="1"/>
        <v>1837569190.72</v>
      </c>
      <c r="F23">
        <f ca="1">SUM($E$2:E23)/SUM($D$2:D23)</f>
        <v>307.39527038032293</v>
      </c>
      <c r="G23">
        <f ca="1">_xlfn.STDEV.P($C$2:C23)</f>
        <v>5.229172303071171</v>
      </c>
      <c r="H23">
        <f t="shared" ca="1" si="2"/>
        <v>312.62444268339408</v>
      </c>
      <c r="I23">
        <f t="shared" ca="1" si="3"/>
        <v>302.16609807725177</v>
      </c>
      <c r="J23">
        <f t="shared" ca="1" si="12"/>
        <v>306.88400000000001</v>
      </c>
      <c r="K23">
        <f t="shared" ca="1" si="13"/>
        <v>5.5448358145689367</v>
      </c>
      <c r="L23">
        <f t="shared" ca="1" si="14"/>
        <v>317.97367162913787</v>
      </c>
      <c r="M23">
        <f t="shared" ca="1" si="15"/>
        <v>295.79432837086216</v>
      </c>
      <c r="N23">
        <f t="shared" ca="1" si="4"/>
        <v>-1.5600000000000023</v>
      </c>
      <c r="O23">
        <f t="shared" ca="1" si="5"/>
        <v>0</v>
      </c>
      <c r="P23">
        <f t="shared" ca="1" si="6"/>
        <v>1.5600000000000023</v>
      </c>
      <c r="Q23">
        <f t="shared" ca="1" si="10"/>
        <v>1.7427966985329495</v>
      </c>
      <c r="R23">
        <f t="shared" ca="1" si="11"/>
        <v>1.8748991017240446</v>
      </c>
      <c r="S23">
        <f t="shared" ca="1" si="8"/>
        <v>0.92954159342781606</v>
      </c>
      <c r="T23">
        <f t="shared" ca="1" si="9"/>
        <v>48.174219026628627</v>
      </c>
      <c r="U23">
        <f>70</f>
        <v>70</v>
      </c>
      <c r="V23">
        <f>30</f>
        <v>30</v>
      </c>
      <c r="W23">
        <f t="shared" ca="1" si="7"/>
        <v>305.37572456654357</v>
      </c>
    </row>
    <row r="24" spans="1:25" x14ac:dyDescent="0.25">
      <c r="A24" s="21">
        <f t="shared" ca="1" si="0"/>
        <v>45740</v>
      </c>
      <c r="B24" vm="67">
        <f ca="1"/>
        <v>45740</v>
      </c>
      <c r="C24" vm="68">
        <f ca="1"/>
        <v>305.67</v>
      </c>
      <c r="D24" vm="69">
        <f ca="1"/>
        <v>3443511</v>
      </c>
      <c r="E24">
        <f t="shared" ca="1" si="1"/>
        <v>1052578007.37</v>
      </c>
      <c r="F24">
        <f ca="1">SUM($E$2:E24)/SUM($D$2:D24)</f>
        <v>307.32765069330981</v>
      </c>
      <c r="G24">
        <f ca="1">_xlfn.STDEV.P($C$2:C24)</f>
        <v>5.1178645564480787</v>
      </c>
      <c r="H24">
        <f t="shared" ca="1" si="2"/>
        <v>312.44551524975788</v>
      </c>
      <c r="I24">
        <f t="shared" ca="1" si="3"/>
        <v>302.20978613686174</v>
      </c>
      <c r="J24">
        <f t="shared" ca="1" si="12"/>
        <v>306.78900000000004</v>
      </c>
      <c r="K24">
        <f t="shared" ca="1" si="13"/>
        <v>5.5487389748055698</v>
      </c>
      <c r="L24">
        <f t="shared" ca="1" si="14"/>
        <v>317.88647794961116</v>
      </c>
      <c r="M24">
        <f t="shared" ca="1" si="15"/>
        <v>295.69152205038893</v>
      </c>
      <c r="N24">
        <f t="shared" ca="1" si="4"/>
        <v>0.23000000000001819</v>
      </c>
      <c r="O24">
        <f t="shared" ca="1" si="5"/>
        <v>0.23000000000001819</v>
      </c>
      <c r="P24">
        <f t="shared" ca="1" si="6"/>
        <v>0</v>
      </c>
      <c r="Q24">
        <f t="shared" ca="1" si="10"/>
        <v>1.6347397914948831</v>
      </c>
      <c r="R24">
        <f t="shared" ca="1" si="11"/>
        <v>1.7409777373151842</v>
      </c>
      <c r="S24">
        <f t="shared" ca="1" si="8"/>
        <v>0.93897799865945786</v>
      </c>
      <c r="T24">
        <f t="shared" ca="1" si="9"/>
        <v>48.42643904720088</v>
      </c>
      <c r="U24">
        <f>70</f>
        <v>70</v>
      </c>
      <c r="V24">
        <f>30</f>
        <v>30</v>
      </c>
      <c r="W24">
        <f t="shared" ca="1" si="7"/>
        <v>305.42099771015228</v>
      </c>
    </row>
    <row r="25" spans="1:25" x14ac:dyDescent="0.25">
      <c r="A25" s="21">
        <f t="shared" ca="1" si="0"/>
        <v>45740</v>
      </c>
      <c r="B25" vm="70">
        <f ca="1"/>
        <v>45741</v>
      </c>
      <c r="C25" vm="59">
        <f ca="1"/>
        <v>306.92</v>
      </c>
      <c r="D25" vm="71">
        <f ca="1"/>
        <v>2657170</v>
      </c>
      <c r="E25">
        <f t="shared" ca="1" si="1"/>
        <v>815538616.4000001</v>
      </c>
      <c r="F25">
        <f ca="1">SUM($E$2:E25)/SUM($D$2:D25)</f>
        <v>307.31568378110416</v>
      </c>
      <c r="G25">
        <f ca="1">_xlfn.STDEV.P($C$2:C25)</f>
        <v>5.0105840581878978</v>
      </c>
      <c r="H25">
        <f t="shared" ca="1" si="2"/>
        <v>312.32626783929203</v>
      </c>
      <c r="I25">
        <f t="shared" ca="1" si="3"/>
        <v>302.30509972291628</v>
      </c>
      <c r="J25">
        <f t="shared" ca="1" si="12"/>
        <v>306.59899999999999</v>
      </c>
      <c r="K25">
        <f t="shared" ca="1" si="13"/>
        <v>5.471572370948441</v>
      </c>
      <c r="L25">
        <f t="shared" ca="1" si="14"/>
        <v>317.54214474189689</v>
      </c>
      <c r="M25">
        <f t="shared" ca="1" si="15"/>
        <v>295.65585525810309</v>
      </c>
      <c r="N25">
        <f t="shared" ca="1" si="4"/>
        <v>1.25</v>
      </c>
      <c r="O25">
        <f t="shared" ca="1" si="5"/>
        <v>1.25</v>
      </c>
      <c r="P25">
        <f t="shared" ca="1" si="6"/>
        <v>0</v>
      </c>
      <c r="Q25">
        <f t="shared" ca="1" si="10"/>
        <v>1.6072583778166771</v>
      </c>
      <c r="R25">
        <f t="shared" ca="1" si="11"/>
        <v>1.6166221846498139</v>
      </c>
      <c r="S25">
        <f t="shared" ca="1" si="8"/>
        <v>0.99420779516571767</v>
      </c>
      <c r="T25">
        <f t="shared" ca="1" si="9"/>
        <v>49.854774290614955</v>
      </c>
      <c r="U25">
        <f>70</f>
        <v>70</v>
      </c>
      <c r="V25">
        <f>30</f>
        <v>30</v>
      </c>
      <c r="W25">
        <f t="shared" ca="1" si="7"/>
        <v>305.65161344705194</v>
      </c>
    </row>
    <row r="26" spans="1:25" x14ac:dyDescent="0.25">
      <c r="A26" s="21">
        <f t="shared" ca="1" si="0"/>
        <v>45740</v>
      </c>
      <c r="B26" vm="72">
        <f ca="1"/>
        <v>45742</v>
      </c>
      <c r="C26" vm="73">
        <f ca="1"/>
        <v>313.58</v>
      </c>
      <c r="D26" vm="74">
        <f ca="1"/>
        <v>2624998</v>
      </c>
      <c r="E26">
        <f t="shared" ca="1" si="1"/>
        <v>823146872.83999991</v>
      </c>
      <c r="F26">
        <f ca="1">SUM($E$2:E26)/SUM($D$2:D26)</f>
        <v>307.49223133188633</v>
      </c>
      <c r="G26">
        <f ca="1">_xlfn.STDEV.P($C$2:C26)</f>
        <v>5.096921957417047</v>
      </c>
      <c r="H26">
        <f t="shared" ca="1" si="2"/>
        <v>312.5891532893034</v>
      </c>
      <c r="I26">
        <f t="shared" ca="1" si="3"/>
        <v>302.39530937446926</v>
      </c>
      <c r="J26">
        <f t="shared" ca="1" si="12"/>
        <v>307.06450000000001</v>
      </c>
      <c r="K26">
        <f t="shared" ca="1" si="13"/>
        <v>5.6559251418778826</v>
      </c>
      <c r="L26">
        <f t="shared" ca="1" si="14"/>
        <v>318.37635028375576</v>
      </c>
      <c r="M26">
        <f t="shared" ca="1" si="15"/>
        <v>295.75264971624426</v>
      </c>
      <c r="N26">
        <f t="shared" ca="1" si="4"/>
        <v>6.6599999999999682</v>
      </c>
      <c r="O26">
        <f t="shared" ca="1" si="5"/>
        <v>6.6599999999999682</v>
      </c>
      <c r="P26">
        <f t="shared" ca="1" si="6"/>
        <v>0</v>
      </c>
      <c r="Q26">
        <f t="shared" ca="1" si="10"/>
        <v>1.9681684936869122</v>
      </c>
      <c r="R26">
        <f t="shared" ca="1" si="11"/>
        <v>1.5011491714605414</v>
      </c>
      <c r="S26">
        <f t="shared" ca="1" si="8"/>
        <v>1.3111078706268644</v>
      </c>
      <c r="T26">
        <f t="shared" ca="1" si="9"/>
        <v>56.730708561484839</v>
      </c>
      <c r="U26">
        <f>70</f>
        <v>70</v>
      </c>
      <c r="V26">
        <f>30</f>
        <v>30</v>
      </c>
      <c r="W26">
        <f t="shared" ca="1" si="7"/>
        <v>306.87136522442853</v>
      </c>
    </row>
    <row r="27" spans="1:25" x14ac:dyDescent="0.25">
      <c r="A27" s="21">
        <f t="shared" ca="1" si="0"/>
        <v>45740</v>
      </c>
      <c r="B27" vm="75">
        <f ca="1"/>
        <v>45743</v>
      </c>
      <c r="C27" vm="76">
        <f ca="1"/>
        <v>312.69</v>
      </c>
      <c r="D27" vm="77">
        <f ca="1"/>
        <v>3119455</v>
      </c>
      <c r="E27">
        <f t="shared" ca="1" si="1"/>
        <v>975422383.95000005</v>
      </c>
      <c r="F27">
        <f ca="1">SUM($E$2:E27)/SUM($D$2:D27)</f>
        <v>307.6606722917727</v>
      </c>
      <c r="G27">
        <f ca="1">_xlfn.STDEV.P($C$2:C27)</f>
        <v>5.1217967908600128</v>
      </c>
      <c r="H27">
        <f t="shared" ca="1" si="2"/>
        <v>312.7824690826327</v>
      </c>
      <c r="I27">
        <f t="shared" ca="1" si="3"/>
        <v>302.5388755009127</v>
      </c>
      <c r="J27">
        <f t="shared" ca="1" si="12"/>
        <v>307.20149999999995</v>
      </c>
      <c r="K27">
        <f t="shared" ca="1" si="13"/>
        <v>5.7616931676283114</v>
      </c>
      <c r="L27">
        <f t="shared" ca="1" si="14"/>
        <v>318.7248863352566</v>
      </c>
      <c r="M27">
        <f t="shared" ca="1" si="15"/>
        <v>295.67811366474331</v>
      </c>
      <c r="N27">
        <f t="shared" ca="1" si="4"/>
        <v>-0.88999999999998636</v>
      </c>
      <c r="O27">
        <f t="shared" ca="1" si="5"/>
        <v>0</v>
      </c>
      <c r="P27">
        <f t="shared" ca="1" si="6"/>
        <v>0.88999999999998636</v>
      </c>
      <c r="Q27">
        <f t="shared" ca="1" si="10"/>
        <v>1.8275850298521326</v>
      </c>
      <c r="R27">
        <f t="shared" ca="1" si="11"/>
        <v>1.457495659213359</v>
      </c>
      <c r="S27">
        <f t="shared" ca="1" si="8"/>
        <v>1.2539214222006798</v>
      </c>
      <c r="T27">
        <f t="shared" ca="1" si="9"/>
        <v>55.632880980224158</v>
      </c>
      <c r="U27">
        <f>70</f>
        <v>70</v>
      </c>
      <c r="V27">
        <f>30</f>
        <v>30</v>
      </c>
      <c r="W27">
        <f t="shared" ca="1" si="7"/>
        <v>307.76653980528567</v>
      </c>
      <c r="X27" s="9">
        <f ca="1">AVERAGE(C2:C27)</f>
        <v>307.09230769230766</v>
      </c>
      <c r="Y27">
        <f ca="1">W28-X28</f>
        <v>0.5703200061818734</v>
      </c>
    </row>
    <row r="28" spans="1:25" x14ac:dyDescent="0.25">
      <c r="A28" s="21">
        <f t="shared" ca="1" si="0"/>
        <v>45740</v>
      </c>
      <c r="B28" vm="78">
        <f ca="1"/>
        <v>45744</v>
      </c>
      <c r="C28" vm="79">
        <f ca="1"/>
        <v>307.08999999999997</v>
      </c>
      <c r="D28" vm="80">
        <f ca="1"/>
        <v>3211862</v>
      </c>
      <c r="E28">
        <f t="shared" ca="1" si="1"/>
        <v>986330701.57999992</v>
      </c>
      <c r="F28">
        <f ca="1">SUM($E$2:E28)/SUM($D$2:D28)</f>
        <v>307.64224585432191</v>
      </c>
      <c r="G28">
        <f ca="1">_xlfn.STDEV.P($C$2:C28)</f>
        <v>5.0260538480950068</v>
      </c>
      <c r="H28">
        <f t="shared" ca="1" si="2"/>
        <v>312.6682997024169</v>
      </c>
      <c r="I28">
        <f t="shared" ca="1" si="3"/>
        <v>302.61619200622692</v>
      </c>
      <c r="J28">
        <f t="shared" ca="1" si="12"/>
        <v>307.13949999999994</v>
      </c>
      <c r="K28">
        <f t="shared" ca="1" si="13"/>
        <v>5.7555789639728117</v>
      </c>
      <c r="L28">
        <f t="shared" ca="1" si="14"/>
        <v>318.65065792794559</v>
      </c>
      <c r="M28">
        <f t="shared" ca="1" si="15"/>
        <v>295.62834207205429</v>
      </c>
      <c r="N28">
        <f t="shared" ca="1" si="4"/>
        <v>-5.6000000000000227</v>
      </c>
      <c r="O28">
        <f t="shared" ca="1" si="5"/>
        <v>0</v>
      </c>
      <c r="P28">
        <f t="shared" ca="1" si="6"/>
        <v>5.6000000000000227</v>
      </c>
      <c r="Q28">
        <f t="shared" ca="1" si="10"/>
        <v>1.6970432420055517</v>
      </c>
      <c r="R28">
        <f t="shared" ca="1" si="11"/>
        <v>1.7533888264124065</v>
      </c>
      <c r="S28">
        <f t="shared" ca="1" si="8"/>
        <v>0.96786475221121204</v>
      </c>
      <c r="T28">
        <f t="shared" ca="1" si="9"/>
        <v>49.183499583681275</v>
      </c>
      <c r="U28">
        <f>70</f>
        <v>70</v>
      </c>
      <c r="V28">
        <f>30</f>
        <v>30</v>
      </c>
      <c r="W28">
        <f t="shared" ca="1" si="7"/>
        <v>307.66245675831863</v>
      </c>
      <c r="X28">
        <f ca="1">C28*(2/(26+1)) + X27*(1-(2/(26+1)))</f>
        <v>307.09213675213675</v>
      </c>
      <c r="Y28">
        <f t="shared" ref="Y28:Y91" ca="1" si="16">W29-X29</f>
        <v>0.90360459480393729</v>
      </c>
    </row>
    <row r="29" spans="1:25" x14ac:dyDescent="0.25">
      <c r="A29" s="21">
        <f t="shared" ca="1" si="0"/>
        <v>45747</v>
      </c>
      <c r="B29" vm="81">
        <f ca="1"/>
        <v>45747</v>
      </c>
      <c r="C29" vm="82">
        <f ca="1"/>
        <v>312.37</v>
      </c>
      <c r="D29" vm="83">
        <f ca="1"/>
        <v>4418823</v>
      </c>
      <c r="E29">
        <f t="shared" ca="1" si="1"/>
        <v>1380307740.51</v>
      </c>
      <c r="F29">
        <f ca="1">SUM($E$2:E29)/SUM($D$2:D29)</f>
        <v>307.84333236029568</v>
      </c>
      <c r="G29">
        <f ca="1">_xlfn.STDEV.P($C$2:C29)</f>
        <v>5.0317314036390464</v>
      </c>
      <c r="H29">
        <f t="shared" ca="1" si="2"/>
        <v>312.87506376393475</v>
      </c>
      <c r="I29">
        <f t="shared" ca="1" si="3"/>
        <v>302.8116009566566</v>
      </c>
      <c r="J29">
        <f t="shared" ca="1" si="12"/>
        <v>307.54349999999999</v>
      </c>
      <c r="K29">
        <f t="shared" ca="1" si="13"/>
        <v>5.8281587550172516</v>
      </c>
      <c r="L29">
        <f t="shared" ca="1" si="14"/>
        <v>319.19981751003451</v>
      </c>
      <c r="M29">
        <f t="shared" ca="1" si="15"/>
        <v>295.88718248996548</v>
      </c>
      <c r="N29">
        <f t="shared" ca="1" si="4"/>
        <v>5.2800000000000296</v>
      </c>
      <c r="O29">
        <f t="shared" ca="1" si="5"/>
        <v>5.2800000000000296</v>
      </c>
      <c r="P29">
        <f t="shared" ca="1" si="6"/>
        <v>0</v>
      </c>
      <c r="Q29">
        <f t="shared" ca="1" si="10"/>
        <v>1.9529687247194432</v>
      </c>
      <c r="R29">
        <f t="shared" ca="1" si="11"/>
        <v>1.6281467673829488</v>
      </c>
      <c r="S29">
        <f t="shared" ca="1" si="8"/>
        <v>1.1995041011312553</v>
      </c>
      <c r="T29">
        <f t="shared" ca="1" si="9"/>
        <v>54.5352063910371</v>
      </c>
      <c r="U29">
        <f>70</f>
        <v>70</v>
      </c>
      <c r="V29">
        <f>30</f>
        <v>30</v>
      </c>
      <c r="W29">
        <f t="shared" ca="1" si="7"/>
        <v>308.38669418011574</v>
      </c>
      <c r="X29">
        <f t="shared" ref="X29:X92" ca="1" si="17">C29*(2/(26+1)) + X28*(1-(2/(26+1)))</f>
        <v>307.4830895853118</v>
      </c>
      <c r="Y29">
        <f t="shared" ca="1" si="16"/>
        <v>1.2549403312479512</v>
      </c>
    </row>
    <row r="30" spans="1:25" x14ac:dyDescent="0.25">
      <c r="A30" s="21">
        <f t="shared" ca="1" si="0"/>
        <v>45747</v>
      </c>
      <c r="B30" vm="84">
        <f ca="1"/>
        <v>45748</v>
      </c>
      <c r="C30" vm="85">
        <f ca="1"/>
        <v>313.63</v>
      </c>
      <c r="D30" vm="86">
        <f ca="1"/>
        <v>2411454</v>
      </c>
      <c r="E30">
        <f t="shared" ca="1" si="1"/>
        <v>756304318.01999998</v>
      </c>
      <c r="F30">
        <f ca="1">SUM($E$2:E30)/SUM($D$2:D30)</f>
        <v>307.97460179339345</v>
      </c>
      <c r="G30">
        <f ca="1">_xlfn.STDEV.P($C$2:C30)</f>
        <v>5.078135337088173</v>
      </c>
      <c r="H30">
        <f t="shared" ca="1" si="2"/>
        <v>313.0527371304816</v>
      </c>
      <c r="I30">
        <f t="shared" ca="1" si="3"/>
        <v>302.89646645630529</v>
      </c>
      <c r="J30">
        <f t="shared" ca="1" si="12"/>
        <v>307.93649999999997</v>
      </c>
      <c r="K30">
        <f t="shared" ca="1" si="13"/>
        <v>5.9656581010771479</v>
      </c>
      <c r="L30">
        <f t="shared" ca="1" si="14"/>
        <v>319.86781620215424</v>
      </c>
      <c r="M30">
        <f t="shared" ca="1" si="15"/>
        <v>296.00518379784569</v>
      </c>
      <c r="N30">
        <f t="shared" ca="1" si="4"/>
        <v>1.2599999999999909</v>
      </c>
      <c r="O30">
        <f t="shared" ca="1" si="5"/>
        <v>1.2599999999999909</v>
      </c>
      <c r="P30">
        <f t="shared" ca="1" si="6"/>
        <v>0</v>
      </c>
      <c r="Q30">
        <f t="shared" ca="1" si="10"/>
        <v>1.9034709586680538</v>
      </c>
      <c r="R30">
        <f t="shared" ca="1" si="11"/>
        <v>1.5118505697127382</v>
      </c>
      <c r="S30">
        <f t="shared" ca="1" si="8"/>
        <v>1.2590337939481189</v>
      </c>
      <c r="T30">
        <f t="shared" ca="1" si="9"/>
        <v>55.73328727179873</v>
      </c>
      <c r="U30">
        <f>70</f>
        <v>70</v>
      </c>
      <c r="V30">
        <f>30</f>
        <v>30</v>
      </c>
      <c r="W30">
        <f t="shared" ca="1" si="7"/>
        <v>309.19335661394405</v>
      </c>
      <c r="X30">
        <f t="shared" ca="1" si="17"/>
        <v>307.9384162826961</v>
      </c>
      <c r="Y30">
        <f t="shared" ca="1" si="16"/>
        <v>1.3523692947725294</v>
      </c>
    </row>
    <row r="31" spans="1:25" x14ac:dyDescent="0.25">
      <c r="A31" s="21">
        <f t="shared" ca="1" si="0"/>
        <v>45747</v>
      </c>
      <c r="B31" vm="87">
        <f ca="1"/>
        <v>45749</v>
      </c>
      <c r="C31" vm="88">
        <f ca="1"/>
        <v>311.58</v>
      </c>
      <c r="D31" vm="89">
        <f ca="1"/>
        <v>2776755</v>
      </c>
      <c r="E31">
        <f t="shared" ca="1" si="1"/>
        <v>865181322.89999998</v>
      </c>
      <c r="F31">
        <f ca="1">SUM($E$2:E31)/SUM($D$2:D31)</f>
        <v>308.06638182772264</v>
      </c>
      <c r="G31">
        <f ca="1">_xlfn.STDEV.P($C$2:C31)</f>
        <v>5.0462214797036244</v>
      </c>
      <c r="H31">
        <f t="shared" ca="1" si="2"/>
        <v>313.11260330742624</v>
      </c>
      <c r="I31">
        <f t="shared" ca="1" si="3"/>
        <v>303.02016034801903</v>
      </c>
      <c r="J31">
        <f t="shared" ca="1" si="12"/>
        <v>308.14299999999997</v>
      </c>
      <c r="K31">
        <f t="shared" ca="1" si="13"/>
        <v>6.019171214150929</v>
      </c>
      <c r="L31">
        <f t="shared" ca="1" si="14"/>
        <v>320.18134242830183</v>
      </c>
      <c r="M31">
        <f t="shared" ca="1" si="15"/>
        <v>296.10465757169811</v>
      </c>
      <c r="N31">
        <f t="shared" ca="1" si="4"/>
        <v>-2.0500000000000114</v>
      </c>
      <c r="O31">
        <f t="shared" ca="1" si="5"/>
        <v>0</v>
      </c>
      <c r="P31">
        <f t="shared" ca="1" si="6"/>
        <v>2.0500000000000114</v>
      </c>
      <c r="Q31">
        <f t="shared" ca="1" si="10"/>
        <v>1.7675087473346214</v>
      </c>
      <c r="R31">
        <f t="shared" ca="1" si="11"/>
        <v>1.5502898147332578</v>
      </c>
      <c r="S31">
        <f t="shared" ca="1" si="8"/>
        <v>1.1401150485135183</v>
      </c>
      <c r="T31">
        <f t="shared" ca="1" si="9"/>
        <v>53.273540098015744</v>
      </c>
      <c r="U31">
        <f>70</f>
        <v>70</v>
      </c>
      <c r="V31">
        <f>30</f>
        <v>30</v>
      </c>
      <c r="W31">
        <f t="shared" ca="1" si="7"/>
        <v>309.56053251949112</v>
      </c>
      <c r="X31">
        <f t="shared" ca="1" si="17"/>
        <v>308.20816322471859</v>
      </c>
      <c r="Y31">
        <f t="shared" ca="1" si="16"/>
        <v>1.9469661260835665</v>
      </c>
    </row>
    <row r="32" spans="1:25" x14ac:dyDescent="0.25">
      <c r="A32" s="21">
        <f t="shared" ca="1" si="0"/>
        <v>45747</v>
      </c>
      <c r="B32" vm="90">
        <f ca="1"/>
        <v>45750</v>
      </c>
      <c r="C32" vm="91">
        <f ca="1"/>
        <v>318.27</v>
      </c>
      <c r="D32" vm="92">
        <f ca="1"/>
        <v>7023851</v>
      </c>
      <c r="E32">
        <f t="shared" ca="1" si="1"/>
        <v>2235481057.77</v>
      </c>
      <c r="F32">
        <f ca="1">SUM($E$2:E32)/SUM($D$2:D32)</f>
        <v>308.68366616007137</v>
      </c>
      <c r="G32">
        <f ca="1">_xlfn.STDEV.P($C$2:C32)</f>
        <v>5.3078503892274949</v>
      </c>
      <c r="H32">
        <f t="shared" ca="1" si="2"/>
        <v>313.99151654929886</v>
      </c>
      <c r="I32">
        <f t="shared" ca="1" si="3"/>
        <v>303.37581577084387</v>
      </c>
      <c r="J32">
        <f t="shared" ca="1" si="12"/>
        <v>308.53800000000001</v>
      </c>
      <c r="K32">
        <f t="shared" ca="1" si="13"/>
        <v>6.4189444943115559</v>
      </c>
      <c r="L32">
        <f t="shared" ca="1" si="14"/>
        <v>321.3758889886231</v>
      </c>
      <c r="M32">
        <f t="shared" ca="1" si="15"/>
        <v>295.70011101137692</v>
      </c>
      <c r="N32">
        <f t="shared" ca="1" si="4"/>
        <v>6.6899999999999977</v>
      </c>
      <c r="O32">
        <f t="shared" ca="1" si="5"/>
        <v>6.6899999999999977</v>
      </c>
      <c r="P32">
        <f t="shared" ca="1" si="6"/>
        <v>0</v>
      </c>
      <c r="Q32">
        <f t="shared" ca="1" si="10"/>
        <v>2.1191152653821481</v>
      </c>
      <c r="R32">
        <f t="shared" ca="1" si="11"/>
        <v>1.4395548279665964</v>
      </c>
      <c r="S32">
        <f t="shared" ca="1" si="8"/>
        <v>1.4720629073749461</v>
      </c>
      <c r="T32">
        <f t="shared" ca="1" si="9"/>
        <v>59.54795498865812</v>
      </c>
      <c r="U32">
        <f>70</f>
        <v>70</v>
      </c>
      <c r="V32">
        <f>30</f>
        <v>30</v>
      </c>
      <c r="W32">
        <f t="shared" ca="1" si="7"/>
        <v>310.9004505934156</v>
      </c>
      <c r="X32">
        <f t="shared" ca="1" si="17"/>
        <v>308.95348446733203</v>
      </c>
      <c r="Y32">
        <f t="shared" ca="1" si="16"/>
        <v>0.94196972752564534</v>
      </c>
    </row>
    <row r="33" spans="1:27" x14ac:dyDescent="0.25">
      <c r="A33" s="21">
        <f t="shared" ca="1" si="0"/>
        <v>45747</v>
      </c>
      <c r="B33" vm="93">
        <f ca="1"/>
        <v>45751</v>
      </c>
      <c r="C33" vm="94">
        <f ca="1"/>
        <v>300.11</v>
      </c>
      <c r="D33" vm="95">
        <f ca="1"/>
        <v>8831090</v>
      </c>
      <c r="E33">
        <f t="shared" ca="1" si="1"/>
        <v>2650298419.9000001</v>
      </c>
      <c r="F33">
        <f ca="1">SUM($E$2:E33)/SUM($D$2:D33)</f>
        <v>308.07762909677115</v>
      </c>
      <c r="G33">
        <f ca="1">_xlfn.STDEV.P($C$2:C33)</f>
        <v>5.4006748619819485</v>
      </c>
      <c r="H33">
        <f t="shared" ca="1" si="2"/>
        <v>313.47830395875309</v>
      </c>
      <c r="I33">
        <f t="shared" ca="1" si="3"/>
        <v>302.67695423478921</v>
      </c>
      <c r="J33">
        <f t="shared" ca="1" si="12"/>
        <v>307.47899999999993</v>
      </c>
      <c r="K33">
        <f t="shared" ca="1" si="13"/>
        <v>5.933145877188589</v>
      </c>
      <c r="L33">
        <f t="shared" ca="1" si="14"/>
        <v>319.34529175437712</v>
      </c>
      <c r="M33">
        <f t="shared" ca="1" si="15"/>
        <v>295.61270824562274</v>
      </c>
      <c r="N33">
        <f t="shared" ca="1" si="4"/>
        <v>-18.159999999999968</v>
      </c>
      <c r="O33">
        <f t="shared" ca="1" si="5"/>
        <v>0</v>
      </c>
      <c r="P33">
        <f t="shared" ca="1" si="6"/>
        <v>18.159999999999968</v>
      </c>
      <c r="Q33">
        <f t="shared" ca="1" si="10"/>
        <v>1.9677498892834233</v>
      </c>
      <c r="R33">
        <f t="shared" ca="1" si="11"/>
        <v>2.6338723402546944</v>
      </c>
      <c r="S33">
        <f t="shared" ca="1" si="8"/>
        <v>0.74709387361315416</v>
      </c>
      <c r="T33">
        <f t="shared" ca="1" si="9"/>
        <v>42.762091087188921</v>
      </c>
      <c r="U33">
        <f>70</f>
        <v>70</v>
      </c>
      <c r="V33">
        <f>30</f>
        <v>30</v>
      </c>
      <c r="W33">
        <f t="shared" ca="1" si="7"/>
        <v>309.24038127135162</v>
      </c>
      <c r="X33">
        <f t="shared" ca="1" si="17"/>
        <v>308.29841154382598</v>
      </c>
      <c r="Y33">
        <f t="shared" ca="1" si="16"/>
        <v>0.12629483147577503</v>
      </c>
    </row>
    <row r="34" spans="1:27" x14ac:dyDescent="0.25">
      <c r="A34" s="21">
        <f t="shared" ca="1" si="0"/>
        <v>45754</v>
      </c>
      <c r="B34" vm="96">
        <f ca="1"/>
        <v>45754</v>
      </c>
      <c r="C34" vm="97">
        <f ca="1"/>
        <v>299.89</v>
      </c>
      <c r="D34" vm="98">
        <f ca="1"/>
        <v>7725857</v>
      </c>
      <c r="E34">
        <f t="shared" ca="1" si="1"/>
        <v>2316907255.73</v>
      </c>
      <c r="F34">
        <f ca="1">SUM($E$2:E34)/SUM($D$2:D34)</f>
        <v>307.60079828300223</v>
      </c>
      <c r="G34">
        <f ca="1">_xlfn.STDEV.P($C$2:C34)</f>
        <v>5.4855154290638639</v>
      </c>
      <c r="H34">
        <f t="shared" ca="1" si="2"/>
        <v>313.0863137120661</v>
      </c>
      <c r="I34">
        <f t="shared" ca="1" si="3"/>
        <v>302.11528285393837</v>
      </c>
      <c r="J34">
        <f t="shared" ca="1" si="12"/>
        <v>306.61099999999999</v>
      </c>
      <c r="K34">
        <f t="shared" ca="1" si="13"/>
        <v>5.6934596826441748</v>
      </c>
      <c r="L34">
        <f t="shared" ca="1" si="14"/>
        <v>317.99791936528834</v>
      </c>
      <c r="M34">
        <f t="shared" ca="1" si="15"/>
        <v>295.22408063471164</v>
      </c>
      <c r="N34">
        <f t="shared" ca="1" si="4"/>
        <v>-0.22000000000002728</v>
      </c>
      <c r="O34">
        <f t="shared" ca="1" si="5"/>
        <v>0</v>
      </c>
      <c r="P34">
        <f t="shared" ca="1" si="6"/>
        <v>0.22000000000002728</v>
      </c>
      <c r="Q34">
        <f t="shared" ca="1" si="10"/>
        <v>1.8271963257631789</v>
      </c>
      <c r="R34">
        <f t="shared" ca="1" si="11"/>
        <v>2.4614528873793611</v>
      </c>
      <c r="S34">
        <f t="shared" ca="1" si="8"/>
        <v>0.74232431387648579</v>
      </c>
      <c r="T34">
        <f t="shared" ca="1" si="9"/>
        <v>42.6054040550518</v>
      </c>
      <c r="U34">
        <f>70</f>
        <v>70</v>
      </c>
      <c r="V34">
        <f>30</f>
        <v>30</v>
      </c>
      <c r="W34">
        <f t="shared" ca="1" si="7"/>
        <v>307.80186107575906</v>
      </c>
      <c r="X34">
        <f t="shared" ca="1" si="17"/>
        <v>307.67556624428329</v>
      </c>
      <c r="Y34">
        <f t="shared" ca="1" si="16"/>
        <v>-0.51899227889350641</v>
      </c>
    </row>
    <row r="35" spans="1:27" x14ac:dyDescent="0.25">
      <c r="A35" s="21">
        <f t="shared" ca="1" si="0"/>
        <v>45754</v>
      </c>
      <c r="B35" vm="99">
        <f ca="1"/>
        <v>45755</v>
      </c>
      <c r="C35" vm="50">
        <f ca="1"/>
        <v>299.83</v>
      </c>
      <c r="D35" vm="100">
        <f ca="1"/>
        <v>5562462</v>
      </c>
      <c r="E35">
        <f t="shared" ca="1" si="1"/>
        <v>1667792981.4599998</v>
      </c>
      <c r="F35">
        <f ca="1">SUM($E$2:E35)/SUM($D$2:D35)</f>
        <v>307.28807978695471</v>
      </c>
      <c r="G35">
        <f ca="1">_xlfn.STDEV.P($C$2:C35)</f>
        <v>5.5572567742251477</v>
      </c>
      <c r="H35">
        <f t="shared" ca="1" si="2"/>
        <v>312.84533656117986</v>
      </c>
      <c r="I35">
        <f t="shared" ca="1" si="3"/>
        <v>301.73082301272956</v>
      </c>
      <c r="J35">
        <f t="shared" ca="1" si="12"/>
        <v>306.26450000000006</v>
      </c>
      <c r="K35">
        <f t="shared" ca="1" si="13"/>
        <v>5.8913526951751365</v>
      </c>
      <c r="L35">
        <f t="shared" ca="1" si="14"/>
        <v>318.04720539035031</v>
      </c>
      <c r="M35">
        <f t="shared" ca="1" si="15"/>
        <v>294.4817946096498</v>
      </c>
      <c r="N35">
        <f t="shared" ca="1" si="4"/>
        <v>-6.0000000000002274E-2</v>
      </c>
      <c r="O35">
        <f t="shared" ca="1" si="5"/>
        <v>0</v>
      </c>
      <c r="P35">
        <f t="shared" ca="1" si="6"/>
        <v>6.0000000000002274E-2</v>
      </c>
      <c r="Q35">
        <f t="shared" ca="1" si="10"/>
        <v>1.6966823024943805</v>
      </c>
      <c r="R35">
        <f t="shared" ca="1" si="11"/>
        <v>2.2899205382808354</v>
      </c>
      <c r="S35">
        <f t="shared" ca="1" si="8"/>
        <v>0.74093501242980675</v>
      </c>
      <c r="T35">
        <f t="shared" ca="1" si="9"/>
        <v>42.559602003505617</v>
      </c>
      <c r="U35">
        <f>70</f>
        <v>70</v>
      </c>
      <c r="V35">
        <f>30</f>
        <v>30</v>
      </c>
      <c r="W35">
        <f t="shared" ca="1" si="7"/>
        <v>306.57542091025766</v>
      </c>
      <c r="X35">
        <f t="shared" ca="1" si="17"/>
        <v>307.09441318915117</v>
      </c>
      <c r="Y35">
        <f t="shared" ca="1" si="16"/>
        <v>-0.6891859718735418</v>
      </c>
    </row>
    <row r="36" spans="1:27" x14ac:dyDescent="0.25">
      <c r="A36" s="21">
        <f t="shared" ca="1" si="0"/>
        <v>45754</v>
      </c>
      <c r="B36" vm="101">
        <f ca="1"/>
        <v>45756</v>
      </c>
      <c r="C36" vm="102">
        <f ca="1"/>
        <v>303.95999999999998</v>
      </c>
      <c r="D36" vm="103">
        <f ca="1"/>
        <v>8265701</v>
      </c>
      <c r="E36">
        <f t="shared" ca="1" si="1"/>
        <v>2512442475.96</v>
      </c>
      <c r="F36">
        <f ca="1">SUM($E$2:E36)/SUM($D$2:D36)</f>
        <v>307.10029067142978</v>
      </c>
      <c r="G36">
        <f ca="1">_xlfn.STDEV.P($C$2:C36)</f>
        <v>5.5049761236947239</v>
      </c>
      <c r="H36">
        <f t="shared" ca="1" si="2"/>
        <v>312.60526679512452</v>
      </c>
      <c r="I36">
        <f t="shared" ca="1" si="3"/>
        <v>301.59531454773503</v>
      </c>
      <c r="J36">
        <f t="shared" ca="1" si="12"/>
        <v>306.49249999999995</v>
      </c>
      <c r="K36">
        <f t="shared" ca="1" si="13"/>
        <v>5.6967320964696366</v>
      </c>
      <c r="L36">
        <f t="shared" ca="1" si="14"/>
        <v>317.88596419293924</v>
      </c>
      <c r="M36">
        <f t="shared" ca="1" si="15"/>
        <v>295.09903580706066</v>
      </c>
      <c r="N36">
        <f t="shared" ca="1" si="4"/>
        <v>4.1299999999999955</v>
      </c>
      <c r="O36">
        <f t="shared" ca="1" si="5"/>
        <v>4.1299999999999955</v>
      </c>
      <c r="P36">
        <f t="shared" ca="1" si="6"/>
        <v>0</v>
      </c>
      <c r="Q36">
        <f t="shared" ca="1" si="10"/>
        <v>1.8704907094590673</v>
      </c>
      <c r="R36">
        <f t="shared" ca="1" si="11"/>
        <v>2.1263547855464902</v>
      </c>
      <c r="S36">
        <f t="shared" ca="1" si="8"/>
        <v>0.87967009182728473</v>
      </c>
      <c r="T36">
        <f t="shared" ca="1" si="9"/>
        <v>46.799174794132654</v>
      </c>
      <c r="U36">
        <f>70</f>
        <v>70</v>
      </c>
      <c r="V36">
        <f>30</f>
        <v>30</v>
      </c>
      <c r="W36">
        <f t="shared" ca="1" si="7"/>
        <v>306.17304846252574</v>
      </c>
      <c r="X36">
        <f t="shared" ca="1" si="17"/>
        <v>306.86223443439928</v>
      </c>
      <c r="Y36">
        <f t="shared" ca="1" si="16"/>
        <v>-0.5897173726769438</v>
      </c>
      <c r="Z36" s="9">
        <f ca="1">AVERAGE(Y28:Y36)</f>
        <v>0.52536103138504586</v>
      </c>
    </row>
    <row r="37" spans="1:27" x14ac:dyDescent="0.25">
      <c r="A37" s="21">
        <f t="shared" ca="1" si="0"/>
        <v>45754</v>
      </c>
      <c r="B37" vm="104">
        <f ca="1"/>
        <v>45757</v>
      </c>
      <c r="C37" vm="105">
        <f ca="1"/>
        <v>306.77999999999997</v>
      </c>
      <c r="D37" vm="106">
        <f ca="1"/>
        <v>6049543</v>
      </c>
      <c r="E37">
        <f t="shared" ca="1" si="1"/>
        <v>1855878801.5399997</v>
      </c>
      <c r="F37">
        <f ca="1">SUM($E$2:E37)/SUM($D$2:D37)</f>
        <v>307.08758817169758</v>
      </c>
      <c r="G37">
        <f ca="1">_xlfn.STDEV.P($C$2:C37)</f>
        <v>5.4283680661052376</v>
      </c>
      <c r="H37">
        <f t="shared" ca="1" si="2"/>
        <v>312.51595623780281</v>
      </c>
      <c r="I37">
        <f t="shared" ca="1" si="3"/>
        <v>301.65922010559234</v>
      </c>
      <c r="J37">
        <f t="shared" ca="1" si="12"/>
        <v>306.95649999999995</v>
      </c>
      <c r="K37">
        <f t="shared" ca="1" si="13"/>
        <v>5.2890853601892633</v>
      </c>
      <c r="L37">
        <f t="shared" ca="1" si="14"/>
        <v>317.53467072037847</v>
      </c>
      <c r="M37">
        <f t="shared" ca="1" si="15"/>
        <v>296.37832927962143</v>
      </c>
      <c r="N37">
        <f t="shared" ca="1" si="4"/>
        <v>2.8199999999999932</v>
      </c>
      <c r="O37">
        <f t="shared" ca="1" si="5"/>
        <v>2.8199999999999932</v>
      </c>
      <c r="P37">
        <f t="shared" ca="1" si="6"/>
        <v>0</v>
      </c>
      <c r="Q37">
        <f t="shared" ca="1" si="10"/>
        <v>1.938312801640562</v>
      </c>
      <c r="R37">
        <f t="shared" ca="1" si="11"/>
        <v>1.9744723008645979</v>
      </c>
      <c r="S37">
        <f t="shared" ca="1" si="8"/>
        <v>0.98168649962412635</v>
      </c>
      <c r="T37">
        <f t="shared" ca="1" si="9"/>
        <v>49.537931444268629</v>
      </c>
      <c r="U37">
        <f>70</f>
        <v>70</v>
      </c>
      <c r="V37">
        <f>30</f>
        <v>30</v>
      </c>
      <c r="W37">
        <f t="shared" ca="1" si="7"/>
        <v>306.26642562213721</v>
      </c>
      <c r="X37">
        <f t="shared" ca="1" si="17"/>
        <v>306.85614299481415</v>
      </c>
      <c r="Y37">
        <f t="shared" ca="1" si="16"/>
        <v>-0.25617681920186897</v>
      </c>
      <c r="Z37">
        <f ca="1">Y37*(2/(9+1)) + Z36*(1-(2/(9+1)))</f>
        <v>0.36905346126766292</v>
      </c>
      <c r="AA37">
        <f ca="1">Y37-Z37</f>
        <v>-0.62523028046953188</v>
      </c>
    </row>
    <row r="38" spans="1:27" x14ac:dyDescent="0.25">
      <c r="A38" s="21">
        <f t="shared" ca="1" si="0"/>
        <v>45754</v>
      </c>
      <c r="B38" vm="107">
        <f ca="1"/>
        <v>45758</v>
      </c>
      <c r="C38" vm="108">
        <f ca="1"/>
        <v>309.89999999999998</v>
      </c>
      <c r="D38" vm="109">
        <f ca="1"/>
        <v>4440059</v>
      </c>
      <c r="E38">
        <f t="shared" ca="1" si="1"/>
        <v>1375974284.0999999</v>
      </c>
      <c r="F38">
        <f ca="1">SUM($E$2:E38)/SUM($D$2:D38)</f>
        <v>307.16713613698954</v>
      </c>
      <c r="G38">
        <f ca="1">_xlfn.STDEV.P($C$2:C38)</f>
        <v>5.3728571280132114</v>
      </c>
      <c r="H38">
        <f t="shared" ca="1" si="2"/>
        <v>312.53999326500275</v>
      </c>
      <c r="I38">
        <f t="shared" ca="1" si="3"/>
        <v>301.79427900897633</v>
      </c>
      <c r="J38">
        <f t="shared" ca="1" si="12"/>
        <v>307.45999999999992</v>
      </c>
      <c r="K38">
        <f t="shared" ca="1" si="13"/>
        <v>5.0488195597949801</v>
      </c>
      <c r="L38">
        <f t="shared" ca="1" si="14"/>
        <v>317.55763911958991</v>
      </c>
      <c r="M38">
        <f t="shared" ca="1" si="15"/>
        <v>297.36236088040994</v>
      </c>
      <c r="N38">
        <f t="shared" ca="1" si="4"/>
        <v>3.1200000000000045</v>
      </c>
      <c r="O38">
        <f t="shared" ca="1" si="5"/>
        <v>3.1200000000000045</v>
      </c>
      <c r="P38">
        <f t="shared" ca="1" si="6"/>
        <v>0</v>
      </c>
      <c r="Q38">
        <f t="shared" ca="1" si="10"/>
        <v>2.0227190300948079</v>
      </c>
      <c r="R38">
        <f t="shared" ca="1" si="11"/>
        <v>1.8334385650885552</v>
      </c>
      <c r="S38">
        <f t="shared" ca="1" si="8"/>
        <v>1.1032379642331296</v>
      </c>
      <c r="T38">
        <f t="shared" ca="1" si="9"/>
        <v>52.454262570112263</v>
      </c>
      <c r="U38">
        <f>70</f>
        <v>70</v>
      </c>
      <c r="V38">
        <f>30</f>
        <v>30</v>
      </c>
      <c r="W38">
        <f t="shared" ca="1" si="7"/>
        <v>306.82543706488531</v>
      </c>
      <c r="X38">
        <f t="shared" ca="1" si="17"/>
        <v>307.08161388408718</v>
      </c>
      <c r="Y38">
        <f t="shared" ca="1" si="16"/>
        <v>0.50025725339770588</v>
      </c>
      <c r="Z38">
        <f t="shared" ref="Z38:Z101" ca="1" si="18">Y38*(2/(9+1)) + Z37*(1-(2/(9+1)))</f>
        <v>0.39529421969367151</v>
      </c>
      <c r="AA38">
        <f t="shared" ref="AA38:AA101" ca="1" si="19">Y38-Z38</f>
        <v>0.10496303370403437</v>
      </c>
    </row>
    <row r="39" spans="1:27" x14ac:dyDescent="0.25">
      <c r="A39" s="21">
        <f t="shared" ca="1" si="0"/>
        <v>45761</v>
      </c>
      <c r="B39" vm="110">
        <f ca="1"/>
        <v>45761</v>
      </c>
      <c r="C39" vm="111">
        <f ca="1"/>
        <v>316.07</v>
      </c>
      <c r="D39" vm="112">
        <f ca="1"/>
        <v>4068713</v>
      </c>
      <c r="E39">
        <f t="shared" ca="1" si="1"/>
        <v>1285998117.9100001</v>
      </c>
      <c r="F39">
        <f ca="1">SUM($E$2:E39)/SUM($D$2:D39)</f>
        <v>307.3920597902333</v>
      </c>
      <c r="G39">
        <f ca="1">_xlfn.STDEV.P($C$2:C39)</f>
        <v>5.4869476450786188</v>
      </c>
      <c r="H39">
        <f t="shared" ca="1" si="2"/>
        <v>312.87900743531191</v>
      </c>
      <c r="I39">
        <f t="shared" ca="1" si="3"/>
        <v>301.9051121451547</v>
      </c>
      <c r="J39">
        <f t="shared" ca="1" si="12"/>
        <v>308.06499999999994</v>
      </c>
      <c r="K39">
        <f t="shared" ca="1" si="13"/>
        <v>5.3259666777620334</v>
      </c>
      <c r="L39">
        <f t="shared" ca="1" si="14"/>
        <v>318.71693335552402</v>
      </c>
      <c r="M39">
        <f t="shared" ca="1" si="15"/>
        <v>297.41306664447586</v>
      </c>
      <c r="N39">
        <f t="shared" ca="1" si="4"/>
        <v>6.1700000000000159</v>
      </c>
      <c r="O39">
        <f t="shared" ca="1" si="5"/>
        <v>6.1700000000000159</v>
      </c>
      <c r="P39">
        <f t="shared" ca="1" si="6"/>
        <v>0</v>
      </c>
      <c r="Q39">
        <f t="shared" ca="1" si="10"/>
        <v>2.3189533850880371</v>
      </c>
      <c r="R39">
        <f t="shared" ca="1" si="11"/>
        <v>1.7024786675822299</v>
      </c>
      <c r="S39">
        <f t="shared" ca="1" si="8"/>
        <v>1.3621042244137438</v>
      </c>
      <c r="T39">
        <f t="shared" ca="1" si="9"/>
        <v>57.664865518447129</v>
      </c>
      <c r="U39">
        <f>70</f>
        <v>70</v>
      </c>
      <c r="V39">
        <f>30</f>
        <v>30</v>
      </c>
      <c r="W39">
        <f t="shared" ca="1" si="7"/>
        <v>308.2476775164414</v>
      </c>
      <c r="X39">
        <f t="shared" ca="1" si="17"/>
        <v>307.74742026304369</v>
      </c>
      <c r="Y39">
        <f t="shared" ca="1" si="16"/>
        <v>0.80082232733303726</v>
      </c>
      <c r="Z39">
        <f t="shared" ca="1" si="18"/>
        <v>0.47639984122154466</v>
      </c>
      <c r="AA39">
        <f t="shared" ca="1" si="19"/>
        <v>0.3244224861114926</v>
      </c>
    </row>
    <row r="40" spans="1:27" x14ac:dyDescent="0.25">
      <c r="A40" s="21">
        <f t="shared" ca="1" si="0"/>
        <v>45761</v>
      </c>
      <c r="B40" vm="113">
        <f ca="1"/>
        <v>45762</v>
      </c>
      <c r="C40" vm="114">
        <f ca="1"/>
        <v>312.48</v>
      </c>
      <c r="D40" vm="115">
        <f ca="1"/>
        <v>2901367</v>
      </c>
      <c r="E40">
        <f t="shared" ca="1" si="1"/>
        <v>906619160.16000009</v>
      </c>
      <c r="F40">
        <f ca="1">SUM($E$2:E40)/SUM($D$2:D40)</f>
        <v>307.48210042178988</v>
      </c>
      <c r="G40">
        <f ca="1">_xlfn.STDEV.P($C$2:C40)</f>
        <v>5.4737179952615618</v>
      </c>
      <c r="H40">
        <f t="shared" ca="1" si="2"/>
        <v>312.95581841705143</v>
      </c>
      <c r="I40">
        <f t="shared" ca="1" si="3"/>
        <v>302.00838242652833</v>
      </c>
      <c r="J40">
        <f t="shared" ca="1" si="12"/>
        <v>308.50900000000001</v>
      </c>
      <c r="K40">
        <f t="shared" ca="1" si="13"/>
        <v>5.3042474539402455</v>
      </c>
      <c r="L40">
        <f t="shared" ca="1" si="14"/>
        <v>319.11749490788048</v>
      </c>
      <c r="M40">
        <f t="shared" ca="1" si="15"/>
        <v>297.90050509211954</v>
      </c>
      <c r="N40">
        <f t="shared" ca="1" si="4"/>
        <v>-3.589999999999975</v>
      </c>
      <c r="O40">
        <f t="shared" ca="1" si="5"/>
        <v>0</v>
      </c>
      <c r="P40">
        <f t="shared" ca="1" si="6"/>
        <v>3.589999999999975</v>
      </c>
      <c r="Q40">
        <f t="shared" ca="1" si="10"/>
        <v>2.153313857581749</v>
      </c>
      <c r="R40">
        <f t="shared" ca="1" si="11"/>
        <v>1.8373016198977832</v>
      </c>
      <c r="S40">
        <f t="shared" ca="1" si="8"/>
        <v>1.1719980183229506</v>
      </c>
      <c r="T40">
        <f t="shared" ca="1" si="9"/>
        <v>53.95944234000163</v>
      </c>
      <c r="U40">
        <f>70</f>
        <v>70</v>
      </c>
      <c r="V40">
        <f>30</f>
        <v>30</v>
      </c>
      <c r="W40">
        <f t="shared" ca="1" si="7"/>
        <v>308.89880405237346</v>
      </c>
      <c r="X40">
        <f t="shared" ca="1" si="17"/>
        <v>308.09798172504043</v>
      </c>
      <c r="Y40">
        <f t="shared" ca="1" si="16"/>
        <v>0.75755197412189546</v>
      </c>
      <c r="Z40">
        <f t="shared" ca="1" si="18"/>
        <v>0.53263026780161482</v>
      </c>
      <c r="AA40">
        <f t="shared" ca="1" si="19"/>
        <v>0.22492170632028063</v>
      </c>
    </row>
    <row r="41" spans="1:27" x14ac:dyDescent="0.25">
      <c r="A41" s="21">
        <f t="shared" ca="1" si="0"/>
        <v>45761</v>
      </c>
      <c r="B41" vm="116">
        <f ca="1"/>
        <v>45763</v>
      </c>
      <c r="C41" vm="117">
        <f ca="1"/>
        <v>309.10000000000002</v>
      </c>
      <c r="D41" vm="118">
        <f ca="1"/>
        <v>3099078</v>
      </c>
      <c r="E41">
        <f t="shared" ca="1" si="1"/>
        <v>957925009.80000007</v>
      </c>
      <c r="F41">
        <f ca="1">SUM($E$2:E41)/SUM($D$2:D41)</f>
        <v>307.51211589364971</v>
      </c>
      <c r="G41">
        <f ca="1">_xlfn.STDEV.P($C$2:C41)</f>
        <v>5.4099415662278654</v>
      </c>
      <c r="H41">
        <f t="shared" ca="1" si="2"/>
        <v>312.92205745987758</v>
      </c>
      <c r="I41">
        <f t="shared" ca="1" si="3"/>
        <v>302.10217432742184</v>
      </c>
      <c r="J41">
        <f t="shared" ca="1" si="12"/>
        <v>308.61800000000005</v>
      </c>
      <c r="K41">
        <f t="shared" ca="1" si="13"/>
        <v>5.2922610827907048</v>
      </c>
      <c r="L41">
        <f t="shared" ca="1" si="14"/>
        <v>319.20252216558146</v>
      </c>
      <c r="M41">
        <f t="shared" ca="1" si="15"/>
        <v>298.03347783441865</v>
      </c>
      <c r="N41">
        <f t="shared" ca="1" si="4"/>
        <v>-3.3799999999999955</v>
      </c>
      <c r="O41">
        <f t="shared" ca="1" si="5"/>
        <v>0</v>
      </c>
      <c r="P41">
        <f t="shared" ca="1" si="6"/>
        <v>3.3799999999999955</v>
      </c>
      <c r="Q41">
        <f t="shared" ca="1" si="10"/>
        <v>1.9995057248973382</v>
      </c>
      <c r="R41">
        <f t="shared" ca="1" si="11"/>
        <v>1.9474943613336555</v>
      </c>
      <c r="S41">
        <f t="shared" ca="1" si="8"/>
        <v>1.0267068108623765</v>
      </c>
      <c r="T41">
        <f t="shared" ca="1" si="9"/>
        <v>50.658872085474769</v>
      </c>
      <c r="U41">
        <f>70</f>
        <v>70</v>
      </c>
      <c r="V41">
        <f>30</f>
        <v>30</v>
      </c>
      <c r="W41">
        <f t="shared" ca="1" si="7"/>
        <v>308.92975727508525</v>
      </c>
      <c r="X41">
        <f t="shared" ca="1" si="17"/>
        <v>308.17220530096336</v>
      </c>
      <c r="Y41">
        <f t="shared" ca="1" si="16"/>
        <v>0.89051620480688598</v>
      </c>
      <c r="Z41">
        <f t="shared" ca="1" si="18"/>
        <v>0.60420745520266905</v>
      </c>
      <c r="AA41">
        <f t="shared" ca="1" si="19"/>
        <v>0.28630874960421693</v>
      </c>
    </row>
    <row r="42" spans="1:27" x14ac:dyDescent="0.25">
      <c r="A42" s="21">
        <f t="shared" ca="1" si="0"/>
        <v>45761</v>
      </c>
      <c r="B42" vm="119">
        <f ca="1"/>
        <v>45764</v>
      </c>
      <c r="C42" vm="120">
        <f ca="1"/>
        <v>311.3</v>
      </c>
      <c r="D42" vm="121">
        <f ca="1"/>
        <v>2728460</v>
      </c>
      <c r="E42">
        <f t="shared" ca="1" si="1"/>
        <v>849369598</v>
      </c>
      <c r="F42">
        <f ca="1">SUM($E$2:E42)/SUM($D$2:D42)</f>
        <v>307.57299091809119</v>
      </c>
      <c r="G42">
        <f ca="1">_xlfn.STDEV.P($C$2:C42)</f>
        <v>5.3733592960945433</v>
      </c>
      <c r="H42">
        <f t="shared" ca="1" si="2"/>
        <v>312.94635021418571</v>
      </c>
      <c r="I42">
        <f t="shared" ca="1" si="3"/>
        <v>302.19963162199667</v>
      </c>
      <c r="J42">
        <f t="shared" ca="1" si="12"/>
        <v>308.83299999999997</v>
      </c>
      <c r="K42">
        <f t="shared" ca="1" si="13"/>
        <v>5.3103831757872433</v>
      </c>
      <c r="L42">
        <f t="shared" ca="1" si="14"/>
        <v>319.45376635157447</v>
      </c>
      <c r="M42">
        <f t="shared" ca="1" si="15"/>
        <v>298.21223364842547</v>
      </c>
      <c r="N42">
        <f t="shared" ca="1" si="4"/>
        <v>2.1999999999999886</v>
      </c>
      <c r="O42">
        <f t="shared" ca="1" si="5"/>
        <v>2.1999999999999886</v>
      </c>
      <c r="P42">
        <f t="shared" ca="1" si="6"/>
        <v>0</v>
      </c>
      <c r="Q42">
        <f t="shared" ca="1" si="10"/>
        <v>2.0138267445475275</v>
      </c>
      <c r="R42">
        <f t="shared" ca="1" si="11"/>
        <v>1.8083876212383942</v>
      </c>
      <c r="S42">
        <f t="shared" ca="1" si="8"/>
        <v>1.1136034779802615</v>
      </c>
      <c r="T42">
        <f t="shared" ca="1" si="9"/>
        <v>52.68743591605034</v>
      </c>
      <c r="U42">
        <f>70</f>
        <v>70</v>
      </c>
      <c r="V42">
        <f>30</f>
        <v>30</v>
      </c>
      <c r="W42">
        <f t="shared" ca="1" si="7"/>
        <v>309.29441000199517</v>
      </c>
      <c r="X42">
        <f t="shared" ca="1" si="17"/>
        <v>308.40389379718829</v>
      </c>
      <c r="Y42">
        <f t="shared" ca="1" si="16"/>
        <v>0.77873016098686776</v>
      </c>
      <c r="Z42">
        <f t="shared" ca="1" si="18"/>
        <v>0.63911199635950888</v>
      </c>
      <c r="AA42">
        <f t="shared" ca="1" si="19"/>
        <v>0.13961816462735888</v>
      </c>
    </row>
    <row r="43" spans="1:27" x14ac:dyDescent="0.25">
      <c r="A43" s="21">
        <f t="shared" ca="1" si="0"/>
        <v>45768</v>
      </c>
      <c r="B43" vm="122">
        <f ca="1"/>
        <v>45768</v>
      </c>
      <c r="C43" vm="123">
        <f ca="1"/>
        <v>308.72000000000003</v>
      </c>
      <c r="D43" vm="124">
        <f ca="1"/>
        <v>2669905</v>
      </c>
      <c r="E43">
        <f t="shared" ca="1" si="1"/>
        <v>824253071.60000002</v>
      </c>
      <c r="F43">
        <f ca="1">SUM($E$2:E43)/SUM($D$2:D43)</f>
        <v>307.5907496083675</v>
      </c>
      <c r="G43">
        <f ca="1">_xlfn.STDEV.P($C$2:C43)</f>
        <v>5.3111683551787516</v>
      </c>
      <c r="H43">
        <f t="shared" ca="1" si="2"/>
        <v>312.90191796354628</v>
      </c>
      <c r="I43">
        <f t="shared" ca="1" si="3"/>
        <v>302.27958125318872</v>
      </c>
      <c r="J43">
        <f t="shared" ca="1" si="12"/>
        <v>308.99700000000001</v>
      </c>
      <c r="K43">
        <f t="shared" ca="1" si="13"/>
        <v>5.2503915643452128</v>
      </c>
      <c r="L43">
        <f t="shared" ca="1" si="14"/>
        <v>319.49778312869046</v>
      </c>
      <c r="M43">
        <f t="shared" ca="1" si="15"/>
        <v>298.49621687130957</v>
      </c>
      <c r="N43">
        <f t="shared" ca="1" si="4"/>
        <v>-2.5799999999999841</v>
      </c>
      <c r="O43">
        <f t="shared" ca="1" si="5"/>
        <v>0</v>
      </c>
      <c r="P43">
        <f t="shared" ca="1" si="6"/>
        <v>2.5799999999999841</v>
      </c>
      <c r="Q43">
        <f t="shared" ca="1" si="10"/>
        <v>1.8699819770798471</v>
      </c>
      <c r="R43">
        <f t="shared" ca="1" si="11"/>
        <v>1.8635027911499364</v>
      </c>
      <c r="S43">
        <f t="shared" ca="1" si="8"/>
        <v>1.0034768855515974</v>
      </c>
      <c r="T43">
        <f t="shared" ca="1" si="9"/>
        <v>50.086771291864444</v>
      </c>
      <c r="U43">
        <f>70</f>
        <v>70</v>
      </c>
      <c r="V43">
        <f>30</f>
        <v>30</v>
      </c>
      <c r="W43">
        <f t="shared" ca="1" si="7"/>
        <v>309.2060392324575</v>
      </c>
      <c r="X43">
        <f t="shared" ca="1" si="17"/>
        <v>308.42730907147063</v>
      </c>
      <c r="Y43">
        <f t="shared" ca="1" si="16"/>
        <v>1.5087128313730318</v>
      </c>
      <c r="Z43">
        <f t="shared" ca="1" si="18"/>
        <v>0.81303216336221351</v>
      </c>
      <c r="AA43">
        <f t="shared" ca="1" si="19"/>
        <v>0.69568066801081829</v>
      </c>
    </row>
    <row r="44" spans="1:27" x14ac:dyDescent="0.25">
      <c r="A44" s="21">
        <f t="shared" ca="1" si="0"/>
        <v>45768</v>
      </c>
      <c r="B44" vm="125">
        <f ca="1"/>
        <v>45769</v>
      </c>
      <c r="C44" vm="126">
        <f ca="1"/>
        <v>319.08</v>
      </c>
      <c r="D44" vm="127">
        <f ca="1"/>
        <v>4200708</v>
      </c>
      <c r="E44">
        <f t="shared" ca="1" si="1"/>
        <v>1340361908.6399999</v>
      </c>
      <c r="F44">
        <f ca="1">SUM($E$2:E44)/SUM($D$2:D44)</f>
        <v>307.86396804345958</v>
      </c>
      <c r="G44">
        <f ca="1">_xlfn.STDEV.P($C$2:C44)</f>
        <v>5.5198405499736669</v>
      </c>
      <c r="H44">
        <f t="shared" ca="1" si="2"/>
        <v>313.38380859343323</v>
      </c>
      <c r="I44">
        <f t="shared" ca="1" si="3"/>
        <v>302.34412749348593</v>
      </c>
      <c r="J44">
        <f t="shared" ca="1" si="12"/>
        <v>309.66750000000002</v>
      </c>
      <c r="K44">
        <f t="shared" ca="1" si="13"/>
        <v>5.6446163218639249</v>
      </c>
      <c r="L44">
        <f t="shared" ca="1" si="14"/>
        <v>320.95673264372789</v>
      </c>
      <c r="M44">
        <f t="shared" ca="1" si="15"/>
        <v>298.37826735627215</v>
      </c>
      <c r="N44">
        <f t="shared" ca="1" si="4"/>
        <v>10.359999999999957</v>
      </c>
      <c r="O44">
        <f t="shared" ca="1" si="5"/>
        <v>10.359999999999957</v>
      </c>
      <c r="P44">
        <f t="shared" ca="1" si="6"/>
        <v>0</v>
      </c>
      <c r="Q44">
        <f t="shared" ca="1" si="10"/>
        <v>2.4764118358598552</v>
      </c>
      <c r="R44">
        <f t="shared" ca="1" si="11"/>
        <v>1.7303954489249411</v>
      </c>
      <c r="S44">
        <f t="shared" ca="1" si="8"/>
        <v>1.4311247971661036</v>
      </c>
      <c r="T44">
        <f t="shared" ca="1" si="9"/>
        <v>58.866776351190488</v>
      </c>
      <c r="U44">
        <f>70</f>
        <v>70</v>
      </c>
      <c r="V44">
        <f>30</f>
        <v>30</v>
      </c>
      <c r="W44">
        <f t="shared" ca="1" si="7"/>
        <v>310.72511011977173</v>
      </c>
      <c r="X44">
        <f t="shared" ca="1" si="17"/>
        <v>309.2163972883987</v>
      </c>
      <c r="Y44">
        <f t="shared" ca="1" si="16"/>
        <v>2.015580019494621</v>
      </c>
      <c r="Z44">
        <f t="shared" ca="1" si="18"/>
        <v>1.053541734588695</v>
      </c>
      <c r="AA44">
        <f t="shared" ca="1" si="19"/>
        <v>0.96203828490592591</v>
      </c>
    </row>
    <row r="45" spans="1:27" x14ac:dyDescent="0.25">
      <c r="A45" s="21">
        <f t="shared" ca="1" si="0"/>
        <v>45768</v>
      </c>
      <c r="B45" vm="128">
        <f ca="1"/>
        <v>45770</v>
      </c>
      <c r="C45" vm="129">
        <f ca="1"/>
        <v>318.48</v>
      </c>
      <c r="D45" vm="130">
        <f ca="1"/>
        <v>3210134</v>
      </c>
      <c r="E45">
        <f t="shared" ca="1" si="1"/>
        <v>1022363476.3200001</v>
      </c>
      <c r="F45">
        <f ca="1">SUM($E$2:E45)/SUM($D$2:D45)</f>
        <v>308.05344646158028</v>
      </c>
      <c r="G45">
        <f ca="1">_xlfn.STDEV.P($C$2:C45)</f>
        <v>5.6753437293507609</v>
      </c>
      <c r="H45">
        <f t="shared" ca="1" si="2"/>
        <v>313.72879019093102</v>
      </c>
      <c r="I45">
        <f t="shared" ca="1" si="3"/>
        <v>302.37810273222954</v>
      </c>
      <c r="J45">
        <f t="shared" ca="1" si="12"/>
        <v>310.24549999999999</v>
      </c>
      <c r="K45">
        <f t="shared" ca="1" si="13"/>
        <v>5.9329671949912317</v>
      </c>
      <c r="L45">
        <f t="shared" ca="1" si="14"/>
        <v>322.11143438998243</v>
      </c>
      <c r="M45">
        <f t="shared" ca="1" si="15"/>
        <v>298.37956561001755</v>
      </c>
      <c r="N45">
        <f t="shared" ca="1" si="4"/>
        <v>-0.59999999999996589</v>
      </c>
      <c r="O45">
        <f t="shared" ca="1" si="5"/>
        <v>0</v>
      </c>
      <c r="P45">
        <f t="shared" ca="1" si="6"/>
        <v>0.59999999999996589</v>
      </c>
      <c r="Q45">
        <f t="shared" ca="1" si="10"/>
        <v>2.2995252761555802</v>
      </c>
      <c r="R45">
        <f t="shared" ca="1" si="11"/>
        <v>1.6496529168588714</v>
      </c>
      <c r="S45">
        <f t="shared" ca="1" si="8"/>
        <v>1.3939449035947151</v>
      </c>
      <c r="T45">
        <f t="shared" ca="1" si="9"/>
        <v>58.22794423971856</v>
      </c>
      <c r="U45">
        <f>70</f>
        <v>70</v>
      </c>
      <c r="V45">
        <f>30</f>
        <v>30</v>
      </c>
      <c r="W45">
        <f t="shared" ca="1" si="7"/>
        <v>311.91817010134525</v>
      </c>
      <c r="X45">
        <f t="shared" ca="1" si="17"/>
        <v>309.90259008185063</v>
      </c>
      <c r="Y45">
        <f t="shared" ca="1" si="16"/>
        <v>2.2094437136697138</v>
      </c>
      <c r="Z45">
        <f t="shared" ca="1" si="18"/>
        <v>1.2847221304048988</v>
      </c>
      <c r="AA45">
        <f t="shared" ca="1" si="19"/>
        <v>0.92472158326481502</v>
      </c>
    </row>
    <row r="46" spans="1:27" x14ac:dyDescent="0.25">
      <c r="A46" s="21">
        <f t="shared" ca="1" si="0"/>
        <v>45768</v>
      </c>
      <c r="B46" vm="131">
        <f ca="1"/>
        <v>45771</v>
      </c>
      <c r="C46" vm="132">
        <f ca="1"/>
        <v>316.22000000000003</v>
      </c>
      <c r="D46" vm="133">
        <f ca="1"/>
        <v>2479485</v>
      </c>
      <c r="E46">
        <f t="shared" ca="1" si="1"/>
        <v>784062746.70000005</v>
      </c>
      <c r="F46">
        <f ca="1">SUM($E$2:E46)/SUM($D$2:D46)</f>
        <v>308.16449898054566</v>
      </c>
      <c r="G46">
        <f ca="1">_xlfn.STDEV.P($C$2:C46)</f>
        <v>5.7335548794404669</v>
      </c>
      <c r="H46">
        <f t="shared" ca="1" si="2"/>
        <v>313.89805385998613</v>
      </c>
      <c r="I46">
        <f t="shared" ca="1" si="3"/>
        <v>302.43094410110518</v>
      </c>
      <c r="J46">
        <f t="shared" ca="1" si="12"/>
        <v>310.3775</v>
      </c>
      <c r="K46">
        <f t="shared" ca="1" si="13"/>
        <v>6.0394718094252378</v>
      </c>
      <c r="L46">
        <f t="shared" ca="1" si="14"/>
        <v>322.45644361885047</v>
      </c>
      <c r="M46">
        <f t="shared" ca="1" si="15"/>
        <v>298.29855638114952</v>
      </c>
      <c r="N46">
        <f t="shared" ca="1" si="4"/>
        <v>-2.2599999999999909</v>
      </c>
      <c r="O46">
        <f t="shared" ca="1" si="5"/>
        <v>0</v>
      </c>
      <c r="P46">
        <f t="shared" ca="1" si="6"/>
        <v>2.2599999999999909</v>
      </c>
      <c r="Q46">
        <f t="shared" ca="1" si="10"/>
        <v>2.1352734707158958</v>
      </c>
      <c r="R46">
        <f t="shared" ca="1" si="11"/>
        <v>1.693249137083237</v>
      </c>
      <c r="S46">
        <f t="shared" ca="1" si="8"/>
        <v>1.2610509723300865</v>
      </c>
      <c r="T46">
        <f t="shared" ca="1" si="9"/>
        <v>55.772779462398965</v>
      </c>
      <c r="U46">
        <f>70</f>
        <v>70</v>
      </c>
      <c r="V46">
        <f>30</f>
        <v>30</v>
      </c>
      <c r="W46">
        <f t="shared" ca="1" si="7"/>
        <v>312.57999008575365</v>
      </c>
      <c r="X46">
        <f t="shared" ca="1" si="17"/>
        <v>310.37054637208394</v>
      </c>
      <c r="Y46">
        <f t="shared" ca="1" si="16"/>
        <v>2.3776338590927253</v>
      </c>
      <c r="Z46">
        <f t="shared" ca="1" si="18"/>
        <v>1.5033044761424641</v>
      </c>
      <c r="AA46">
        <f t="shared" ca="1" si="19"/>
        <v>0.87432938295026119</v>
      </c>
    </row>
    <row r="47" spans="1:27" x14ac:dyDescent="0.25">
      <c r="A47" s="21">
        <f t="shared" ca="1" si="0"/>
        <v>45768</v>
      </c>
      <c r="B47" vm="134">
        <f ca="1"/>
        <v>45772</v>
      </c>
      <c r="C47" vm="135">
        <f ca="1"/>
        <v>316.74</v>
      </c>
      <c r="D47" vm="136">
        <f ca="1"/>
        <v>2283147</v>
      </c>
      <c r="E47">
        <f t="shared" ca="1" si="1"/>
        <v>723163980.77999997</v>
      </c>
      <c r="F47">
        <f ca="1">SUM($E$2:E47)/SUM($D$2:D47)</f>
        <v>308.27055056680786</v>
      </c>
      <c r="G47">
        <f ca="1">_xlfn.STDEV.P($C$2:C47)</f>
        <v>5.7989911449041536</v>
      </c>
      <c r="H47">
        <f t="shared" ca="1" si="2"/>
        <v>314.06954171171202</v>
      </c>
      <c r="I47">
        <f t="shared" ca="1" si="3"/>
        <v>302.47155942190369</v>
      </c>
      <c r="J47">
        <f t="shared" ca="1" si="12"/>
        <v>310.58000000000004</v>
      </c>
      <c r="K47">
        <f t="shared" ca="1" si="13"/>
        <v>6.1871802947707968</v>
      </c>
      <c r="L47">
        <f t="shared" ca="1" si="14"/>
        <v>322.95436058954164</v>
      </c>
      <c r="M47">
        <f t="shared" ca="1" si="15"/>
        <v>298.20563941045845</v>
      </c>
      <c r="N47">
        <f t="shared" ca="1" si="4"/>
        <v>0.51999999999998181</v>
      </c>
      <c r="O47">
        <f t="shared" ca="1" si="5"/>
        <v>0.51999999999998181</v>
      </c>
      <c r="P47">
        <f t="shared" ca="1" si="6"/>
        <v>0</v>
      </c>
      <c r="Q47">
        <f t="shared" ca="1" si="10"/>
        <v>2.0198967942361876</v>
      </c>
      <c r="R47">
        <f t="shared" ca="1" si="11"/>
        <v>1.57230277014872</v>
      </c>
      <c r="S47">
        <f t="shared" ca="1" si="8"/>
        <v>1.2846741941726216</v>
      </c>
      <c r="T47">
        <f t="shared" ca="1" si="9"/>
        <v>56.230082934772994</v>
      </c>
      <c r="U47">
        <f>70</f>
        <v>70</v>
      </c>
      <c r="V47">
        <f>30</f>
        <v>30</v>
      </c>
      <c r="W47">
        <f t="shared" ca="1" si="7"/>
        <v>313.21999161102229</v>
      </c>
      <c r="X47">
        <f t="shared" ca="1" si="17"/>
        <v>310.84235775192957</v>
      </c>
      <c r="Y47">
        <f t="shared" ca="1" si="16"/>
        <v>2.4878952680812745</v>
      </c>
      <c r="Z47">
        <f t="shared" ca="1" si="18"/>
        <v>1.7002226345302263</v>
      </c>
      <c r="AA47">
        <f t="shared" ca="1" si="19"/>
        <v>0.78767263355104822</v>
      </c>
    </row>
    <row r="48" spans="1:27" x14ac:dyDescent="0.25">
      <c r="A48" s="21">
        <f t="shared" ca="1" si="0"/>
        <v>45775</v>
      </c>
      <c r="B48" vm="137">
        <f ca="1"/>
        <v>45775</v>
      </c>
      <c r="C48" vm="138">
        <f ca="1"/>
        <v>316.81</v>
      </c>
      <c r="D48" vm="139">
        <f ca="1"/>
        <v>2578256</v>
      </c>
      <c r="E48">
        <f t="shared" ca="1" si="1"/>
        <v>816817283.36000001</v>
      </c>
      <c r="F48">
        <f ca="1">SUM($E$2:E48)/SUM($D$2:D48)</f>
        <v>308.38816391488638</v>
      </c>
      <c r="G48">
        <f ca="1">_xlfn.STDEV.P($C$2:C48)</f>
        <v>5.8577681126179959</v>
      </c>
      <c r="H48">
        <f t="shared" ca="1" si="2"/>
        <v>314.24593202750435</v>
      </c>
      <c r="I48">
        <f t="shared" ca="1" si="3"/>
        <v>302.5303958022684</v>
      </c>
      <c r="J48">
        <f t="shared" ca="1" si="12"/>
        <v>311.06600000000009</v>
      </c>
      <c r="K48">
        <f t="shared" ca="1" si="13"/>
        <v>6.2796734745819771</v>
      </c>
      <c r="L48">
        <f t="shared" ca="1" si="14"/>
        <v>323.62534694916405</v>
      </c>
      <c r="M48">
        <f t="shared" ca="1" si="15"/>
        <v>298.50665305083612</v>
      </c>
      <c r="N48">
        <f t="shared" ca="1" si="4"/>
        <v>6.9999999999993179E-2</v>
      </c>
      <c r="O48">
        <f t="shared" ca="1" si="5"/>
        <v>6.9999999999993179E-2</v>
      </c>
      <c r="P48">
        <f t="shared" ca="1" si="6"/>
        <v>0</v>
      </c>
      <c r="Q48">
        <f t="shared" ca="1" si="10"/>
        <v>1.8806184517907452</v>
      </c>
      <c r="R48">
        <f t="shared" ca="1" si="11"/>
        <v>1.4599954294238113</v>
      </c>
      <c r="S48">
        <f t="shared" ca="1" si="8"/>
        <v>1.2880988624279004</v>
      </c>
      <c r="T48">
        <f t="shared" ca="1" si="9"/>
        <v>56.295594721860027</v>
      </c>
      <c r="U48">
        <f>70</f>
        <v>70</v>
      </c>
      <c r="V48">
        <f>30</f>
        <v>30</v>
      </c>
      <c r="W48">
        <f t="shared" ca="1" si="7"/>
        <v>313.77230059394196</v>
      </c>
      <c r="X48">
        <f t="shared" ca="1" si="17"/>
        <v>311.28440532586069</v>
      </c>
      <c r="Y48">
        <f t="shared" ca="1" si="16"/>
        <v>2.3616568247750251</v>
      </c>
      <c r="Z48">
        <f t="shared" ca="1" si="18"/>
        <v>1.8325094725791859</v>
      </c>
      <c r="AA48">
        <f t="shared" ca="1" si="19"/>
        <v>0.52914735219583919</v>
      </c>
    </row>
    <row r="49" spans="1:27" x14ac:dyDescent="0.25">
      <c r="A49" s="21">
        <f t="shared" ca="1" si="0"/>
        <v>45775</v>
      </c>
      <c r="B49" vm="140">
        <f ca="1"/>
        <v>45776</v>
      </c>
      <c r="C49" vm="141">
        <f ca="1"/>
        <v>314.5</v>
      </c>
      <c r="D49" vm="142">
        <f ca="1"/>
        <v>3164531</v>
      </c>
      <c r="E49">
        <f t="shared" ca="1" si="1"/>
        <v>995244999.5</v>
      </c>
      <c r="F49">
        <f ca="1">SUM($E$2:E49)/SUM($D$2:D49)</f>
        <v>308.48976572841008</v>
      </c>
      <c r="G49">
        <f ca="1">_xlfn.STDEV.P($C$2:C49)</f>
        <v>5.8536545705736041</v>
      </c>
      <c r="H49">
        <f t="shared" ca="1" si="2"/>
        <v>314.34342029898369</v>
      </c>
      <c r="I49">
        <f t="shared" ca="1" si="3"/>
        <v>302.63611115783647</v>
      </c>
      <c r="J49">
        <f t="shared" ca="1" si="12"/>
        <v>311.17250000000001</v>
      </c>
      <c r="K49">
        <f t="shared" ca="1" si="13"/>
        <v>6.3208792484656948</v>
      </c>
      <c r="L49">
        <f t="shared" ca="1" si="14"/>
        <v>323.81425849693142</v>
      </c>
      <c r="M49">
        <f t="shared" ca="1" si="15"/>
        <v>298.53074150306861</v>
      </c>
      <c r="N49">
        <f t="shared" ca="1" si="4"/>
        <v>-2.3100000000000023</v>
      </c>
      <c r="O49">
        <f t="shared" ca="1" si="5"/>
        <v>0</v>
      </c>
      <c r="P49">
        <f t="shared" ca="1" si="6"/>
        <v>2.3100000000000023</v>
      </c>
      <c r="Q49">
        <f t="shared" ca="1" si="10"/>
        <v>1.7462885623771205</v>
      </c>
      <c r="R49">
        <f t="shared" ca="1" si="11"/>
        <v>1.5207100416078252</v>
      </c>
      <c r="S49">
        <f t="shared" ca="1" si="8"/>
        <v>1.1483376282113547</v>
      </c>
      <c r="T49">
        <f t="shared" ca="1" si="9"/>
        <v>53.452381652293091</v>
      </c>
      <c r="U49">
        <f>70</f>
        <v>70</v>
      </c>
      <c r="V49">
        <f>30</f>
        <v>30</v>
      </c>
      <c r="W49">
        <f t="shared" ca="1" si="7"/>
        <v>313.88425434872011</v>
      </c>
      <c r="X49">
        <f t="shared" ca="1" si="17"/>
        <v>311.52259752394508</v>
      </c>
      <c r="Y49">
        <f t="shared" ca="1" si="16"/>
        <v>2.6466648042385259</v>
      </c>
      <c r="Z49">
        <f t="shared" ca="1" si="18"/>
        <v>1.9953405389110541</v>
      </c>
      <c r="AA49">
        <f t="shared" ca="1" si="19"/>
        <v>0.65132426532747179</v>
      </c>
    </row>
    <row r="50" spans="1:27" x14ac:dyDescent="0.25">
      <c r="A50" s="21">
        <f t="shared" ca="1" si="0"/>
        <v>45775</v>
      </c>
      <c r="B50" vm="143">
        <f ca="1"/>
        <v>45777</v>
      </c>
      <c r="C50" vm="144">
        <f ca="1"/>
        <v>319.64999999999998</v>
      </c>
      <c r="D50" vm="145">
        <f ca="1"/>
        <v>5564594</v>
      </c>
      <c r="E50">
        <f t="shared" ca="1" si="1"/>
        <v>1778722472.0999999</v>
      </c>
      <c r="F50">
        <f ca="1">SUM($E$2:E50)/SUM($D$2:D50)</f>
        <v>308.80673273096329</v>
      </c>
      <c r="G50">
        <f ca="1">_xlfn.STDEV.P($C$2:C50)</f>
        <v>5.9895979037602949</v>
      </c>
      <c r="H50">
        <f t="shared" ca="1" si="2"/>
        <v>314.79633063472357</v>
      </c>
      <c r="I50">
        <f t="shared" ca="1" si="3"/>
        <v>302.81713482720301</v>
      </c>
      <c r="J50">
        <f t="shared" ca="1" si="12"/>
        <v>311.47350000000006</v>
      </c>
      <c r="K50">
        <f t="shared" ca="1" si="13"/>
        <v>6.5820067928446155</v>
      </c>
      <c r="L50">
        <f t="shared" ca="1" si="14"/>
        <v>324.63751358568931</v>
      </c>
      <c r="M50">
        <f t="shared" ca="1" si="15"/>
        <v>298.30948641431081</v>
      </c>
      <c r="N50">
        <f t="shared" ca="1" si="4"/>
        <v>5.1499999999999773</v>
      </c>
      <c r="O50">
        <f t="shared" ca="1" si="5"/>
        <v>5.1499999999999773</v>
      </c>
      <c r="P50">
        <f t="shared" ca="1" si="6"/>
        <v>0</v>
      </c>
      <c r="Q50">
        <f t="shared" ca="1" si="10"/>
        <v>1.9894108079216102</v>
      </c>
      <c r="R50">
        <f t="shared" ca="1" si="11"/>
        <v>1.4120878957786949</v>
      </c>
      <c r="S50">
        <f t="shared" ca="1" si="8"/>
        <v>1.408843467795998</v>
      </c>
      <c r="T50">
        <f t="shared" ca="1" si="9"/>
        <v>58.486302104347082</v>
      </c>
      <c r="U50">
        <f>70</f>
        <v>70</v>
      </c>
      <c r="V50">
        <f>30</f>
        <v>30</v>
      </c>
      <c r="W50">
        <f t="shared" ca="1" si="7"/>
        <v>314.77129214122471</v>
      </c>
      <c r="X50">
        <f t="shared" ca="1" si="17"/>
        <v>312.12462733698618</v>
      </c>
      <c r="Y50">
        <f t="shared" ca="1" si="16"/>
        <v>2.360370032544779</v>
      </c>
      <c r="Z50">
        <f t="shared" ca="1" si="18"/>
        <v>2.0683464376377994</v>
      </c>
      <c r="AA50">
        <f t="shared" ca="1" si="19"/>
        <v>0.2920235949069796</v>
      </c>
    </row>
    <row r="51" spans="1:27" x14ac:dyDescent="0.25">
      <c r="A51" s="21">
        <f t="shared" ca="1" si="0"/>
        <v>45775</v>
      </c>
      <c r="B51" vm="146">
        <f ca="1"/>
        <v>45778</v>
      </c>
      <c r="C51" vm="147">
        <f ca="1"/>
        <v>313.64</v>
      </c>
      <c r="D51" vm="148">
        <f ca="1"/>
        <v>5186858</v>
      </c>
      <c r="E51">
        <f t="shared" ca="1" si="1"/>
        <v>1626806143.1199999</v>
      </c>
      <c r="F51">
        <f ca="1">SUM($E$2:E51)/SUM($D$2:D51)</f>
        <v>308.93138628919161</v>
      </c>
      <c r="G51">
        <f ca="1">_xlfn.STDEV.P($C$2:C51)</f>
        <v>5.9630465367964396</v>
      </c>
      <c r="H51">
        <f t="shared" ca="1" si="2"/>
        <v>314.89443282598802</v>
      </c>
      <c r="I51">
        <f t="shared" ca="1" si="3"/>
        <v>302.9683397523952</v>
      </c>
      <c r="J51">
        <f t="shared" ca="1" si="12"/>
        <v>311.57650000000001</v>
      </c>
      <c r="K51">
        <f t="shared" ca="1" si="13"/>
        <v>6.5998550821410609</v>
      </c>
      <c r="L51">
        <f t="shared" ca="1" si="14"/>
        <v>324.77621016428213</v>
      </c>
      <c r="M51">
        <f t="shared" ca="1" si="15"/>
        <v>298.37678983571789</v>
      </c>
      <c r="N51">
        <f t="shared" ca="1" si="4"/>
        <v>-6.0099999999999909</v>
      </c>
      <c r="O51">
        <f t="shared" ca="1" si="5"/>
        <v>0</v>
      </c>
      <c r="P51">
        <f t="shared" ca="1" si="6"/>
        <v>6.0099999999999909</v>
      </c>
      <c r="Q51">
        <f t="shared" ca="1" si="10"/>
        <v>1.8473100359272094</v>
      </c>
      <c r="R51">
        <f t="shared" ca="1" si="11"/>
        <v>1.7405101889373589</v>
      </c>
      <c r="S51">
        <f t="shared" ca="1" si="8"/>
        <v>1.0613612305568032</v>
      </c>
      <c r="T51">
        <f t="shared" ca="1" si="9"/>
        <v>51.488366756083522</v>
      </c>
      <c r="U51">
        <f>70</f>
        <v>70</v>
      </c>
      <c r="V51">
        <f>30</f>
        <v>30</v>
      </c>
      <c r="W51">
        <f t="shared" ca="1" si="7"/>
        <v>314.59724719642088</v>
      </c>
      <c r="X51">
        <f t="shared" ca="1" si="17"/>
        <v>312.2368771638761</v>
      </c>
      <c r="Y51">
        <f t="shared" ca="1" si="16"/>
        <v>1.975149114180283</v>
      </c>
      <c r="Z51">
        <f t="shared" ca="1" si="18"/>
        <v>2.049706972946296</v>
      </c>
      <c r="AA51">
        <f t="shared" ca="1" si="19"/>
        <v>-7.4557858766012952E-2</v>
      </c>
    </row>
    <row r="52" spans="1:27" x14ac:dyDescent="0.25">
      <c r="A52" s="21">
        <f t="shared" ca="1" si="0"/>
        <v>45775</v>
      </c>
      <c r="B52" vm="149">
        <f ca="1"/>
        <v>45779</v>
      </c>
      <c r="C52" vm="150">
        <f ca="1"/>
        <v>311.95999999999998</v>
      </c>
      <c r="D52" vm="151">
        <f ca="1"/>
        <v>3994578</v>
      </c>
      <c r="E52">
        <f t="shared" ca="1" si="1"/>
        <v>1246148552.8799999</v>
      </c>
      <c r="F52">
        <f ca="1">SUM($E$2:E52)/SUM($D$2:D52)</f>
        <v>308.99037008871892</v>
      </c>
      <c r="G52">
        <f ca="1">_xlfn.STDEV.P($C$2:C52)</f>
        <v>5.916576307447194</v>
      </c>
      <c r="H52">
        <f t="shared" ca="1" si="2"/>
        <v>314.90694639616612</v>
      </c>
      <c r="I52">
        <f t="shared" ca="1" si="3"/>
        <v>303.07379378127172</v>
      </c>
      <c r="J52">
        <f t="shared" ca="1" si="12"/>
        <v>311.26100000000002</v>
      </c>
      <c r="K52">
        <f t="shared" ca="1" si="13"/>
        <v>6.4111620590473652</v>
      </c>
      <c r="L52">
        <f t="shared" ca="1" si="14"/>
        <v>324.08332411809477</v>
      </c>
      <c r="M52">
        <f t="shared" ca="1" si="15"/>
        <v>298.43867588190528</v>
      </c>
      <c r="N52">
        <f t="shared" ca="1" si="4"/>
        <v>-1.6800000000000068</v>
      </c>
      <c r="O52">
        <f t="shared" ca="1" si="5"/>
        <v>0</v>
      </c>
      <c r="P52">
        <f t="shared" ca="1" si="6"/>
        <v>1.6800000000000068</v>
      </c>
      <c r="Q52">
        <f t="shared" ca="1" si="10"/>
        <v>1.7153593190752658</v>
      </c>
      <c r="R52">
        <f t="shared" ca="1" si="11"/>
        <v>1.7361880325846908</v>
      </c>
      <c r="S52">
        <f t="shared" ca="1" si="8"/>
        <v>0.98800319255834468</v>
      </c>
      <c r="T52">
        <f t="shared" ca="1" si="9"/>
        <v>49.698269915094635</v>
      </c>
      <c r="U52">
        <f>70</f>
        <v>70</v>
      </c>
      <c r="V52">
        <f>30</f>
        <v>30</v>
      </c>
      <c r="W52">
        <f t="shared" ca="1" si="7"/>
        <v>314.19151685851</v>
      </c>
      <c r="X52">
        <f t="shared" ca="1" si="17"/>
        <v>312.21636774432972</v>
      </c>
      <c r="Y52">
        <f t="shared" ca="1" si="16"/>
        <v>1.9507720514823745</v>
      </c>
      <c r="Z52">
        <f t="shared" ca="1" si="18"/>
        <v>2.0299199886535115</v>
      </c>
      <c r="AA52">
        <f t="shared" ca="1" si="19"/>
        <v>-7.9147937171136995E-2</v>
      </c>
    </row>
    <row r="53" spans="1:27" x14ac:dyDescent="0.25">
      <c r="A53" s="21">
        <f t="shared" ca="1" si="0"/>
        <v>45782</v>
      </c>
      <c r="B53" vm="152">
        <f ca="1"/>
        <v>45782</v>
      </c>
      <c r="C53" vm="153">
        <f ca="1"/>
        <v>315.72000000000003</v>
      </c>
      <c r="D53" vm="154">
        <f ca="1"/>
        <v>3534301</v>
      </c>
      <c r="E53">
        <f t="shared" ca="1" si="1"/>
        <v>1115849511.72</v>
      </c>
      <c r="F53">
        <f ca="1">SUM($E$2:E53)/SUM($D$2:D53)</f>
        <v>309.10436695070837</v>
      </c>
      <c r="G53">
        <f ca="1">_xlfn.STDEV.P($C$2:C53)</f>
        <v>5.9260737423693959</v>
      </c>
      <c r="H53">
        <f t="shared" ca="1" si="2"/>
        <v>315.03044069307776</v>
      </c>
      <c r="I53">
        <f t="shared" ca="1" si="3"/>
        <v>303.17829320833897</v>
      </c>
      <c r="J53">
        <f t="shared" ca="1" si="12"/>
        <v>312.04149999999998</v>
      </c>
      <c r="K53">
        <f t="shared" ca="1" si="13"/>
        <v>5.9130153274922224</v>
      </c>
      <c r="L53">
        <f t="shared" ca="1" si="14"/>
        <v>323.86753065498442</v>
      </c>
      <c r="M53">
        <f t="shared" ca="1" si="15"/>
        <v>300.21546934501555</v>
      </c>
      <c r="N53">
        <f t="shared" ca="1" si="4"/>
        <v>3.7600000000000477</v>
      </c>
      <c r="O53">
        <f t="shared" ca="1" si="5"/>
        <v>3.7600000000000477</v>
      </c>
      <c r="P53">
        <f t="shared" ca="1" si="6"/>
        <v>0</v>
      </c>
      <c r="Q53">
        <f t="shared" ca="1" si="10"/>
        <v>1.8614050819984644</v>
      </c>
      <c r="R53">
        <f t="shared" ca="1" si="11"/>
        <v>1.6121746016857845</v>
      </c>
      <c r="S53">
        <f t="shared" ca="1" si="8"/>
        <v>1.1545927345909492</v>
      </c>
      <c r="T53">
        <f t="shared" ca="1" si="9"/>
        <v>53.587516380915915</v>
      </c>
      <c r="U53">
        <f>70</f>
        <v>70</v>
      </c>
      <c r="V53">
        <f>30</f>
        <v>30</v>
      </c>
      <c r="W53">
        <f t="shared" ca="1" si="7"/>
        <v>314.42666811104692</v>
      </c>
      <c r="X53">
        <f t="shared" ca="1" si="17"/>
        <v>312.47589605956455</v>
      </c>
      <c r="Y53">
        <f t="shared" ca="1" si="16"/>
        <v>1.9947983180126698</v>
      </c>
      <c r="Z53">
        <f t="shared" ca="1" si="18"/>
        <v>2.0228956545253434</v>
      </c>
      <c r="AA53">
        <f t="shared" ca="1" si="19"/>
        <v>-2.8097336512673543E-2</v>
      </c>
    </row>
    <row r="54" spans="1:27" x14ac:dyDescent="0.25">
      <c r="A54" s="21">
        <f t="shared" ca="1" si="0"/>
        <v>45782</v>
      </c>
      <c r="B54" vm="155">
        <f ca="1"/>
        <v>45783</v>
      </c>
      <c r="C54" vm="156">
        <f ca="1"/>
        <v>316.79000000000002</v>
      </c>
      <c r="D54" vm="157">
        <f ca="1"/>
        <v>2691660</v>
      </c>
      <c r="E54">
        <f t="shared" ca="1" si="1"/>
        <v>852690971.4000001</v>
      </c>
      <c r="F54">
        <f ca="1">SUM($E$2:E54)/SUM($D$2:D54)</f>
        <v>309.20225531944152</v>
      </c>
      <c r="G54">
        <f ca="1">_xlfn.STDEV.P($C$2:C54)</f>
        <v>5.9556236187144407</v>
      </c>
      <c r="H54">
        <f t="shared" ca="1" si="2"/>
        <v>315.15787893815593</v>
      </c>
      <c r="I54">
        <f t="shared" ca="1" si="3"/>
        <v>303.24663170072711</v>
      </c>
      <c r="J54">
        <f t="shared" ca="1" si="12"/>
        <v>312.88650000000001</v>
      </c>
      <c r="K54">
        <f t="shared" ca="1" si="13"/>
        <v>5.2561745895460454</v>
      </c>
      <c r="L54">
        <f t="shared" ca="1" si="14"/>
        <v>323.39884917909211</v>
      </c>
      <c r="M54">
        <f t="shared" ca="1" si="15"/>
        <v>302.37415082090791</v>
      </c>
      <c r="N54">
        <f t="shared" ca="1" si="4"/>
        <v>1.0699999999999932</v>
      </c>
      <c r="O54">
        <f t="shared" ca="1" si="5"/>
        <v>1.0699999999999932</v>
      </c>
      <c r="P54">
        <f t="shared" ca="1" si="6"/>
        <v>0</v>
      </c>
      <c r="Q54">
        <f t="shared" ca="1" si="10"/>
        <v>1.8048761475700021</v>
      </c>
      <c r="R54">
        <f t="shared" ca="1" si="11"/>
        <v>1.4970192729939427</v>
      </c>
      <c r="S54">
        <f t="shared" ca="1" si="8"/>
        <v>1.2056465672351468</v>
      </c>
      <c r="T54">
        <f t="shared" ca="1" si="9"/>
        <v>54.661820490418179</v>
      </c>
      <c r="U54">
        <f>70</f>
        <v>70</v>
      </c>
      <c r="V54">
        <f>30</f>
        <v>30</v>
      </c>
      <c r="W54">
        <f t="shared" ca="1" si="7"/>
        <v>314.7902576324243</v>
      </c>
      <c r="X54">
        <f t="shared" ca="1" si="17"/>
        <v>312.79545931441163</v>
      </c>
      <c r="Y54">
        <f t="shared" ca="1" si="16"/>
        <v>2.1134536742058572</v>
      </c>
      <c r="Z54">
        <f t="shared" ca="1" si="18"/>
        <v>2.0410072584614465</v>
      </c>
      <c r="AA54">
        <f t="shared" ca="1" si="19"/>
        <v>7.2446415744410686E-2</v>
      </c>
    </row>
    <row r="55" spans="1:27" x14ac:dyDescent="0.25">
      <c r="A55" s="21">
        <f t="shared" ca="1" si="0"/>
        <v>45782</v>
      </c>
      <c r="B55" vm="158">
        <f ca="1"/>
        <v>45784</v>
      </c>
      <c r="C55" vm="159">
        <f ca="1"/>
        <v>318.13</v>
      </c>
      <c r="D55" vm="160">
        <f ca="1"/>
        <v>2726245</v>
      </c>
      <c r="E55">
        <f t="shared" ca="1" si="1"/>
        <v>867300321.85000002</v>
      </c>
      <c r="F55">
        <f ca="1">SUM($E$2:E55)/SUM($D$2:D55)</f>
        <v>309.31595813951071</v>
      </c>
      <c r="G55">
        <f ca="1">_xlfn.STDEV.P($C$2:C55)</f>
        <v>6.0130686892574587</v>
      </c>
      <c r="H55">
        <f t="shared" ca="1" si="2"/>
        <v>315.32902682876818</v>
      </c>
      <c r="I55">
        <f t="shared" ca="1" si="3"/>
        <v>303.30288945025325</v>
      </c>
      <c r="J55">
        <f t="shared" ca="1" si="12"/>
        <v>313.80149999999998</v>
      </c>
      <c r="K55">
        <f t="shared" ca="1" si="13"/>
        <v>4.3841680180538631</v>
      </c>
      <c r="L55">
        <f t="shared" ca="1" si="14"/>
        <v>322.56983603610769</v>
      </c>
      <c r="M55">
        <f t="shared" ca="1" si="15"/>
        <v>305.03316396389226</v>
      </c>
      <c r="N55">
        <f t="shared" ca="1" si="4"/>
        <v>1.339999999999975</v>
      </c>
      <c r="O55">
        <f t="shared" ca="1" si="5"/>
        <v>1.339999999999975</v>
      </c>
      <c r="P55">
        <f t="shared" ca="1" si="6"/>
        <v>0</v>
      </c>
      <c r="Q55">
        <f t="shared" ca="1" si="10"/>
        <v>1.7716707084578573</v>
      </c>
      <c r="R55">
        <f t="shared" ca="1" si="11"/>
        <v>1.3900893249229467</v>
      </c>
      <c r="S55">
        <f t="shared" ca="1" si="8"/>
        <v>1.2745013408084851</v>
      </c>
      <c r="T55">
        <f t="shared" ca="1" si="9"/>
        <v>56.034319168853777</v>
      </c>
      <c r="U55">
        <f>70</f>
        <v>70</v>
      </c>
      <c r="V55">
        <f>30</f>
        <v>30</v>
      </c>
      <c r="W55">
        <f t="shared" ca="1" si="7"/>
        <v>315.30406415051289</v>
      </c>
      <c r="X55">
        <f t="shared" ca="1" si="17"/>
        <v>313.19061047630703</v>
      </c>
      <c r="Y55">
        <f t="shared" ca="1" si="16"/>
        <v>1.8121898800641816</v>
      </c>
      <c r="Z55">
        <f t="shared" ca="1" si="18"/>
        <v>1.9952437827819938</v>
      </c>
      <c r="AA55">
        <f t="shared" ca="1" si="19"/>
        <v>-0.18305390271781219</v>
      </c>
    </row>
    <row r="56" spans="1:27" x14ac:dyDescent="0.25">
      <c r="A56" s="21">
        <f t="shared" ca="1" si="0"/>
        <v>45782</v>
      </c>
      <c r="B56" vm="161">
        <f ca="1"/>
        <v>45785</v>
      </c>
      <c r="C56" vm="162">
        <f ca="1"/>
        <v>313.49</v>
      </c>
      <c r="D56" vm="163">
        <f ca="1"/>
        <v>2131496</v>
      </c>
      <c r="E56">
        <f t="shared" ca="1" si="1"/>
        <v>668202681.03999996</v>
      </c>
      <c r="F56">
        <f ca="1">SUM($E$2:E56)/SUM($D$2:D56)</f>
        <v>309.35711126532118</v>
      </c>
      <c r="G56">
        <f ca="1">_xlfn.STDEV.P($C$2:C56)</f>
        <v>5.9797590100422813</v>
      </c>
      <c r="H56">
        <f t="shared" ca="1" si="2"/>
        <v>315.33687027536348</v>
      </c>
      <c r="I56">
        <f t="shared" ca="1" si="3"/>
        <v>303.37735225527888</v>
      </c>
      <c r="J56">
        <f t="shared" ca="1" si="12"/>
        <v>314.27800000000002</v>
      </c>
      <c r="K56">
        <f t="shared" ca="1" si="13"/>
        <v>3.7268479697290697</v>
      </c>
      <c r="L56">
        <f t="shared" ca="1" si="14"/>
        <v>321.73169593945818</v>
      </c>
      <c r="M56">
        <f t="shared" ca="1" si="15"/>
        <v>306.82430406054186</v>
      </c>
      <c r="N56">
        <f t="shared" ca="1" si="4"/>
        <v>-4.6399999999999864</v>
      </c>
      <c r="O56">
        <f t="shared" ca="1" si="5"/>
        <v>0</v>
      </c>
      <c r="P56">
        <f t="shared" ca="1" si="6"/>
        <v>4.6399999999999864</v>
      </c>
      <c r="Q56">
        <f t="shared" ca="1" si="10"/>
        <v>1.6451228007108676</v>
      </c>
      <c r="R56">
        <f t="shared" ca="1" si="11"/>
        <v>1.6222258017141638</v>
      </c>
      <c r="S56">
        <f t="shared" ca="1" si="8"/>
        <v>1.014114557278345</v>
      </c>
      <c r="T56">
        <f t="shared" ca="1" si="9"/>
        <v>50.350391124162712</v>
      </c>
      <c r="U56">
        <f>70</f>
        <v>70</v>
      </c>
      <c r="V56">
        <f>30</f>
        <v>30</v>
      </c>
      <c r="W56">
        <f t="shared" ca="1" si="7"/>
        <v>315.02497735812625</v>
      </c>
      <c r="X56">
        <f t="shared" ca="1" si="17"/>
        <v>313.21278747806207</v>
      </c>
      <c r="Y56">
        <f t="shared" ca="1" si="16"/>
        <v>1.5706619515478906</v>
      </c>
      <c r="Z56">
        <f t="shared" ca="1" si="18"/>
        <v>1.9103274165351731</v>
      </c>
      <c r="AA56">
        <f t="shared" ca="1" si="19"/>
        <v>-0.33966546498728256</v>
      </c>
    </row>
    <row r="57" spans="1:27" x14ac:dyDescent="0.25">
      <c r="A57" s="21">
        <f t="shared" ca="1" si="0"/>
        <v>45782</v>
      </c>
      <c r="B57" vm="164">
        <f ca="1"/>
        <v>45786</v>
      </c>
      <c r="C57" vm="165">
        <f ca="1"/>
        <v>313.68</v>
      </c>
      <c r="D57" vm="166">
        <f ca="1"/>
        <v>1917830</v>
      </c>
      <c r="E57">
        <f t="shared" ca="1" si="1"/>
        <v>601584914.39999998</v>
      </c>
      <c r="F57">
        <f ca="1">SUM($E$2:E57)/SUM($D$2:D57)</f>
        <v>309.39512233060981</v>
      </c>
      <c r="G57">
        <f ca="1">_xlfn.STDEV.P($C$2:C57)</f>
        <v>5.9488457522815983</v>
      </c>
      <c r="H57">
        <f t="shared" ca="1" si="2"/>
        <v>315.34396808289142</v>
      </c>
      <c r="I57">
        <f t="shared" ca="1" si="3"/>
        <v>303.4462765783282</v>
      </c>
      <c r="J57">
        <f t="shared" ca="1" si="12"/>
        <v>314.62300000000005</v>
      </c>
      <c r="K57">
        <f t="shared" ca="1" si="13"/>
        <v>3.2899817628673844</v>
      </c>
      <c r="L57">
        <f t="shared" ca="1" si="14"/>
        <v>321.20296352573484</v>
      </c>
      <c r="M57">
        <f t="shared" ca="1" si="15"/>
        <v>308.04303647426525</v>
      </c>
      <c r="N57">
        <f t="shared" ca="1" si="4"/>
        <v>0.18999999999999773</v>
      </c>
      <c r="O57">
        <f t="shared" ca="1" si="5"/>
        <v>0.18999999999999773</v>
      </c>
      <c r="P57">
        <f t="shared" ca="1" si="6"/>
        <v>0</v>
      </c>
      <c r="Q57">
        <f t="shared" ca="1" si="10"/>
        <v>1.5411854578029482</v>
      </c>
      <c r="R57">
        <f t="shared" ca="1" si="11"/>
        <v>1.5063525301631522</v>
      </c>
      <c r="S57">
        <f t="shared" ca="1" si="8"/>
        <v>1.0231240210656554</v>
      </c>
      <c r="T57">
        <f t="shared" ca="1" si="9"/>
        <v>50.571492919486836</v>
      </c>
      <c r="U57">
        <f>70</f>
        <v>70</v>
      </c>
      <c r="V57">
        <f>30</f>
        <v>30</v>
      </c>
      <c r="W57">
        <f t="shared" ca="1" si="7"/>
        <v>314.81805776456832</v>
      </c>
      <c r="X57">
        <f t="shared" ca="1" si="17"/>
        <v>313.24739581302043</v>
      </c>
      <c r="Y57">
        <f t="shared" ca="1" si="16"/>
        <v>1.2231325266243971</v>
      </c>
      <c r="Z57">
        <f t="shared" ca="1" si="18"/>
        <v>1.7728884385530181</v>
      </c>
      <c r="AA57">
        <f t="shared" ca="1" si="19"/>
        <v>-0.54975591192862105</v>
      </c>
    </row>
    <row r="58" spans="1:27" x14ac:dyDescent="0.25">
      <c r="A58" s="21">
        <f t="shared" ca="1" si="0"/>
        <v>45789</v>
      </c>
      <c r="B58" vm="167">
        <f ca="1"/>
        <v>45789</v>
      </c>
      <c r="C58" vm="168">
        <f ca="1"/>
        <v>311.92</v>
      </c>
      <c r="D58" vm="169">
        <f ca="1"/>
        <v>4137861</v>
      </c>
      <c r="E58">
        <f t="shared" ca="1" si="1"/>
        <v>1290681603.1200001</v>
      </c>
      <c r="F58">
        <f ca="1">SUM($E$2:E58)/SUM($D$2:D58)</f>
        <v>309.4421312291766</v>
      </c>
      <c r="G58">
        <f ca="1">_xlfn.STDEV.P($C$2:C58)</f>
        <v>5.9028248085320678</v>
      </c>
      <c r="H58">
        <f t="shared" ca="1" si="2"/>
        <v>315.34495603770864</v>
      </c>
      <c r="I58">
        <f t="shared" ca="1" si="3"/>
        <v>303.53930642064455</v>
      </c>
      <c r="J58">
        <f t="shared" ca="1" si="12"/>
        <v>314.72399999999999</v>
      </c>
      <c r="K58">
        <f t="shared" ca="1" si="13"/>
        <v>3.1660292248543032</v>
      </c>
      <c r="L58">
        <f t="shared" ca="1" si="14"/>
        <v>321.05605844970859</v>
      </c>
      <c r="M58">
        <f t="shared" ca="1" si="15"/>
        <v>308.39194155029139</v>
      </c>
      <c r="N58">
        <f t="shared" ca="1" si="4"/>
        <v>-1.7599999999999909</v>
      </c>
      <c r="O58">
        <f t="shared" ca="1" si="5"/>
        <v>0</v>
      </c>
      <c r="P58">
        <f t="shared" ca="1" si="6"/>
        <v>1.7599999999999909</v>
      </c>
      <c r="Q58">
        <f t="shared" ca="1" si="10"/>
        <v>1.4311007822455948</v>
      </c>
      <c r="R58">
        <f t="shared" ca="1" si="11"/>
        <v>1.5244702065800693</v>
      </c>
      <c r="S58">
        <f t="shared" ca="1" si="8"/>
        <v>0.93875287038640431</v>
      </c>
      <c r="T58">
        <f t="shared" ca="1" si="9"/>
        <v>48.420450317595431</v>
      </c>
      <c r="U58">
        <f>70</f>
        <v>70</v>
      </c>
      <c r="V58">
        <f>30</f>
        <v>30</v>
      </c>
      <c r="W58">
        <f t="shared" ca="1" si="7"/>
        <v>314.37220272386554</v>
      </c>
      <c r="X58">
        <f t="shared" ca="1" si="17"/>
        <v>313.14907019724114</v>
      </c>
      <c r="Y58">
        <f t="shared" ca="1" si="16"/>
        <v>0.67924898827544666</v>
      </c>
      <c r="Z58">
        <f t="shared" ca="1" si="18"/>
        <v>1.5541605484975041</v>
      </c>
      <c r="AA58">
        <f t="shared" ca="1" si="19"/>
        <v>-0.87491156022205741</v>
      </c>
    </row>
    <row r="59" spans="1:27" x14ac:dyDescent="0.25">
      <c r="A59" s="21">
        <f t="shared" ca="1" si="0"/>
        <v>45789</v>
      </c>
      <c r="B59" vm="170">
        <f ca="1"/>
        <v>45790</v>
      </c>
      <c r="C59" vm="171">
        <f ca="1"/>
        <v>308.69</v>
      </c>
      <c r="D59" vm="172">
        <f ca="1"/>
        <v>3018600</v>
      </c>
      <c r="E59">
        <f t="shared" ca="1" si="1"/>
        <v>931811634</v>
      </c>
      <c r="F59">
        <f ca="1">SUM($E$2:E59)/SUM($D$2:D59)</f>
        <v>309.43205253980688</v>
      </c>
      <c r="G59">
        <f ca="1">_xlfn.STDEV.P($C$2:C59)</f>
        <v>5.8537147570238943</v>
      </c>
      <c r="H59">
        <f t="shared" ca="1" si="2"/>
        <v>315.28576729683078</v>
      </c>
      <c r="I59">
        <f t="shared" ca="1" si="3"/>
        <v>303.57833778278297</v>
      </c>
      <c r="J59">
        <f t="shared" ca="1" si="12"/>
        <v>314.35499999999996</v>
      </c>
      <c r="K59">
        <f t="shared" ca="1" si="13"/>
        <v>3.4207209150919251</v>
      </c>
      <c r="L59">
        <f t="shared" ca="1" si="14"/>
        <v>321.1964418301838</v>
      </c>
      <c r="M59">
        <f t="shared" ca="1" si="15"/>
        <v>307.51355816981612</v>
      </c>
      <c r="N59">
        <f t="shared" ca="1" si="4"/>
        <v>-3.2300000000000182</v>
      </c>
      <c r="O59">
        <f t="shared" ca="1" si="5"/>
        <v>0</v>
      </c>
      <c r="P59">
        <f t="shared" ca="1" si="6"/>
        <v>3.2300000000000182</v>
      </c>
      <c r="Q59">
        <f t="shared" ca="1" si="10"/>
        <v>1.328879297799481</v>
      </c>
      <c r="R59">
        <f t="shared" ca="1" si="11"/>
        <v>1.6462937632529226</v>
      </c>
      <c r="S59">
        <f t="shared" ca="1" si="8"/>
        <v>0.80719451622882887</v>
      </c>
      <c r="T59">
        <f t="shared" ca="1" si="9"/>
        <v>44.665613412398223</v>
      </c>
      <c r="U59">
        <f>70</f>
        <v>70</v>
      </c>
      <c r="V59">
        <f>30</f>
        <v>30</v>
      </c>
      <c r="W59">
        <f t="shared" ca="1" si="7"/>
        <v>313.49801768942467</v>
      </c>
      <c r="X59">
        <f t="shared" ca="1" si="17"/>
        <v>312.81876870114922</v>
      </c>
      <c r="Y59">
        <f t="shared" ca="1" si="16"/>
        <v>0.15045990280805199</v>
      </c>
      <c r="Z59">
        <f t="shared" ca="1" si="18"/>
        <v>1.2734204193596137</v>
      </c>
      <c r="AA59">
        <f t="shared" ca="1" si="19"/>
        <v>-1.1229605165515617</v>
      </c>
    </row>
    <row r="60" spans="1:27" x14ac:dyDescent="0.25">
      <c r="A60" s="21">
        <f t="shared" ca="1" si="0"/>
        <v>45789</v>
      </c>
      <c r="B60" vm="173">
        <f ca="1"/>
        <v>45791</v>
      </c>
      <c r="C60" vm="174">
        <f ca="1"/>
        <v>307.5</v>
      </c>
      <c r="D60" vm="175">
        <f ca="1"/>
        <v>2657043</v>
      </c>
      <c r="E60">
        <f t="shared" ca="1" si="1"/>
        <v>817040722.5</v>
      </c>
      <c r="F60">
        <f ca="1">SUM($E$2:E60)/SUM($D$2:D60)</f>
        <v>309.40952935536842</v>
      </c>
      <c r="G60">
        <f ca="1">_xlfn.STDEV.P($C$2:C60)</f>
        <v>5.8117794923385393</v>
      </c>
      <c r="H60">
        <f t="shared" ca="1" si="2"/>
        <v>315.22130884770695</v>
      </c>
      <c r="I60">
        <f t="shared" ca="1" si="3"/>
        <v>303.59774986302989</v>
      </c>
      <c r="J60">
        <f t="shared" ca="1" si="12"/>
        <v>314.10599999999999</v>
      </c>
      <c r="K60">
        <f t="shared" ca="1" si="13"/>
        <v>3.7315206438916362</v>
      </c>
      <c r="L60">
        <f t="shared" ca="1" si="14"/>
        <v>321.56904128778325</v>
      </c>
      <c r="M60">
        <f t="shared" ca="1" si="15"/>
        <v>306.64295871221674</v>
      </c>
      <c r="N60">
        <f t="shared" ca="1" si="4"/>
        <v>-1.1899999999999977</v>
      </c>
      <c r="O60">
        <f t="shared" ca="1" si="5"/>
        <v>0</v>
      </c>
      <c r="P60">
        <f t="shared" ca="1" si="6"/>
        <v>1.1899999999999977</v>
      </c>
      <c r="Q60">
        <f t="shared" ca="1" si="10"/>
        <v>1.2339593479566611</v>
      </c>
      <c r="R60">
        <f t="shared" ca="1" si="11"/>
        <v>1.6137013515919993</v>
      </c>
      <c r="S60">
        <f t="shared" ca="1" si="8"/>
        <v>0.76467640480024179</v>
      </c>
      <c r="T60">
        <f t="shared" ca="1" si="9"/>
        <v>43.33238676055182</v>
      </c>
      <c r="U60">
        <f>70</f>
        <v>70</v>
      </c>
      <c r="V60">
        <f>30</f>
        <v>30</v>
      </c>
      <c r="W60">
        <f t="shared" ca="1" si="7"/>
        <v>312.57524573720548</v>
      </c>
      <c r="X60">
        <f t="shared" ca="1" si="17"/>
        <v>312.42478583439743</v>
      </c>
      <c r="Y60">
        <f t="shared" ca="1" si="16"/>
        <v>0.29126093382018325</v>
      </c>
      <c r="Z60">
        <f t="shared" ca="1" si="18"/>
        <v>1.0769885222517277</v>
      </c>
      <c r="AA60">
        <f t="shared" ca="1" si="19"/>
        <v>-0.78572758843154444</v>
      </c>
    </row>
    <row r="61" spans="1:27" x14ac:dyDescent="0.25">
      <c r="A61" s="21">
        <f t="shared" ca="1" si="0"/>
        <v>45789</v>
      </c>
      <c r="B61" vm="176">
        <f ca="1"/>
        <v>45792</v>
      </c>
      <c r="C61" vm="177">
        <f ca="1"/>
        <v>314.48</v>
      </c>
      <c r="D61" vm="178">
        <f ca="1"/>
        <v>2928718</v>
      </c>
      <c r="E61">
        <f t="shared" ca="1" si="1"/>
        <v>921023236.6400001</v>
      </c>
      <c r="F61">
        <f ca="1">SUM($E$2:E61)/SUM($D$2:D61)</f>
        <v>309.47385633249451</v>
      </c>
      <c r="G61">
        <f ca="1">_xlfn.STDEV.P($C$2:C61)</f>
        <v>5.7941403925767032</v>
      </c>
      <c r="H61">
        <f t="shared" ca="1" si="2"/>
        <v>315.26799672507121</v>
      </c>
      <c r="I61">
        <f t="shared" ca="1" si="3"/>
        <v>303.6797159399178</v>
      </c>
      <c r="J61">
        <f t="shared" ca="1" si="12"/>
        <v>314.375</v>
      </c>
      <c r="K61">
        <f t="shared" ca="1" si="13"/>
        <v>3.54069053627738</v>
      </c>
      <c r="L61">
        <f t="shared" ca="1" si="14"/>
        <v>321.45638107255473</v>
      </c>
      <c r="M61">
        <f t="shared" ca="1" si="15"/>
        <v>307.29361892744527</v>
      </c>
      <c r="N61">
        <f t="shared" ca="1" si="4"/>
        <v>6.9800000000000182</v>
      </c>
      <c r="O61">
        <f t="shared" ca="1" si="5"/>
        <v>6.9800000000000182</v>
      </c>
      <c r="P61">
        <f t="shared" ca="1" si="6"/>
        <v>0</v>
      </c>
      <c r="Q61">
        <f t="shared" ca="1" si="10"/>
        <v>1.6443908231026152</v>
      </c>
      <c r="R61">
        <f t="shared" ca="1" si="11"/>
        <v>1.498436969335428</v>
      </c>
      <c r="S61">
        <f t="shared" ca="1" si="8"/>
        <v>1.0974040662063478</v>
      </c>
      <c r="T61">
        <f t="shared" ca="1" si="9"/>
        <v>52.322014812875956</v>
      </c>
      <c r="U61">
        <f>70</f>
        <v>70</v>
      </c>
      <c r="V61">
        <f>30</f>
        <v>30</v>
      </c>
      <c r="W61">
        <f t="shared" ca="1" si="7"/>
        <v>312.86828485455851</v>
      </c>
      <c r="X61">
        <f t="shared" ca="1" si="17"/>
        <v>312.57702392073833</v>
      </c>
      <c r="Y61">
        <f t="shared" ca="1" si="16"/>
        <v>0.72771460844421654</v>
      </c>
      <c r="Z61">
        <f t="shared" ca="1" si="18"/>
        <v>1.0071337394902256</v>
      </c>
      <c r="AA61">
        <f t="shared" ca="1" si="19"/>
        <v>-0.27941913104600902</v>
      </c>
    </row>
    <row r="62" spans="1:27" x14ac:dyDescent="0.25">
      <c r="A62" s="21">
        <f t="shared" ca="1" si="0"/>
        <v>45789</v>
      </c>
      <c r="B62" vm="179">
        <f ca="1"/>
        <v>45793</v>
      </c>
      <c r="C62" vm="180">
        <f ca="1"/>
        <v>318.61</v>
      </c>
      <c r="D62" vm="181">
        <f ca="1"/>
        <v>2637287</v>
      </c>
      <c r="E62">
        <f t="shared" ca="1" si="1"/>
        <v>840266011.07000005</v>
      </c>
      <c r="F62">
        <f ca="1">SUM($E$2:E62)/SUM($D$2:D62)</f>
        <v>309.57705029765054</v>
      </c>
      <c r="G62">
        <f ca="1">_xlfn.STDEV.P($C$2:C62)</f>
        <v>5.8523380388837127</v>
      </c>
      <c r="H62">
        <f t="shared" ca="1" si="2"/>
        <v>315.42938833653426</v>
      </c>
      <c r="I62">
        <f t="shared" ca="1" si="3"/>
        <v>303.72471225876683</v>
      </c>
      <c r="J62">
        <f t="shared" ca="1" si="12"/>
        <v>314.7405</v>
      </c>
      <c r="K62">
        <f t="shared" ca="1" si="13"/>
        <v>3.5835963632553312</v>
      </c>
      <c r="L62">
        <f t="shared" ca="1" si="14"/>
        <v>321.90769272651067</v>
      </c>
      <c r="M62">
        <f t="shared" ca="1" si="15"/>
        <v>307.57330727348932</v>
      </c>
      <c r="N62">
        <f t="shared" ca="1" si="4"/>
        <v>4.1299999999999955</v>
      </c>
      <c r="O62">
        <f t="shared" ca="1" si="5"/>
        <v>4.1299999999999955</v>
      </c>
      <c r="P62">
        <f t="shared" ca="1" si="6"/>
        <v>0</v>
      </c>
      <c r="Q62">
        <f t="shared" ca="1" si="10"/>
        <v>1.8219343357381423</v>
      </c>
      <c r="R62">
        <f t="shared" ca="1" si="11"/>
        <v>1.3914057572400402</v>
      </c>
      <c r="S62">
        <f t="shared" ca="1" si="8"/>
        <v>1.3094198627955145</v>
      </c>
      <c r="T62">
        <f t="shared" ca="1" si="9"/>
        <v>56.699082046106739</v>
      </c>
      <c r="U62">
        <f>70</f>
        <v>70</v>
      </c>
      <c r="V62">
        <f>30</f>
        <v>30</v>
      </c>
      <c r="W62">
        <f t="shared" ca="1" si="7"/>
        <v>313.75162564616488</v>
      </c>
      <c r="X62">
        <f t="shared" ca="1" si="17"/>
        <v>313.02391103772067</v>
      </c>
      <c r="Y62">
        <f t="shared" ca="1" si="16"/>
        <v>1.2703752981531693</v>
      </c>
      <c r="Z62">
        <f t="shared" ca="1" si="18"/>
        <v>1.0597820512228144</v>
      </c>
      <c r="AA62">
        <f t="shared" ca="1" si="19"/>
        <v>0.21059324693035486</v>
      </c>
    </row>
    <row r="63" spans="1:27" x14ac:dyDescent="0.25">
      <c r="A63" s="21">
        <f t="shared" ca="1" si="0"/>
        <v>45796</v>
      </c>
      <c r="B63" vm="182">
        <f ca="1"/>
        <v>45796</v>
      </c>
      <c r="C63" vm="183">
        <f ca="1"/>
        <v>321.23</v>
      </c>
      <c r="D63" vm="184">
        <f ca="1"/>
        <v>2749002</v>
      </c>
      <c r="E63">
        <f t="shared" ca="1" si="1"/>
        <v>883061912.46000004</v>
      </c>
      <c r="F63">
        <f ca="1">SUM($E$2:E63)/SUM($D$2:D63)</f>
        <v>309.71265088576166</v>
      </c>
      <c r="G63">
        <f ca="1">_xlfn.STDEV.P($C$2:C63)</f>
        <v>5.9740733109895867</v>
      </c>
      <c r="H63">
        <f t="shared" ca="1" si="2"/>
        <v>315.68672419675124</v>
      </c>
      <c r="I63">
        <f t="shared" ca="1" si="3"/>
        <v>303.73857757477208</v>
      </c>
      <c r="J63">
        <f t="shared" ca="1" si="12"/>
        <v>315.36599999999999</v>
      </c>
      <c r="K63">
        <f t="shared" ca="1" si="13"/>
        <v>3.569190384386915</v>
      </c>
      <c r="L63">
        <f t="shared" ca="1" si="14"/>
        <v>322.50438076877384</v>
      </c>
      <c r="M63">
        <f t="shared" ca="1" si="15"/>
        <v>308.22761923122613</v>
      </c>
      <c r="N63">
        <f t="shared" ca="1" si="4"/>
        <v>2.6200000000000045</v>
      </c>
      <c r="O63">
        <f t="shared" ca="1" si="5"/>
        <v>2.6200000000000045</v>
      </c>
      <c r="P63">
        <f t="shared" ca="1" si="6"/>
        <v>0</v>
      </c>
      <c r="Q63">
        <f t="shared" ca="1" si="10"/>
        <v>1.8789390260425611</v>
      </c>
      <c r="R63">
        <f t="shared" ca="1" si="11"/>
        <v>1.2920196317228945</v>
      </c>
      <c r="S63">
        <f t="shared" ca="1" si="8"/>
        <v>1.4542650745461321</v>
      </c>
      <c r="T63">
        <f t="shared" ca="1" si="9"/>
        <v>59.254604958067532</v>
      </c>
      <c r="U63">
        <f>70</f>
        <v>70</v>
      </c>
      <c r="V63">
        <f>30</f>
        <v>30</v>
      </c>
      <c r="W63">
        <f t="shared" ca="1" si="7"/>
        <v>314.90214477752414</v>
      </c>
      <c r="X63">
        <f t="shared" ca="1" si="17"/>
        <v>313.63176947937097</v>
      </c>
      <c r="Y63">
        <f t="shared" ca="1" si="16"/>
        <v>1.5669855217353756</v>
      </c>
      <c r="Z63">
        <f t="shared" ca="1" si="18"/>
        <v>1.1612227453253268</v>
      </c>
      <c r="AA63">
        <f t="shared" ca="1" si="19"/>
        <v>0.40576277641004888</v>
      </c>
    </row>
    <row r="64" spans="1:27" x14ac:dyDescent="0.25">
      <c r="A64" s="21">
        <f t="shared" ca="1" si="0"/>
        <v>45796</v>
      </c>
      <c r="B64" vm="185">
        <f ca="1"/>
        <v>45797</v>
      </c>
      <c r="C64" vm="186">
        <f ca="1"/>
        <v>319.8</v>
      </c>
      <c r="D64" vm="187">
        <f ca="1"/>
        <v>2034967</v>
      </c>
      <c r="E64">
        <f t="shared" ca="1" si="1"/>
        <v>650782446.60000002</v>
      </c>
      <c r="F64">
        <f ca="1">SUM($E$2:E64)/SUM($D$2:D64)</f>
        <v>309.79880183142063</v>
      </c>
      <c r="G64">
        <f ca="1">_xlfn.STDEV.P($C$2:C64)</f>
        <v>6.0465489283606022</v>
      </c>
      <c r="H64">
        <f t="shared" ca="1" si="2"/>
        <v>315.84535075978124</v>
      </c>
      <c r="I64">
        <f t="shared" ca="1" si="3"/>
        <v>303.75225290306003</v>
      </c>
      <c r="J64">
        <f t="shared" ca="1" si="12"/>
        <v>315.40199999999999</v>
      </c>
      <c r="K64">
        <f t="shared" ca="1" si="13"/>
        <v>3.6119969691658356</v>
      </c>
      <c r="L64">
        <f t="shared" ca="1" si="14"/>
        <v>322.62599393833165</v>
      </c>
      <c r="M64">
        <f t="shared" ca="1" si="15"/>
        <v>308.17800606166833</v>
      </c>
      <c r="N64">
        <f t="shared" ca="1" si="4"/>
        <v>-1.4300000000000068</v>
      </c>
      <c r="O64">
        <f t="shared" ca="1" si="5"/>
        <v>0</v>
      </c>
      <c r="P64">
        <f t="shared" ca="1" si="6"/>
        <v>1.4300000000000068</v>
      </c>
      <c r="Q64">
        <f t="shared" ca="1" si="10"/>
        <v>1.7447290956109496</v>
      </c>
      <c r="R64">
        <f t="shared" ca="1" si="11"/>
        <v>1.3018753723141168</v>
      </c>
      <c r="S64">
        <f t="shared" ca="1" si="8"/>
        <v>1.3401659887840485</v>
      </c>
      <c r="T64">
        <f t="shared" ca="1" si="9"/>
        <v>57.267988476338779</v>
      </c>
      <c r="U64">
        <f>70</f>
        <v>70</v>
      </c>
      <c r="V64">
        <f>30</f>
        <v>30</v>
      </c>
      <c r="W64">
        <f t="shared" ca="1" si="7"/>
        <v>315.65566096559735</v>
      </c>
      <c r="X64">
        <f t="shared" ca="1" si="17"/>
        <v>314.08867544386197</v>
      </c>
      <c r="Y64">
        <f t="shared" ca="1" si="16"/>
        <v>1.5134808761461045</v>
      </c>
      <c r="Z64">
        <f t="shared" ca="1" si="18"/>
        <v>1.2316743714894824</v>
      </c>
      <c r="AA64">
        <f t="shared" ca="1" si="19"/>
        <v>0.28180650465662205</v>
      </c>
    </row>
    <row r="65" spans="1:27" x14ac:dyDescent="0.25">
      <c r="A65" s="21">
        <f t="shared" ca="1" si="0"/>
        <v>45796</v>
      </c>
      <c r="B65" vm="188">
        <f ca="1"/>
        <v>45798</v>
      </c>
      <c r="C65" vm="189">
        <f ca="1"/>
        <v>316.44</v>
      </c>
      <c r="D65" vm="190">
        <f ca="1"/>
        <v>2386740</v>
      </c>
      <c r="E65">
        <f t="shared" ca="1" si="1"/>
        <v>755260005.60000002</v>
      </c>
      <c r="F65">
        <f ca="1">SUM($E$2:E65)/SUM($D$2:D65)</f>
        <v>309.86466590122569</v>
      </c>
      <c r="G65">
        <f ca="1">_xlfn.STDEV.P($C$2:C65)</f>
        <v>6.0463463916236249</v>
      </c>
      <c r="H65">
        <f t="shared" ca="1" si="2"/>
        <v>315.91101229284931</v>
      </c>
      <c r="I65">
        <f t="shared" ca="1" si="3"/>
        <v>303.81831950960208</v>
      </c>
      <c r="J65">
        <f t="shared" ca="1" si="12"/>
        <v>315.2999999999999</v>
      </c>
      <c r="K65">
        <f t="shared" ca="1" si="13"/>
        <v>3.5487521898919874</v>
      </c>
      <c r="L65">
        <f t="shared" ca="1" si="14"/>
        <v>322.39750437978387</v>
      </c>
      <c r="M65">
        <f t="shared" ca="1" si="15"/>
        <v>308.20249562021593</v>
      </c>
      <c r="N65">
        <f t="shared" ca="1" si="4"/>
        <v>-3.3600000000000136</v>
      </c>
      <c r="O65">
        <f t="shared" ca="1" si="5"/>
        <v>0</v>
      </c>
      <c r="P65">
        <f t="shared" ca="1" si="6"/>
        <v>3.3600000000000136</v>
      </c>
      <c r="Q65">
        <f t="shared" ca="1" si="10"/>
        <v>1.6201055887815961</v>
      </c>
      <c r="R65">
        <f t="shared" ca="1" si="11"/>
        <v>1.4488842742916808</v>
      </c>
      <c r="S65">
        <f t="shared" ca="1" si="8"/>
        <v>1.1181745965002075</v>
      </c>
      <c r="T65">
        <f t="shared" ca="1" si="9"/>
        <v>52.789538612526641</v>
      </c>
      <c r="U65">
        <f>70</f>
        <v>70</v>
      </c>
      <c r="V65">
        <f>30</f>
        <v>30</v>
      </c>
      <c r="W65">
        <f t="shared" ca="1" si="7"/>
        <v>315.77632850935163</v>
      </c>
      <c r="X65">
        <f t="shared" ca="1" si="17"/>
        <v>314.26284763320552</v>
      </c>
      <c r="Y65">
        <f t="shared" ca="1" si="16"/>
        <v>1.284399106796684</v>
      </c>
      <c r="Z65">
        <f t="shared" ca="1" si="18"/>
        <v>1.2422193185509227</v>
      </c>
      <c r="AA65">
        <f t="shared" ca="1" si="19"/>
        <v>4.2179788245761296E-2</v>
      </c>
    </row>
    <row r="66" spans="1:27" x14ac:dyDescent="0.25">
      <c r="A66" s="21">
        <f t="shared" ca="1" si="0"/>
        <v>45796</v>
      </c>
      <c r="B66" vm="191">
        <f ca="1"/>
        <v>45799</v>
      </c>
      <c r="C66" vm="192">
        <f ca="1"/>
        <v>314.31</v>
      </c>
      <c r="D66" vm="193">
        <f ca="1"/>
        <v>2642001</v>
      </c>
      <c r="E66">
        <f t="shared" ca="1" si="1"/>
        <v>830407334.31000006</v>
      </c>
      <c r="F66">
        <f ca="1">SUM($E$2:E66)/SUM($D$2:D66)</f>
        <v>309.91293760388794</v>
      </c>
      <c r="G66">
        <f ca="1">_xlfn.STDEV.P($C$2:C66)</f>
        <v>6.0183992052773361</v>
      </c>
      <c r="H66">
        <f t="shared" ca="1" si="2"/>
        <v>315.93133680916526</v>
      </c>
      <c r="I66">
        <f t="shared" ca="1" si="3"/>
        <v>303.89453839861062</v>
      </c>
      <c r="J66">
        <f t="shared" ca="1" si="12"/>
        <v>315.20449999999994</v>
      </c>
      <c r="K66">
        <f t="shared" ca="1" si="13"/>
        <v>3.5483909993418914</v>
      </c>
      <c r="L66">
        <f t="shared" ca="1" si="14"/>
        <v>322.30128199868375</v>
      </c>
      <c r="M66">
        <f t="shared" ca="1" si="15"/>
        <v>308.10771800131613</v>
      </c>
      <c r="N66">
        <f t="shared" ca="1" si="4"/>
        <v>-2.1299999999999955</v>
      </c>
      <c r="O66">
        <f t="shared" ca="1" si="5"/>
        <v>0</v>
      </c>
      <c r="P66">
        <f t="shared" ca="1" si="6"/>
        <v>2.1299999999999955</v>
      </c>
      <c r="Q66">
        <f t="shared" ca="1" si="10"/>
        <v>1.5043837610114821</v>
      </c>
      <c r="R66">
        <f t="shared" ca="1" si="11"/>
        <v>1.4975353975565604</v>
      </c>
      <c r="S66">
        <f t="shared" ca="1" si="8"/>
        <v>1.0045730895350427</v>
      </c>
      <c r="T66">
        <f t="shared" ca="1" si="9"/>
        <v>50.114066420399354</v>
      </c>
      <c r="U66">
        <f>70</f>
        <v>70</v>
      </c>
      <c r="V66">
        <f>30</f>
        <v>30</v>
      </c>
      <c r="W66">
        <f t="shared" ca="1" si="7"/>
        <v>315.55073950791291</v>
      </c>
      <c r="X66">
        <f t="shared" ca="1" si="17"/>
        <v>314.26634040111622</v>
      </c>
      <c r="Y66">
        <f t="shared" ca="1" si="16"/>
        <v>1.1110228019583133</v>
      </c>
      <c r="Z66">
        <f t="shared" ca="1" si="18"/>
        <v>1.215980015232401</v>
      </c>
      <c r="AA66">
        <f t="shared" ca="1" si="19"/>
        <v>-0.10495721327408769</v>
      </c>
    </row>
    <row r="67" spans="1:27" x14ac:dyDescent="0.25">
      <c r="A67" s="21">
        <f t="shared" ref="A67:A130" ca="1" si="20">B67 - WEEKDAY(B67, 2) + 1</f>
        <v>45796</v>
      </c>
      <c r="B67" vm="194">
        <f ca="1"/>
        <v>45800</v>
      </c>
      <c r="C67" vm="195">
        <f ca="1"/>
        <v>314.57</v>
      </c>
      <c r="D67" vm="196">
        <f ca="1"/>
        <v>2701615</v>
      </c>
      <c r="E67">
        <f t="shared" ref="E67:E130" ca="1" si="21">C67*D67</f>
        <v>849847030.54999995</v>
      </c>
      <c r="F67">
        <f ca="1">SUM($E$2:E67)/SUM($D$2:D67)</f>
        <v>309.9640816318319</v>
      </c>
      <c r="G67">
        <f ca="1">_xlfn.STDEV.P($C$2:C67)</f>
        <v>5.9931559910269643</v>
      </c>
      <c r="H67">
        <f t="shared" ref="H67:H130" ca="1" si="22">F67 + G67</f>
        <v>315.95723762285888</v>
      </c>
      <c r="I67">
        <f t="shared" ref="I67:I130" ca="1" si="23">F67 - G67</f>
        <v>303.97092564080492</v>
      </c>
      <c r="J67">
        <f t="shared" ca="1" si="12"/>
        <v>315.09600000000006</v>
      </c>
      <c r="K67">
        <f t="shared" ca="1" si="13"/>
        <v>3.5321074669232182</v>
      </c>
      <c r="L67">
        <f t="shared" ca="1" si="14"/>
        <v>322.16021493384648</v>
      </c>
      <c r="M67">
        <f t="shared" ca="1" si="15"/>
        <v>308.03178506615365</v>
      </c>
      <c r="N67">
        <f t="shared" ca="1" si="4"/>
        <v>0.25999999999999091</v>
      </c>
      <c r="O67">
        <f t="shared" ca="1" si="5"/>
        <v>0.25999999999999091</v>
      </c>
      <c r="P67">
        <f t="shared" ca="1" si="6"/>
        <v>0</v>
      </c>
      <c r="Q67">
        <f t="shared" ca="1" si="10"/>
        <v>1.4154992066535184</v>
      </c>
      <c r="R67">
        <f t="shared" ca="1" si="11"/>
        <v>1.3905685834453776</v>
      </c>
      <c r="S67">
        <f t="shared" ca="1" si="8"/>
        <v>1.0179283665005365</v>
      </c>
      <c r="T67">
        <f t="shared" ca="1" si="9"/>
        <v>50.444227030011668</v>
      </c>
      <c r="U67">
        <f>70</f>
        <v>70</v>
      </c>
      <c r="V67">
        <f>30</f>
        <v>30</v>
      </c>
      <c r="W67">
        <f t="shared" ca="1" si="7"/>
        <v>315.39985650669553</v>
      </c>
      <c r="X67">
        <f t="shared" ca="1" si="17"/>
        <v>314.28883370473721</v>
      </c>
      <c r="Y67">
        <f t="shared" ca="1" si="16"/>
        <v>0.99283882749000441</v>
      </c>
      <c r="Z67">
        <f t="shared" ca="1" si="18"/>
        <v>1.1713517776839217</v>
      </c>
      <c r="AA67">
        <f t="shared" ca="1" si="19"/>
        <v>-0.17851295019391733</v>
      </c>
    </row>
    <row r="68" spans="1:27" x14ac:dyDescent="0.25">
      <c r="A68" s="21">
        <f t="shared" ca="1" si="20"/>
        <v>45803</v>
      </c>
      <c r="B68" vm="197">
        <f ca="1"/>
        <v>45804</v>
      </c>
      <c r="C68" vm="198">
        <f ca="1"/>
        <v>314.95</v>
      </c>
      <c r="D68" vm="199">
        <f ca="1"/>
        <v>2527016</v>
      </c>
      <c r="E68">
        <f t="shared" ca="1" si="21"/>
        <v>795883689.19999993</v>
      </c>
      <c r="F68">
        <f ca="1">SUM($E$2:E68)/SUM($D$2:D68)</f>
        <v>310.01477768223839</v>
      </c>
      <c r="G68">
        <f ca="1">_xlfn.STDEV.P($C$2:C68)</f>
        <v>5.9718762502142164</v>
      </c>
      <c r="H68">
        <f t="shared" ca="1" si="22"/>
        <v>315.98665393245261</v>
      </c>
      <c r="I68">
        <f t="shared" ca="1" si="23"/>
        <v>304.04290143202417</v>
      </c>
      <c r="J68">
        <f t="shared" ca="1" si="12"/>
        <v>315.00299999999999</v>
      </c>
      <c r="K68">
        <f t="shared" ca="1" si="13"/>
        <v>3.5090141065547198</v>
      </c>
      <c r="L68">
        <f t="shared" ca="1" si="14"/>
        <v>322.02102821310945</v>
      </c>
      <c r="M68">
        <f t="shared" ca="1" si="15"/>
        <v>307.98497178689053</v>
      </c>
      <c r="N68">
        <f t="shared" ref="N68:N131" ca="1" si="24">C68-C67</f>
        <v>0.37999999999999545</v>
      </c>
      <c r="O68">
        <f t="shared" ref="O68:O131" ca="1" si="25">MAX(N68,0)</f>
        <v>0.37999999999999545</v>
      </c>
      <c r="P68">
        <f t="shared" ref="P68:P131" ca="1" si="26">MAX(-N68,0)</f>
        <v>0</v>
      </c>
      <c r="Q68">
        <f t="shared" ca="1" si="10"/>
        <v>1.3415349776068382</v>
      </c>
      <c r="R68">
        <f t="shared" ca="1" si="11"/>
        <v>1.2912422560564221</v>
      </c>
      <c r="S68">
        <f t="shared" ca="1" si="8"/>
        <v>1.0389490982923799</v>
      </c>
      <c r="T68">
        <f t="shared" ca="1" si="9"/>
        <v>50.955126793626185</v>
      </c>
      <c r="U68">
        <f>70</f>
        <v>70</v>
      </c>
      <c r="V68">
        <f>30</f>
        <v>30</v>
      </c>
      <c r="W68">
        <f t="shared" ca="1" si="7"/>
        <v>315.33064781335776</v>
      </c>
      <c r="X68">
        <f t="shared" ca="1" si="17"/>
        <v>314.33780898586775</v>
      </c>
      <c r="Y68">
        <f t="shared" ca="1" si="16"/>
        <v>0.72061105458755037</v>
      </c>
      <c r="Z68">
        <f t="shared" ca="1" si="18"/>
        <v>1.0812036330646475</v>
      </c>
      <c r="AA68">
        <f t="shared" ca="1" si="19"/>
        <v>-0.36059257847709714</v>
      </c>
    </row>
    <row r="69" spans="1:27" x14ac:dyDescent="0.25">
      <c r="A69" s="21">
        <f t="shared" ca="1" si="20"/>
        <v>45803</v>
      </c>
      <c r="B69" vm="200">
        <f ca="1"/>
        <v>45805</v>
      </c>
      <c r="C69" vm="201">
        <f ca="1"/>
        <v>312.83999999999997</v>
      </c>
      <c r="D69" vm="202">
        <f ca="1"/>
        <v>1935645</v>
      </c>
      <c r="E69">
        <f t="shared" ca="1" si="21"/>
        <v>605547181.79999995</v>
      </c>
      <c r="F69">
        <f ca="1">SUM($E$2:E69)/SUM($D$2:D69)</f>
        <v>310.03661151431226</v>
      </c>
      <c r="G69">
        <f ca="1">_xlfn.STDEV.P($C$2:C69)</f>
        <v>5.9337159385974516</v>
      </c>
      <c r="H69">
        <f t="shared" ca="1" si="22"/>
        <v>315.97032745290971</v>
      </c>
      <c r="I69">
        <f t="shared" ca="1" si="23"/>
        <v>304.1028955757148</v>
      </c>
      <c r="J69">
        <f t="shared" ca="1" si="12"/>
        <v>314.91999999999996</v>
      </c>
      <c r="K69">
        <f t="shared" ca="1" si="13"/>
        <v>3.5410242348194925</v>
      </c>
      <c r="L69">
        <f t="shared" ca="1" si="14"/>
        <v>322.00204846963896</v>
      </c>
      <c r="M69">
        <f t="shared" ca="1" si="15"/>
        <v>307.83795153036095</v>
      </c>
      <c r="N69">
        <f t="shared" ca="1" si="24"/>
        <v>-2.1100000000000136</v>
      </c>
      <c r="O69">
        <f t="shared" ca="1" si="25"/>
        <v>0</v>
      </c>
      <c r="P69">
        <f t="shared" ca="1" si="26"/>
        <v>2.1100000000000136</v>
      </c>
      <c r="Q69">
        <f t="shared" ca="1" si="10"/>
        <v>1.2457110506349209</v>
      </c>
      <c r="R69">
        <f t="shared" ca="1" si="11"/>
        <v>1.3497249520523928</v>
      </c>
      <c r="S69">
        <f t="shared" ca="1" si="8"/>
        <v>0.92293696485398136</v>
      </c>
      <c r="T69">
        <f t="shared" ca="1" si="9"/>
        <v>47.99621525420438</v>
      </c>
      <c r="U69">
        <f>70</f>
        <v>70</v>
      </c>
      <c r="V69">
        <f>30</f>
        <v>30</v>
      </c>
      <c r="W69">
        <f t="shared" ca="1" si="7"/>
        <v>314.94747122668736</v>
      </c>
      <c r="X69">
        <f t="shared" ca="1" si="17"/>
        <v>314.2268601720998</v>
      </c>
      <c r="Y69">
        <f t="shared" ca="1" si="16"/>
        <v>0.42093845696217613</v>
      </c>
      <c r="Z69">
        <f t="shared" ca="1" si="18"/>
        <v>0.94915059784415323</v>
      </c>
      <c r="AA69">
        <f t="shared" ca="1" si="19"/>
        <v>-0.5282121408819771</v>
      </c>
    </row>
    <row r="70" spans="1:27" x14ac:dyDescent="0.25">
      <c r="A70" s="21">
        <f t="shared" ca="1" si="20"/>
        <v>45803</v>
      </c>
      <c r="B70" vm="203">
        <f ca="1"/>
        <v>45806</v>
      </c>
      <c r="C70" vm="204">
        <f ca="1"/>
        <v>311.86</v>
      </c>
      <c r="D70" vm="205">
        <f ca="1"/>
        <v>2248937</v>
      </c>
      <c r="E70">
        <f t="shared" ca="1" si="21"/>
        <v>701353492.82000005</v>
      </c>
      <c r="F70">
        <f ca="1">SUM($E$2:E70)/SUM($D$2:D70)</f>
        <v>310.05283805672707</v>
      </c>
      <c r="G70">
        <f ca="1">_xlfn.STDEV.P($C$2:C70)</f>
        <v>5.8922712542364684</v>
      </c>
      <c r="H70">
        <f t="shared" ca="1" si="22"/>
        <v>315.94510931096352</v>
      </c>
      <c r="I70">
        <f t="shared" ca="1" si="23"/>
        <v>304.16056680249062</v>
      </c>
      <c r="J70">
        <f t="shared" ca="1" si="12"/>
        <v>314.53049999999996</v>
      </c>
      <c r="K70">
        <f t="shared" ca="1" si="13"/>
        <v>3.4197160162181564</v>
      </c>
      <c r="L70">
        <f t="shared" ca="1" si="14"/>
        <v>321.36993203243628</v>
      </c>
      <c r="M70">
        <f t="shared" ca="1" si="15"/>
        <v>307.69106796756364</v>
      </c>
      <c r="N70">
        <f t="shared" ca="1" si="24"/>
        <v>-0.97999999999996135</v>
      </c>
      <c r="O70">
        <f t="shared" ca="1" si="25"/>
        <v>0</v>
      </c>
      <c r="P70">
        <f t="shared" ca="1" si="26"/>
        <v>0.97999999999996135</v>
      </c>
      <c r="Q70">
        <f t="shared" ca="1" si="10"/>
        <v>1.1567316898752835</v>
      </c>
      <c r="R70">
        <f t="shared" ca="1" si="11"/>
        <v>1.3233160269057904</v>
      </c>
      <c r="S70">
        <f t="shared" ca="1" si="8"/>
        <v>0.87411598314877326</v>
      </c>
      <c r="T70">
        <f t="shared" ca="1" si="9"/>
        <v>46.641509437432887</v>
      </c>
      <c r="U70">
        <f>70</f>
        <v>70</v>
      </c>
      <c r="V70">
        <f>30</f>
        <v>30</v>
      </c>
      <c r="W70">
        <f t="shared" ca="1" si="7"/>
        <v>314.47247565335084</v>
      </c>
      <c r="X70">
        <f t="shared" ca="1" si="17"/>
        <v>314.05153719638867</v>
      </c>
      <c r="Y70">
        <f t="shared" ca="1" si="16"/>
        <v>0.34010165304528073</v>
      </c>
      <c r="Z70">
        <f t="shared" ca="1" si="18"/>
        <v>0.82734080888437878</v>
      </c>
      <c r="AA70">
        <f t="shared" ca="1" si="19"/>
        <v>-0.48723915583909805</v>
      </c>
    </row>
    <row r="71" spans="1:27" x14ac:dyDescent="0.25">
      <c r="A71" s="21">
        <f t="shared" ca="1" si="20"/>
        <v>45803</v>
      </c>
      <c r="B71" vm="206">
        <f ca="1"/>
        <v>45807</v>
      </c>
      <c r="C71" vm="207">
        <f ca="1"/>
        <v>313.85000000000002</v>
      </c>
      <c r="D71" vm="208">
        <f ca="1"/>
        <v>4062917</v>
      </c>
      <c r="E71">
        <f t="shared" ca="1" si="21"/>
        <v>1275146500.45</v>
      </c>
      <c r="F71">
        <f ca="1">SUM($E$2:E71)/SUM($D$2:D71)</f>
        <v>310.1129194371494</v>
      </c>
      <c r="G71">
        <f ca="1">_xlfn.STDEV.P($C$2:C71)</f>
        <v>5.8620424733350163</v>
      </c>
      <c r="H71">
        <f t="shared" ca="1" si="22"/>
        <v>315.97496191048441</v>
      </c>
      <c r="I71">
        <f t="shared" ca="1" si="23"/>
        <v>304.25087696381439</v>
      </c>
      <c r="J71">
        <f t="shared" ca="1" si="12"/>
        <v>314.54100000000005</v>
      </c>
      <c r="K71">
        <f t="shared" ca="1" si="13"/>
        <v>3.4171593311897053</v>
      </c>
      <c r="L71">
        <f t="shared" ca="1" si="14"/>
        <v>321.37531866237947</v>
      </c>
      <c r="M71">
        <f t="shared" ca="1" si="15"/>
        <v>307.70668133762064</v>
      </c>
      <c r="N71">
        <f t="shared" ca="1" si="24"/>
        <v>1.9900000000000091</v>
      </c>
      <c r="O71">
        <f t="shared" ca="1" si="25"/>
        <v>1.9900000000000091</v>
      </c>
      <c r="P71">
        <f t="shared" ca="1" si="26"/>
        <v>0</v>
      </c>
      <c r="Q71">
        <f t="shared" ca="1" si="10"/>
        <v>1.2162508548841926</v>
      </c>
      <c r="R71">
        <f t="shared" ca="1" si="11"/>
        <v>1.2287934535553766</v>
      </c>
      <c r="S71">
        <f t="shared" ca="1" si="8"/>
        <v>0.9897927526917617</v>
      </c>
      <c r="T71">
        <f t="shared" ca="1" si="9"/>
        <v>49.743509787779907</v>
      </c>
      <c r="U71">
        <f>70</f>
        <v>70</v>
      </c>
      <c r="V71">
        <f>30</f>
        <v>30</v>
      </c>
      <c r="W71">
        <f t="shared" ca="1" si="7"/>
        <v>314.37671016821997</v>
      </c>
      <c r="X71">
        <f t="shared" ca="1" si="17"/>
        <v>314.03660851517469</v>
      </c>
      <c r="Y71">
        <f t="shared" ca="1" si="16"/>
        <v>0.17955883911554338</v>
      </c>
      <c r="Z71">
        <f t="shared" ca="1" si="18"/>
        <v>0.69778441493061172</v>
      </c>
      <c r="AA71">
        <f t="shared" ca="1" si="19"/>
        <v>-0.51822557581506834</v>
      </c>
    </row>
    <row r="72" spans="1:27" x14ac:dyDescent="0.25">
      <c r="A72" s="21">
        <f t="shared" ca="1" si="20"/>
        <v>45810</v>
      </c>
      <c r="B72" vm="209">
        <f ca="1"/>
        <v>45810</v>
      </c>
      <c r="C72" vm="210">
        <f ca="1"/>
        <v>312.68</v>
      </c>
      <c r="D72" vm="211">
        <f ca="1"/>
        <v>2577048</v>
      </c>
      <c r="E72">
        <f t="shared" ca="1" si="21"/>
        <v>805791368.63999999</v>
      </c>
      <c r="F72">
        <f ca="1">SUM($E$2:E72)/SUM($D$2:D72)</f>
        <v>310.13842693970122</v>
      </c>
      <c r="G72">
        <f ca="1">_xlfn.STDEV.P($C$2:C72)</f>
        <v>5.8251268788015356</v>
      </c>
      <c r="H72">
        <f t="shared" ca="1" si="22"/>
        <v>315.96355381850276</v>
      </c>
      <c r="I72">
        <f t="shared" ca="1" si="23"/>
        <v>304.31330006089968</v>
      </c>
      <c r="J72">
        <f t="shared" ca="1" si="12"/>
        <v>314.57700000000006</v>
      </c>
      <c r="K72">
        <f t="shared" ca="1" si="13"/>
        <v>3.3922389749482447</v>
      </c>
      <c r="L72">
        <f t="shared" ca="1" si="14"/>
        <v>321.36147794989654</v>
      </c>
      <c r="M72">
        <f t="shared" ca="1" si="15"/>
        <v>307.79252205010357</v>
      </c>
      <c r="N72">
        <f t="shared" ca="1" si="24"/>
        <v>-1.1700000000000159</v>
      </c>
      <c r="O72">
        <f t="shared" ca="1" si="25"/>
        <v>0</v>
      </c>
      <c r="P72">
        <f t="shared" ca="1" si="26"/>
        <v>1.1700000000000159</v>
      </c>
      <c r="Q72">
        <f t="shared" ca="1" si="10"/>
        <v>1.129375793821036</v>
      </c>
      <c r="R72">
        <f t="shared" ca="1" si="11"/>
        <v>1.224593921158565</v>
      </c>
      <c r="S72">
        <f t="shared" ca="1" si="8"/>
        <v>0.92224514127308022</v>
      </c>
      <c r="T72">
        <f t="shared" ca="1" si="9"/>
        <v>47.97749888769588</v>
      </c>
      <c r="U72">
        <f>70</f>
        <v>70</v>
      </c>
      <c r="V72">
        <f>30</f>
        <v>30</v>
      </c>
      <c r="W72">
        <f t="shared" ca="1" si="7"/>
        <v>314.11567783464767</v>
      </c>
      <c r="X72">
        <f t="shared" ca="1" si="17"/>
        <v>313.93611899553213</v>
      </c>
      <c r="Y72">
        <f t="shared" ca="1" si="16"/>
        <v>2.8597274479864154E-2</v>
      </c>
      <c r="Z72">
        <f t="shared" ca="1" si="18"/>
        <v>0.56394698684046218</v>
      </c>
      <c r="AA72">
        <f t="shared" ca="1" si="19"/>
        <v>-0.53534971236059803</v>
      </c>
    </row>
    <row r="73" spans="1:27" x14ac:dyDescent="0.25">
      <c r="A73" s="21">
        <f t="shared" ca="1" si="20"/>
        <v>45810</v>
      </c>
      <c r="B73" vm="212">
        <f ca="1"/>
        <v>45811</v>
      </c>
      <c r="C73" vm="213">
        <f ca="1"/>
        <v>312.39</v>
      </c>
      <c r="D73" vm="214">
        <f ca="1"/>
        <v>3028181</v>
      </c>
      <c r="E73">
        <f t="shared" ca="1" si="21"/>
        <v>945973462.58999991</v>
      </c>
      <c r="F73">
        <f ca="1">SUM($E$2:E73)/SUM($D$2:D73)</f>
        <v>310.16441252074537</v>
      </c>
      <c r="G73">
        <f ca="1">_xlfn.STDEV.P($C$2:C73)</f>
        <v>5.7876700688955065</v>
      </c>
      <c r="H73">
        <f t="shared" ca="1" si="22"/>
        <v>315.9520825896409</v>
      </c>
      <c r="I73">
        <f t="shared" ca="1" si="23"/>
        <v>304.37674245184985</v>
      </c>
      <c r="J73">
        <f t="shared" ca="1" si="12"/>
        <v>314.41050000000007</v>
      </c>
      <c r="K73">
        <f t="shared" ca="1" si="13"/>
        <v>3.4148321604744427</v>
      </c>
      <c r="L73">
        <f t="shared" ca="1" si="14"/>
        <v>321.24016432094896</v>
      </c>
      <c r="M73">
        <f t="shared" ca="1" si="15"/>
        <v>307.58083567905118</v>
      </c>
      <c r="N73">
        <f t="shared" ca="1" si="24"/>
        <v>-0.29000000000002046</v>
      </c>
      <c r="O73">
        <f t="shared" ca="1" si="25"/>
        <v>0</v>
      </c>
      <c r="P73">
        <f t="shared" ca="1" si="26"/>
        <v>0.29000000000002046</v>
      </c>
      <c r="Q73">
        <f t="shared" ca="1" si="10"/>
        <v>1.0487060942623907</v>
      </c>
      <c r="R73">
        <f t="shared" ca="1" si="11"/>
        <v>1.1578372125043832</v>
      </c>
      <c r="S73">
        <f t="shared" ca="1" si="8"/>
        <v>0.90574571531869863</v>
      </c>
      <c r="T73">
        <f t="shared" ca="1" si="9"/>
        <v>47.527102280129242</v>
      </c>
      <c r="U73">
        <f>70</f>
        <v>70</v>
      </c>
      <c r="V73">
        <f>30</f>
        <v>30</v>
      </c>
      <c r="W73">
        <f t="shared" ca="1" si="7"/>
        <v>313.85018893700959</v>
      </c>
      <c r="X73">
        <f t="shared" ca="1" si="17"/>
        <v>313.82159166252973</v>
      </c>
      <c r="Y73">
        <f t="shared" ca="1" si="16"/>
        <v>-0.15541645592674058</v>
      </c>
      <c r="Z73">
        <f t="shared" ca="1" si="18"/>
        <v>0.42007429828702164</v>
      </c>
      <c r="AA73">
        <f t="shared" ca="1" si="19"/>
        <v>-0.57549075421376217</v>
      </c>
    </row>
    <row r="74" spans="1:27" x14ac:dyDescent="0.25">
      <c r="A74" s="21">
        <f t="shared" ca="1" si="20"/>
        <v>45810</v>
      </c>
      <c r="B74" vm="215">
        <f ca="1"/>
        <v>45812</v>
      </c>
      <c r="C74" vm="216">
        <f ca="1"/>
        <v>311.57</v>
      </c>
      <c r="D74" vm="217">
        <f ca="1"/>
        <v>2069546</v>
      </c>
      <c r="E74">
        <f t="shared" ca="1" si="21"/>
        <v>644808447.22000003</v>
      </c>
      <c r="F74">
        <f ca="1">SUM($E$2:E74)/SUM($D$2:D74)</f>
        <v>310.17541233776859</v>
      </c>
      <c r="G74">
        <f ca="1">_xlfn.STDEV.P($C$2:C74)</f>
        <v>5.7486167680348075</v>
      </c>
      <c r="H74">
        <f t="shared" ca="1" si="22"/>
        <v>315.92402910580341</v>
      </c>
      <c r="I74">
        <f t="shared" ca="1" si="23"/>
        <v>304.42679556973377</v>
      </c>
      <c r="J74">
        <f t="shared" ca="1" si="12"/>
        <v>314.1495000000001</v>
      </c>
      <c r="K74">
        <f t="shared" ca="1" si="13"/>
        <v>3.42286810330629</v>
      </c>
      <c r="L74">
        <f t="shared" ca="1" si="14"/>
        <v>320.99523620661267</v>
      </c>
      <c r="M74">
        <f t="shared" ca="1" si="15"/>
        <v>307.30376379338753</v>
      </c>
      <c r="N74">
        <f t="shared" ca="1" si="24"/>
        <v>-0.81999999999999318</v>
      </c>
      <c r="O74">
        <f t="shared" ca="1" si="25"/>
        <v>0</v>
      </c>
      <c r="P74">
        <f t="shared" ca="1" si="26"/>
        <v>0.81999999999999318</v>
      </c>
      <c r="Q74">
        <f t="shared" ca="1" si="10"/>
        <v>0.97379851610079127</v>
      </c>
      <c r="R74">
        <f t="shared" ca="1" si="11"/>
        <v>1.133705983039784</v>
      </c>
      <c r="S74">
        <f t="shared" ca="1" si="8"/>
        <v>0.85895155416730196</v>
      </c>
      <c r="T74">
        <f t="shared" ca="1" si="9"/>
        <v>46.206236641387918</v>
      </c>
      <c r="U74">
        <f>70</f>
        <v>70</v>
      </c>
      <c r="V74">
        <f>30</f>
        <v>30</v>
      </c>
      <c r="W74">
        <f t="shared" ca="1" si="7"/>
        <v>313.49939063900814</v>
      </c>
      <c r="X74">
        <f t="shared" ca="1" si="17"/>
        <v>313.65480709493488</v>
      </c>
      <c r="Y74">
        <f t="shared" ca="1" si="16"/>
        <v>-0.50442531643426491</v>
      </c>
      <c r="Z74">
        <f t="shared" ca="1" si="18"/>
        <v>0.23517437534276436</v>
      </c>
      <c r="AA74">
        <f t="shared" ca="1" si="19"/>
        <v>-0.73959969177702933</v>
      </c>
    </row>
    <row r="75" spans="1:27" x14ac:dyDescent="0.25">
      <c r="A75" s="21">
        <f t="shared" ca="1" si="20"/>
        <v>45810</v>
      </c>
      <c r="B75" vm="218">
        <f ca="1"/>
        <v>45813</v>
      </c>
      <c r="C75" vm="219">
        <f ca="1"/>
        <v>308.98</v>
      </c>
      <c r="D75" vm="220">
        <f ca="1"/>
        <v>3817236</v>
      </c>
      <c r="E75">
        <f t="shared" ca="1" si="21"/>
        <v>1179449579.28</v>
      </c>
      <c r="F75">
        <f ca="1">SUM($E$2:E75)/SUM($D$2:D75)</f>
        <v>310.15840269336502</v>
      </c>
      <c r="G75">
        <f ca="1">_xlfn.STDEV.P($C$2:C75)</f>
        <v>5.7134884872499043</v>
      </c>
      <c r="H75">
        <f t="shared" ca="1" si="22"/>
        <v>315.87189118061491</v>
      </c>
      <c r="I75">
        <f t="shared" ca="1" si="23"/>
        <v>304.44491420611513</v>
      </c>
      <c r="J75">
        <f t="shared" ca="1" si="12"/>
        <v>313.69200000000001</v>
      </c>
      <c r="K75">
        <f t="shared" ca="1" si="13"/>
        <v>3.4739460347897744</v>
      </c>
      <c r="L75">
        <f t="shared" ca="1" si="14"/>
        <v>320.63989206957956</v>
      </c>
      <c r="M75">
        <f t="shared" ca="1" si="15"/>
        <v>306.74410793042045</v>
      </c>
      <c r="N75">
        <f t="shared" ca="1" si="24"/>
        <v>-2.589999999999975</v>
      </c>
      <c r="O75">
        <f t="shared" ca="1" si="25"/>
        <v>0</v>
      </c>
      <c r="P75">
        <f t="shared" ca="1" si="26"/>
        <v>2.589999999999975</v>
      </c>
      <c r="Q75">
        <f t="shared" ca="1" si="10"/>
        <v>0.90424147923644893</v>
      </c>
      <c r="R75">
        <f t="shared" ca="1" si="11"/>
        <v>1.2377269842512264</v>
      </c>
      <c r="S75">
        <f t="shared" ca="1" si="8"/>
        <v>0.73056618361073999</v>
      </c>
      <c r="T75">
        <f t="shared" ca="1" si="9"/>
        <v>42.215443161292455</v>
      </c>
      <c r="U75">
        <f>70</f>
        <v>70</v>
      </c>
      <c r="V75">
        <f>30</f>
        <v>30</v>
      </c>
      <c r="W75">
        <f t="shared" ca="1" si="7"/>
        <v>312.80409977146843</v>
      </c>
      <c r="X75">
        <f t="shared" ca="1" si="17"/>
        <v>313.30852508790269</v>
      </c>
      <c r="Y75">
        <f t="shared" ca="1" si="16"/>
        <v>-0.90134763943660801</v>
      </c>
      <c r="Z75">
        <f t="shared" ca="1" si="18"/>
        <v>7.8699723868898841E-3</v>
      </c>
      <c r="AA75">
        <f t="shared" ca="1" si="19"/>
        <v>-0.90921761182349792</v>
      </c>
    </row>
    <row r="76" spans="1:27" x14ac:dyDescent="0.25">
      <c r="A76" s="21">
        <f t="shared" ca="1" si="20"/>
        <v>45810</v>
      </c>
      <c r="B76" vm="221">
        <f ca="1"/>
        <v>45814</v>
      </c>
      <c r="C76" vm="222">
        <f ca="1"/>
        <v>307.36</v>
      </c>
      <c r="D76" vm="223">
        <f ca="1"/>
        <v>2622767</v>
      </c>
      <c r="E76">
        <f t="shared" ca="1" si="21"/>
        <v>806133665.12</v>
      </c>
      <c r="F76">
        <f ca="1">SUM($E$2:E76)/SUM($D$2:D76)</f>
        <v>310.13130869472144</v>
      </c>
      <c r="G76">
        <f ca="1">_xlfn.STDEV.P($C$2:C76)</f>
        <v>5.6887384268297057</v>
      </c>
      <c r="H76">
        <f t="shared" ca="1" si="22"/>
        <v>315.82004712155117</v>
      </c>
      <c r="I76">
        <f t="shared" ca="1" si="23"/>
        <v>304.44257026789171</v>
      </c>
      <c r="J76">
        <f t="shared" ca="1" si="12"/>
        <v>313.38549999999998</v>
      </c>
      <c r="K76">
        <f t="shared" ca="1" si="13"/>
        <v>3.7519980291207946</v>
      </c>
      <c r="L76">
        <f t="shared" ca="1" si="14"/>
        <v>320.88949605824155</v>
      </c>
      <c r="M76">
        <f t="shared" ca="1" si="15"/>
        <v>305.88150394175841</v>
      </c>
      <c r="N76">
        <f t="shared" ca="1" si="24"/>
        <v>-1.6200000000000045</v>
      </c>
      <c r="O76">
        <f t="shared" ca="1" si="25"/>
        <v>0</v>
      </c>
      <c r="P76">
        <f t="shared" ca="1" si="26"/>
        <v>1.6200000000000045</v>
      </c>
      <c r="Q76">
        <f t="shared" ca="1" si="10"/>
        <v>0.83965280214813109</v>
      </c>
      <c r="R76">
        <f t="shared" ca="1" si="11"/>
        <v>1.2650321996618534</v>
      </c>
      <c r="S76">
        <f t="shared" ca="1" si="8"/>
        <v>0.66374026081911008</v>
      </c>
      <c r="T76">
        <f t="shared" ca="1" si="9"/>
        <v>39.89446408493658</v>
      </c>
      <c r="U76">
        <f>70</f>
        <v>70</v>
      </c>
      <c r="V76">
        <f>30</f>
        <v>30</v>
      </c>
      <c r="W76">
        <f t="shared" ca="1" si="7"/>
        <v>311.9665459604733</v>
      </c>
      <c r="X76">
        <f t="shared" ca="1" si="17"/>
        <v>312.86789359990991</v>
      </c>
      <c r="Y76">
        <f t="shared" ca="1" si="16"/>
        <v>-1.4078668652710462</v>
      </c>
      <c r="Z76">
        <f t="shared" ca="1" si="18"/>
        <v>-0.27527739514469735</v>
      </c>
      <c r="AA76">
        <f t="shared" ca="1" si="19"/>
        <v>-1.1325894701263488</v>
      </c>
    </row>
    <row r="77" spans="1:27" x14ac:dyDescent="0.25">
      <c r="A77" s="21">
        <f t="shared" ca="1" si="20"/>
        <v>45817</v>
      </c>
      <c r="B77" vm="224">
        <f ca="1"/>
        <v>45817</v>
      </c>
      <c r="C77" vm="225">
        <f ca="1"/>
        <v>304.77999999999997</v>
      </c>
      <c r="D77" vm="226">
        <f ca="1"/>
        <v>4059771</v>
      </c>
      <c r="E77">
        <f t="shared" ca="1" si="21"/>
        <v>1237337005.3799999</v>
      </c>
      <c r="F77">
        <f ca="1">SUM($E$2:E77)/SUM($D$2:D77)</f>
        <v>310.05229463198862</v>
      </c>
      <c r="G77">
        <f ca="1">_xlfn.STDEV.P($C$2:C77)</f>
        <v>5.6916522011093935</v>
      </c>
      <c r="H77">
        <f t="shared" ca="1" si="22"/>
        <v>315.74394683309799</v>
      </c>
      <c r="I77">
        <f t="shared" ca="1" si="23"/>
        <v>304.36064243087924</v>
      </c>
      <c r="J77">
        <f t="shared" ca="1" si="12"/>
        <v>312.94050000000004</v>
      </c>
      <c r="K77">
        <f t="shared" ca="1" si="13"/>
        <v>4.2145093677113064</v>
      </c>
      <c r="L77">
        <f t="shared" ca="1" si="14"/>
        <v>321.36951873542267</v>
      </c>
      <c r="M77">
        <f t="shared" ca="1" si="15"/>
        <v>304.51148126457741</v>
      </c>
      <c r="N77">
        <f t="shared" ca="1" si="24"/>
        <v>-2.5800000000000409</v>
      </c>
      <c r="O77">
        <f t="shared" ca="1" si="25"/>
        <v>0</v>
      </c>
      <c r="P77">
        <f t="shared" ca="1" si="26"/>
        <v>2.5800000000000409</v>
      </c>
      <c r="Q77">
        <f t="shared" ca="1" si="10"/>
        <v>0.77967760199469305</v>
      </c>
      <c r="R77">
        <f t="shared" ca="1" si="11"/>
        <v>1.3589584711145812</v>
      </c>
      <c r="S77">
        <f t="shared" ca="1" si="8"/>
        <v>0.57373173541883327</v>
      </c>
      <c r="T77">
        <f t="shared" ca="1" si="9"/>
        <v>36.456768488953443</v>
      </c>
      <c r="U77">
        <f>70</f>
        <v>70</v>
      </c>
      <c r="V77">
        <f>30</f>
        <v>30</v>
      </c>
      <c r="W77">
        <f t="shared" ca="1" si="7"/>
        <v>310.86092350501588</v>
      </c>
      <c r="X77">
        <f t="shared" ca="1" si="17"/>
        <v>312.26879037028692</v>
      </c>
      <c r="Y77">
        <f t="shared" ca="1" si="16"/>
        <v>-2.1356768927450958</v>
      </c>
      <c r="Z77">
        <f t="shared" ca="1" si="18"/>
        <v>-0.64735729466477709</v>
      </c>
      <c r="AA77">
        <f t="shared" ca="1" si="19"/>
        <v>-1.4883195980803188</v>
      </c>
    </row>
    <row r="78" spans="1:27" x14ac:dyDescent="0.25">
      <c r="A78" s="21">
        <f t="shared" ca="1" si="20"/>
        <v>45817</v>
      </c>
      <c r="B78" vm="227">
        <f ca="1"/>
        <v>45818</v>
      </c>
      <c r="C78" vm="228">
        <f ca="1"/>
        <v>300.43</v>
      </c>
      <c r="D78" vm="229">
        <f ca="1"/>
        <v>4698701</v>
      </c>
      <c r="E78">
        <f t="shared" ca="1" si="21"/>
        <v>1411630741.4300001</v>
      </c>
      <c r="F78">
        <f ca="1">SUM($E$2:E78)/SUM($D$2:D78)</f>
        <v>309.8906205933157</v>
      </c>
      <c r="G78">
        <f ca="1">_xlfn.STDEV.P($C$2:C78)</f>
        <v>5.7716799628464663</v>
      </c>
      <c r="H78">
        <f t="shared" ca="1" si="22"/>
        <v>315.66230055616217</v>
      </c>
      <c r="I78">
        <f t="shared" ca="1" si="23"/>
        <v>304.11894063046924</v>
      </c>
      <c r="J78">
        <f t="shared" ca="1" si="12"/>
        <v>312.36599999999999</v>
      </c>
      <c r="K78">
        <f t="shared" ca="1" si="13"/>
        <v>5.0593835696913905</v>
      </c>
      <c r="L78">
        <f t="shared" ca="1" si="14"/>
        <v>322.48476713938277</v>
      </c>
      <c r="M78">
        <f t="shared" ca="1" si="15"/>
        <v>302.2472328606172</v>
      </c>
      <c r="N78">
        <f t="shared" ca="1" si="24"/>
        <v>-4.3499999999999659</v>
      </c>
      <c r="O78">
        <f t="shared" ca="1" si="25"/>
        <v>0</v>
      </c>
      <c r="P78">
        <f t="shared" ca="1" si="26"/>
        <v>4.3499999999999659</v>
      </c>
      <c r="Q78">
        <f t="shared" ca="1" si="10"/>
        <v>0.72398634470935785</v>
      </c>
      <c r="R78">
        <f t="shared" ca="1" si="11"/>
        <v>1.5726042946063945</v>
      </c>
      <c r="S78">
        <f t="shared" ca="1" si="8"/>
        <v>0.46037413683304462</v>
      </c>
      <c r="T78">
        <f t="shared" ca="1" si="9"/>
        <v>31.524396743385793</v>
      </c>
      <c r="U78">
        <f>70</f>
        <v>70</v>
      </c>
      <c r="V78">
        <f>30</f>
        <v>30</v>
      </c>
      <c r="W78">
        <f t="shared" ca="1" si="7"/>
        <v>309.25616604270579</v>
      </c>
      <c r="X78">
        <f t="shared" ca="1" si="17"/>
        <v>311.39184293545088</v>
      </c>
      <c r="Y78">
        <f t="shared" ca="1" si="16"/>
        <v>-2.5786542431279713</v>
      </c>
      <c r="Z78">
        <f t="shared" ca="1" si="18"/>
        <v>-1.0336166843574159</v>
      </c>
      <c r="AA78">
        <f t="shared" ca="1" si="19"/>
        <v>-1.5450375587705554</v>
      </c>
    </row>
    <row r="79" spans="1:27" x14ac:dyDescent="0.25">
      <c r="A79" s="21">
        <f t="shared" ca="1" si="20"/>
        <v>45817</v>
      </c>
      <c r="B79" vm="230">
        <f ca="1"/>
        <v>45819</v>
      </c>
      <c r="C79" vm="231">
        <f ca="1"/>
        <v>301.72000000000003</v>
      </c>
      <c r="D79" vm="232">
        <f ca="1"/>
        <v>3312510</v>
      </c>
      <c r="E79">
        <f t="shared" ca="1" si="21"/>
        <v>999450517.20000005</v>
      </c>
      <c r="F79">
        <f ca="1">SUM($E$2:E79)/SUM($D$2:D79)</f>
        <v>309.7949712463323</v>
      </c>
      <c r="G79">
        <f ca="1">_xlfn.STDEV.P($C$2:C79)</f>
        <v>5.8192832444066953</v>
      </c>
      <c r="H79">
        <f t="shared" ca="1" si="22"/>
        <v>315.61425449073897</v>
      </c>
      <c r="I79">
        <f t="shared" ca="1" si="23"/>
        <v>303.97568800192562</v>
      </c>
      <c r="J79">
        <f t="shared" ca="1" si="12"/>
        <v>312.01749999999998</v>
      </c>
      <c r="K79">
        <f t="shared" ca="1" si="13"/>
        <v>5.5428720229821211</v>
      </c>
      <c r="L79">
        <f t="shared" ca="1" si="14"/>
        <v>323.10324404596423</v>
      </c>
      <c r="M79">
        <f t="shared" ca="1" si="15"/>
        <v>300.93175595403574</v>
      </c>
      <c r="N79">
        <f t="shared" ca="1" si="24"/>
        <v>1.2900000000000205</v>
      </c>
      <c r="O79">
        <f t="shared" ca="1" si="25"/>
        <v>1.2900000000000205</v>
      </c>
      <c r="P79">
        <f t="shared" ca="1" si="26"/>
        <v>0</v>
      </c>
      <c r="Q79">
        <f t="shared" ca="1" si="10"/>
        <v>0.76441589151583378</v>
      </c>
      <c r="R79">
        <f t="shared" ca="1" si="11"/>
        <v>1.4602754164202234</v>
      </c>
      <c r="S79">
        <f t="shared" ca="1" si="8"/>
        <v>0.52347377961737718</v>
      </c>
      <c r="T79">
        <f t="shared" ca="1" si="9"/>
        <v>34.360537517675454</v>
      </c>
      <c r="U79">
        <f>70</f>
        <v>70</v>
      </c>
      <c r="V79">
        <f>30</f>
        <v>30</v>
      </c>
      <c r="W79">
        <f t="shared" ref="W79:W142" ca="1" si="27">C79*(2/(12+1)) + W78*(1-(2/(12+1)))</f>
        <v>308.09675588228953</v>
      </c>
      <c r="X79">
        <f t="shared" ca="1" si="17"/>
        <v>310.6754101254175</v>
      </c>
      <c r="Y79">
        <f t="shared" ca="1" si="16"/>
        <v>-2.7814581017683508</v>
      </c>
      <c r="Z79">
        <f t="shared" ca="1" si="18"/>
        <v>-1.3831849678396031</v>
      </c>
      <c r="AA79">
        <f t="shared" ca="1" si="19"/>
        <v>-1.3982731339287477</v>
      </c>
    </row>
    <row r="80" spans="1:27" x14ac:dyDescent="0.25">
      <c r="A80" s="21">
        <f t="shared" ca="1" si="20"/>
        <v>45817</v>
      </c>
      <c r="B80" vm="233">
        <f ca="1"/>
        <v>45820</v>
      </c>
      <c r="C80" vm="234">
        <f ca="1"/>
        <v>303.16000000000003</v>
      </c>
      <c r="D80" vm="235">
        <f ca="1"/>
        <v>2584667</v>
      </c>
      <c r="E80">
        <f t="shared" ca="1" si="21"/>
        <v>783567647.72000003</v>
      </c>
      <c r="F80">
        <f ca="1">SUM($E$2:E80)/SUM($D$2:D80)</f>
        <v>309.7349141334696</v>
      </c>
      <c r="G80">
        <f ca="1">_xlfn.STDEV.P($C$2:C80)</f>
        <v>5.8387340400016026</v>
      </c>
      <c r="H80">
        <f t="shared" ca="1" si="22"/>
        <v>315.57364817347121</v>
      </c>
      <c r="I80">
        <f t="shared" ca="1" si="23"/>
        <v>303.89618009346799</v>
      </c>
      <c r="J80">
        <f t="shared" ca="1" si="12"/>
        <v>311.80049999999994</v>
      </c>
      <c r="K80">
        <f t="shared" ca="1" si="13"/>
        <v>5.8076668700678926</v>
      </c>
      <c r="L80">
        <f t="shared" ca="1" si="14"/>
        <v>323.41583374013572</v>
      </c>
      <c r="M80">
        <f t="shared" ca="1" si="15"/>
        <v>300.18516625986416</v>
      </c>
      <c r="N80">
        <f t="shared" ca="1" si="24"/>
        <v>1.4399999999999977</v>
      </c>
      <c r="O80">
        <f t="shared" ca="1" si="25"/>
        <v>1.4399999999999977</v>
      </c>
      <c r="P80">
        <f t="shared" ca="1" si="26"/>
        <v>0</v>
      </c>
      <c r="Q80">
        <f t="shared" ca="1" si="10"/>
        <v>0.81267189926470262</v>
      </c>
      <c r="R80">
        <f t="shared" ca="1" si="11"/>
        <v>1.3559700295330646</v>
      </c>
      <c r="S80">
        <f t="shared" ref="S80:S143" ca="1" si="28">IF(R80=0,NA(),Q80/R80)</f>
        <v>0.59932880636347874</v>
      </c>
      <c r="T80">
        <f t="shared" ref="T80:T143" ca="1" si="29">100-(100/(1+S80))</f>
        <v>37.47377049540053</v>
      </c>
      <c r="U80">
        <f>70</f>
        <v>70</v>
      </c>
      <c r="V80">
        <f>30</f>
        <v>30</v>
      </c>
      <c r="W80">
        <f t="shared" ca="1" si="27"/>
        <v>307.33725497732189</v>
      </c>
      <c r="X80">
        <f t="shared" ca="1" si="17"/>
        <v>310.11871307909024</v>
      </c>
      <c r="Y80">
        <f t="shared" ca="1" si="16"/>
        <v>-3.0083675852984015</v>
      </c>
      <c r="Z80">
        <f t="shared" ca="1" si="18"/>
        <v>-1.7082214913313629</v>
      </c>
      <c r="AA80">
        <f t="shared" ca="1" si="19"/>
        <v>-1.3001460939670386</v>
      </c>
    </row>
    <row r="81" spans="1:27" x14ac:dyDescent="0.25">
      <c r="A81" s="21">
        <f t="shared" ca="1" si="20"/>
        <v>45817</v>
      </c>
      <c r="B81" vm="236">
        <f ca="1"/>
        <v>45821</v>
      </c>
      <c r="C81" vm="237">
        <f ca="1"/>
        <v>301.91000000000003</v>
      </c>
      <c r="D81" vm="238">
        <f ca="1"/>
        <v>2435628</v>
      </c>
      <c r="E81">
        <f t="shared" ca="1" si="21"/>
        <v>735340449.48000002</v>
      </c>
      <c r="F81">
        <f ca="1">SUM($E$2:E81)/SUM($D$2:D81)</f>
        <v>309.66873475706132</v>
      </c>
      <c r="G81">
        <f ca="1">_xlfn.STDEV.P($C$2:C81)</f>
        <v>5.8767044336090288</v>
      </c>
      <c r="H81">
        <f t="shared" ca="1" si="22"/>
        <v>315.54543919067032</v>
      </c>
      <c r="I81">
        <f t="shared" ca="1" si="23"/>
        <v>303.79203032345231</v>
      </c>
      <c r="J81">
        <f t="shared" ca="1" si="12"/>
        <v>311.17199999999997</v>
      </c>
      <c r="K81">
        <f t="shared" ca="1" si="13"/>
        <v>6.1712104075891627</v>
      </c>
      <c r="L81">
        <f t="shared" ca="1" si="14"/>
        <v>323.51442081517831</v>
      </c>
      <c r="M81">
        <f t="shared" ca="1" si="15"/>
        <v>298.82957918482163</v>
      </c>
      <c r="N81">
        <f t="shared" ca="1" si="24"/>
        <v>-1.25</v>
      </c>
      <c r="O81">
        <f t="shared" ca="1" si="25"/>
        <v>0</v>
      </c>
      <c r="P81">
        <f t="shared" ca="1" si="26"/>
        <v>1.25</v>
      </c>
      <c r="Q81">
        <f t="shared" ref="Q81:Q144" ca="1" si="30">(Q80*13+O81)/14</f>
        <v>0.75462390646008104</v>
      </c>
      <c r="R81">
        <f t="shared" ref="R81:R144" ca="1" si="31">(R80*13+P81)/14</f>
        <v>1.348400741709274</v>
      </c>
      <c r="S81">
        <f t="shared" ca="1" si="28"/>
        <v>0.55964364533313493</v>
      </c>
      <c r="T81">
        <f t="shared" ca="1" si="29"/>
        <v>35.882789444097455</v>
      </c>
      <c r="U81">
        <f>70</f>
        <v>70</v>
      </c>
      <c r="V81">
        <f>30</f>
        <v>30</v>
      </c>
      <c r="W81">
        <f t="shared" ca="1" si="27"/>
        <v>306.50229267311852</v>
      </c>
      <c r="X81">
        <f t="shared" ca="1" si="17"/>
        <v>309.51066025841692</v>
      </c>
      <c r="Y81">
        <f t="shared" ca="1" si="16"/>
        <v>-3.6001813677187897</v>
      </c>
      <c r="Z81">
        <f t="shared" ca="1" si="18"/>
        <v>-2.0866134666088483</v>
      </c>
      <c r="AA81">
        <f t="shared" ca="1" si="19"/>
        <v>-1.5135679011099414</v>
      </c>
    </row>
    <row r="82" spans="1:27" x14ac:dyDescent="0.25">
      <c r="A82" s="21">
        <f t="shared" ca="1" si="20"/>
        <v>45824</v>
      </c>
      <c r="B82" vm="239">
        <f ca="1"/>
        <v>45824</v>
      </c>
      <c r="C82" vm="240">
        <f ca="1"/>
        <v>296.29000000000002</v>
      </c>
      <c r="D82" vm="241">
        <f ca="1"/>
        <v>4045666</v>
      </c>
      <c r="E82">
        <f t="shared" ca="1" si="21"/>
        <v>1198690379.1400001</v>
      </c>
      <c r="F82">
        <f ca="1">SUM($E$2:E82)/SUM($D$2:D82)</f>
        <v>309.48339073536249</v>
      </c>
      <c r="G82">
        <f ca="1">_xlfn.STDEV.P($C$2:C82)</f>
        <v>6.0390592487797994</v>
      </c>
      <c r="H82">
        <f t="shared" ca="1" si="22"/>
        <v>315.52244998414227</v>
      </c>
      <c r="I82">
        <f t="shared" ca="1" si="23"/>
        <v>303.44433148658271</v>
      </c>
      <c r="J82">
        <f t="shared" ca="1" si="12"/>
        <v>310.05599999999998</v>
      </c>
      <c r="K82">
        <f t="shared" ca="1" si="13"/>
        <v>6.7466712259883304</v>
      </c>
      <c r="L82">
        <f t="shared" ca="1" si="14"/>
        <v>323.54934245197666</v>
      </c>
      <c r="M82">
        <f t="shared" ca="1" si="15"/>
        <v>296.56265754802331</v>
      </c>
      <c r="N82">
        <f t="shared" ca="1" si="24"/>
        <v>-5.6200000000000045</v>
      </c>
      <c r="O82">
        <f t="shared" ca="1" si="25"/>
        <v>0</v>
      </c>
      <c r="P82">
        <f t="shared" ca="1" si="26"/>
        <v>5.6200000000000045</v>
      </c>
      <c r="Q82">
        <f t="shared" ca="1" si="30"/>
        <v>0.70072219885578957</v>
      </c>
      <c r="R82">
        <f t="shared" ca="1" si="31"/>
        <v>1.653514974444326</v>
      </c>
      <c r="S82">
        <f t="shared" ca="1" si="28"/>
        <v>0.42377735290318225</v>
      </c>
      <c r="T82">
        <f t="shared" ca="1" si="29"/>
        <v>29.764299315414064</v>
      </c>
      <c r="U82">
        <f>70</f>
        <v>70</v>
      </c>
      <c r="V82">
        <f>30</f>
        <v>30</v>
      </c>
      <c r="W82">
        <f t="shared" ca="1" si="27"/>
        <v>304.931170723408</v>
      </c>
      <c r="X82">
        <f t="shared" ca="1" si="17"/>
        <v>308.53135209112679</v>
      </c>
      <c r="Y82">
        <f t="shared" ca="1" si="16"/>
        <v>-4.3403183041710349</v>
      </c>
      <c r="Z82">
        <f t="shared" ca="1" si="18"/>
        <v>-2.5373544341212857</v>
      </c>
      <c r="AA82">
        <f t="shared" ca="1" si="19"/>
        <v>-1.8029638700497492</v>
      </c>
    </row>
    <row r="83" spans="1:27" x14ac:dyDescent="0.25">
      <c r="A83" s="21">
        <f t="shared" ca="1" si="20"/>
        <v>45824</v>
      </c>
      <c r="B83" vm="242">
        <f ca="1"/>
        <v>45825</v>
      </c>
      <c r="C83" vm="243">
        <f ca="1"/>
        <v>292.31</v>
      </c>
      <c r="D83" vm="244">
        <f ca="1"/>
        <v>3378975</v>
      </c>
      <c r="E83">
        <f t="shared" ca="1" si="21"/>
        <v>987708182.25</v>
      </c>
      <c r="F83">
        <f ca="1">SUM($E$2:E83)/SUM($D$2:D83)</f>
        <v>309.28695598720714</v>
      </c>
      <c r="G83">
        <f ca="1">_xlfn.STDEV.P($C$2:C83)</f>
        <v>6.3094689753372766</v>
      </c>
      <c r="H83">
        <f t="shared" ca="1" si="22"/>
        <v>315.5964249625444</v>
      </c>
      <c r="I83">
        <f t="shared" ca="1" si="23"/>
        <v>302.97748701186987</v>
      </c>
      <c r="J83">
        <f t="shared" ca="1" si="12"/>
        <v>308.61</v>
      </c>
      <c r="K83">
        <f t="shared" ca="1" si="13"/>
        <v>7.3020465768527005</v>
      </c>
      <c r="L83">
        <f t="shared" ca="1" si="14"/>
        <v>323.21409315370539</v>
      </c>
      <c r="M83">
        <f t="shared" ca="1" si="15"/>
        <v>294.00590684629464</v>
      </c>
      <c r="N83">
        <f t="shared" ca="1" si="24"/>
        <v>-3.9800000000000182</v>
      </c>
      <c r="O83">
        <f t="shared" ca="1" si="25"/>
        <v>0</v>
      </c>
      <c r="P83">
        <f t="shared" ca="1" si="26"/>
        <v>3.9800000000000182</v>
      </c>
      <c r="Q83">
        <f t="shared" ca="1" si="30"/>
        <v>0.65067061322323316</v>
      </c>
      <c r="R83">
        <f t="shared" ca="1" si="31"/>
        <v>1.8196924762697326</v>
      </c>
      <c r="S83">
        <f t="shared" ca="1" si="28"/>
        <v>0.35757174451645335</v>
      </c>
      <c r="T83">
        <f t="shared" ca="1" si="29"/>
        <v>26.339067969024001</v>
      </c>
      <c r="U83">
        <f>70</f>
        <v>70</v>
      </c>
      <c r="V83">
        <f>30</f>
        <v>30</v>
      </c>
      <c r="W83">
        <f t="shared" ca="1" si="27"/>
        <v>302.98945215057603</v>
      </c>
      <c r="X83">
        <f t="shared" ca="1" si="17"/>
        <v>307.32977045474706</v>
      </c>
      <c r="Y83">
        <f t="shared" ca="1" si="16"/>
        <v>-5.0845245272698207</v>
      </c>
      <c r="Z83">
        <f t="shared" ca="1" si="18"/>
        <v>-3.0467884527509925</v>
      </c>
      <c r="AA83">
        <f t="shared" ca="1" si="19"/>
        <v>-2.0377360745188282</v>
      </c>
    </row>
    <row r="84" spans="1:27" x14ac:dyDescent="0.25">
      <c r="A84" s="21">
        <f t="shared" ca="1" si="20"/>
        <v>45824</v>
      </c>
      <c r="B84" vm="245">
        <f ca="1"/>
        <v>45826</v>
      </c>
      <c r="C84" vm="246">
        <f ca="1"/>
        <v>289.63</v>
      </c>
      <c r="D84" vm="247">
        <f ca="1"/>
        <v>4008675</v>
      </c>
      <c r="E84">
        <f t="shared" ca="1" si="21"/>
        <v>1161032540.25</v>
      </c>
      <c r="F84">
        <f ca="1">SUM($E$2:E84)/SUM($D$2:D84)</f>
        <v>309.02378338620673</v>
      </c>
      <c r="G84">
        <f ca="1">_xlfn.STDEV.P($C$2:C84)</f>
        <v>6.6468388774991727</v>
      </c>
      <c r="H84">
        <f t="shared" ca="1" si="22"/>
        <v>315.67062226370592</v>
      </c>
      <c r="I84">
        <f t="shared" ca="1" si="23"/>
        <v>302.37694450870754</v>
      </c>
      <c r="J84">
        <f t="shared" ca="1" si="12"/>
        <v>307.10150000000004</v>
      </c>
      <c r="K84">
        <f t="shared" ca="1" si="13"/>
        <v>7.955768033320223</v>
      </c>
      <c r="L84">
        <f t="shared" ca="1" si="14"/>
        <v>323.0130360666405</v>
      </c>
      <c r="M84">
        <f t="shared" ca="1" si="15"/>
        <v>291.18996393335959</v>
      </c>
      <c r="N84">
        <f t="shared" ca="1" si="24"/>
        <v>-2.6800000000000068</v>
      </c>
      <c r="O84">
        <f t="shared" ca="1" si="25"/>
        <v>0</v>
      </c>
      <c r="P84">
        <f t="shared" ca="1" si="26"/>
        <v>2.6800000000000068</v>
      </c>
      <c r="Q84">
        <f t="shared" ca="1" si="30"/>
        <v>0.60419414085014511</v>
      </c>
      <c r="R84">
        <f t="shared" ca="1" si="31"/>
        <v>1.8811430136790379</v>
      </c>
      <c r="S84">
        <f t="shared" ca="1" si="28"/>
        <v>0.32118458642253617</v>
      </c>
      <c r="T84">
        <f t="shared" ca="1" si="29"/>
        <v>24.310349191419959</v>
      </c>
      <c r="U84">
        <f>70</f>
        <v>70</v>
      </c>
      <c r="V84">
        <f>30</f>
        <v>30</v>
      </c>
      <c r="W84">
        <f t="shared" ca="1" si="27"/>
        <v>300.93415181971818</v>
      </c>
      <c r="X84">
        <f t="shared" ca="1" si="17"/>
        <v>306.018676346988</v>
      </c>
      <c r="Y84">
        <f t="shared" ca="1" si="16"/>
        <v>-5.7827541946290921</v>
      </c>
      <c r="Z84">
        <f t="shared" ca="1" si="18"/>
        <v>-3.5939816011266128</v>
      </c>
      <c r="AA84">
        <f t="shared" ca="1" si="19"/>
        <v>-2.1887725935024793</v>
      </c>
    </row>
    <row r="85" spans="1:27" x14ac:dyDescent="0.25">
      <c r="A85" s="21">
        <f t="shared" ca="1" si="20"/>
        <v>45824</v>
      </c>
      <c r="B85" vm="248">
        <f ca="1"/>
        <v>45828</v>
      </c>
      <c r="C85" vm="249">
        <f ca="1"/>
        <v>287.45999999999998</v>
      </c>
      <c r="D85" vm="250">
        <f ca="1"/>
        <v>7084966</v>
      </c>
      <c r="E85">
        <f t="shared" ca="1" si="21"/>
        <v>2036644326.3599999</v>
      </c>
      <c r="F85">
        <f ca="1">SUM($E$2:E85)/SUM($D$2:D85)</f>
        <v>308.52532434171485</v>
      </c>
      <c r="G85">
        <f ca="1">_xlfn.STDEV.P($C$2:C85)</f>
        <v>7.0290042563771307</v>
      </c>
      <c r="H85">
        <f t="shared" ca="1" si="22"/>
        <v>315.55432859809196</v>
      </c>
      <c r="I85">
        <f t="shared" ca="1" si="23"/>
        <v>301.49632008533774</v>
      </c>
      <c r="J85">
        <f t="shared" ca="1" si="12"/>
        <v>305.65249999999997</v>
      </c>
      <c r="K85">
        <f t="shared" ca="1" si="13"/>
        <v>8.7634995863524736</v>
      </c>
      <c r="L85">
        <f t="shared" ca="1" si="14"/>
        <v>323.17949917270494</v>
      </c>
      <c r="M85">
        <f t="shared" ca="1" si="15"/>
        <v>288.12550082729501</v>
      </c>
      <c r="N85">
        <f t="shared" ca="1" si="24"/>
        <v>-2.1700000000000159</v>
      </c>
      <c r="O85">
        <f t="shared" ca="1" si="25"/>
        <v>0</v>
      </c>
      <c r="P85">
        <f t="shared" ca="1" si="26"/>
        <v>2.1700000000000159</v>
      </c>
      <c r="Q85">
        <f t="shared" ca="1" si="30"/>
        <v>0.5610374165037062</v>
      </c>
      <c r="R85">
        <f t="shared" ca="1" si="31"/>
        <v>1.9017756555591079</v>
      </c>
      <c r="S85">
        <f t="shared" ca="1" si="28"/>
        <v>0.2950071502197063</v>
      </c>
      <c r="T85">
        <f t="shared" ca="1" si="29"/>
        <v>22.780349140902928</v>
      </c>
      <c r="U85">
        <f>70</f>
        <v>70</v>
      </c>
      <c r="V85">
        <f>30</f>
        <v>30</v>
      </c>
      <c r="W85">
        <f t="shared" ca="1" si="27"/>
        <v>298.86120538591535</v>
      </c>
      <c r="X85">
        <f t="shared" ca="1" si="17"/>
        <v>304.64395958054445</v>
      </c>
      <c r="Y85">
        <f t="shared" ca="1" si="16"/>
        <v>-6.0995694132765834</v>
      </c>
      <c r="Z85">
        <f t="shared" ca="1" si="18"/>
        <v>-4.0950991635566076</v>
      </c>
      <c r="AA85">
        <f t="shared" ca="1" si="19"/>
        <v>-2.0044702497199758</v>
      </c>
    </row>
    <row r="86" spans="1:27" x14ac:dyDescent="0.25">
      <c r="A86" s="21">
        <f t="shared" ca="1" si="20"/>
        <v>45831</v>
      </c>
      <c r="B86" vm="251">
        <f ca="1"/>
        <v>45831</v>
      </c>
      <c r="C86" vm="252">
        <f ca="1"/>
        <v>289.52</v>
      </c>
      <c r="D86" vm="253">
        <f ca="1"/>
        <v>5172494</v>
      </c>
      <c r="E86">
        <f t="shared" ca="1" si="21"/>
        <v>1497540462.8799999</v>
      </c>
      <c r="F86">
        <f ca="1">SUM($E$2:E86)/SUM($D$2:D86)</f>
        <v>308.20991534323724</v>
      </c>
      <c r="G86">
        <f ca="1">_xlfn.STDEV.P($C$2:C86)</f>
        <v>7.3061130530971603</v>
      </c>
      <c r="H86">
        <f t="shared" ca="1" si="22"/>
        <v>315.51602839633438</v>
      </c>
      <c r="I86">
        <f t="shared" ca="1" si="23"/>
        <v>300.90380229014011</v>
      </c>
      <c r="J86">
        <f t="shared" ref="J86:J149" ca="1" si="32">AVERAGE(C67:C86)</f>
        <v>304.41300000000001</v>
      </c>
      <c r="K86">
        <f t="shared" ref="K86:K149" ca="1" si="33">_xlfn.STDEV.S(C67:C86)</f>
        <v>9.2159975900033402</v>
      </c>
      <c r="L86">
        <f t="shared" ref="L86:L149" ca="1" si="34">J86 + 2*K86</f>
        <v>322.84499518000666</v>
      </c>
      <c r="M86">
        <f t="shared" ref="M86:M149" ca="1" si="35">J86-2*K86</f>
        <v>285.98100481999336</v>
      </c>
      <c r="N86">
        <f t="shared" ca="1" si="24"/>
        <v>2.0600000000000023</v>
      </c>
      <c r="O86">
        <f t="shared" ca="1" si="25"/>
        <v>2.0600000000000023</v>
      </c>
      <c r="P86">
        <f t="shared" ca="1" si="26"/>
        <v>0</v>
      </c>
      <c r="Q86">
        <f t="shared" ca="1" si="30"/>
        <v>0.6681061724677273</v>
      </c>
      <c r="R86">
        <f t="shared" ca="1" si="31"/>
        <v>1.765934537304886</v>
      </c>
      <c r="S86">
        <f t="shared" ca="1" si="28"/>
        <v>0.37833009001985429</v>
      </c>
      <c r="T86">
        <f t="shared" ca="1" si="29"/>
        <v>27.448438712848869</v>
      </c>
      <c r="U86">
        <f>70</f>
        <v>70</v>
      </c>
      <c r="V86">
        <f>30</f>
        <v>30</v>
      </c>
      <c r="W86">
        <f t="shared" ca="1" si="27"/>
        <v>297.42409686500531</v>
      </c>
      <c r="X86">
        <f t="shared" ca="1" si="17"/>
        <v>303.52366627828189</v>
      </c>
      <c r="Y86">
        <f t="shared" ca="1" si="16"/>
        <v>-6.1227201468234398</v>
      </c>
      <c r="Z86">
        <f t="shared" ca="1" si="18"/>
        <v>-4.5006233602099748</v>
      </c>
      <c r="AA86">
        <f t="shared" ca="1" si="19"/>
        <v>-1.622096786613465</v>
      </c>
    </row>
    <row r="87" spans="1:27" x14ac:dyDescent="0.25">
      <c r="A87" s="21">
        <f t="shared" ca="1" si="20"/>
        <v>45831</v>
      </c>
      <c r="B87" vm="254">
        <f ca="1"/>
        <v>45832</v>
      </c>
      <c r="C87" vm="255">
        <f ca="1"/>
        <v>291.47000000000003</v>
      </c>
      <c r="D87" vm="256">
        <f ca="1"/>
        <v>4461222</v>
      </c>
      <c r="E87">
        <f t="shared" ca="1" si="21"/>
        <v>1300312376.3400002</v>
      </c>
      <c r="F87">
        <f ca="1">SUM($E$2:E87)/SUM($D$2:D87)</f>
        <v>307.9736861377985</v>
      </c>
      <c r="G87">
        <f ca="1">_xlfn.STDEV.P($C$2:C87)</f>
        <v>7.5047797280733732</v>
      </c>
      <c r="H87">
        <f t="shared" ca="1" si="22"/>
        <v>315.47846586587184</v>
      </c>
      <c r="I87">
        <f t="shared" ca="1" si="23"/>
        <v>300.46890640972515</v>
      </c>
      <c r="J87">
        <f t="shared" ca="1" si="32"/>
        <v>303.25800000000004</v>
      </c>
      <c r="K87">
        <f t="shared" ca="1" si="33"/>
        <v>9.322958983634237</v>
      </c>
      <c r="L87">
        <f t="shared" ca="1" si="34"/>
        <v>321.90391796726851</v>
      </c>
      <c r="M87">
        <f t="shared" ca="1" si="35"/>
        <v>284.61208203273156</v>
      </c>
      <c r="N87">
        <f t="shared" ca="1" si="24"/>
        <v>1.9500000000000455</v>
      </c>
      <c r="O87">
        <f t="shared" ca="1" si="25"/>
        <v>1.9500000000000455</v>
      </c>
      <c r="P87">
        <f t="shared" ca="1" si="26"/>
        <v>0</v>
      </c>
      <c r="Q87">
        <f t="shared" ca="1" si="30"/>
        <v>0.75967001729146433</v>
      </c>
      <c r="R87">
        <f t="shared" ca="1" si="31"/>
        <v>1.6397963560688227</v>
      </c>
      <c r="S87">
        <f t="shared" ca="1" si="28"/>
        <v>0.46327095098117221</v>
      </c>
      <c r="T87">
        <f t="shared" ca="1" si="29"/>
        <v>31.659956802295127</v>
      </c>
      <c r="U87">
        <f>70</f>
        <v>70</v>
      </c>
      <c r="V87">
        <f>30</f>
        <v>30</v>
      </c>
      <c r="W87">
        <f t="shared" ca="1" si="27"/>
        <v>296.50808196269679</v>
      </c>
      <c r="X87">
        <f t="shared" ca="1" si="17"/>
        <v>302.63080210952023</v>
      </c>
      <c r="Y87">
        <f t="shared" ca="1" si="16"/>
        <v>-6.5433343096100316</v>
      </c>
      <c r="Z87">
        <f t="shared" ca="1" si="18"/>
        <v>-4.9091655500899858</v>
      </c>
      <c r="AA87">
        <f t="shared" ca="1" si="19"/>
        <v>-1.6341687595200458</v>
      </c>
    </row>
    <row r="88" spans="1:27" x14ac:dyDescent="0.25">
      <c r="A88" s="21">
        <f t="shared" ca="1" si="20"/>
        <v>45831</v>
      </c>
      <c r="B88" vm="257">
        <f ca="1"/>
        <v>45833</v>
      </c>
      <c r="C88" vm="258">
        <f ca="1"/>
        <v>285.55</v>
      </c>
      <c r="D88" vm="259">
        <f ca="1"/>
        <v>4259763</v>
      </c>
      <c r="E88">
        <f t="shared" ca="1" si="21"/>
        <v>1216375324.6500001</v>
      </c>
      <c r="F88">
        <f ca="1">SUM($E$2:E88)/SUM($D$2:D88)</f>
        <v>307.67555583349684</v>
      </c>
      <c r="G88">
        <f ca="1">_xlfn.STDEV.P($C$2:C88)</f>
        <v>7.864790426004558</v>
      </c>
      <c r="H88">
        <f t="shared" ca="1" si="22"/>
        <v>315.5403462595014</v>
      </c>
      <c r="I88">
        <f t="shared" ca="1" si="23"/>
        <v>299.81076540749228</v>
      </c>
      <c r="J88">
        <f t="shared" ca="1" si="32"/>
        <v>301.78800000000001</v>
      </c>
      <c r="K88">
        <f t="shared" ca="1" si="33"/>
        <v>9.692878883625422</v>
      </c>
      <c r="L88">
        <f t="shared" ca="1" si="34"/>
        <v>321.17375776725083</v>
      </c>
      <c r="M88">
        <f t="shared" ca="1" si="35"/>
        <v>282.40224223274919</v>
      </c>
      <c r="N88">
        <f t="shared" ca="1" si="24"/>
        <v>-5.9200000000000159</v>
      </c>
      <c r="O88">
        <f t="shared" ca="1" si="25"/>
        <v>0</v>
      </c>
      <c r="P88">
        <f t="shared" ca="1" si="26"/>
        <v>5.9200000000000159</v>
      </c>
      <c r="Q88">
        <f t="shared" ca="1" si="30"/>
        <v>0.70540787319921694</v>
      </c>
      <c r="R88">
        <f t="shared" ca="1" si="31"/>
        <v>1.9455251877781936</v>
      </c>
      <c r="S88">
        <f t="shared" ca="1" si="28"/>
        <v>0.36257966621588628</v>
      </c>
      <c r="T88">
        <f t="shared" ca="1" si="29"/>
        <v>26.609795757691813</v>
      </c>
      <c r="U88">
        <f>70</f>
        <v>70</v>
      </c>
      <c r="V88">
        <f>30</f>
        <v>30</v>
      </c>
      <c r="W88">
        <f t="shared" ca="1" si="27"/>
        <v>294.82222319920498</v>
      </c>
      <c r="X88">
        <f t="shared" ca="1" si="17"/>
        <v>301.36555750881502</v>
      </c>
      <c r="Y88">
        <f t="shared" ca="1" si="16"/>
        <v>-6.7919256415982545</v>
      </c>
      <c r="Z88">
        <f t="shared" ca="1" si="18"/>
        <v>-5.2857175683916395</v>
      </c>
      <c r="AA88">
        <f t="shared" ca="1" si="19"/>
        <v>-1.506208073206615</v>
      </c>
    </row>
    <row r="89" spans="1:27" x14ac:dyDescent="0.25">
      <c r="A89" s="21">
        <f t="shared" ca="1" si="20"/>
        <v>45831</v>
      </c>
      <c r="B89" vm="260">
        <f ca="1"/>
        <v>45834</v>
      </c>
      <c r="C89" vm="261">
        <f ca="1"/>
        <v>285.63</v>
      </c>
      <c r="D89" vm="262">
        <f ca="1"/>
        <v>5354904</v>
      </c>
      <c r="E89">
        <f t="shared" ca="1" si="21"/>
        <v>1529521229.52</v>
      </c>
      <c r="F89">
        <f ca="1">SUM($E$2:E89)/SUM($D$2:D89)</f>
        <v>307.31315610283991</v>
      </c>
      <c r="G89">
        <f ca="1">_xlfn.STDEV.P($C$2:C89)</f>
        <v>8.1903688494777764</v>
      </c>
      <c r="H89">
        <f t="shared" ca="1" si="22"/>
        <v>315.50352495231766</v>
      </c>
      <c r="I89">
        <f t="shared" ca="1" si="23"/>
        <v>299.12278725336216</v>
      </c>
      <c r="J89">
        <f t="shared" ca="1" si="32"/>
        <v>300.42750000000001</v>
      </c>
      <c r="K89">
        <f t="shared" ca="1" si="33"/>
        <v>9.9657338573629168</v>
      </c>
      <c r="L89">
        <f t="shared" ca="1" si="34"/>
        <v>320.35896771472585</v>
      </c>
      <c r="M89">
        <f t="shared" ca="1" si="35"/>
        <v>280.49603228527417</v>
      </c>
      <c r="N89">
        <f t="shared" ca="1" si="24"/>
        <v>7.9999999999984084E-2</v>
      </c>
      <c r="O89">
        <f t="shared" ca="1" si="25"/>
        <v>7.9999999999984084E-2</v>
      </c>
      <c r="P89">
        <f t="shared" ca="1" si="26"/>
        <v>0</v>
      </c>
      <c r="Q89">
        <f t="shared" ca="1" si="30"/>
        <v>0.66073588225641455</v>
      </c>
      <c r="R89">
        <f t="shared" ca="1" si="31"/>
        <v>1.8065591029368941</v>
      </c>
      <c r="S89">
        <f t="shared" ca="1" si="28"/>
        <v>0.36574274330813028</v>
      </c>
      <c r="T89">
        <f t="shared" ca="1" si="29"/>
        <v>26.779768378795893</v>
      </c>
      <c r="U89">
        <f>70</f>
        <v>70</v>
      </c>
      <c r="V89">
        <f>30</f>
        <v>30</v>
      </c>
      <c r="W89">
        <f t="shared" ca="1" si="27"/>
        <v>293.40803501471191</v>
      </c>
      <c r="X89">
        <f t="shared" ca="1" si="17"/>
        <v>300.19996065631017</v>
      </c>
      <c r="Y89">
        <f t="shared" ca="1" si="16"/>
        <v>-6.4370393559298122</v>
      </c>
      <c r="Z89">
        <f t="shared" ca="1" si="18"/>
        <v>-5.5159819258992746</v>
      </c>
      <c r="AA89">
        <f t="shared" ca="1" si="19"/>
        <v>-0.92105743003053764</v>
      </c>
    </row>
    <row r="90" spans="1:27" x14ac:dyDescent="0.25">
      <c r="A90" s="21">
        <f t="shared" ca="1" si="20"/>
        <v>45831</v>
      </c>
      <c r="B90" vm="263">
        <f ca="1"/>
        <v>45835</v>
      </c>
      <c r="C90" vm="264">
        <f ca="1"/>
        <v>291.55</v>
      </c>
      <c r="D90" vm="265">
        <f ca="1"/>
        <v>7422178</v>
      </c>
      <c r="E90">
        <f t="shared" ca="1" si="21"/>
        <v>2163935995.9000001</v>
      </c>
      <c r="F90">
        <f ca="1">SUM($E$2:E90)/SUM($D$2:D90)</f>
        <v>306.96199583460844</v>
      </c>
      <c r="G90">
        <f ca="1">_xlfn.STDEV.P($C$2:C90)</f>
        <v>8.3343700330618269</v>
      </c>
      <c r="H90">
        <f t="shared" ca="1" si="22"/>
        <v>315.29636586767026</v>
      </c>
      <c r="I90">
        <f t="shared" ca="1" si="23"/>
        <v>298.62762580154663</v>
      </c>
      <c r="J90">
        <f t="shared" ca="1" si="32"/>
        <v>299.41199999999998</v>
      </c>
      <c r="K90">
        <f t="shared" ca="1" si="33"/>
        <v>9.7723679186184</v>
      </c>
      <c r="L90">
        <f t="shared" ca="1" si="34"/>
        <v>318.95673583723681</v>
      </c>
      <c r="M90">
        <f t="shared" ca="1" si="35"/>
        <v>279.86726416276315</v>
      </c>
      <c r="N90">
        <f t="shared" ca="1" si="24"/>
        <v>5.9200000000000159</v>
      </c>
      <c r="O90">
        <f t="shared" ca="1" si="25"/>
        <v>5.9200000000000159</v>
      </c>
      <c r="P90">
        <f t="shared" ca="1" si="26"/>
        <v>0</v>
      </c>
      <c r="Q90">
        <f t="shared" ca="1" si="30"/>
        <v>1.0363976049523862</v>
      </c>
      <c r="R90">
        <f t="shared" ca="1" si="31"/>
        <v>1.6775191670128302</v>
      </c>
      <c r="S90">
        <f t="shared" ca="1" si="28"/>
        <v>0.61781565619778067</v>
      </c>
      <c r="T90">
        <f t="shared" ca="1" si="29"/>
        <v>38.188260438138059</v>
      </c>
      <c r="U90">
        <f>70</f>
        <v>70</v>
      </c>
      <c r="V90">
        <f>30</f>
        <v>30</v>
      </c>
      <c r="W90">
        <f t="shared" ca="1" si="27"/>
        <v>293.12218347398704</v>
      </c>
      <c r="X90">
        <f t="shared" ca="1" si="17"/>
        <v>299.55922282991685</v>
      </c>
      <c r="Y90">
        <f t="shared" ca="1" si="16"/>
        <v>-6.0361792819055609</v>
      </c>
      <c r="Z90">
        <f t="shared" ca="1" si="18"/>
        <v>-5.6200213971005324</v>
      </c>
      <c r="AA90">
        <f t="shared" ca="1" si="19"/>
        <v>-0.41615788480502847</v>
      </c>
    </row>
    <row r="91" spans="1:27" x14ac:dyDescent="0.25">
      <c r="A91" s="21">
        <f t="shared" ca="1" si="20"/>
        <v>45838</v>
      </c>
      <c r="B91" vm="266">
        <f ca="1"/>
        <v>45838</v>
      </c>
      <c r="C91" vm="267">
        <f ca="1"/>
        <v>292.17</v>
      </c>
      <c r="D91" vm="268">
        <f ca="1"/>
        <v>5054752</v>
      </c>
      <c r="E91">
        <f t="shared" ca="1" si="21"/>
        <v>1476846891.8400002</v>
      </c>
      <c r="F91">
        <f ca="1">SUM($E$2:E91)/SUM($D$2:D91)</f>
        <v>306.74093184189712</v>
      </c>
      <c r="G91">
        <f ca="1">_xlfn.STDEV.P($C$2:C91)</f>
        <v>8.4556226278548738</v>
      </c>
      <c r="H91">
        <f t="shared" ca="1" si="22"/>
        <v>315.19655446975202</v>
      </c>
      <c r="I91">
        <f t="shared" ca="1" si="23"/>
        <v>298.28530921404223</v>
      </c>
      <c r="J91">
        <f t="shared" ca="1" si="32"/>
        <v>298.32799999999997</v>
      </c>
      <c r="K91">
        <f t="shared" ca="1" si="33"/>
        <v>9.2763817810269344</v>
      </c>
      <c r="L91">
        <f t="shared" ca="1" si="34"/>
        <v>316.88076356205386</v>
      </c>
      <c r="M91">
        <f t="shared" ca="1" si="35"/>
        <v>279.77523643794609</v>
      </c>
      <c r="N91">
        <f t="shared" ca="1" si="24"/>
        <v>0.62000000000000455</v>
      </c>
      <c r="O91">
        <f t="shared" ca="1" si="25"/>
        <v>0.62000000000000455</v>
      </c>
      <c r="P91">
        <f t="shared" ca="1" si="26"/>
        <v>0</v>
      </c>
      <c r="Q91">
        <f t="shared" ca="1" si="30"/>
        <v>1.006654918884359</v>
      </c>
      <c r="R91">
        <f t="shared" ca="1" si="31"/>
        <v>1.5576963693690566</v>
      </c>
      <c r="S91">
        <f t="shared" ca="1" si="28"/>
        <v>0.64624591716298574</v>
      </c>
      <c r="T91">
        <f t="shared" ca="1" si="29"/>
        <v>39.255733935345241</v>
      </c>
      <c r="U91">
        <f>70</f>
        <v>70</v>
      </c>
      <c r="V91">
        <f>30</f>
        <v>30</v>
      </c>
      <c r="W91">
        <f t="shared" ca="1" si="27"/>
        <v>292.97569370875823</v>
      </c>
      <c r="X91">
        <f t="shared" ca="1" si="17"/>
        <v>299.01187299066379</v>
      </c>
      <c r="Y91">
        <f t="shared" ca="1" si="16"/>
        <v>-5.2289392890727981</v>
      </c>
      <c r="Z91">
        <f t="shared" ca="1" si="18"/>
        <v>-5.5418049754949861</v>
      </c>
      <c r="AA91">
        <f t="shared" ca="1" si="19"/>
        <v>0.31286568642218793</v>
      </c>
    </row>
    <row r="92" spans="1:27" x14ac:dyDescent="0.25">
      <c r="A92" s="21">
        <f t="shared" ca="1" si="20"/>
        <v>45838</v>
      </c>
      <c r="B92" vm="269">
        <f ca="1"/>
        <v>45839</v>
      </c>
      <c r="C92" vm="270">
        <f ca="1"/>
        <v>297.49</v>
      </c>
      <c r="D92" vm="271">
        <f ca="1"/>
        <v>5121903</v>
      </c>
      <c r="E92">
        <f t="shared" ca="1" si="21"/>
        <v>1523714923.47</v>
      </c>
      <c r="F92">
        <f ca="1">SUM($E$2:E92)/SUM($D$2:D92)</f>
        <v>306.60293128905522</v>
      </c>
      <c r="G92">
        <f ca="1">_xlfn.STDEV.P($C$2:C92)</f>
        <v>8.4798144387901822</v>
      </c>
      <c r="H92">
        <f t="shared" ca="1" si="22"/>
        <v>315.08274572784541</v>
      </c>
      <c r="I92">
        <f t="shared" ca="1" si="23"/>
        <v>298.12311685026503</v>
      </c>
      <c r="J92">
        <f t="shared" ca="1" si="32"/>
        <v>297.56850000000003</v>
      </c>
      <c r="K92">
        <f t="shared" ca="1" si="33"/>
        <v>8.6394427665092763</v>
      </c>
      <c r="L92">
        <f t="shared" ca="1" si="34"/>
        <v>314.84738553301861</v>
      </c>
      <c r="M92">
        <f t="shared" ca="1" si="35"/>
        <v>280.28961446698145</v>
      </c>
      <c r="N92">
        <f t="shared" ca="1" si="24"/>
        <v>5.3199999999999932</v>
      </c>
      <c r="O92">
        <f t="shared" ca="1" si="25"/>
        <v>5.3199999999999932</v>
      </c>
      <c r="P92">
        <f t="shared" ca="1" si="26"/>
        <v>0</v>
      </c>
      <c r="Q92">
        <f t="shared" ca="1" si="30"/>
        <v>1.3147509961069042</v>
      </c>
      <c r="R92">
        <f t="shared" ca="1" si="31"/>
        <v>1.4464323429855526</v>
      </c>
      <c r="S92">
        <f t="shared" ca="1" si="28"/>
        <v>0.90896128151639122</v>
      </c>
      <c r="T92">
        <f t="shared" ca="1" si="29"/>
        <v>47.61549070258534</v>
      </c>
      <c r="U92">
        <f>70</f>
        <v>70</v>
      </c>
      <c r="V92">
        <f>30</f>
        <v>30</v>
      </c>
      <c r="W92">
        <f t="shared" ca="1" si="27"/>
        <v>293.67020236894928</v>
      </c>
      <c r="X92">
        <f t="shared" ca="1" si="17"/>
        <v>298.89914165802207</v>
      </c>
      <c r="Y92">
        <f t="shared" ref="Y92:Y155" ca="1" si="36">W93-X93</f>
        <v>-4.7650453996559463</v>
      </c>
      <c r="Z92">
        <f t="shared" ca="1" si="18"/>
        <v>-5.3864530603271783</v>
      </c>
      <c r="AA92">
        <f t="shared" ca="1" si="19"/>
        <v>0.62140766067123199</v>
      </c>
    </row>
    <row r="93" spans="1:27" x14ac:dyDescent="0.25">
      <c r="A93" s="21">
        <f t="shared" ca="1" si="20"/>
        <v>45838</v>
      </c>
      <c r="B93" vm="272">
        <f ca="1"/>
        <v>45840</v>
      </c>
      <c r="C93" vm="273">
        <f ca="1"/>
        <v>294.63</v>
      </c>
      <c r="D93" vm="274">
        <f ca="1"/>
        <v>4021460</v>
      </c>
      <c r="E93">
        <f t="shared" ca="1" si="21"/>
        <v>1184842759.8</v>
      </c>
      <c r="F93">
        <f ca="1">SUM($E$2:E93)/SUM($D$2:D93)</f>
        <v>306.46432238022356</v>
      </c>
      <c r="G93">
        <f ca="1">_xlfn.STDEV.P($C$2:C93)</f>
        <v>8.5444813024424313</v>
      </c>
      <c r="H93">
        <f t="shared" ca="1" si="22"/>
        <v>315.00880368266598</v>
      </c>
      <c r="I93">
        <f t="shared" ca="1" si="23"/>
        <v>297.91984107778114</v>
      </c>
      <c r="J93">
        <f t="shared" ca="1" si="32"/>
        <v>296.68050000000005</v>
      </c>
      <c r="K93">
        <f t="shared" ca="1" si="33"/>
        <v>7.9184876779132018</v>
      </c>
      <c r="L93">
        <f t="shared" ca="1" si="34"/>
        <v>312.51747535582643</v>
      </c>
      <c r="M93">
        <f t="shared" ca="1" si="35"/>
        <v>280.84352464417367</v>
      </c>
      <c r="N93">
        <f t="shared" ca="1" si="24"/>
        <v>-2.8600000000000136</v>
      </c>
      <c r="O93">
        <f t="shared" ca="1" si="25"/>
        <v>0</v>
      </c>
      <c r="P93">
        <f t="shared" ca="1" si="26"/>
        <v>2.8600000000000136</v>
      </c>
      <c r="Q93">
        <f t="shared" ca="1" si="30"/>
        <v>1.2208402106706966</v>
      </c>
      <c r="R93">
        <f t="shared" ca="1" si="31"/>
        <v>1.5474014613437284</v>
      </c>
      <c r="S93">
        <f t="shared" ca="1" si="28"/>
        <v>0.78896152108486872</v>
      </c>
      <c r="T93">
        <f t="shared" ca="1" si="29"/>
        <v>44.101648458398572</v>
      </c>
      <c r="U93">
        <f>70</f>
        <v>70</v>
      </c>
      <c r="V93">
        <f>30</f>
        <v>30</v>
      </c>
      <c r="W93">
        <f t="shared" ca="1" si="27"/>
        <v>293.81786354295707</v>
      </c>
      <c r="X93">
        <f t="shared" ref="X93:X156" ca="1" si="37">C93*(2/(26+1)) + X92*(1-(2/(26+1)))</f>
        <v>298.58290894261302</v>
      </c>
      <c r="Y93">
        <f t="shared" ca="1" si="36"/>
        <v>-4.3911679033930682</v>
      </c>
      <c r="Z93">
        <f t="shared" ca="1" si="18"/>
        <v>-5.1873960289403565</v>
      </c>
      <c r="AA93">
        <f t="shared" ca="1" si="19"/>
        <v>0.79622812554728828</v>
      </c>
    </row>
    <row r="94" spans="1:27" x14ac:dyDescent="0.25">
      <c r="A94" s="21">
        <f t="shared" ca="1" si="20"/>
        <v>45838</v>
      </c>
      <c r="B94" vm="275">
        <f ca="1"/>
        <v>45841</v>
      </c>
      <c r="C94" vm="276">
        <f ca="1"/>
        <v>294.08</v>
      </c>
      <c r="D94" vm="277">
        <f ca="1"/>
        <v>1678645</v>
      </c>
      <c r="E94">
        <f t="shared" ca="1" si="21"/>
        <v>493655921.59999996</v>
      </c>
      <c r="F94">
        <f ca="1">SUM($E$2:E94)/SUM($D$2:D94)</f>
        <v>306.40476379577206</v>
      </c>
      <c r="G94">
        <f ca="1">_xlfn.STDEV.P($C$2:C94)</f>
        <v>8.61404129379825</v>
      </c>
      <c r="H94">
        <f t="shared" ca="1" si="22"/>
        <v>315.01880508957032</v>
      </c>
      <c r="I94">
        <f t="shared" ca="1" si="23"/>
        <v>297.79072250197379</v>
      </c>
      <c r="J94">
        <f t="shared" ca="1" si="32"/>
        <v>295.80600000000004</v>
      </c>
      <c r="K94">
        <f t="shared" ca="1" si="33"/>
        <v>7.1123202224990196</v>
      </c>
      <c r="L94">
        <f t="shared" ca="1" si="34"/>
        <v>310.03064044499808</v>
      </c>
      <c r="M94">
        <f t="shared" ca="1" si="35"/>
        <v>281.581359555002</v>
      </c>
      <c r="N94">
        <f t="shared" ca="1" si="24"/>
        <v>-0.55000000000001137</v>
      </c>
      <c r="O94">
        <f t="shared" ca="1" si="25"/>
        <v>0</v>
      </c>
      <c r="P94">
        <f t="shared" ca="1" si="26"/>
        <v>0.55000000000001137</v>
      </c>
      <c r="Q94">
        <f t="shared" ca="1" si="30"/>
        <v>1.1336373384799325</v>
      </c>
      <c r="R94">
        <f t="shared" ca="1" si="31"/>
        <v>1.4761584998191772</v>
      </c>
      <c r="S94">
        <f t="shared" ca="1" si="28"/>
        <v>0.76796450965041896</v>
      </c>
      <c r="T94">
        <f t="shared" ca="1" si="29"/>
        <v>43.437778612550836</v>
      </c>
      <c r="U94">
        <f>70</f>
        <v>70</v>
      </c>
      <c r="V94">
        <f>30</f>
        <v>30</v>
      </c>
      <c r="W94">
        <f t="shared" ca="1" si="27"/>
        <v>293.85819222865598</v>
      </c>
      <c r="X94">
        <f t="shared" ca="1" si="37"/>
        <v>298.24936013204905</v>
      </c>
      <c r="Y94">
        <f t="shared" ca="1" si="36"/>
        <v>-4.09207678349037</v>
      </c>
      <c r="Z94">
        <f t="shared" ca="1" si="18"/>
        <v>-4.9683321798503588</v>
      </c>
      <c r="AA94">
        <f t="shared" ca="1" si="19"/>
        <v>0.87625539635998884</v>
      </c>
    </row>
    <row r="95" spans="1:27" x14ac:dyDescent="0.25">
      <c r="A95" s="21">
        <f t="shared" ca="1" si="20"/>
        <v>45845</v>
      </c>
      <c r="B95" vm="278">
        <f ca="1"/>
        <v>45845</v>
      </c>
      <c r="C95" vm="279">
        <f ca="1"/>
        <v>293.52999999999997</v>
      </c>
      <c r="D95" vm="280">
        <f ca="1"/>
        <v>3404279</v>
      </c>
      <c r="E95">
        <f t="shared" ca="1" si="21"/>
        <v>999258014.86999989</v>
      </c>
      <c r="F95">
        <f ca="1">SUM($E$2:E95)/SUM($D$2:D95)</f>
        <v>306.28040900554856</v>
      </c>
      <c r="G95">
        <f ca="1">_xlfn.STDEV.P($C$2:C95)</f>
        <v>8.6883598685032322</v>
      </c>
      <c r="H95">
        <f t="shared" ca="1" si="22"/>
        <v>314.96876887405182</v>
      </c>
      <c r="I95">
        <f t="shared" ca="1" si="23"/>
        <v>297.59204913704531</v>
      </c>
      <c r="J95">
        <f t="shared" ca="1" si="32"/>
        <v>295.0335</v>
      </c>
      <c r="K95">
        <f t="shared" ca="1" si="33"/>
        <v>6.410549097919942</v>
      </c>
      <c r="L95">
        <f t="shared" ca="1" si="34"/>
        <v>307.85459819583991</v>
      </c>
      <c r="M95">
        <f t="shared" ca="1" si="35"/>
        <v>282.21240180416009</v>
      </c>
      <c r="N95">
        <f t="shared" ca="1" si="24"/>
        <v>-0.55000000000001137</v>
      </c>
      <c r="O95">
        <f t="shared" ca="1" si="25"/>
        <v>0</v>
      </c>
      <c r="P95">
        <f t="shared" ca="1" si="26"/>
        <v>0.55000000000001137</v>
      </c>
      <c r="Q95">
        <f t="shared" ca="1" si="30"/>
        <v>1.0526632428742231</v>
      </c>
      <c r="R95">
        <f t="shared" ca="1" si="31"/>
        <v>1.4100043212606654</v>
      </c>
      <c r="S95">
        <f t="shared" ca="1" si="28"/>
        <v>0.74656738777442289</v>
      </c>
      <c r="T95">
        <f t="shared" ca="1" si="29"/>
        <v>42.744837273398439</v>
      </c>
      <c r="U95">
        <f>70</f>
        <v>70</v>
      </c>
      <c r="V95">
        <f>30</f>
        <v>30</v>
      </c>
      <c r="W95">
        <f t="shared" ca="1" si="27"/>
        <v>293.80770111655505</v>
      </c>
      <c r="X95">
        <f t="shared" ca="1" si="37"/>
        <v>297.89977790004542</v>
      </c>
      <c r="Y95">
        <f t="shared" ca="1" si="36"/>
        <v>-3.959488848711942</v>
      </c>
      <c r="Z95">
        <f t="shared" ca="1" si="18"/>
        <v>-4.7665635136226756</v>
      </c>
      <c r="AA95">
        <f t="shared" ca="1" si="19"/>
        <v>0.80707466491073365</v>
      </c>
    </row>
    <row r="96" spans="1:27" x14ac:dyDescent="0.25">
      <c r="A96" s="21">
        <f t="shared" ca="1" si="20"/>
        <v>45845</v>
      </c>
      <c r="B96" vm="281">
        <f ca="1"/>
        <v>45846</v>
      </c>
      <c r="C96" vm="282">
        <f ca="1"/>
        <v>291.67</v>
      </c>
      <c r="D96" vm="283">
        <f ca="1"/>
        <v>3123607</v>
      </c>
      <c r="E96">
        <f t="shared" ca="1" si="21"/>
        <v>911062453.69000006</v>
      </c>
      <c r="F96">
        <f ca="1">SUM($E$2:E96)/SUM($D$2:D96)</f>
        <v>306.15206224824402</v>
      </c>
      <c r="G96">
        <f ca="1">_xlfn.STDEV.P($C$2:C96)</f>
        <v>8.7907617310239026</v>
      </c>
      <c r="H96">
        <f t="shared" ca="1" si="22"/>
        <v>314.94282397926793</v>
      </c>
      <c r="I96">
        <f t="shared" ca="1" si="23"/>
        <v>297.36130051722012</v>
      </c>
      <c r="J96">
        <f t="shared" ca="1" si="32"/>
        <v>294.24900000000002</v>
      </c>
      <c r="K96">
        <f t="shared" ca="1" si="33"/>
        <v>5.7485438888561431</v>
      </c>
      <c r="L96">
        <f t="shared" ca="1" si="34"/>
        <v>305.74608777771232</v>
      </c>
      <c r="M96">
        <f t="shared" ca="1" si="35"/>
        <v>282.75191222228773</v>
      </c>
      <c r="N96">
        <f t="shared" ca="1" si="24"/>
        <v>-1.8599999999999568</v>
      </c>
      <c r="O96">
        <f t="shared" ca="1" si="25"/>
        <v>0</v>
      </c>
      <c r="P96">
        <f t="shared" ca="1" si="26"/>
        <v>1.8599999999999568</v>
      </c>
      <c r="Q96">
        <f t="shared" ca="1" si="30"/>
        <v>0.97747301124035002</v>
      </c>
      <c r="R96">
        <f t="shared" ca="1" si="31"/>
        <v>1.4421468697420434</v>
      </c>
      <c r="S96">
        <f t="shared" ca="1" si="28"/>
        <v>0.67779019720452638</v>
      </c>
      <c r="T96">
        <f t="shared" ca="1" si="29"/>
        <v>40.397792187237478</v>
      </c>
      <c r="U96">
        <f>70</f>
        <v>70</v>
      </c>
      <c r="V96">
        <f>30</f>
        <v>30</v>
      </c>
      <c r="W96">
        <f t="shared" ca="1" si="27"/>
        <v>293.47882402170046</v>
      </c>
      <c r="X96">
        <f t="shared" ca="1" si="37"/>
        <v>297.4383128704124</v>
      </c>
      <c r="Y96">
        <f t="shared" ca="1" si="36"/>
        <v>-3.7027947248974442</v>
      </c>
      <c r="Z96">
        <f t="shared" ca="1" si="18"/>
        <v>-4.55380975587763</v>
      </c>
      <c r="AA96">
        <f t="shared" ca="1" si="19"/>
        <v>0.85101503098018583</v>
      </c>
    </row>
    <row r="97" spans="1:28" x14ac:dyDescent="0.25">
      <c r="A97" s="21">
        <f t="shared" ca="1" si="20"/>
        <v>45845</v>
      </c>
      <c r="B97" vm="284">
        <f ca="1"/>
        <v>45847</v>
      </c>
      <c r="C97" vm="285">
        <f ca="1"/>
        <v>293.02</v>
      </c>
      <c r="D97" vm="286">
        <f ca="1"/>
        <v>3266050</v>
      </c>
      <c r="E97">
        <f t="shared" ca="1" si="21"/>
        <v>957017971</v>
      </c>
      <c r="F97">
        <f ca="1">SUM($E$2:E97)/SUM($D$2:D97)</f>
        <v>306.03253937487739</v>
      </c>
      <c r="G97">
        <f ca="1">_xlfn.STDEV.P($C$2:C97)</f>
        <v>8.8635090712175373</v>
      </c>
      <c r="H97">
        <f t="shared" ca="1" si="22"/>
        <v>314.89604844609494</v>
      </c>
      <c r="I97">
        <f t="shared" ca="1" si="23"/>
        <v>297.16903030365984</v>
      </c>
      <c r="J97">
        <f t="shared" ca="1" si="32"/>
        <v>293.66100000000006</v>
      </c>
      <c r="K97">
        <f t="shared" ca="1" si="33"/>
        <v>5.1888695655625368</v>
      </c>
      <c r="L97">
        <f t="shared" ca="1" si="34"/>
        <v>304.03873913112511</v>
      </c>
      <c r="M97">
        <f t="shared" ca="1" si="35"/>
        <v>283.283260868875</v>
      </c>
      <c r="N97">
        <f t="shared" ca="1" si="24"/>
        <v>1.3499999999999659</v>
      </c>
      <c r="O97">
        <f t="shared" ca="1" si="25"/>
        <v>1.3499999999999659</v>
      </c>
      <c r="P97">
        <f t="shared" ca="1" si="26"/>
        <v>0</v>
      </c>
      <c r="Q97">
        <f t="shared" ca="1" si="30"/>
        <v>1.0040820818660368</v>
      </c>
      <c r="R97">
        <f t="shared" ca="1" si="31"/>
        <v>1.3391363790461832</v>
      </c>
      <c r="S97">
        <f t="shared" ca="1" si="28"/>
        <v>0.74979822636228199</v>
      </c>
      <c r="T97">
        <f t="shared" ca="1" si="29"/>
        <v>42.850553570457336</v>
      </c>
      <c r="U97">
        <f>70</f>
        <v>70</v>
      </c>
      <c r="V97">
        <f>30</f>
        <v>30</v>
      </c>
      <c r="W97">
        <f t="shared" ca="1" si="27"/>
        <v>293.4082357106696</v>
      </c>
      <c r="X97">
        <f t="shared" ca="1" si="37"/>
        <v>297.11103043556705</v>
      </c>
      <c r="Y97">
        <f t="shared" ca="1" si="36"/>
        <v>-3.0311079358701249</v>
      </c>
      <c r="Z97">
        <f t="shared" ca="1" si="18"/>
        <v>-4.2492693918761297</v>
      </c>
      <c r="AA97">
        <f t="shared" ca="1" si="19"/>
        <v>1.2181614560060048</v>
      </c>
    </row>
    <row r="98" spans="1:28" x14ac:dyDescent="0.25">
      <c r="A98" s="21">
        <f t="shared" ca="1" si="20"/>
        <v>45845</v>
      </c>
      <c r="B98" vm="287">
        <f ca="1"/>
        <v>45848</v>
      </c>
      <c r="C98" vm="288">
        <f ca="1"/>
        <v>298.39</v>
      </c>
      <c r="D98" vm="289">
        <f ca="1"/>
        <v>5368072</v>
      </c>
      <c r="E98">
        <f t="shared" ca="1" si="21"/>
        <v>1601779004.0799999</v>
      </c>
      <c r="F98">
        <f ca="1">SUM($E$2:E98)/SUM($D$2:D98)</f>
        <v>305.9198967871356</v>
      </c>
      <c r="G98">
        <f ca="1">_xlfn.STDEV.P($C$2:C98)</f>
        <v>8.8615687494628226</v>
      </c>
      <c r="H98">
        <f t="shared" ca="1" si="22"/>
        <v>314.78146553659843</v>
      </c>
      <c r="I98">
        <f t="shared" ca="1" si="23"/>
        <v>297.05832803767277</v>
      </c>
      <c r="J98">
        <f t="shared" ca="1" si="32"/>
        <v>293.55900000000008</v>
      </c>
      <c r="K98">
        <f t="shared" ca="1" si="33"/>
        <v>5.0674346255487706</v>
      </c>
      <c r="L98">
        <f t="shared" ca="1" si="34"/>
        <v>303.69386925109762</v>
      </c>
      <c r="M98">
        <f t="shared" ca="1" si="35"/>
        <v>283.42413074890254</v>
      </c>
      <c r="N98">
        <f t="shared" ca="1" si="24"/>
        <v>5.3700000000000045</v>
      </c>
      <c r="O98">
        <f t="shared" ca="1" si="25"/>
        <v>5.3700000000000045</v>
      </c>
      <c r="P98">
        <f t="shared" ca="1" si="26"/>
        <v>0</v>
      </c>
      <c r="Q98">
        <f t="shared" ca="1" si="30"/>
        <v>1.3159333617327487</v>
      </c>
      <c r="R98">
        <f t="shared" ca="1" si="31"/>
        <v>1.2434837805428844</v>
      </c>
      <c r="S98">
        <f t="shared" ca="1" si="28"/>
        <v>1.0582633905833769</v>
      </c>
      <c r="T98">
        <f t="shared" ca="1" si="29"/>
        <v>51.415353128514404</v>
      </c>
      <c r="U98">
        <f>70</f>
        <v>70</v>
      </c>
      <c r="V98">
        <f>30</f>
        <v>30</v>
      </c>
      <c r="W98">
        <f t="shared" ca="1" si="27"/>
        <v>294.17466098595122</v>
      </c>
      <c r="X98">
        <f t="shared" ca="1" si="37"/>
        <v>297.20576892182135</v>
      </c>
      <c r="Y98">
        <f t="shared" ca="1" si="36"/>
        <v>-2.3490615007533506</v>
      </c>
      <c r="Z98">
        <f t="shared" ca="1" si="18"/>
        <v>-3.8692278136515741</v>
      </c>
      <c r="AA98">
        <f t="shared" ca="1" si="19"/>
        <v>1.5201663128982235</v>
      </c>
    </row>
    <row r="99" spans="1:28" x14ac:dyDescent="0.25">
      <c r="A99" s="21">
        <f t="shared" ca="1" si="20"/>
        <v>45845</v>
      </c>
      <c r="B99" vm="290">
        <f ca="1"/>
        <v>45849</v>
      </c>
      <c r="C99" vm="291">
        <f ca="1"/>
        <v>299.91000000000003</v>
      </c>
      <c r="D99" vm="292">
        <f ca="1"/>
        <v>4524080</v>
      </c>
      <c r="E99">
        <f t="shared" ca="1" si="21"/>
        <v>1356816832.8000002</v>
      </c>
      <c r="F99">
        <f ca="1">SUM($E$2:E99)/SUM($D$2:D99)</f>
        <v>305.84616029089051</v>
      </c>
      <c r="G99">
        <f ca="1">_xlfn.STDEV.P($C$2:C99)</f>
        <v>8.8451372362462521</v>
      </c>
      <c r="H99">
        <f t="shared" ca="1" si="22"/>
        <v>314.69129752713678</v>
      </c>
      <c r="I99">
        <f t="shared" ca="1" si="23"/>
        <v>297.00102305464424</v>
      </c>
      <c r="J99">
        <f t="shared" ca="1" si="32"/>
        <v>293.46850000000001</v>
      </c>
      <c r="K99">
        <f t="shared" ca="1" si="33"/>
        <v>4.9282667765709176</v>
      </c>
      <c r="L99">
        <f t="shared" ca="1" si="34"/>
        <v>303.32503355314185</v>
      </c>
      <c r="M99">
        <f t="shared" ca="1" si="35"/>
        <v>283.61196644685816</v>
      </c>
      <c r="N99">
        <f t="shared" ca="1" si="24"/>
        <v>1.5200000000000387</v>
      </c>
      <c r="O99">
        <f t="shared" ca="1" si="25"/>
        <v>1.5200000000000387</v>
      </c>
      <c r="P99">
        <f t="shared" ca="1" si="26"/>
        <v>0</v>
      </c>
      <c r="Q99">
        <f t="shared" ca="1" si="30"/>
        <v>1.3305095501804123</v>
      </c>
      <c r="R99">
        <f t="shared" ca="1" si="31"/>
        <v>1.154663510504107</v>
      </c>
      <c r="S99">
        <f t="shared" ca="1" si="28"/>
        <v>1.1522920210750696</v>
      </c>
      <c r="T99">
        <f t="shared" ca="1" si="29"/>
        <v>53.537903304566449</v>
      </c>
      <c r="U99">
        <f>70</f>
        <v>70</v>
      </c>
      <c r="V99">
        <f>30</f>
        <v>30</v>
      </c>
      <c r="W99">
        <f t="shared" ca="1" si="27"/>
        <v>295.05702083426644</v>
      </c>
      <c r="X99">
        <f t="shared" ca="1" si="37"/>
        <v>297.40608233501979</v>
      </c>
      <c r="Y99">
        <f t="shared" ca="1" si="36"/>
        <v>-1.6307737068498795</v>
      </c>
      <c r="Z99">
        <f t="shared" ca="1" si="18"/>
        <v>-3.4215369922912355</v>
      </c>
      <c r="AA99">
        <f t="shared" ca="1" si="19"/>
        <v>1.790763285441356</v>
      </c>
    </row>
    <row r="100" spans="1:28" x14ac:dyDescent="0.25">
      <c r="A100" s="21">
        <f t="shared" ca="1" si="20"/>
        <v>45852</v>
      </c>
      <c r="B100" vm="293">
        <f ca="1"/>
        <v>45852</v>
      </c>
      <c r="C100" vm="294">
        <f ca="1"/>
        <v>301.88</v>
      </c>
      <c r="D100" vm="295">
        <f ca="1"/>
        <v>5707576</v>
      </c>
      <c r="E100">
        <f t="shared" ca="1" si="21"/>
        <v>1723003042.8799999</v>
      </c>
      <c r="F100">
        <f ca="1">SUM($E$2:E100)/SUM($D$2:D100)</f>
        <v>305.78570472127029</v>
      </c>
      <c r="G100">
        <f ca="1">_xlfn.STDEV.P($C$2:C100)</f>
        <v>8.8149188670798733</v>
      </c>
      <c r="H100">
        <f t="shared" ca="1" si="22"/>
        <v>314.60062358835017</v>
      </c>
      <c r="I100">
        <f t="shared" ca="1" si="23"/>
        <v>296.97078585419041</v>
      </c>
      <c r="J100">
        <f t="shared" ca="1" si="32"/>
        <v>293.40449999999998</v>
      </c>
      <c r="K100">
        <f t="shared" ca="1" si="33"/>
        <v>4.8024921984100626</v>
      </c>
      <c r="L100">
        <f t="shared" ca="1" si="34"/>
        <v>303.00948439682008</v>
      </c>
      <c r="M100">
        <f t="shared" ca="1" si="35"/>
        <v>283.79951560317988</v>
      </c>
      <c r="N100">
        <f t="shared" ca="1" si="24"/>
        <v>1.9699999999999704</v>
      </c>
      <c r="O100">
        <f t="shared" ca="1" si="25"/>
        <v>1.9699999999999704</v>
      </c>
      <c r="P100">
        <f t="shared" ca="1" si="26"/>
        <v>0</v>
      </c>
      <c r="Q100">
        <f t="shared" ca="1" si="30"/>
        <v>1.3761874394532378</v>
      </c>
      <c r="R100">
        <f t="shared" ca="1" si="31"/>
        <v>1.0721875454680994</v>
      </c>
      <c r="S100">
        <f t="shared" ca="1" si="28"/>
        <v>1.2835323869131656</v>
      </c>
      <c r="T100">
        <f t="shared" ca="1" si="29"/>
        <v>56.208197189102258</v>
      </c>
      <c r="U100">
        <f>70</f>
        <v>70</v>
      </c>
      <c r="V100">
        <f>30</f>
        <v>30</v>
      </c>
      <c r="W100">
        <f t="shared" ca="1" si="27"/>
        <v>296.10670993668697</v>
      </c>
      <c r="X100">
        <f t="shared" ca="1" si="37"/>
        <v>297.73748364353685</v>
      </c>
      <c r="Y100">
        <f t="shared" ca="1" si="36"/>
        <v>-1.2297131992975778</v>
      </c>
      <c r="Z100">
        <f t="shared" ca="1" si="18"/>
        <v>-2.9831722336925042</v>
      </c>
      <c r="AA100">
        <f t="shared" ca="1" si="19"/>
        <v>1.7534590343949263</v>
      </c>
    </row>
    <row r="101" spans="1:28" x14ac:dyDescent="0.25">
      <c r="A101" s="21">
        <f t="shared" ca="1" si="20"/>
        <v>45852</v>
      </c>
      <c r="B101" vm="296">
        <f ca="1"/>
        <v>45853</v>
      </c>
      <c r="C101" vm="297">
        <f ca="1"/>
        <v>299.62</v>
      </c>
      <c r="D101" vm="298">
        <f ca="1"/>
        <v>2937595</v>
      </c>
      <c r="E101">
        <f t="shared" ca="1" si="21"/>
        <v>880162213.89999998</v>
      </c>
      <c r="F101">
        <f ca="1">SUM($E$2:E101)/SUM($D$2:D101)</f>
        <v>305.73770981524609</v>
      </c>
      <c r="G101">
        <f ca="1">_xlfn.STDEV.P($C$2:C101)</f>
        <v>8.8005507782183727</v>
      </c>
      <c r="H101">
        <f t="shared" ca="1" si="22"/>
        <v>314.53826059346449</v>
      </c>
      <c r="I101">
        <f t="shared" ca="1" si="23"/>
        <v>296.9371590370277</v>
      </c>
      <c r="J101">
        <f t="shared" ca="1" si="32"/>
        <v>293.29000000000002</v>
      </c>
      <c r="K101">
        <f t="shared" ca="1" si="33"/>
        <v>4.6125766289455568</v>
      </c>
      <c r="L101">
        <f t="shared" ca="1" si="34"/>
        <v>302.51515325789114</v>
      </c>
      <c r="M101">
        <f t="shared" ca="1" si="35"/>
        <v>284.0648467421089</v>
      </c>
      <c r="N101">
        <f t="shared" ca="1" si="24"/>
        <v>-2.2599999999999909</v>
      </c>
      <c r="O101">
        <f t="shared" ca="1" si="25"/>
        <v>0</v>
      </c>
      <c r="P101">
        <f t="shared" ca="1" si="26"/>
        <v>2.2599999999999909</v>
      </c>
      <c r="Q101">
        <f t="shared" ca="1" si="30"/>
        <v>1.2778883366351494</v>
      </c>
      <c r="R101">
        <f t="shared" ca="1" si="31"/>
        <v>1.1570312922203774</v>
      </c>
      <c r="S101">
        <f t="shared" ca="1" si="28"/>
        <v>1.1044544302538644</v>
      </c>
      <c r="T101">
        <f t="shared" ca="1" si="29"/>
        <v>52.481746070435548</v>
      </c>
      <c r="U101">
        <f>70</f>
        <v>70</v>
      </c>
      <c r="V101">
        <f>30</f>
        <v>30</v>
      </c>
      <c r="W101">
        <f t="shared" ca="1" si="27"/>
        <v>296.64721610027357</v>
      </c>
      <c r="X101">
        <f t="shared" ca="1" si="37"/>
        <v>297.87692929957115</v>
      </c>
      <c r="Y101">
        <f t="shared" ca="1" si="36"/>
        <v>-0.95891407572474918</v>
      </c>
      <c r="Z101">
        <f t="shared" ca="1" si="18"/>
        <v>-2.5783206020989531</v>
      </c>
      <c r="AA101">
        <f t="shared" ca="1" si="19"/>
        <v>1.6194065263742039</v>
      </c>
      <c r="AB101">
        <f ca="1">AVERAGE(C2:C101)</f>
        <v>306.82199999999995</v>
      </c>
    </row>
    <row r="102" spans="1:28" x14ac:dyDescent="0.25">
      <c r="A102" s="21">
        <f t="shared" ca="1" si="20"/>
        <v>45852</v>
      </c>
      <c r="B102" vm="299">
        <f ca="1"/>
        <v>45854</v>
      </c>
      <c r="C102" vm="300">
        <f ca="1"/>
        <v>298.89999999999998</v>
      </c>
      <c r="D102" vm="301">
        <f ca="1"/>
        <v>2804844</v>
      </c>
      <c r="E102">
        <f t="shared" ca="1" si="21"/>
        <v>838367871.5999999</v>
      </c>
      <c r="F102">
        <f ca="1">SUM($E$2:E102)/SUM($D$2:D102)</f>
        <v>305.68726413701131</v>
      </c>
      <c r="G102">
        <f ca="1">_xlfn.STDEV.P($C$2:C102)</f>
        <v>8.79193268654112</v>
      </c>
      <c r="H102">
        <f t="shared" ca="1" si="22"/>
        <v>314.47919682355246</v>
      </c>
      <c r="I102">
        <f t="shared" ca="1" si="23"/>
        <v>296.89533145047017</v>
      </c>
      <c r="J102">
        <f t="shared" ca="1" si="32"/>
        <v>293.42050000000006</v>
      </c>
      <c r="K102">
        <f t="shared" ca="1" si="33"/>
        <v>4.7371593475637406</v>
      </c>
      <c r="L102">
        <f t="shared" ca="1" si="34"/>
        <v>302.89481869512753</v>
      </c>
      <c r="M102">
        <f t="shared" ca="1" si="35"/>
        <v>283.9461813048726</v>
      </c>
      <c r="N102">
        <f t="shared" ca="1" si="24"/>
        <v>-0.72000000000002728</v>
      </c>
      <c r="O102">
        <f t="shared" ca="1" si="25"/>
        <v>0</v>
      </c>
      <c r="P102">
        <f t="shared" ca="1" si="26"/>
        <v>0.72000000000002728</v>
      </c>
      <c r="Q102">
        <f t="shared" ca="1" si="30"/>
        <v>1.1866105983040673</v>
      </c>
      <c r="R102">
        <f t="shared" ca="1" si="31"/>
        <v>1.1258147713474951</v>
      </c>
      <c r="S102">
        <f t="shared" ca="1" si="28"/>
        <v>1.0540016248710304</v>
      </c>
      <c r="T102">
        <f t="shared" ca="1" si="29"/>
        <v>51.314546790449135</v>
      </c>
      <c r="U102">
        <f>70</f>
        <v>70</v>
      </c>
      <c r="V102">
        <f>30</f>
        <v>30</v>
      </c>
      <c r="W102">
        <f t="shared" ca="1" si="27"/>
        <v>296.99379823869299</v>
      </c>
      <c r="X102">
        <f t="shared" ca="1" si="37"/>
        <v>297.95271231441774</v>
      </c>
      <c r="Y102">
        <f t="shared" ca="1" si="36"/>
        <v>-0.61855676721921782</v>
      </c>
      <c r="Z102">
        <f t="shared" ref="Z102:Z165" ca="1" si="38">Y102*(2/(9+1)) + Z101*(1-(2/(9+1)))</f>
        <v>-2.186367835123006</v>
      </c>
      <c r="AA102">
        <f t="shared" ref="AA102:AA165" ca="1" si="39">Y102-Z102</f>
        <v>1.5678110679037882</v>
      </c>
      <c r="AB102">
        <f t="shared" ref="AB102:AB165" ca="1" si="40">AVERAGE(C3:C102)</f>
        <v>306.78049999999996</v>
      </c>
    </row>
    <row r="103" spans="1:28" x14ac:dyDescent="0.25">
      <c r="A103" s="21">
        <f t="shared" ca="1" si="20"/>
        <v>45852</v>
      </c>
      <c r="B103" vm="302">
        <f ca="1"/>
        <v>45855</v>
      </c>
      <c r="C103" vm="303">
        <f ca="1"/>
        <v>300.37</v>
      </c>
      <c r="D103" vm="304">
        <f ca="1"/>
        <v>3134529</v>
      </c>
      <c r="E103">
        <f t="shared" ca="1" si="21"/>
        <v>941518475.73000002</v>
      </c>
      <c r="F103">
        <f ca="1">SUM($E$2:E103)/SUM($D$2:D103)</f>
        <v>305.64378317438246</v>
      </c>
      <c r="G103">
        <f ca="1">_xlfn.STDEV.P($C$2:C103)</f>
        <v>8.7712376333844428</v>
      </c>
      <c r="H103">
        <f t="shared" ca="1" si="22"/>
        <v>314.41502080776689</v>
      </c>
      <c r="I103">
        <f t="shared" ca="1" si="23"/>
        <v>296.87254554099803</v>
      </c>
      <c r="J103">
        <f t="shared" ca="1" si="32"/>
        <v>293.82349999999991</v>
      </c>
      <c r="K103">
        <f t="shared" ca="1" si="33"/>
        <v>4.9746042159415227</v>
      </c>
      <c r="L103">
        <f t="shared" ca="1" si="34"/>
        <v>303.77270843188296</v>
      </c>
      <c r="M103">
        <f t="shared" ca="1" si="35"/>
        <v>283.87429156811686</v>
      </c>
      <c r="N103">
        <f t="shared" ca="1" si="24"/>
        <v>1.4700000000000273</v>
      </c>
      <c r="O103">
        <f t="shared" ca="1" si="25"/>
        <v>1.4700000000000273</v>
      </c>
      <c r="P103">
        <f t="shared" ca="1" si="26"/>
        <v>0</v>
      </c>
      <c r="Q103">
        <f t="shared" ca="1" si="30"/>
        <v>1.2068526984252073</v>
      </c>
      <c r="R103">
        <f t="shared" ca="1" si="31"/>
        <v>1.0453994305369598</v>
      </c>
      <c r="S103">
        <f t="shared" ca="1" si="28"/>
        <v>1.154441702541696</v>
      </c>
      <c r="T103">
        <f t="shared" ca="1" si="29"/>
        <v>53.584262743324501</v>
      </c>
      <c r="U103">
        <f>70</f>
        <v>70</v>
      </c>
      <c r="V103">
        <f>30</f>
        <v>30</v>
      </c>
      <c r="W103">
        <f t="shared" ca="1" si="27"/>
        <v>297.51321389427869</v>
      </c>
      <c r="X103">
        <f t="shared" ca="1" si="37"/>
        <v>298.13177066149791</v>
      </c>
      <c r="Y103">
        <f t="shared" ca="1" si="36"/>
        <v>-0.60809384155572843</v>
      </c>
      <c r="Z103">
        <f t="shared" ca="1" si="38"/>
        <v>-1.8707130364095506</v>
      </c>
      <c r="AA103">
        <f t="shared" ca="1" si="39"/>
        <v>1.2626191948538221</v>
      </c>
      <c r="AB103">
        <f t="shared" ca="1" si="40"/>
        <v>306.73609999999991</v>
      </c>
    </row>
    <row r="104" spans="1:28" x14ac:dyDescent="0.25">
      <c r="A104" s="21">
        <f t="shared" ca="1" si="20"/>
        <v>45852</v>
      </c>
      <c r="B104" vm="305">
        <f ca="1"/>
        <v>45856</v>
      </c>
      <c r="C104" vm="306">
        <f ca="1"/>
        <v>297.07</v>
      </c>
      <c r="D104" vm="307">
        <f ca="1"/>
        <v>3481263</v>
      </c>
      <c r="E104">
        <f t="shared" ca="1" si="21"/>
        <v>1034178799.41</v>
      </c>
      <c r="F104">
        <f ca="1">SUM($E$2:E104)/SUM($D$2:D104)</f>
        <v>305.56661796316899</v>
      </c>
      <c r="G104">
        <f ca="1">_xlfn.STDEV.P($C$2:C104)</f>
        <v>8.779281759776886</v>
      </c>
      <c r="H104">
        <f t="shared" ca="1" si="22"/>
        <v>314.34589972294589</v>
      </c>
      <c r="I104">
        <f t="shared" ca="1" si="23"/>
        <v>296.7873362033921</v>
      </c>
      <c r="J104">
        <f t="shared" ca="1" si="32"/>
        <v>294.19549999999992</v>
      </c>
      <c r="K104">
        <f t="shared" ca="1" si="33"/>
        <v>4.9224175436145421</v>
      </c>
      <c r="L104">
        <f t="shared" ca="1" si="34"/>
        <v>304.04033508722898</v>
      </c>
      <c r="M104">
        <f t="shared" ca="1" si="35"/>
        <v>284.35066491277087</v>
      </c>
      <c r="N104">
        <f t="shared" ca="1" si="24"/>
        <v>-3.3000000000000114</v>
      </c>
      <c r="O104">
        <f t="shared" ca="1" si="25"/>
        <v>0</v>
      </c>
      <c r="P104">
        <f t="shared" ca="1" si="26"/>
        <v>3.3000000000000114</v>
      </c>
      <c r="Q104">
        <f t="shared" ca="1" si="30"/>
        <v>1.1206489342519783</v>
      </c>
      <c r="R104">
        <f t="shared" ca="1" si="31"/>
        <v>1.2064423283557493</v>
      </c>
      <c r="S104">
        <f t="shared" ca="1" si="28"/>
        <v>0.92888728115110308</v>
      </c>
      <c r="T104">
        <f t="shared" ca="1" si="29"/>
        <v>48.156638815969096</v>
      </c>
      <c r="U104">
        <f>70</f>
        <v>70</v>
      </c>
      <c r="V104">
        <f>30</f>
        <v>30</v>
      </c>
      <c r="W104">
        <f t="shared" ca="1" si="27"/>
        <v>297.44502714131272</v>
      </c>
      <c r="X104">
        <f t="shared" ca="1" si="37"/>
        <v>298.05312098286845</v>
      </c>
      <c r="Y104">
        <f t="shared" ca="1" si="36"/>
        <v>-0.6990634144226533</v>
      </c>
      <c r="Z104">
        <f t="shared" ca="1" si="38"/>
        <v>-1.6363831120121712</v>
      </c>
      <c r="AA104">
        <f t="shared" ca="1" si="39"/>
        <v>0.93731969758951794</v>
      </c>
      <c r="AB104">
        <f t="shared" ca="1" si="40"/>
        <v>306.63109999999995</v>
      </c>
    </row>
    <row r="105" spans="1:28" x14ac:dyDescent="0.25">
      <c r="A105" s="21">
        <f t="shared" ca="1" si="20"/>
        <v>45859</v>
      </c>
      <c r="B105" vm="308">
        <f ca="1"/>
        <v>45859</v>
      </c>
      <c r="C105" vm="309">
        <f ca="1"/>
        <v>295.74</v>
      </c>
      <c r="D105" vm="310">
        <f ca="1"/>
        <v>3037506</v>
      </c>
      <c r="E105">
        <f t="shared" ca="1" si="21"/>
        <v>898312024.44000006</v>
      </c>
      <c r="F105">
        <f ca="1">SUM($E$2:E105)/SUM($D$2:D105)</f>
        <v>305.4900519046754</v>
      </c>
      <c r="G105">
        <f ca="1">_xlfn.STDEV.P($C$2:C105)</f>
        <v>8.8008679389756761</v>
      </c>
      <c r="H105">
        <f t="shared" ca="1" si="22"/>
        <v>314.29091984365107</v>
      </c>
      <c r="I105">
        <f t="shared" ca="1" si="23"/>
        <v>296.68918396569973</v>
      </c>
      <c r="J105">
        <f t="shared" ca="1" si="32"/>
        <v>294.60949999999991</v>
      </c>
      <c r="K105">
        <f t="shared" ca="1" si="33"/>
        <v>4.6677183370126567</v>
      </c>
      <c r="L105">
        <f t="shared" ca="1" si="34"/>
        <v>303.9449366740252</v>
      </c>
      <c r="M105">
        <f t="shared" ca="1" si="35"/>
        <v>285.27406332597462</v>
      </c>
      <c r="N105">
        <f t="shared" ca="1" si="24"/>
        <v>-1.3299999999999841</v>
      </c>
      <c r="O105">
        <f t="shared" ca="1" si="25"/>
        <v>0</v>
      </c>
      <c r="P105">
        <f t="shared" ca="1" si="26"/>
        <v>1.3299999999999841</v>
      </c>
      <c r="Q105">
        <f t="shared" ca="1" si="30"/>
        <v>1.0406025818054085</v>
      </c>
      <c r="R105">
        <f t="shared" ca="1" si="31"/>
        <v>1.2152678763303375</v>
      </c>
      <c r="S105">
        <f t="shared" ca="1" si="28"/>
        <v>0.85627424378865835</v>
      </c>
      <c r="T105">
        <f t="shared" ca="1" si="29"/>
        <v>46.128649721551994</v>
      </c>
      <c r="U105">
        <f>70</f>
        <v>70</v>
      </c>
      <c r="V105">
        <f>30</f>
        <v>30</v>
      </c>
      <c r="W105">
        <f t="shared" ca="1" si="27"/>
        <v>297.18271527341847</v>
      </c>
      <c r="X105">
        <f t="shared" ca="1" si="37"/>
        <v>297.88177868784112</v>
      </c>
      <c r="Y105">
        <f t="shared" ca="1" si="36"/>
        <v>-0.48875110354146045</v>
      </c>
      <c r="Z105">
        <f t="shared" ca="1" si="38"/>
        <v>-1.4068567103180292</v>
      </c>
      <c r="AA105">
        <f t="shared" ca="1" si="39"/>
        <v>0.91810560677656872</v>
      </c>
      <c r="AB105">
        <f t="shared" ca="1" si="40"/>
        <v>306.48129999999992</v>
      </c>
    </row>
    <row r="106" spans="1:28" x14ac:dyDescent="0.25">
      <c r="A106" s="21">
        <f t="shared" ca="1" si="20"/>
        <v>45859</v>
      </c>
      <c r="B106" vm="311">
        <f ca="1"/>
        <v>45860</v>
      </c>
      <c r="C106" vm="312">
        <f ca="1"/>
        <v>299.17</v>
      </c>
      <c r="D106" vm="313">
        <f ca="1"/>
        <v>2672021</v>
      </c>
      <c r="E106">
        <f t="shared" ca="1" si="21"/>
        <v>799388522.57000005</v>
      </c>
      <c r="F106">
        <f ca="1">SUM($E$2:E106)/SUM($D$2:D106)</f>
        <v>305.44702808022066</v>
      </c>
      <c r="G106">
        <f ca="1">_xlfn.STDEV.P($C$2:C106)</f>
        <v>8.7876136184163212</v>
      </c>
      <c r="H106">
        <f t="shared" ca="1" si="22"/>
        <v>314.23464169863701</v>
      </c>
      <c r="I106">
        <f t="shared" ca="1" si="23"/>
        <v>296.65941446180432</v>
      </c>
      <c r="J106">
        <f t="shared" ca="1" si="32"/>
        <v>295.09199999999998</v>
      </c>
      <c r="K106">
        <f t="shared" ca="1" si="33"/>
        <v>4.6123593688445839</v>
      </c>
      <c r="L106">
        <f t="shared" ca="1" si="34"/>
        <v>304.31671873768914</v>
      </c>
      <c r="M106">
        <f t="shared" ca="1" si="35"/>
        <v>285.86728126231083</v>
      </c>
      <c r="N106">
        <f t="shared" ca="1" si="24"/>
        <v>3.4300000000000068</v>
      </c>
      <c r="O106">
        <f t="shared" ca="1" si="25"/>
        <v>3.4300000000000068</v>
      </c>
      <c r="P106">
        <f t="shared" ca="1" si="26"/>
        <v>0</v>
      </c>
      <c r="Q106">
        <f t="shared" ca="1" si="30"/>
        <v>1.2112738259621654</v>
      </c>
      <c r="R106">
        <f t="shared" ca="1" si="31"/>
        <v>1.1284630280210277</v>
      </c>
      <c r="S106">
        <f t="shared" ca="1" si="28"/>
        <v>1.0733837049906385</v>
      </c>
      <c r="T106">
        <f t="shared" ca="1" si="29"/>
        <v>51.769660502636434</v>
      </c>
      <c r="U106">
        <f>70</f>
        <v>70</v>
      </c>
      <c r="V106">
        <f>30</f>
        <v>30</v>
      </c>
      <c r="W106">
        <f t="shared" ca="1" si="27"/>
        <v>297.48845138520028</v>
      </c>
      <c r="X106">
        <f t="shared" ca="1" si="37"/>
        <v>297.97720248874174</v>
      </c>
      <c r="Y106">
        <f t="shared" ca="1" si="36"/>
        <v>-0.40216737161415494</v>
      </c>
      <c r="Z106">
        <f t="shared" ca="1" si="38"/>
        <v>-1.2059188425772545</v>
      </c>
      <c r="AA106">
        <f t="shared" ca="1" si="39"/>
        <v>0.80375147096309951</v>
      </c>
      <c r="AB106">
        <f t="shared" ca="1" si="40"/>
        <v>306.43029999999993</v>
      </c>
    </row>
    <row r="107" spans="1:28" x14ac:dyDescent="0.25">
      <c r="A107" s="21">
        <f t="shared" ca="1" si="20"/>
        <v>45859</v>
      </c>
      <c r="B107" vm="314">
        <f ca="1"/>
        <v>45861</v>
      </c>
      <c r="C107" vm="315">
        <f ca="1"/>
        <v>298.12</v>
      </c>
      <c r="D107" vm="316">
        <f ca="1"/>
        <v>2467609</v>
      </c>
      <c r="E107">
        <f t="shared" ca="1" si="21"/>
        <v>735643595.08000004</v>
      </c>
      <c r="F107">
        <f ca="1">SUM($E$2:E107)/SUM($D$2:D107)</f>
        <v>305.40125280581242</v>
      </c>
      <c r="G107">
        <f ca="1">_xlfn.STDEV.P($C$2:C107)</f>
        <v>8.7827362908761533</v>
      </c>
      <c r="H107">
        <f t="shared" ca="1" si="22"/>
        <v>314.18398909668855</v>
      </c>
      <c r="I107">
        <f t="shared" ca="1" si="23"/>
        <v>296.61851651493629</v>
      </c>
      <c r="J107">
        <f t="shared" ca="1" si="32"/>
        <v>295.42449999999997</v>
      </c>
      <c r="K107">
        <f t="shared" ca="1" si="33"/>
        <v>4.5770715471104904</v>
      </c>
      <c r="L107">
        <f t="shared" ca="1" si="34"/>
        <v>304.57864309422092</v>
      </c>
      <c r="M107">
        <f t="shared" ca="1" si="35"/>
        <v>286.27035690577901</v>
      </c>
      <c r="N107">
        <f t="shared" ca="1" si="24"/>
        <v>-1.0500000000000114</v>
      </c>
      <c r="O107">
        <f t="shared" ca="1" si="25"/>
        <v>0</v>
      </c>
      <c r="P107">
        <f t="shared" ca="1" si="26"/>
        <v>1.0500000000000114</v>
      </c>
      <c r="Q107">
        <f t="shared" ca="1" si="30"/>
        <v>1.1247542669648678</v>
      </c>
      <c r="R107">
        <f t="shared" ca="1" si="31"/>
        <v>1.1228585260195265</v>
      </c>
      <c r="S107">
        <f t="shared" ca="1" si="28"/>
        <v>1.0016883168283555</v>
      </c>
      <c r="T107">
        <f t="shared" ca="1" si="29"/>
        <v>50.042172320589607</v>
      </c>
      <c r="U107">
        <f>70</f>
        <v>70</v>
      </c>
      <c r="V107">
        <f>30</f>
        <v>30</v>
      </c>
      <c r="W107">
        <f t="shared" ca="1" si="27"/>
        <v>297.58561271055407</v>
      </c>
      <c r="X107">
        <f t="shared" ca="1" si="37"/>
        <v>297.98778008216823</v>
      </c>
      <c r="Y107">
        <f t="shared" ca="1" si="36"/>
        <v>-0.62011838082651138</v>
      </c>
      <c r="Z107">
        <f t="shared" ca="1" si="38"/>
        <v>-1.0887587502271059</v>
      </c>
      <c r="AA107">
        <f t="shared" ca="1" si="39"/>
        <v>0.4686403694005945</v>
      </c>
      <c r="AB107">
        <f t="shared" ca="1" si="40"/>
        <v>306.31199999999995</v>
      </c>
    </row>
    <row r="108" spans="1:28" x14ac:dyDescent="0.25">
      <c r="A108" s="21">
        <f t="shared" ca="1" si="20"/>
        <v>45859</v>
      </c>
      <c r="B108" vm="317">
        <f ca="1"/>
        <v>45862</v>
      </c>
      <c r="C108" vm="318">
        <f ca="1"/>
        <v>294.48</v>
      </c>
      <c r="D108" vm="319">
        <f ca="1"/>
        <v>4426029</v>
      </c>
      <c r="E108">
        <f t="shared" ca="1" si="21"/>
        <v>1303377019.9200001</v>
      </c>
      <c r="F108">
        <f ca="1">SUM($E$2:E108)/SUM($D$2:D108)</f>
        <v>305.280228126917</v>
      </c>
      <c r="G108">
        <f ca="1">_xlfn.STDEV.P($C$2:C108)</f>
        <v>8.8157173091236363</v>
      </c>
      <c r="H108">
        <f t="shared" ca="1" si="22"/>
        <v>314.09594543604061</v>
      </c>
      <c r="I108">
        <f t="shared" ca="1" si="23"/>
        <v>296.46451081779338</v>
      </c>
      <c r="J108">
        <f t="shared" ca="1" si="32"/>
        <v>295.87099999999992</v>
      </c>
      <c r="K108">
        <f t="shared" ca="1" si="33"/>
        <v>3.9566145816048888</v>
      </c>
      <c r="L108">
        <f t="shared" ca="1" si="34"/>
        <v>303.78422916320972</v>
      </c>
      <c r="M108">
        <f t="shared" ca="1" si="35"/>
        <v>287.95777083679013</v>
      </c>
      <c r="N108">
        <f t="shared" ca="1" si="24"/>
        <v>-3.6399999999999864</v>
      </c>
      <c r="O108">
        <f t="shared" ca="1" si="25"/>
        <v>0</v>
      </c>
      <c r="P108">
        <f t="shared" ca="1" si="26"/>
        <v>3.6399999999999864</v>
      </c>
      <c r="Q108">
        <f t="shared" ca="1" si="30"/>
        <v>1.0444146764673772</v>
      </c>
      <c r="R108">
        <f t="shared" ca="1" si="31"/>
        <v>1.3026543455895594</v>
      </c>
      <c r="S108">
        <f t="shared" ca="1" si="28"/>
        <v>0.80175887026630432</v>
      </c>
      <c r="T108">
        <f t="shared" ca="1" si="29"/>
        <v>44.498677569868292</v>
      </c>
      <c r="U108">
        <f>70</f>
        <v>70</v>
      </c>
      <c r="V108">
        <f>30</f>
        <v>30</v>
      </c>
      <c r="W108">
        <f t="shared" ca="1" si="27"/>
        <v>297.10782613969963</v>
      </c>
      <c r="X108">
        <f t="shared" ca="1" si="37"/>
        <v>297.72794452052614</v>
      </c>
      <c r="Y108">
        <f t="shared" ca="1" si="36"/>
        <v>-0.46552024410317472</v>
      </c>
      <c r="Z108">
        <f t="shared" ca="1" si="38"/>
        <v>-0.9641110490023197</v>
      </c>
      <c r="AA108">
        <f t="shared" ca="1" si="39"/>
        <v>0.49859080489914498</v>
      </c>
      <c r="AB108">
        <f t="shared" ca="1" si="40"/>
        <v>306.17349999999993</v>
      </c>
    </row>
    <row r="109" spans="1:28" x14ac:dyDescent="0.25">
      <c r="A109" s="21">
        <f t="shared" ca="1" si="20"/>
        <v>45859</v>
      </c>
      <c r="B109" vm="320">
        <f ca="1"/>
        <v>45863</v>
      </c>
      <c r="C109" vm="321">
        <f ca="1"/>
        <v>298.47000000000003</v>
      </c>
      <c r="D109" vm="322">
        <f ca="1"/>
        <v>3401033</v>
      </c>
      <c r="E109">
        <f t="shared" ca="1" si="21"/>
        <v>1015106319.5100001</v>
      </c>
      <c r="F109">
        <f ca="1">SUM($E$2:E109)/SUM($D$2:D109)</f>
        <v>305.22272688109899</v>
      </c>
      <c r="G109">
        <f ca="1">_xlfn.STDEV.P($C$2:C109)</f>
        <v>8.8061872461039048</v>
      </c>
      <c r="H109">
        <f t="shared" ca="1" si="22"/>
        <v>314.02891412720288</v>
      </c>
      <c r="I109">
        <f t="shared" ca="1" si="23"/>
        <v>296.4165396349951</v>
      </c>
      <c r="J109">
        <f t="shared" ca="1" si="32"/>
        <v>296.51299999999998</v>
      </c>
      <c r="K109">
        <f t="shared" ca="1" si="33"/>
        <v>3.1712078057687152</v>
      </c>
      <c r="L109">
        <f t="shared" ca="1" si="34"/>
        <v>302.85541561153741</v>
      </c>
      <c r="M109">
        <f t="shared" ca="1" si="35"/>
        <v>290.17058438846254</v>
      </c>
      <c r="N109">
        <f t="shared" ca="1" si="24"/>
        <v>3.9900000000000091</v>
      </c>
      <c r="O109">
        <f t="shared" ca="1" si="25"/>
        <v>3.9900000000000091</v>
      </c>
      <c r="P109">
        <f t="shared" ca="1" si="26"/>
        <v>0</v>
      </c>
      <c r="Q109">
        <f t="shared" ca="1" si="30"/>
        <v>1.2548136281482793</v>
      </c>
      <c r="R109">
        <f t="shared" ca="1" si="31"/>
        <v>1.2096076066188766</v>
      </c>
      <c r="S109">
        <f t="shared" ca="1" si="28"/>
        <v>1.0373724679656766</v>
      </c>
      <c r="T109">
        <f t="shared" ca="1" si="29"/>
        <v>50.917173186378456</v>
      </c>
      <c r="U109">
        <f>70</f>
        <v>70</v>
      </c>
      <c r="V109">
        <f>30</f>
        <v>30</v>
      </c>
      <c r="W109">
        <f t="shared" ca="1" si="27"/>
        <v>297.31739134897657</v>
      </c>
      <c r="X109">
        <f t="shared" ca="1" si="37"/>
        <v>297.78291159307975</v>
      </c>
      <c r="Y109">
        <f t="shared" ca="1" si="36"/>
        <v>-0.27926221397393647</v>
      </c>
      <c r="Z109">
        <f t="shared" ca="1" si="38"/>
        <v>-0.82714128199664305</v>
      </c>
      <c r="AA109">
        <f t="shared" ca="1" si="39"/>
        <v>0.54787906802270658</v>
      </c>
      <c r="AB109">
        <f t="shared" ca="1" si="40"/>
        <v>306.11529999999993</v>
      </c>
    </row>
    <row r="110" spans="1:28" x14ac:dyDescent="0.25">
      <c r="A110" s="21">
        <f t="shared" ca="1" si="20"/>
        <v>45866</v>
      </c>
      <c r="B110" vm="323">
        <f ca="1"/>
        <v>45866</v>
      </c>
      <c r="C110" vm="324">
        <f ca="1"/>
        <v>299.22000000000003</v>
      </c>
      <c r="D110" vm="325">
        <f ca="1"/>
        <v>3070470</v>
      </c>
      <c r="E110">
        <f t="shared" ca="1" si="21"/>
        <v>918746033.4000001</v>
      </c>
      <c r="F110">
        <f ca="1">SUM($E$2:E110)/SUM($D$2:D110)</f>
        <v>305.17731596724263</v>
      </c>
      <c r="G110">
        <f ca="1">_xlfn.STDEV.P($C$2:C110)</f>
        <v>8.7905860066249488</v>
      </c>
      <c r="H110">
        <f t="shared" ca="1" si="22"/>
        <v>313.96790197386758</v>
      </c>
      <c r="I110">
        <f t="shared" ca="1" si="23"/>
        <v>296.38672996061769</v>
      </c>
      <c r="J110">
        <f t="shared" ca="1" si="32"/>
        <v>296.8965</v>
      </c>
      <c r="K110">
        <f t="shared" ca="1" si="33"/>
        <v>2.9985053732958735</v>
      </c>
      <c r="L110">
        <f t="shared" ca="1" si="34"/>
        <v>302.89351074659174</v>
      </c>
      <c r="M110">
        <f t="shared" ca="1" si="35"/>
        <v>290.89948925340826</v>
      </c>
      <c r="N110">
        <f t="shared" ca="1" si="24"/>
        <v>0.75</v>
      </c>
      <c r="O110">
        <f t="shared" ca="1" si="25"/>
        <v>0.75</v>
      </c>
      <c r="P110">
        <f t="shared" ca="1" si="26"/>
        <v>0</v>
      </c>
      <c r="Q110">
        <f t="shared" ca="1" si="30"/>
        <v>1.2187555118519737</v>
      </c>
      <c r="R110">
        <f t="shared" ca="1" si="31"/>
        <v>1.1232070632889568</v>
      </c>
      <c r="S110">
        <f t="shared" ca="1" si="28"/>
        <v>1.0850675282287074</v>
      </c>
      <c r="T110">
        <f t="shared" ca="1" si="29"/>
        <v>52.039922618261038</v>
      </c>
      <c r="U110">
        <f>70</f>
        <v>70</v>
      </c>
      <c r="V110">
        <f>30</f>
        <v>30</v>
      </c>
      <c r="W110">
        <f t="shared" ca="1" si="27"/>
        <v>297.61010037221098</v>
      </c>
      <c r="X110">
        <f t="shared" ca="1" si="37"/>
        <v>297.88936258618492</v>
      </c>
      <c r="Y110">
        <f t="shared" ca="1" si="36"/>
        <v>0.14506259269671773</v>
      </c>
      <c r="Z110">
        <f t="shared" ca="1" si="38"/>
        <v>-0.63270050705797098</v>
      </c>
      <c r="AA110">
        <f t="shared" ca="1" si="39"/>
        <v>0.77776309975468871</v>
      </c>
      <c r="AB110">
        <f t="shared" ca="1" si="40"/>
        <v>306.04979999999995</v>
      </c>
    </row>
    <row r="111" spans="1:28" x14ac:dyDescent="0.25">
      <c r="A111" s="21">
        <f t="shared" ca="1" si="20"/>
        <v>45866</v>
      </c>
      <c r="B111" vm="326">
        <f ca="1"/>
        <v>45867</v>
      </c>
      <c r="C111" vm="327">
        <f ca="1"/>
        <v>302.67</v>
      </c>
      <c r="D111" vm="328">
        <f ca="1"/>
        <v>3148084</v>
      </c>
      <c r="E111">
        <f t="shared" ca="1" si="21"/>
        <v>952830584.28000009</v>
      </c>
      <c r="F111">
        <f ca="1">SUM($E$2:E111)/SUM($D$2:D111)</f>
        <v>305.15801821760925</v>
      </c>
      <c r="G111">
        <f ca="1">_xlfn.STDEV.P($C$2:C111)</f>
        <v>8.7565536868721594</v>
      </c>
      <c r="H111">
        <f t="shared" ca="1" si="22"/>
        <v>313.91457190448142</v>
      </c>
      <c r="I111">
        <f t="shared" ca="1" si="23"/>
        <v>296.40146453073709</v>
      </c>
      <c r="J111">
        <f t="shared" ca="1" si="32"/>
        <v>297.42150000000004</v>
      </c>
      <c r="K111">
        <f t="shared" ca="1" si="33"/>
        <v>3.0462285137354299</v>
      </c>
      <c r="L111">
        <f t="shared" ca="1" si="34"/>
        <v>303.51395702747089</v>
      </c>
      <c r="M111">
        <f t="shared" ca="1" si="35"/>
        <v>291.32904297252918</v>
      </c>
      <c r="N111">
        <f t="shared" ca="1" si="24"/>
        <v>3.4499999999999886</v>
      </c>
      <c r="O111">
        <f t="shared" ca="1" si="25"/>
        <v>3.4499999999999886</v>
      </c>
      <c r="P111">
        <f t="shared" ca="1" si="26"/>
        <v>0</v>
      </c>
      <c r="Q111">
        <f t="shared" ca="1" si="30"/>
        <v>1.3781301181482604</v>
      </c>
      <c r="R111">
        <f t="shared" ca="1" si="31"/>
        <v>1.0429779873397456</v>
      </c>
      <c r="S111">
        <f t="shared" ca="1" si="28"/>
        <v>1.3213415190701818</v>
      </c>
      <c r="T111">
        <f t="shared" ca="1" si="29"/>
        <v>56.921461500393441</v>
      </c>
      <c r="U111">
        <f>70</f>
        <v>70</v>
      </c>
      <c r="V111">
        <f>30</f>
        <v>30</v>
      </c>
      <c r="W111">
        <f t="shared" ca="1" si="27"/>
        <v>298.38854646879389</v>
      </c>
      <c r="X111">
        <f t="shared" ca="1" si="37"/>
        <v>298.24348387609717</v>
      </c>
      <c r="Y111">
        <f t="shared" ca="1" si="36"/>
        <v>0.55084342307748102</v>
      </c>
      <c r="Z111">
        <f t="shared" ca="1" si="38"/>
        <v>-0.39599172103088054</v>
      </c>
      <c r="AA111">
        <f t="shared" ca="1" si="39"/>
        <v>0.94683514410836156</v>
      </c>
      <c r="AB111">
        <f t="shared" ca="1" si="40"/>
        <v>306.00199999999995</v>
      </c>
    </row>
    <row r="112" spans="1:28" x14ac:dyDescent="0.25">
      <c r="A112" s="21">
        <f t="shared" ca="1" si="20"/>
        <v>45866</v>
      </c>
      <c r="B112" vm="329">
        <f ca="1"/>
        <v>45868</v>
      </c>
      <c r="C112" vm="330">
        <f ca="1"/>
        <v>303.61</v>
      </c>
      <c r="D112" vm="331">
        <f ca="1"/>
        <v>2805919</v>
      </c>
      <c r="E112">
        <f t="shared" ca="1" si="21"/>
        <v>851905067.59000003</v>
      </c>
      <c r="F112">
        <f ca="1">SUM($E$2:E112)/SUM($D$2:D112)</f>
        <v>305.14747110985837</v>
      </c>
      <c r="G112">
        <f ca="1">_xlfn.STDEV.P($C$2:C112)</f>
        <v>8.7200894753296581</v>
      </c>
      <c r="H112">
        <f t="shared" ca="1" si="22"/>
        <v>313.86756058518802</v>
      </c>
      <c r="I112">
        <f t="shared" ca="1" si="23"/>
        <v>296.42738163452873</v>
      </c>
      <c r="J112">
        <f t="shared" ca="1" si="32"/>
        <v>297.72750000000002</v>
      </c>
      <c r="K112">
        <f t="shared" ca="1" si="33"/>
        <v>3.3460957217251588</v>
      </c>
      <c r="L112">
        <f t="shared" ca="1" si="34"/>
        <v>304.41969144345035</v>
      </c>
      <c r="M112">
        <f t="shared" ca="1" si="35"/>
        <v>291.03530855654969</v>
      </c>
      <c r="N112">
        <f t="shared" ca="1" si="24"/>
        <v>0.93999999999999773</v>
      </c>
      <c r="O112">
        <f t="shared" ca="1" si="25"/>
        <v>0.93999999999999773</v>
      </c>
      <c r="P112">
        <f t="shared" ca="1" si="26"/>
        <v>0</v>
      </c>
      <c r="Q112">
        <f t="shared" ca="1" si="30"/>
        <v>1.3468351097090987</v>
      </c>
      <c r="R112">
        <f t="shared" ca="1" si="31"/>
        <v>0.96847955967262089</v>
      </c>
      <c r="S112">
        <f t="shared" ca="1" si="28"/>
        <v>1.3906696287574463</v>
      </c>
      <c r="T112">
        <f t="shared" ca="1" si="29"/>
        <v>58.170715519578025</v>
      </c>
      <c r="U112">
        <f>70</f>
        <v>70</v>
      </c>
      <c r="V112">
        <f>30</f>
        <v>30</v>
      </c>
      <c r="W112">
        <f t="shared" ca="1" si="27"/>
        <v>299.19184701205637</v>
      </c>
      <c r="X112">
        <f t="shared" ca="1" si="37"/>
        <v>298.64100358897889</v>
      </c>
      <c r="Y112">
        <f t="shared" ca="1" si="36"/>
        <v>0.58009229675957386</v>
      </c>
      <c r="Z112">
        <f t="shared" ca="1" si="38"/>
        <v>-0.20077491747278964</v>
      </c>
      <c r="AA112">
        <f t="shared" ca="1" si="39"/>
        <v>0.78086721423236349</v>
      </c>
      <c r="AB112">
        <f t="shared" ca="1" si="40"/>
        <v>305.93439999999993</v>
      </c>
    </row>
    <row r="113" spans="1:28" x14ac:dyDescent="0.25">
      <c r="A113" s="21">
        <f t="shared" ca="1" si="20"/>
        <v>45866</v>
      </c>
      <c r="B113" vm="332">
        <f ca="1"/>
        <v>45869</v>
      </c>
      <c r="C113" vm="333">
        <f ca="1"/>
        <v>300.07</v>
      </c>
      <c r="D113" vm="334">
        <f ca="1"/>
        <v>3639588</v>
      </c>
      <c r="E113">
        <f t="shared" ca="1" si="21"/>
        <v>1092131171.1600001</v>
      </c>
      <c r="F113">
        <f ca="1">SUM($E$2:E113)/SUM($D$2:D113)</f>
        <v>305.1029915367709</v>
      </c>
      <c r="G113">
        <f ca="1">_xlfn.STDEV.P($C$2:C113)</f>
        <v>8.6991961490695946</v>
      </c>
      <c r="H113">
        <f t="shared" ca="1" si="22"/>
        <v>313.80218768584052</v>
      </c>
      <c r="I113">
        <f t="shared" ca="1" si="23"/>
        <v>296.40379538770128</v>
      </c>
      <c r="J113">
        <f t="shared" ca="1" si="32"/>
        <v>297.99950000000001</v>
      </c>
      <c r="K113">
        <f t="shared" ca="1" si="33"/>
        <v>3.3018646645733267</v>
      </c>
      <c r="L113">
        <f t="shared" ca="1" si="34"/>
        <v>304.60322932914664</v>
      </c>
      <c r="M113">
        <f t="shared" ca="1" si="35"/>
        <v>291.39577067085338</v>
      </c>
      <c r="N113">
        <f t="shared" ca="1" si="24"/>
        <v>-3.5400000000000205</v>
      </c>
      <c r="O113">
        <f t="shared" ca="1" si="25"/>
        <v>0</v>
      </c>
      <c r="P113">
        <f t="shared" ca="1" si="26"/>
        <v>3.5400000000000205</v>
      </c>
      <c r="Q113">
        <f t="shared" ca="1" si="30"/>
        <v>1.2506326018727345</v>
      </c>
      <c r="R113">
        <f t="shared" ca="1" si="31"/>
        <v>1.1521595911245781</v>
      </c>
      <c r="S113">
        <f t="shared" ca="1" si="28"/>
        <v>1.085468203803295</v>
      </c>
      <c r="T113">
        <f t="shared" ca="1" si="29"/>
        <v>52.049137063020794</v>
      </c>
      <c r="U113">
        <f>70</f>
        <v>70</v>
      </c>
      <c r="V113">
        <f>30</f>
        <v>30</v>
      </c>
      <c r="W113">
        <f t="shared" ca="1" si="27"/>
        <v>299.32694747174003</v>
      </c>
      <c r="X113">
        <f t="shared" ca="1" si="37"/>
        <v>298.74685517498045</v>
      </c>
      <c r="Y113">
        <f t="shared" ca="1" si="36"/>
        <v>0.8213546075160707</v>
      </c>
      <c r="Z113">
        <f t="shared" ca="1" si="38"/>
        <v>3.6509875249824408E-3</v>
      </c>
      <c r="AA113">
        <f t="shared" ca="1" si="39"/>
        <v>0.81770361999108832</v>
      </c>
      <c r="AB113">
        <f t="shared" ca="1" si="40"/>
        <v>305.72219999999993</v>
      </c>
    </row>
    <row r="114" spans="1:28" x14ac:dyDescent="0.25">
      <c r="A114" s="21">
        <f t="shared" ca="1" si="20"/>
        <v>45866</v>
      </c>
      <c r="B114" vm="335">
        <f ca="1"/>
        <v>45870</v>
      </c>
      <c r="C114" vm="336">
        <f ca="1"/>
        <v>302.89</v>
      </c>
      <c r="D114" vm="337">
        <f ca="1"/>
        <v>3344793</v>
      </c>
      <c r="E114">
        <f t="shared" ca="1" si="21"/>
        <v>1013104351.77</v>
      </c>
      <c r="F114">
        <f ca="1">SUM($E$2:E114)/SUM($D$2:D114)</f>
        <v>305.0853178328299</v>
      </c>
      <c r="G114">
        <f ca="1">_xlfn.STDEV.P($C$2:C114)</f>
        <v>8.6654614937237504</v>
      </c>
      <c r="H114">
        <f t="shared" ca="1" si="22"/>
        <v>313.75077932655364</v>
      </c>
      <c r="I114">
        <f t="shared" ca="1" si="23"/>
        <v>296.41985633910616</v>
      </c>
      <c r="J114">
        <f t="shared" ca="1" si="32"/>
        <v>298.44000000000005</v>
      </c>
      <c r="K114">
        <f t="shared" ca="1" si="33"/>
        <v>3.338906218635397</v>
      </c>
      <c r="L114">
        <f t="shared" ca="1" si="34"/>
        <v>305.11781243727086</v>
      </c>
      <c r="M114">
        <f t="shared" ca="1" si="35"/>
        <v>291.76218756272925</v>
      </c>
      <c r="N114">
        <f t="shared" ca="1" si="24"/>
        <v>2.8199999999999932</v>
      </c>
      <c r="O114">
        <f t="shared" ca="1" si="25"/>
        <v>2.8199999999999932</v>
      </c>
      <c r="P114">
        <f t="shared" ca="1" si="26"/>
        <v>0</v>
      </c>
      <c r="Q114">
        <f t="shared" ca="1" si="30"/>
        <v>1.3627302731675388</v>
      </c>
      <c r="R114">
        <f t="shared" ca="1" si="31"/>
        <v>1.0698624774728225</v>
      </c>
      <c r="S114">
        <f t="shared" ca="1" si="28"/>
        <v>1.27374340334518</v>
      </c>
      <c r="T114">
        <f t="shared" ca="1" si="29"/>
        <v>56.019663497262769</v>
      </c>
      <c r="U114">
        <f>70</f>
        <v>70</v>
      </c>
      <c r="V114">
        <f>30</f>
        <v>30</v>
      </c>
      <c r="W114">
        <f t="shared" ca="1" si="27"/>
        <v>299.87510939916461</v>
      </c>
      <c r="X114">
        <f t="shared" ca="1" si="37"/>
        <v>299.05375479164854</v>
      </c>
      <c r="Y114">
        <f t="shared" ca="1" si="36"/>
        <v>1.1079122058863504</v>
      </c>
      <c r="Z114">
        <f t="shared" ca="1" si="38"/>
        <v>0.22450323119725607</v>
      </c>
      <c r="AA114">
        <f t="shared" ca="1" si="39"/>
        <v>0.8834089746890943</v>
      </c>
      <c r="AB114">
        <f t="shared" ca="1" si="40"/>
        <v>305.57859999999994</v>
      </c>
    </row>
    <row r="115" spans="1:28" x14ac:dyDescent="0.25">
      <c r="A115" s="21">
        <f t="shared" ca="1" si="20"/>
        <v>45873</v>
      </c>
      <c r="B115" vm="338">
        <f ca="1"/>
        <v>45873</v>
      </c>
      <c r="C115" vm="339">
        <f ca="1"/>
        <v>304.23</v>
      </c>
      <c r="D115" vm="340">
        <f ca="1"/>
        <v>4734465</v>
      </c>
      <c r="E115">
        <f t="shared" ca="1" si="21"/>
        <v>1440366286.95</v>
      </c>
      <c r="F115">
        <f ca="1">SUM($E$2:E115)/SUM($D$2:D115)</f>
        <v>305.07575701385309</v>
      </c>
      <c r="G115">
        <f ca="1">_xlfn.STDEV.P($C$2:C115)</f>
        <v>8.6288717107519659</v>
      </c>
      <c r="H115">
        <f t="shared" ca="1" si="22"/>
        <v>313.70462872460507</v>
      </c>
      <c r="I115">
        <f t="shared" ca="1" si="23"/>
        <v>296.44688530310111</v>
      </c>
      <c r="J115">
        <f t="shared" ca="1" si="32"/>
        <v>298.97500000000002</v>
      </c>
      <c r="K115">
        <f t="shared" ca="1" si="33"/>
        <v>3.3678753258584742</v>
      </c>
      <c r="L115">
        <f t="shared" ca="1" si="34"/>
        <v>305.71075065171698</v>
      </c>
      <c r="M115">
        <f t="shared" ca="1" si="35"/>
        <v>292.23924934828307</v>
      </c>
      <c r="N115">
        <f t="shared" ca="1" si="24"/>
        <v>1.3400000000000318</v>
      </c>
      <c r="O115">
        <f t="shared" ca="1" si="25"/>
        <v>1.3400000000000318</v>
      </c>
      <c r="P115">
        <f t="shared" ca="1" si="26"/>
        <v>0</v>
      </c>
      <c r="Q115">
        <f t="shared" ca="1" si="30"/>
        <v>1.3611066822270026</v>
      </c>
      <c r="R115">
        <f t="shared" ca="1" si="31"/>
        <v>0.99344372908190659</v>
      </c>
      <c r="S115">
        <f t="shared" ca="1" si="28"/>
        <v>1.3700893592482311</v>
      </c>
      <c r="T115">
        <f t="shared" ca="1" si="29"/>
        <v>57.807498012767333</v>
      </c>
      <c r="U115">
        <f>70</f>
        <v>70</v>
      </c>
      <c r="V115">
        <f>30</f>
        <v>30</v>
      </c>
      <c r="W115">
        <f t="shared" ca="1" si="27"/>
        <v>300.5450925685239</v>
      </c>
      <c r="X115">
        <f t="shared" ca="1" si="37"/>
        <v>299.43718036263755</v>
      </c>
      <c r="Y115">
        <f t="shared" ca="1" si="36"/>
        <v>0.8842418091008426</v>
      </c>
      <c r="Z115">
        <f t="shared" ca="1" si="38"/>
        <v>0.3564509467779734</v>
      </c>
      <c r="AA115">
        <f t="shared" ca="1" si="39"/>
        <v>0.5277908623228692</v>
      </c>
      <c r="AB115">
        <f t="shared" ca="1" si="40"/>
        <v>305.55329999999992</v>
      </c>
    </row>
    <row r="116" spans="1:28" x14ac:dyDescent="0.25">
      <c r="A116" s="21">
        <f t="shared" ca="1" si="20"/>
        <v>45873</v>
      </c>
      <c r="B116" vm="341">
        <f ca="1"/>
        <v>45874</v>
      </c>
      <c r="C116" vm="342">
        <f ca="1"/>
        <v>298.77</v>
      </c>
      <c r="D116" vm="343">
        <f ca="1"/>
        <v>4222907</v>
      </c>
      <c r="E116">
        <f t="shared" ca="1" si="21"/>
        <v>1261677924.3899999</v>
      </c>
      <c r="F116">
        <f ca="1">SUM($E$2:E116)/SUM($D$2:D116)</f>
        <v>305.01350737950827</v>
      </c>
      <c r="G116">
        <f ca="1">_xlfn.STDEV.P($C$2:C116)</f>
        <v>8.6170280255108</v>
      </c>
      <c r="H116">
        <f t="shared" ca="1" si="22"/>
        <v>313.63053540501909</v>
      </c>
      <c r="I116">
        <f t="shared" ca="1" si="23"/>
        <v>296.39647935399745</v>
      </c>
      <c r="J116">
        <f t="shared" ca="1" si="32"/>
        <v>299.33000000000004</v>
      </c>
      <c r="K116">
        <f t="shared" ca="1" si="33"/>
        <v>2.8988890794124669</v>
      </c>
      <c r="L116">
        <f t="shared" ca="1" si="34"/>
        <v>305.12777815882498</v>
      </c>
      <c r="M116">
        <f t="shared" ca="1" si="35"/>
        <v>293.5322218411751</v>
      </c>
      <c r="N116">
        <f t="shared" ca="1" si="24"/>
        <v>-5.4600000000000364</v>
      </c>
      <c r="O116">
        <f t="shared" ca="1" si="25"/>
        <v>0</v>
      </c>
      <c r="P116">
        <f t="shared" ca="1" si="26"/>
        <v>5.4600000000000364</v>
      </c>
      <c r="Q116">
        <f t="shared" ca="1" si="30"/>
        <v>1.2638847763536454</v>
      </c>
      <c r="R116">
        <f t="shared" ca="1" si="31"/>
        <v>1.3124834627189159</v>
      </c>
      <c r="S116">
        <f t="shared" ca="1" si="28"/>
        <v>0.96297196288889275</v>
      </c>
      <c r="T116">
        <f t="shared" ca="1" si="29"/>
        <v>49.056837341257449</v>
      </c>
      <c r="U116">
        <f>70</f>
        <v>70</v>
      </c>
      <c r="V116">
        <f>30</f>
        <v>30</v>
      </c>
      <c r="W116">
        <f t="shared" ca="1" si="27"/>
        <v>300.27200140413561</v>
      </c>
      <c r="X116">
        <f t="shared" ca="1" si="37"/>
        <v>299.38775959503477</v>
      </c>
      <c r="Y116">
        <f t="shared" ca="1" si="36"/>
        <v>1.4080984291794039</v>
      </c>
      <c r="Z116">
        <f t="shared" ca="1" si="38"/>
        <v>0.56678044325825949</v>
      </c>
      <c r="AA116">
        <f t="shared" ca="1" si="39"/>
        <v>0.84131798592114437</v>
      </c>
      <c r="AB116">
        <f t="shared" ca="1" si="40"/>
        <v>305.54699999999991</v>
      </c>
    </row>
    <row r="117" spans="1:28" x14ac:dyDescent="0.25">
      <c r="A117" s="21">
        <f t="shared" ca="1" si="20"/>
        <v>45873</v>
      </c>
      <c r="B117" vm="344">
        <f ca="1"/>
        <v>45875</v>
      </c>
      <c r="C117" vm="345">
        <f ca="1"/>
        <v>307.66000000000003</v>
      </c>
      <c r="D117" vm="346">
        <f ca="1"/>
        <v>6474304</v>
      </c>
      <c r="E117">
        <f t="shared" ca="1" si="21"/>
        <v>1991884368.6400001</v>
      </c>
      <c r="F117">
        <f ca="1">SUM($E$2:E117)/SUM($D$2:D117)</f>
        <v>305.05296474170518</v>
      </c>
      <c r="G117">
        <f ca="1">_xlfn.STDEV.P($C$2:C117)</f>
        <v>8.5813865433241805</v>
      </c>
      <c r="H117">
        <f t="shared" ca="1" si="22"/>
        <v>313.63435128502937</v>
      </c>
      <c r="I117">
        <f t="shared" ca="1" si="23"/>
        <v>296.471578198381</v>
      </c>
      <c r="J117">
        <f t="shared" ca="1" si="32"/>
        <v>300.06200000000001</v>
      </c>
      <c r="K117">
        <f t="shared" ca="1" si="33"/>
        <v>3.0652888590594038</v>
      </c>
      <c r="L117">
        <f t="shared" ca="1" si="34"/>
        <v>306.1925777181188</v>
      </c>
      <c r="M117">
        <f t="shared" ca="1" si="35"/>
        <v>293.93142228188123</v>
      </c>
      <c r="N117">
        <f t="shared" ca="1" si="24"/>
        <v>8.8900000000000432</v>
      </c>
      <c r="O117">
        <f t="shared" ca="1" si="25"/>
        <v>8.8900000000000432</v>
      </c>
      <c r="P117">
        <f t="shared" ca="1" si="26"/>
        <v>0</v>
      </c>
      <c r="Q117">
        <f t="shared" ca="1" si="30"/>
        <v>1.808607292328388</v>
      </c>
      <c r="R117">
        <f t="shared" ca="1" si="31"/>
        <v>1.2187346439532791</v>
      </c>
      <c r="S117">
        <f t="shared" ca="1" si="28"/>
        <v>1.4840041688334265</v>
      </c>
      <c r="T117">
        <f t="shared" ca="1" si="29"/>
        <v>59.742418609964155</v>
      </c>
      <c r="U117">
        <f>70</f>
        <v>70</v>
      </c>
      <c r="V117">
        <f>30</f>
        <v>30</v>
      </c>
      <c r="W117">
        <f t="shared" ca="1" si="27"/>
        <v>301.40861657273012</v>
      </c>
      <c r="X117">
        <f t="shared" ca="1" si="37"/>
        <v>300.00051814355072</v>
      </c>
      <c r="Y117">
        <f t="shared" ca="1" si="36"/>
        <v>1.8224237192218879</v>
      </c>
      <c r="Z117">
        <f t="shared" ca="1" si="38"/>
        <v>0.81790909845098525</v>
      </c>
      <c r="AA117">
        <f t="shared" ca="1" si="39"/>
        <v>1.0045146207709026</v>
      </c>
      <c r="AB117">
        <f t="shared" ca="1" si="40"/>
        <v>305.64859999999993</v>
      </c>
    </row>
    <row r="118" spans="1:28" x14ac:dyDescent="0.25">
      <c r="A118" s="21">
        <f t="shared" ca="1" si="20"/>
        <v>45873</v>
      </c>
      <c r="B118" vm="347">
        <f ca="1"/>
        <v>45876</v>
      </c>
      <c r="C118" vm="348">
        <f ca="1"/>
        <v>307.91000000000003</v>
      </c>
      <c r="D118" vm="349">
        <f ca="1"/>
        <v>3603475</v>
      </c>
      <c r="E118">
        <f t="shared" ca="1" si="21"/>
        <v>1109545987.25</v>
      </c>
      <c r="F118">
        <f ca="1">SUM($E$2:E118)/SUM($D$2:D118)</f>
        <v>305.07647797642744</v>
      </c>
      <c r="G118">
        <f ca="1">_xlfn.STDEV.P($C$2:C118)</f>
        <v>8.5466514386935568</v>
      </c>
      <c r="H118">
        <f t="shared" ca="1" si="22"/>
        <v>313.62312941512101</v>
      </c>
      <c r="I118">
        <f t="shared" ca="1" si="23"/>
        <v>296.52982653773387</v>
      </c>
      <c r="J118">
        <f t="shared" ca="1" si="32"/>
        <v>300.53800000000001</v>
      </c>
      <c r="K118">
        <f t="shared" ca="1" si="33"/>
        <v>3.5002851011701477</v>
      </c>
      <c r="L118">
        <f t="shared" ca="1" si="34"/>
        <v>307.53857020234028</v>
      </c>
      <c r="M118">
        <f t="shared" ca="1" si="35"/>
        <v>293.53742979765974</v>
      </c>
      <c r="N118">
        <f t="shared" ca="1" si="24"/>
        <v>0.25</v>
      </c>
      <c r="O118">
        <f t="shared" ca="1" si="25"/>
        <v>0.25</v>
      </c>
      <c r="P118">
        <f t="shared" ca="1" si="26"/>
        <v>0</v>
      </c>
      <c r="Q118">
        <f t="shared" ca="1" si="30"/>
        <v>1.6972782000192175</v>
      </c>
      <c r="R118">
        <f t="shared" ca="1" si="31"/>
        <v>1.1316821693851877</v>
      </c>
      <c r="S118">
        <f t="shared" ca="1" si="28"/>
        <v>1.4997834603520375</v>
      </c>
      <c r="T118">
        <f t="shared" ca="1" si="29"/>
        <v>59.996535065514315</v>
      </c>
      <c r="U118">
        <f>70</f>
        <v>70</v>
      </c>
      <c r="V118">
        <f>30</f>
        <v>30</v>
      </c>
      <c r="W118">
        <f t="shared" ca="1" si="27"/>
        <v>302.40882940769472</v>
      </c>
      <c r="X118">
        <f t="shared" ca="1" si="37"/>
        <v>300.58640568847284</v>
      </c>
      <c r="Y118">
        <f t="shared" ca="1" si="36"/>
        <v>1.9300298727397944</v>
      </c>
      <c r="Z118">
        <f t="shared" ca="1" si="38"/>
        <v>1.0403332533087473</v>
      </c>
      <c r="AA118">
        <f t="shared" ca="1" si="39"/>
        <v>0.88969661943104716</v>
      </c>
      <c r="AB118">
        <f t="shared" ca="1" si="40"/>
        <v>305.72939999999994</v>
      </c>
    </row>
    <row r="119" spans="1:28" x14ac:dyDescent="0.25">
      <c r="A119" s="21">
        <f t="shared" ca="1" si="20"/>
        <v>45873</v>
      </c>
      <c r="B119" vm="350">
        <f ca="1"/>
        <v>45877</v>
      </c>
      <c r="C119" vm="351">
        <f ca="1"/>
        <v>305.45</v>
      </c>
      <c r="D119" vm="352">
        <f ca="1"/>
        <v>2622369</v>
      </c>
      <c r="E119">
        <f t="shared" ca="1" si="21"/>
        <v>801002611.04999995</v>
      </c>
      <c r="F119">
        <f ca="1">SUM($E$2:E119)/SUM($D$2:D119)</f>
        <v>305.07870175715522</v>
      </c>
      <c r="G119">
        <f ca="1">_xlfn.STDEV.P($C$2:C119)</f>
        <v>8.5104645336532236</v>
      </c>
      <c r="H119">
        <f t="shared" ca="1" si="22"/>
        <v>313.58916629080846</v>
      </c>
      <c r="I119">
        <f t="shared" ca="1" si="23"/>
        <v>296.56823722350197</v>
      </c>
      <c r="J119">
        <f t="shared" ca="1" si="32"/>
        <v>300.815</v>
      </c>
      <c r="K119">
        <f t="shared" ca="1" si="33"/>
        <v>3.6633799463854371</v>
      </c>
      <c r="L119">
        <f t="shared" ca="1" si="34"/>
        <v>308.14175989277089</v>
      </c>
      <c r="M119">
        <f t="shared" ca="1" si="35"/>
        <v>293.4882401072291</v>
      </c>
      <c r="N119">
        <f t="shared" ca="1" si="24"/>
        <v>-2.4600000000000364</v>
      </c>
      <c r="O119">
        <f t="shared" ca="1" si="25"/>
        <v>0</v>
      </c>
      <c r="P119">
        <f t="shared" ca="1" si="26"/>
        <v>2.4600000000000364</v>
      </c>
      <c r="Q119">
        <f t="shared" ca="1" si="30"/>
        <v>1.5760440428749878</v>
      </c>
      <c r="R119">
        <f t="shared" ca="1" si="31"/>
        <v>1.2265620144291056</v>
      </c>
      <c r="S119">
        <f t="shared" ca="1" si="28"/>
        <v>1.2849281359887426</v>
      </c>
      <c r="T119">
        <f t="shared" ca="1" si="29"/>
        <v>56.234947425719533</v>
      </c>
      <c r="U119">
        <f>70</f>
        <v>70</v>
      </c>
      <c r="V119">
        <f>30</f>
        <v>30</v>
      </c>
      <c r="W119">
        <f t="shared" ca="1" si="27"/>
        <v>302.87670180651094</v>
      </c>
      <c r="X119">
        <f t="shared" ca="1" si="37"/>
        <v>300.94667193377114</v>
      </c>
      <c r="Y119">
        <f t="shared" ca="1" si="36"/>
        <v>1.9053904787980969</v>
      </c>
      <c r="Z119">
        <f t="shared" ca="1" si="38"/>
        <v>1.2133446984066172</v>
      </c>
      <c r="AA119">
        <f t="shared" ca="1" si="39"/>
        <v>0.69204578039147968</v>
      </c>
      <c r="AB119">
        <f t="shared" ca="1" si="40"/>
        <v>305.74419999999998</v>
      </c>
    </row>
    <row r="120" spans="1:28" x14ac:dyDescent="0.25">
      <c r="A120" s="21">
        <f t="shared" ca="1" si="20"/>
        <v>45880</v>
      </c>
      <c r="B120" vm="353">
        <f ca="1"/>
        <v>45880</v>
      </c>
      <c r="C120" vm="354">
        <f ca="1"/>
        <v>304.36</v>
      </c>
      <c r="D120" vm="355">
        <f ca="1"/>
        <v>2648956</v>
      </c>
      <c r="E120">
        <f t="shared" ca="1" si="21"/>
        <v>806236248.16000009</v>
      </c>
      <c r="F120">
        <f ca="1">SUM($E$2:E120)/SUM($D$2:D120)</f>
        <v>305.07440538975055</v>
      </c>
      <c r="G120">
        <f ca="1">_xlfn.STDEV.P($C$2:C120)</f>
        <v>8.475806993293169</v>
      </c>
      <c r="H120">
        <f t="shared" ca="1" si="22"/>
        <v>313.55021238304374</v>
      </c>
      <c r="I120">
        <f t="shared" ca="1" si="23"/>
        <v>296.59859839645736</v>
      </c>
      <c r="J120">
        <f t="shared" ca="1" si="32"/>
        <v>300.93900000000002</v>
      </c>
      <c r="K120">
        <f t="shared" ca="1" si="33"/>
        <v>3.7424448805841553</v>
      </c>
      <c r="L120">
        <f t="shared" ca="1" si="34"/>
        <v>308.42388976116831</v>
      </c>
      <c r="M120">
        <f t="shared" ca="1" si="35"/>
        <v>293.45411023883173</v>
      </c>
      <c r="N120">
        <f t="shared" ca="1" si="24"/>
        <v>-1.089999999999975</v>
      </c>
      <c r="O120">
        <f t="shared" ca="1" si="25"/>
        <v>0</v>
      </c>
      <c r="P120">
        <f t="shared" ca="1" si="26"/>
        <v>1.089999999999975</v>
      </c>
      <c r="Q120">
        <f t="shared" ca="1" si="30"/>
        <v>1.4634694683839171</v>
      </c>
      <c r="R120">
        <f t="shared" ca="1" si="31"/>
        <v>1.216807584827025</v>
      </c>
      <c r="S120">
        <f t="shared" ca="1" si="28"/>
        <v>1.2027123159262327</v>
      </c>
      <c r="T120">
        <f t="shared" ca="1" si="29"/>
        <v>54.60142512620839</v>
      </c>
      <c r="U120">
        <f>70</f>
        <v>70</v>
      </c>
      <c r="V120">
        <f>30</f>
        <v>30</v>
      </c>
      <c r="W120">
        <f t="shared" ca="1" si="27"/>
        <v>303.1049015285862</v>
      </c>
      <c r="X120">
        <f t="shared" ca="1" si="37"/>
        <v>301.1995110497881</v>
      </c>
      <c r="Y120">
        <f t="shared" ca="1" si="36"/>
        <v>1.6473922017349878</v>
      </c>
      <c r="Z120">
        <f t="shared" ca="1" si="38"/>
        <v>1.3001541990722913</v>
      </c>
      <c r="AA120">
        <f t="shared" ca="1" si="39"/>
        <v>0.34723800266269644</v>
      </c>
      <c r="AB120">
        <f t="shared" ca="1" si="40"/>
        <v>305.75180000000006</v>
      </c>
    </row>
    <row r="121" spans="1:28" x14ac:dyDescent="0.25">
      <c r="A121" s="21">
        <f t="shared" ca="1" si="20"/>
        <v>45880</v>
      </c>
      <c r="B121" vm="356">
        <f ca="1"/>
        <v>45881</v>
      </c>
      <c r="C121" vm="357">
        <f ca="1"/>
        <v>301.64</v>
      </c>
      <c r="D121" vm="358">
        <f ca="1"/>
        <v>3440070</v>
      </c>
      <c r="E121">
        <f t="shared" ca="1" si="21"/>
        <v>1037662714.8</v>
      </c>
      <c r="F121">
        <f ca="1">SUM($E$2:E121)/SUM($D$2:D121)</f>
        <v>305.04794853159632</v>
      </c>
      <c r="G121">
        <f ca="1">_xlfn.STDEV.P($C$2:C121)</f>
        <v>8.4492707114611729</v>
      </c>
      <c r="H121">
        <f t="shared" ca="1" si="22"/>
        <v>313.49721924305749</v>
      </c>
      <c r="I121">
        <f t="shared" ca="1" si="23"/>
        <v>296.59867782013515</v>
      </c>
      <c r="J121">
        <f t="shared" ca="1" si="32"/>
        <v>301.04000000000002</v>
      </c>
      <c r="K121">
        <f t="shared" ca="1" si="33"/>
        <v>3.7322181918503863</v>
      </c>
      <c r="L121">
        <f t="shared" ca="1" si="34"/>
        <v>308.50443638370081</v>
      </c>
      <c r="M121">
        <f t="shared" ca="1" si="35"/>
        <v>293.57556361629923</v>
      </c>
      <c r="N121">
        <f t="shared" ca="1" si="24"/>
        <v>-2.7200000000000273</v>
      </c>
      <c r="O121">
        <f t="shared" ca="1" si="25"/>
        <v>0</v>
      </c>
      <c r="P121">
        <f t="shared" ca="1" si="26"/>
        <v>2.7200000000000273</v>
      </c>
      <c r="Q121">
        <f t="shared" ca="1" si="30"/>
        <v>1.3589359349279229</v>
      </c>
      <c r="R121">
        <f t="shared" ca="1" si="31"/>
        <v>1.3241784716250966</v>
      </c>
      <c r="S121">
        <f t="shared" ca="1" si="28"/>
        <v>1.0262483222976508</v>
      </c>
      <c r="T121">
        <f t="shared" ca="1" si="29"/>
        <v>50.64770744061336</v>
      </c>
      <c r="U121">
        <f>70</f>
        <v>70</v>
      </c>
      <c r="V121">
        <f>30</f>
        <v>30</v>
      </c>
      <c r="W121">
        <f t="shared" ca="1" si="27"/>
        <v>302.8795320626499</v>
      </c>
      <c r="X121">
        <f t="shared" ca="1" si="37"/>
        <v>301.23213986091491</v>
      </c>
      <c r="Y121">
        <f t="shared" ca="1" si="36"/>
        <v>1.700101332791121</v>
      </c>
      <c r="Z121">
        <f t="shared" ca="1" si="38"/>
        <v>1.3801436258160573</v>
      </c>
      <c r="AA121">
        <f t="shared" ca="1" si="39"/>
        <v>0.31995770697506365</v>
      </c>
      <c r="AB121">
        <f t="shared" ca="1" si="40"/>
        <v>305.69900000000001</v>
      </c>
    </row>
    <row r="122" spans="1:28" x14ac:dyDescent="0.25">
      <c r="A122" s="21">
        <f t="shared" ca="1" si="20"/>
        <v>45880</v>
      </c>
      <c r="B122" vm="359">
        <f ca="1"/>
        <v>45882</v>
      </c>
      <c r="C122" vm="360">
        <f ca="1"/>
        <v>305.07</v>
      </c>
      <c r="D122" vm="361">
        <f ca="1"/>
        <v>2999334</v>
      </c>
      <c r="E122">
        <f t="shared" ca="1" si="21"/>
        <v>915006823.38</v>
      </c>
      <c r="F122">
        <f ca="1">SUM($E$2:E122)/SUM($D$2:D122)</f>
        <v>305.04809565256716</v>
      </c>
      <c r="G122">
        <f ca="1">_xlfn.STDEV.P($C$2:C122)</f>
        <v>8.414586607112378</v>
      </c>
      <c r="H122">
        <f t="shared" ca="1" si="22"/>
        <v>313.46268225967953</v>
      </c>
      <c r="I122">
        <f t="shared" ca="1" si="23"/>
        <v>296.63350904545479</v>
      </c>
      <c r="J122">
        <f t="shared" ca="1" si="32"/>
        <v>301.3485</v>
      </c>
      <c r="K122">
        <f t="shared" ca="1" si="33"/>
        <v>3.8003978669829332</v>
      </c>
      <c r="L122">
        <f t="shared" ca="1" si="34"/>
        <v>308.94929573396587</v>
      </c>
      <c r="M122">
        <f t="shared" ca="1" si="35"/>
        <v>293.74770426603413</v>
      </c>
      <c r="N122">
        <f t="shared" ca="1" si="24"/>
        <v>3.4300000000000068</v>
      </c>
      <c r="O122">
        <f t="shared" ca="1" si="25"/>
        <v>3.4300000000000068</v>
      </c>
      <c r="P122">
        <f t="shared" ca="1" si="26"/>
        <v>0</v>
      </c>
      <c r="Q122">
        <f t="shared" ca="1" si="30"/>
        <v>1.5068690824330717</v>
      </c>
      <c r="R122">
        <f t="shared" ca="1" si="31"/>
        <v>1.229594295080447</v>
      </c>
      <c r="S122">
        <f t="shared" ca="1" si="28"/>
        <v>1.225501035961202</v>
      </c>
      <c r="T122">
        <f t="shared" ca="1" si="29"/>
        <v>55.066298157524947</v>
      </c>
      <c r="U122">
        <f>70</f>
        <v>70</v>
      </c>
      <c r="V122">
        <f>30</f>
        <v>30</v>
      </c>
      <c r="W122">
        <f t="shared" ca="1" si="27"/>
        <v>303.21652712993455</v>
      </c>
      <c r="X122">
        <f t="shared" ca="1" si="37"/>
        <v>301.51642579714343</v>
      </c>
      <c r="Y122">
        <f t="shared" ca="1" si="36"/>
        <v>2.0315389558944048</v>
      </c>
      <c r="Z122">
        <f t="shared" ca="1" si="38"/>
        <v>1.5104226918317269</v>
      </c>
      <c r="AA122">
        <f t="shared" ca="1" si="39"/>
        <v>0.52111626406267786</v>
      </c>
      <c r="AB122">
        <f t="shared" ca="1" si="40"/>
        <v>305.67970000000003</v>
      </c>
    </row>
    <row r="123" spans="1:28" x14ac:dyDescent="0.25">
      <c r="A123" s="21">
        <f t="shared" ca="1" si="20"/>
        <v>45880</v>
      </c>
      <c r="B123" vm="362">
        <f ca="1"/>
        <v>45883</v>
      </c>
      <c r="C123" vm="363">
        <f ca="1"/>
        <v>308.95</v>
      </c>
      <c r="D123" vm="364">
        <f ca="1"/>
        <v>4699435</v>
      </c>
      <c r="E123">
        <f t="shared" ca="1" si="21"/>
        <v>1451890443.25</v>
      </c>
      <c r="F123">
        <f ca="1">SUM($E$2:E123)/SUM($D$2:D123)</f>
        <v>305.08846188438554</v>
      </c>
      <c r="G123">
        <f ca="1">_xlfn.STDEV.P($C$2:C123)</f>
        <v>8.3846842479719363</v>
      </c>
      <c r="H123">
        <f t="shared" ca="1" si="22"/>
        <v>313.4731461323575</v>
      </c>
      <c r="I123">
        <f t="shared" ca="1" si="23"/>
        <v>296.70377763641358</v>
      </c>
      <c r="J123">
        <f t="shared" ca="1" si="32"/>
        <v>301.77749999999997</v>
      </c>
      <c r="K123">
        <f t="shared" ca="1" si="33"/>
        <v>4.1521204158078575</v>
      </c>
      <c r="L123">
        <f t="shared" ca="1" si="34"/>
        <v>310.08174083161566</v>
      </c>
      <c r="M123">
        <f t="shared" ca="1" si="35"/>
        <v>293.47325916838429</v>
      </c>
      <c r="N123">
        <f t="shared" ca="1" si="24"/>
        <v>3.8799999999999955</v>
      </c>
      <c r="O123">
        <f t="shared" ca="1" si="25"/>
        <v>3.8799999999999955</v>
      </c>
      <c r="P123">
        <f t="shared" ca="1" si="26"/>
        <v>0</v>
      </c>
      <c r="Q123">
        <f t="shared" ca="1" si="30"/>
        <v>1.676378433687852</v>
      </c>
      <c r="R123">
        <f t="shared" ca="1" si="31"/>
        <v>1.1417661311461293</v>
      </c>
      <c r="S123">
        <f t="shared" ca="1" si="28"/>
        <v>1.4682327562169561</v>
      </c>
      <c r="T123">
        <f t="shared" ca="1" si="29"/>
        <v>59.485182364539504</v>
      </c>
      <c r="U123">
        <f>70</f>
        <v>70</v>
      </c>
      <c r="V123">
        <f>30</f>
        <v>30</v>
      </c>
      <c r="W123">
        <f t="shared" ca="1" si="27"/>
        <v>304.09859987917537</v>
      </c>
      <c r="X123">
        <f t="shared" ca="1" si="37"/>
        <v>302.06706092328096</v>
      </c>
      <c r="Y123">
        <f t="shared" ca="1" si="36"/>
        <v>2.266465424640387</v>
      </c>
      <c r="Z123">
        <f t="shared" ca="1" si="38"/>
        <v>1.6616312383934591</v>
      </c>
      <c r="AA123">
        <f t="shared" ca="1" si="39"/>
        <v>0.60483418624692797</v>
      </c>
      <c r="AB123">
        <f t="shared" ca="1" si="40"/>
        <v>305.71479999999997</v>
      </c>
    </row>
    <row r="124" spans="1:28" x14ac:dyDescent="0.25">
      <c r="A124" s="21">
        <f t="shared" ca="1" si="20"/>
        <v>45880</v>
      </c>
      <c r="B124" vm="365">
        <f ca="1"/>
        <v>45884</v>
      </c>
      <c r="C124" vm="366">
        <f ca="1"/>
        <v>308.93</v>
      </c>
      <c r="D124" vm="367">
        <f ca="1"/>
        <v>3416604</v>
      </c>
      <c r="E124">
        <f t="shared" ca="1" si="21"/>
        <v>1055491473.72</v>
      </c>
      <c r="F124">
        <f ca="1">SUM($E$2:E124)/SUM($D$2:D124)</f>
        <v>305.11713939946407</v>
      </c>
      <c r="G124">
        <f ca="1">_xlfn.STDEV.P($C$2:C124)</f>
        <v>8.3550292492031417</v>
      </c>
      <c r="H124">
        <f t="shared" ca="1" si="22"/>
        <v>313.47216864866721</v>
      </c>
      <c r="I124">
        <f t="shared" ca="1" si="23"/>
        <v>296.76211015026092</v>
      </c>
      <c r="J124">
        <f t="shared" ca="1" si="32"/>
        <v>302.37049999999999</v>
      </c>
      <c r="K124">
        <f t="shared" ca="1" si="33"/>
        <v>4.2890723754799538</v>
      </c>
      <c r="L124">
        <f t="shared" ca="1" si="34"/>
        <v>310.94864475095989</v>
      </c>
      <c r="M124">
        <f t="shared" ca="1" si="35"/>
        <v>293.7923552490401</v>
      </c>
      <c r="N124">
        <f t="shared" ca="1" si="24"/>
        <v>-1.999999999998181E-2</v>
      </c>
      <c r="O124">
        <f t="shared" ca="1" si="25"/>
        <v>0</v>
      </c>
      <c r="P124">
        <f t="shared" ca="1" si="26"/>
        <v>1.999999999998181E-2</v>
      </c>
      <c r="Q124">
        <f t="shared" ca="1" si="30"/>
        <v>1.5566371169958626</v>
      </c>
      <c r="R124">
        <f t="shared" ca="1" si="31"/>
        <v>1.0616399789214046</v>
      </c>
      <c r="S124">
        <f t="shared" ca="1" si="28"/>
        <v>1.4662570625659377</v>
      </c>
      <c r="T124">
        <f t="shared" ca="1" si="29"/>
        <v>59.452726352881392</v>
      </c>
      <c r="U124">
        <f>70</f>
        <v>70</v>
      </c>
      <c r="V124">
        <f>30</f>
        <v>30</v>
      </c>
      <c r="W124">
        <f t="shared" ca="1" si="27"/>
        <v>304.84189220545608</v>
      </c>
      <c r="X124">
        <f t="shared" ca="1" si="37"/>
        <v>302.57542678081569</v>
      </c>
      <c r="Y124">
        <f t="shared" ca="1" si="36"/>
        <v>2.4063483796448395</v>
      </c>
      <c r="Z124">
        <f t="shared" ca="1" si="38"/>
        <v>1.8105746666437352</v>
      </c>
      <c r="AA124">
        <f t="shared" ca="1" si="39"/>
        <v>0.59577371300110427</v>
      </c>
      <c r="AB124">
        <f t="shared" ca="1" si="40"/>
        <v>305.74740000000003</v>
      </c>
    </row>
    <row r="125" spans="1:28" x14ac:dyDescent="0.25">
      <c r="A125" s="21">
        <f t="shared" ca="1" si="20"/>
        <v>45887</v>
      </c>
      <c r="B125" vm="368">
        <f ca="1"/>
        <v>45887</v>
      </c>
      <c r="C125" vm="369">
        <f ca="1"/>
        <v>308.7</v>
      </c>
      <c r="D125" vm="370">
        <f ca="1"/>
        <v>3272917</v>
      </c>
      <c r="E125">
        <f t="shared" ca="1" si="21"/>
        <v>1010349477.9</v>
      </c>
      <c r="F125">
        <f ca="1">SUM($E$2:E125)/SUM($D$2:D125)</f>
        <v>305.14257909852347</v>
      </c>
      <c r="G125">
        <f ca="1">_xlfn.STDEV.P($C$2:C125)</f>
        <v>8.3250335075556947</v>
      </c>
      <c r="H125">
        <f t="shared" ca="1" si="22"/>
        <v>313.46761260607917</v>
      </c>
      <c r="I125">
        <f t="shared" ca="1" si="23"/>
        <v>296.81754559096777</v>
      </c>
      <c r="J125">
        <f t="shared" ca="1" si="32"/>
        <v>303.01850000000002</v>
      </c>
      <c r="K125">
        <f t="shared" ca="1" si="33"/>
        <v>4.2129353125069935</v>
      </c>
      <c r="L125">
        <f t="shared" ca="1" si="34"/>
        <v>311.44437062501402</v>
      </c>
      <c r="M125">
        <f t="shared" ca="1" si="35"/>
        <v>294.59262937498602</v>
      </c>
      <c r="N125">
        <f t="shared" ca="1" si="24"/>
        <v>-0.23000000000001819</v>
      </c>
      <c r="O125">
        <f t="shared" ca="1" si="25"/>
        <v>0</v>
      </c>
      <c r="P125">
        <f t="shared" ca="1" si="26"/>
        <v>0.23000000000001819</v>
      </c>
      <c r="Q125">
        <f t="shared" ca="1" si="30"/>
        <v>1.4454487514961583</v>
      </c>
      <c r="R125">
        <f t="shared" ca="1" si="31"/>
        <v>1.0022371232841627</v>
      </c>
      <c r="S125">
        <f t="shared" ca="1" si="28"/>
        <v>1.4422223223578723</v>
      </c>
      <c r="T125">
        <f t="shared" ca="1" si="29"/>
        <v>59.053686847209782</v>
      </c>
      <c r="U125">
        <f>70</f>
        <v>70</v>
      </c>
      <c r="V125">
        <f>30</f>
        <v>30</v>
      </c>
      <c r="W125">
        <f t="shared" ca="1" si="27"/>
        <v>305.43544725077049</v>
      </c>
      <c r="X125">
        <f t="shared" ca="1" si="37"/>
        <v>303.02909887112565</v>
      </c>
      <c r="Y125">
        <f t="shared" ca="1" si="36"/>
        <v>2.6664122517464079</v>
      </c>
      <c r="Z125">
        <f t="shared" ca="1" si="38"/>
        <v>1.9817421836642697</v>
      </c>
      <c r="AA125">
        <f t="shared" ca="1" si="39"/>
        <v>0.68467006808213826</v>
      </c>
      <c r="AB125">
        <f t="shared" ca="1" si="40"/>
        <v>305.76520000000005</v>
      </c>
    </row>
    <row r="126" spans="1:28" x14ac:dyDescent="0.25">
      <c r="A126" s="21">
        <f t="shared" ca="1" si="20"/>
        <v>45887</v>
      </c>
      <c r="B126" vm="371">
        <f ca="1"/>
        <v>45888</v>
      </c>
      <c r="C126" vm="372">
        <f ca="1"/>
        <v>310.93</v>
      </c>
      <c r="D126" vm="373">
        <f ca="1"/>
        <v>2893574</v>
      </c>
      <c r="E126">
        <f t="shared" ca="1" si="21"/>
        <v>899698963.82000005</v>
      </c>
      <c r="F126">
        <f ca="1">SUM($E$2:E126)/SUM($D$2:D126)</f>
        <v>305.17868257289183</v>
      </c>
      <c r="G126">
        <f ca="1">_xlfn.STDEV.P($C$2:C126)</f>
        <v>8.3036475401115126</v>
      </c>
      <c r="H126">
        <f t="shared" ca="1" si="22"/>
        <v>313.48233011300334</v>
      </c>
      <c r="I126">
        <f t="shared" ca="1" si="23"/>
        <v>296.87503503278032</v>
      </c>
      <c r="J126">
        <f t="shared" ca="1" si="32"/>
        <v>303.60649999999998</v>
      </c>
      <c r="K126">
        <f t="shared" ca="1" si="33"/>
        <v>4.4609041743386015</v>
      </c>
      <c r="L126">
        <f t="shared" ca="1" si="34"/>
        <v>312.52830834867717</v>
      </c>
      <c r="M126">
        <f t="shared" ca="1" si="35"/>
        <v>294.68469165132279</v>
      </c>
      <c r="N126">
        <f t="shared" ca="1" si="24"/>
        <v>2.2300000000000182</v>
      </c>
      <c r="O126">
        <f t="shared" ca="1" si="25"/>
        <v>2.2300000000000182</v>
      </c>
      <c r="P126">
        <f t="shared" ca="1" si="26"/>
        <v>0</v>
      </c>
      <c r="Q126">
        <f t="shared" ca="1" si="30"/>
        <v>1.501488126389291</v>
      </c>
      <c r="R126">
        <f t="shared" ca="1" si="31"/>
        <v>0.93064875733529395</v>
      </c>
      <c r="S126">
        <f t="shared" ca="1" si="28"/>
        <v>1.6133778877956801</v>
      </c>
      <c r="T126">
        <f t="shared" ca="1" si="29"/>
        <v>61.735346247860264</v>
      </c>
      <c r="U126">
        <f>70</f>
        <v>70</v>
      </c>
      <c r="V126">
        <f>30</f>
        <v>30</v>
      </c>
      <c r="W126">
        <f t="shared" ca="1" si="27"/>
        <v>306.28076305834423</v>
      </c>
      <c r="X126">
        <f t="shared" ca="1" si="37"/>
        <v>303.61435080659783</v>
      </c>
      <c r="Y126">
        <f t="shared" ca="1" si="36"/>
        <v>3.0112895047975599</v>
      </c>
      <c r="Z126">
        <f t="shared" ca="1" si="38"/>
        <v>2.1876516478909278</v>
      </c>
      <c r="AA126">
        <f t="shared" ca="1" si="39"/>
        <v>0.82363785690663205</v>
      </c>
      <c r="AB126">
        <f t="shared" ca="1" si="40"/>
        <v>305.73870000000005</v>
      </c>
    </row>
    <row r="127" spans="1:28" x14ac:dyDescent="0.25">
      <c r="A127" s="21">
        <f t="shared" ca="1" si="20"/>
        <v>45887</v>
      </c>
      <c r="B127" vm="374">
        <f ca="1"/>
        <v>45889</v>
      </c>
      <c r="C127" vm="375">
        <f ca="1"/>
        <v>313.08</v>
      </c>
      <c r="D127" vm="376">
        <f ca="1"/>
        <v>3880218</v>
      </c>
      <c r="E127">
        <f t="shared" ca="1" si="21"/>
        <v>1214818651.4400001</v>
      </c>
      <c r="F127">
        <f ca="1">SUM($E$2:E127)/SUM($D$2:D127)</f>
        <v>305.2442317201556</v>
      </c>
      <c r="G127">
        <f ca="1">_xlfn.STDEV.P($C$2:C127)</f>
        <v>8.2946946346982813</v>
      </c>
      <c r="H127">
        <f t="shared" ca="1" si="22"/>
        <v>313.53892635485386</v>
      </c>
      <c r="I127">
        <f t="shared" ca="1" si="23"/>
        <v>296.94953708545734</v>
      </c>
      <c r="J127">
        <f t="shared" ca="1" si="32"/>
        <v>304.35450000000003</v>
      </c>
      <c r="K127">
        <f t="shared" ca="1" si="33"/>
        <v>4.7381380697929245</v>
      </c>
      <c r="L127">
        <f t="shared" ca="1" si="34"/>
        <v>313.83077613958585</v>
      </c>
      <c r="M127">
        <f t="shared" ca="1" si="35"/>
        <v>294.87822386041421</v>
      </c>
      <c r="N127">
        <f t="shared" ca="1" si="24"/>
        <v>2.1499999999999773</v>
      </c>
      <c r="O127">
        <f t="shared" ca="1" si="25"/>
        <v>2.1499999999999773</v>
      </c>
      <c r="P127">
        <f t="shared" ca="1" si="26"/>
        <v>0</v>
      </c>
      <c r="Q127">
        <f t="shared" ca="1" si="30"/>
        <v>1.5478104030757684</v>
      </c>
      <c r="R127">
        <f t="shared" ca="1" si="31"/>
        <v>0.86417384609705861</v>
      </c>
      <c r="S127">
        <f t="shared" ca="1" si="28"/>
        <v>1.7910868398370021</v>
      </c>
      <c r="T127">
        <f t="shared" ca="1" si="29"/>
        <v>64.171662962002301</v>
      </c>
      <c r="U127">
        <f>70</f>
        <v>70</v>
      </c>
      <c r="V127">
        <f>30</f>
        <v>30</v>
      </c>
      <c r="W127">
        <f t="shared" ca="1" si="27"/>
        <v>307.32679951090665</v>
      </c>
      <c r="X127">
        <f t="shared" ca="1" si="37"/>
        <v>304.31551000610909</v>
      </c>
      <c r="Y127">
        <f t="shared" ca="1" si="36"/>
        <v>3.2583438824894984</v>
      </c>
      <c r="Z127">
        <f t="shared" ca="1" si="38"/>
        <v>2.4017900948106421</v>
      </c>
      <c r="AA127">
        <f t="shared" ca="1" si="39"/>
        <v>0.85655378767885626</v>
      </c>
      <c r="AB127">
        <f t="shared" ca="1" si="40"/>
        <v>305.7426000000001</v>
      </c>
    </row>
    <row r="128" spans="1:28" x14ac:dyDescent="0.25">
      <c r="A128" s="21">
        <f t="shared" ca="1" si="20"/>
        <v>45887</v>
      </c>
      <c r="B128" vm="377">
        <f ca="1"/>
        <v>45890</v>
      </c>
      <c r="C128" vm="378">
        <f ca="1"/>
        <v>313.22000000000003</v>
      </c>
      <c r="D128" vm="379">
        <f ca="1"/>
        <v>2282444</v>
      </c>
      <c r="E128">
        <f t="shared" ca="1" si="21"/>
        <v>714907109.68000007</v>
      </c>
      <c r="F128">
        <f ca="1">SUM($E$2:E128)/SUM($D$2:D128)</f>
        <v>305.28296371873228</v>
      </c>
      <c r="G128">
        <f ca="1">_xlfn.STDEV.P($C$2:C128)</f>
        <v>8.2864383954098511</v>
      </c>
      <c r="H128">
        <f t="shared" ca="1" si="22"/>
        <v>313.56940211414212</v>
      </c>
      <c r="I128">
        <f t="shared" ca="1" si="23"/>
        <v>296.99652532332243</v>
      </c>
      <c r="J128">
        <f t="shared" ca="1" si="32"/>
        <v>305.29149999999998</v>
      </c>
      <c r="K128">
        <f t="shared" ca="1" si="33"/>
        <v>4.5310685099770076</v>
      </c>
      <c r="L128">
        <f t="shared" ca="1" si="34"/>
        <v>314.35363701995402</v>
      </c>
      <c r="M128">
        <f t="shared" ca="1" si="35"/>
        <v>296.22936298004595</v>
      </c>
      <c r="N128">
        <f t="shared" ca="1" si="24"/>
        <v>0.1400000000000432</v>
      </c>
      <c r="O128">
        <f t="shared" ca="1" si="25"/>
        <v>0.1400000000000432</v>
      </c>
      <c r="P128">
        <f t="shared" ca="1" si="26"/>
        <v>0</v>
      </c>
      <c r="Q128">
        <f t="shared" ca="1" si="30"/>
        <v>1.447252517141788</v>
      </c>
      <c r="R128">
        <f t="shared" ca="1" si="31"/>
        <v>0.80244714280441154</v>
      </c>
      <c r="S128">
        <f t="shared" ca="1" si="28"/>
        <v>1.8035487198370415</v>
      </c>
      <c r="T128">
        <f t="shared" ca="1" si="29"/>
        <v>64.33092127401568</v>
      </c>
      <c r="U128">
        <f>70</f>
        <v>70</v>
      </c>
      <c r="V128">
        <f>30</f>
        <v>30</v>
      </c>
      <c r="W128">
        <f t="shared" ca="1" si="27"/>
        <v>308.23344573999793</v>
      </c>
      <c r="X128">
        <f t="shared" ca="1" si="37"/>
        <v>304.97510185750843</v>
      </c>
      <c r="Y128">
        <f t="shared" ca="1" si="36"/>
        <v>3.4825791484021238</v>
      </c>
      <c r="Z128">
        <f t="shared" ca="1" si="38"/>
        <v>2.6179479055289385</v>
      </c>
      <c r="AA128">
        <f t="shared" ca="1" si="39"/>
        <v>0.86463124287318527</v>
      </c>
      <c r="AB128">
        <f t="shared" ca="1" si="40"/>
        <v>305.80390000000011</v>
      </c>
    </row>
    <row r="129" spans="1:28" x14ac:dyDescent="0.25">
      <c r="A129" s="21">
        <f t="shared" ca="1" si="20"/>
        <v>45887</v>
      </c>
      <c r="B129" vm="380">
        <f ca="1"/>
        <v>45891</v>
      </c>
      <c r="C129" vm="381">
        <f ca="1"/>
        <v>314.07</v>
      </c>
      <c r="D129" vm="382">
        <f ca="1"/>
        <v>2796930</v>
      </c>
      <c r="E129">
        <f t="shared" ca="1" si="21"/>
        <v>878431805.10000002</v>
      </c>
      <c r="F129">
        <f ca="1">SUM($E$2:E129)/SUM($D$2:D129)</f>
        <v>305.33494470366566</v>
      </c>
      <c r="G129">
        <f ca="1">_xlfn.STDEV.P($C$2:C129)</f>
        <v>8.2839448883861113</v>
      </c>
      <c r="H129">
        <f t="shared" ca="1" si="22"/>
        <v>313.61888959205174</v>
      </c>
      <c r="I129">
        <f t="shared" ca="1" si="23"/>
        <v>297.05099981527957</v>
      </c>
      <c r="J129">
        <f t="shared" ca="1" si="32"/>
        <v>306.07150000000001</v>
      </c>
      <c r="K129">
        <f t="shared" ca="1" si="33"/>
        <v>4.6364815096658907</v>
      </c>
      <c r="L129">
        <f t="shared" ca="1" si="34"/>
        <v>315.34446301933178</v>
      </c>
      <c r="M129">
        <f t="shared" ca="1" si="35"/>
        <v>296.79853698066825</v>
      </c>
      <c r="N129">
        <f t="shared" ca="1" si="24"/>
        <v>0.84999999999996589</v>
      </c>
      <c r="O129">
        <f t="shared" ca="1" si="25"/>
        <v>0.84999999999996589</v>
      </c>
      <c r="P129">
        <f t="shared" ca="1" si="26"/>
        <v>0</v>
      </c>
      <c r="Q129">
        <f t="shared" ca="1" si="30"/>
        <v>1.4045916230602293</v>
      </c>
      <c r="R129">
        <f t="shared" ca="1" si="31"/>
        <v>0.74512948974695359</v>
      </c>
      <c r="S129">
        <f t="shared" ca="1" si="28"/>
        <v>1.8850302429141941</v>
      </c>
      <c r="T129">
        <f t="shared" ca="1" si="29"/>
        <v>65.338318291253287</v>
      </c>
      <c r="U129">
        <f>70</f>
        <v>70</v>
      </c>
      <c r="V129">
        <f>30</f>
        <v>30</v>
      </c>
      <c r="W129">
        <f t="shared" ca="1" si="27"/>
        <v>309.13137716461364</v>
      </c>
      <c r="X129">
        <f t="shared" ca="1" si="37"/>
        <v>305.64879801621152</v>
      </c>
      <c r="Y129">
        <f t="shared" ca="1" si="36"/>
        <v>3.5683181271267586</v>
      </c>
      <c r="Z129">
        <f t="shared" ca="1" si="38"/>
        <v>2.8080219498485026</v>
      </c>
      <c r="AA129">
        <f t="shared" ca="1" si="39"/>
        <v>0.76029617727825594</v>
      </c>
      <c r="AB129">
        <f t="shared" ca="1" si="40"/>
        <v>305.82090000000005</v>
      </c>
    </row>
    <row r="130" spans="1:28" x14ac:dyDescent="0.25">
      <c r="A130" s="21">
        <f t="shared" ca="1" si="20"/>
        <v>45894</v>
      </c>
      <c r="B130" vm="383">
        <f ca="1"/>
        <v>45894</v>
      </c>
      <c r="C130" vm="384">
        <f ca="1"/>
        <v>313.44</v>
      </c>
      <c r="D130" vm="385">
        <f ca="1"/>
        <v>2944405</v>
      </c>
      <c r="E130">
        <f t="shared" ca="1" si="21"/>
        <v>922894303.20000005</v>
      </c>
      <c r="F130">
        <f ca="1">SUM($E$2:E130)/SUM($D$2:D130)</f>
        <v>305.38510704593944</v>
      </c>
      <c r="G130">
        <f ca="1">_xlfn.STDEV.P($C$2:C130)</f>
        <v>8.2765722396399379</v>
      </c>
      <c r="H130">
        <f t="shared" ca="1" si="22"/>
        <v>313.6616792855794</v>
      </c>
      <c r="I130">
        <f t="shared" ca="1" si="23"/>
        <v>297.10853480629947</v>
      </c>
      <c r="J130">
        <f t="shared" ca="1" si="32"/>
        <v>306.78249999999991</v>
      </c>
      <c r="K130">
        <f t="shared" ca="1" si="33"/>
        <v>4.6207972369779631</v>
      </c>
      <c r="L130">
        <f t="shared" ca="1" si="34"/>
        <v>316.02409447395581</v>
      </c>
      <c r="M130">
        <f t="shared" ca="1" si="35"/>
        <v>297.54090552604401</v>
      </c>
      <c r="N130">
        <f t="shared" ca="1" si="24"/>
        <v>-0.62999999999999545</v>
      </c>
      <c r="O130">
        <f t="shared" ca="1" si="25"/>
        <v>0</v>
      </c>
      <c r="P130">
        <f t="shared" ca="1" si="26"/>
        <v>0.62999999999999545</v>
      </c>
      <c r="Q130">
        <f t="shared" ca="1" si="30"/>
        <v>1.3042636499844986</v>
      </c>
      <c r="R130">
        <f t="shared" ca="1" si="31"/>
        <v>0.73690595476502807</v>
      </c>
      <c r="S130">
        <f t="shared" ca="1" si="28"/>
        <v>1.7699187278251536</v>
      </c>
      <c r="T130">
        <f t="shared" ca="1" si="29"/>
        <v>63.897857725769228</v>
      </c>
      <c r="U130">
        <f>70</f>
        <v>70</v>
      </c>
      <c r="V130">
        <f>30</f>
        <v>30</v>
      </c>
      <c r="W130">
        <f t="shared" ca="1" si="27"/>
        <v>309.7942422162115</v>
      </c>
      <c r="X130">
        <f t="shared" ca="1" si="37"/>
        <v>306.22592408908474</v>
      </c>
      <c r="Y130">
        <f t="shared" ca="1" si="36"/>
        <v>3.5549419067301073</v>
      </c>
      <c r="Z130">
        <f t="shared" ca="1" si="38"/>
        <v>2.9574059412248235</v>
      </c>
      <c r="AA130">
        <f t="shared" ca="1" si="39"/>
        <v>0.59753596550528387</v>
      </c>
      <c r="AB130">
        <f t="shared" ca="1" si="40"/>
        <v>305.81900000000007</v>
      </c>
    </row>
    <row r="131" spans="1:28" x14ac:dyDescent="0.25">
      <c r="A131" s="21">
        <f t="shared" ref="A131:A194" ca="1" si="41">B131 - WEEKDAY(B131, 2) + 1</f>
        <v>45894</v>
      </c>
      <c r="B131" vm="386">
        <f ca="1"/>
        <v>45895</v>
      </c>
      <c r="C131" vm="387">
        <f ca="1"/>
        <v>312.94</v>
      </c>
      <c r="D131" vm="388">
        <f ca="1"/>
        <v>2807730</v>
      </c>
      <c r="E131">
        <f t="shared" ref="E131:E194" ca="1" si="42">C131*D131</f>
        <v>878651026.20000005</v>
      </c>
      <c r="F131">
        <f ca="1">SUM($E$2:E131)/SUM($D$2:D131)</f>
        <v>305.42943241693717</v>
      </c>
      <c r="G131">
        <f ca="1">_xlfn.STDEV.P($C$2:C131)</f>
        <v>8.2656998762226443</v>
      </c>
      <c r="H131">
        <f t="shared" ref="H131:H194" ca="1" si="43">F131 + G131</f>
        <v>313.69513229315982</v>
      </c>
      <c r="I131">
        <f t="shared" ref="I131:I194" ca="1" si="44">F131 - G131</f>
        <v>297.16373254071453</v>
      </c>
      <c r="J131">
        <f t="shared" ca="1" si="32"/>
        <v>307.29599999999994</v>
      </c>
      <c r="K131">
        <f t="shared" ca="1" si="33"/>
        <v>4.7095204806747315</v>
      </c>
      <c r="L131">
        <f t="shared" ca="1" si="34"/>
        <v>316.71504096134942</v>
      </c>
      <c r="M131">
        <f t="shared" ca="1" si="35"/>
        <v>297.87695903865045</v>
      </c>
      <c r="N131">
        <f t="shared" ca="1" si="24"/>
        <v>-0.5</v>
      </c>
      <c r="O131">
        <f t="shared" ca="1" si="25"/>
        <v>0</v>
      </c>
      <c r="P131">
        <f t="shared" ca="1" si="26"/>
        <v>0.5</v>
      </c>
      <c r="Q131">
        <f t="shared" ca="1" si="30"/>
        <v>1.2111019606998916</v>
      </c>
      <c r="R131">
        <f t="shared" ca="1" si="31"/>
        <v>0.71998410085324038</v>
      </c>
      <c r="S131">
        <f t="shared" ca="1" si="28"/>
        <v>1.6821232014215817</v>
      </c>
      <c r="T131">
        <f t="shared" ca="1" si="29"/>
        <v>62.716104932466223</v>
      </c>
      <c r="U131">
        <f>70</f>
        <v>70</v>
      </c>
      <c r="V131">
        <f>30</f>
        <v>30</v>
      </c>
      <c r="W131">
        <f t="shared" ca="1" si="27"/>
        <v>310.27820495217895</v>
      </c>
      <c r="X131">
        <f t="shared" ca="1" si="37"/>
        <v>306.72326304544885</v>
      </c>
      <c r="Y131">
        <f t="shared" ca="1" si="36"/>
        <v>3.3834939630378358</v>
      </c>
      <c r="Z131">
        <f t="shared" ca="1" si="38"/>
        <v>3.0426235455874262</v>
      </c>
      <c r="AA131">
        <f t="shared" ca="1" si="39"/>
        <v>0.34087041745040958</v>
      </c>
      <c r="AB131">
        <f t="shared" ca="1" si="40"/>
        <v>305.83260000000001</v>
      </c>
    </row>
    <row r="132" spans="1:28" x14ac:dyDescent="0.25">
      <c r="A132" s="21">
        <f t="shared" ca="1" si="41"/>
        <v>45894</v>
      </c>
      <c r="B132" vm="389">
        <f ca="1"/>
        <v>45896</v>
      </c>
      <c r="C132" vm="390">
        <f ca="1"/>
        <v>311.43</v>
      </c>
      <c r="D132" vm="391">
        <f ca="1"/>
        <v>3234836</v>
      </c>
      <c r="E132">
        <f t="shared" ca="1" si="42"/>
        <v>1007424975.48</v>
      </c>
      <c r="F132">
        <f ca="1">SUM($E$2:E132)/SUM($D$2:D132)</f>
        <v>305.46972151465673</v>
      </c>
      <c r="G132">
        <f ca="1">_xlfn.STDEV.P($C$2:C132)</f>
        <v>8.2464307783156237</v>
      </c>
      <c r="H132">
        <f t="shared" ca="1" si="43"/>
        <v>313.71615229297237</v>
      </c>
      <c r="I132">
        <f t="shared" ca="1" si="44"/>
        <v>297.22329073634108</v>
      </c>
      <c r="J132">
        <f t="shared" ca="1" si="32"/>
        <v>307.68699999999995</v>
      </c>
      <c r="K132">
        <f t="shared" ca="1" si="33"/>
        <v>4.7120105218361692</v>
      </c>
      <c r="L132">
        <f t="shared" ca="1" si="34"/>
        <v>317.11102104367228</v>
      </c>
      <c r="M132">
        <f t="shared" ca="1" si="35"/>
        <v>298.26297895632763</v>
      </c>
      <c r="N132">
        <f t="shared" ref="N132:N195" ca="1" si="45">C132-C131</f>
        <v>-1.5099999999999909</v>
      </c>
      <c r="O132">
        <f t="shared" ref="O132:O195" ca="1" si="46">MAX(N132,0)</f>
        <v>0</v>
      </c>
      <c r="P132">
        <f t="shared" ref="P132:P195" ca="1" si="47">MAX(-N132,0)</f>
        <v>1.5099999999999909</v>
      </c>
      <c r="Q132">
        <f t="shared" ca="1" si="30"/>
        <v>1.1245946777927565</v>
      </c>
      <c r="R132">
        <f t="shared" ca="1" si="31"/>
        <v>0.77641380793515113</v>
      </c>
      <c r="S132">
        <f t="shared" ca="1" si="28"/>
        <v>1.4484475498749587</v>
      </c>
      <c r="T132">
        <f t="shared" ca="1" si="29"/>
        <v>59.157793678240338</v>
      </c>
      <c r="U132">
        <f>70</f>
        <v>70</v>
      </c>
      <c r="V132">
        <f>30</f>
        <v>30</v>
      </c>
      <c r="W132">
        <f t="shared" ca="1" si="27"/>
        <v>310.45540419030527</v>
      </c>
      <c r="X132">
        <f t="shared" ca="1" si="37"/>
        <v>307.07191022726744</v>
      </c>
      <c r="Y132">
        <f t="shared" ca="1" si="36"/>
        <v>3.273630258287028</v>
      </c>
      <c r="Z132">
        <f t="shared" ca="1" si="38"/>
        <v>3.0888248881273466</v>
      </c>
      <c r="AA132">
        <f t="shared" ca="1" si="39"/>
        <v>0.18480537015968146</v>
      </c>
      <c r="AB132">
        <f t="shared" ca="1" si="40"/>
        <v>305.76420000000002</v>
      </c>
    </row>
    <row r="133" spans="1:28" x14ac:dyDescent="0.25">
      <c r="A133" s="21">
        <f t="shared" ca="1" si="41"/>
        <v>45894</v>
      </c>
      <c r="B133" vm="392">
        <f ca="1"/>
        <v>45897</v>
      </c>
      <c r="C133" vm="393">
        <f ca="1"/>
        <v>312.22000000000003</v>
      </c>
      <c r="D133" vm="394">
        <f ca="1"/>
        <v>3471683</v>
      </c>
      <c r="E133">
        <f t="shared" ca="1" si="42"/>
        <v>1083928866.26</v>
      </c>
      <c r="F133">
        <f ca="1">SUM($E$2:E133)/SUM($D$2:D133)</f>
        <v>305.518014768922</v>
      </c>
      <c r="G133">
        <f ca="1">_xlfn.STDEV.P($C$2:C133)</f>
        <v>8.2312198843867606</v>
      </c>
      <c r="H133">
        <f t="shared" ca="1" si="43"/>
        <v>313.74923465330875</v>
      </c>
      <c r="I133">
        <f t="shared" ca="1" si="44"/>
        <v>297.28679488453525</v>
      </c>
      <c r="J133">
        <f t="shared" ca="1" si="32"/>
        <v>308.29449999999997</v>
      </c>
      <c r="K133">
        <f t="shared" ca="1" si="33"/>
        <v>4.4544838143865348</v>
      </c>
      <c r="L133">
        <f t="shared" ca="1" si="34"/>
        <v>317.20346762877307</v>
      </c>
      <c r="M133">
        <f t="shared" ca="1" si="35"/>
        <v>299.38553237122687</v>
      </c>
      <c r="N133">
        <f t="shared" ca="1" si="45"/>
        <v>0.79000000000002046</v>
      </c>
      <c r="O133">
        <f t="shared" ca="1" si="46"/>
        <v>0.79000000000002046</v>
      </c>
      <c r="P133">
        <f t="shared" ca="1" si="47"/>
        <v>0</v>
      </c>
      <c r="Q133">
        <f t="shared" ca="1" si="30"/>
        <v>1.1006950579504182</v>
      </c>
      <c r="R133">
        <f t="shared" ca="1" si="31"/>
        <v>0.72095567879692612</v>
      </c>
      <c r="S133">
        <f t="shared" ca="1" si="28"/>
        <v>1.5267166766578095</v>
      </c>
      <c r="T133">
        <f t="shared" ca="1" si="29"/>
        <v>60.422946931955167</v>
      </c>
      <c r="U133">
        <f>70</f>
        <v>70</v>
      </c>
      <c r="V133">
        <f>30</f>
        <v>30</v>
      </c>
      <c r="W133">
        <f t="shared" ca="1" si="27"/>
        <v>310.72688046871986</v>
      </c>
      <c r="X133">
        <f t="shared" ca="1" si="37"/>
        <v>307.45325021043283</v>
      </c>
      <c r="Y133">
        <f t="shared" ca="1" si="36"/>
        <v>3.2555475237011819</v>
      </c>
      <c r="Z133">
        <f t="shared" ca="1" si="38"/>
        <v>3.122169415242114</v>
      </c>
      <c r="AA133">
        <f t="shared" ca="1" si="39"/>
        <v>0.13337810845906795</v>
      </c>
      <c r="AB133">
        <f t="shared" ca="1" si="40"/>
        <v>305.88529999999997</v>
      </c>
    </row>
    <row r="134" spans="1:28" x14ac:dyDescent="0.25">
      <c r="A134" s="21">
        <f t="shared" ca="1" si="41"/>
        <v>45894</v>
      </c>
      <c r="B134" vm="395">
        <f ca="1"/>
        <v>45898</v>
      </c>
      <c r="C134" vm="396">
        <f ca="1"/>
        <v>313.54000000000002</v>
      </c>
      <c r="D134" vm="397">
        <f ca="1"/>
        <v>2492471</v>
      </c>
      <c r="E134">
        <f t="shared" ca="1" si="42"/>
        <v>781489357.34000003</v>
      </c>
      <c r="F134">
        <f ca="1">SUM($E$2:E134)/SUM($D$2:D134)</f>
        <v>305.55900795843036</v>
      </c>
      <c r="G134">
        <f ca="1">_xlfn.STDEV.P($C$2:C134)</f>
        <v>8.2238152145956445</v>
      </c>
      <c r="H134">
        <f t="shared" ca="1" si="43"/>
        <v>313.78282317302597</v>
      </c>
      <c r="I134">
        <f t="shared" ca="1" si="44"/>
        <v>297.33519274383474</v>
      </c>
      <c r="J134">
        <f t="shared" ca="1" si="32"/>
        <v>308.82699999999994</v>
      </c>
      <c r="K134">
        <f t="shared" ca="1" si="33"/>
        <v>4.4107620776078136</v>
      </c>
      <c r="L134">
        <f t="shared" ca="1" si="34"/>
        <v>317.64852415521557</v>
      </c>
      <c r="M134">
        <f t="shared" ca="1" si="35"/>
        <v>300.00547584478431</v>
      </c>
      <c r="N134">
        <f t="shared" ca="1" si="45"/>
        <v>1.3199999999999932</v>
      </c>
      <c r="O134">
        <f t="shared" ca="1" si="46"/>
        <v>1.3199999999999932</v>
      </c>
      <c r="P134">
        <f t="shared" ca="1" si="47"/>
        <v>0</v>
      </c>
      <c r="Q134">
        <f t="shared" ca="1" si="30"/>
        <v>1.116359696668245</v>
      </c>
      <c r="R134">
        <f t="shared" ca="1" si="31"/>
        <v>0.66945884459714566</v>
      </c>
      <c r="S134">
        <f t="shared" ca="1" si="28"/>
        <v>1.6675553780158463</v>
      </c>
      <c r="T134">
        <f t="shared" ca="1" si="29"/>
        <v>62.512493339733034</v>
      </c>
      <c r="U134">
        <f>70</f>
        <v>70</v>
      </c>
      <c r="V134">
        <f>30</f>
        <v>30</v>
      </c>
      <c r="W134">
        <f t="shared" ca="1" si="27"/>
        <v>311.15966808891676</v>
      </c>
      <c r="X134">
        <f t="shared" ca="1" si="37"/>
        <v>307.90412056521558</v>
      </c>
      <c r="Y134">
        <f t="shared" ca="1" si="36"/>
        <v>3.3813738994678602</v>
      </c>
      <c r="Z134">
        <f t="shared" ca="1" si="38"/>
        <v>3.1740103120872636</v>
      </c>
      <c r="AA134">
        <f t="shared" ca="1" si="39"/>
        <v>0.20736358738059657</v>
      </c>
      <c r="AB134">
        <f t="shared" ca="1" si="40"/>
        <v>306.02180000000004</v>
      </c>
    </row>
    <row r="135" spans="1:28" x14ac:dyDescent="0.25">
      <c r="A135" s="21">
        <f t="shared" ca="1" si="41"/>
        <v>45901</v>
      </c>
      <c r="B135" vm="398">
        <f ca="1"/>
        <v>45902</v>
      </c>
      <c r="C135" vm="399">
        <f ca="1"/>
        <v>315.76</v>
      </c>
      <c r="D135" vm="400">
        <f ca="1"/>
        <v>3228651</v>
      </c>
      <c r="E135">
        <f t="shared" ca="1" si="42"/>
        <v>1019478839.76</v>
      </c>
      <c r="F135">
        <f ca="1">SUM($E$2:E135)/SUM($D$2:D135)</f>
        <v>305.62608871296283</v>
      </c>
      <c r="G135">
        <f ca="1">_xlfn.STDEV.P($C$2:C135)</f>
        <v>8.2326850559290836</v>
      </c>
      <c r="H135">
        <f t="shared" ca="1" si="43"/>
        <v>313.85877376889192</v>
      </c>
      <c r="I135">
        <f t="shared" ca="1" si="44"/>
        <v>297.39340365703373</v>
      </c>
      <c r="J135">
        <f t="shared" ca="1" si="32"/>
        <v>309.40349999999995</v>
      </c>
      <c r="K135">
        <f t="shared" ca="1" si="33"/>
        <v>4.5301833063876922</v>
      </c>
      <c r="L135">
        <f t="shared" ca="1" si="34"/>
        <v>318.46386661277535</v>
      </c>
      <c r="M135">
        <f t="shared" ca="1" si="35"/>
        <v>300.34313338722455</v>
      </c>
      <c r="N135">
        <f t="shared" ca="1" si="45"/>
        <v>2.2199999999999704</v>
      </c>
      <c r="O135">
        <f t="shared" ca="1" si="46"/>
        <v>2.2199999999999704</v>
      </c>
      <c r="P135">
        <f t="shared" ca="1" si="47"/>
        <v>0</v>
      </c>
      <c r="Q135">
        <f t="shared" ca="1" si="30"/>
        <v>1.1951911469062253</v>
      </c>
      <c r="R135">
        <f t="shared" ca="1" si="31"/>
        <v>0.62164035569734943</v>
      </c>
      <c r="S135">
        <f t="shared" ca="1" si="28"/>
        <v>1.9226408580978833</v>
      </c>
      <c r="T135">
        <f t="shared" ca="1" si="29"/>
        <v>65.784369392179741</v>
      </c>
      <c r="U135">
        <f>70</f>
        <v>70</v>
      </c>
      <c r="V135">
        <f>30</f>
        <v>30</v>
      </c>
      <c r="W135">
        <f t="shared" ca="1" si="27"/>
        <v>311.86741145985263</v>
      </c>
      <c r="X135">
        <f t="shared" ca="1" si="37"/>
        <v>308.48603756038477</v>
      </c>
      <c r="Y135">
        <f t="shared" ca="1" si="36"/>
        <v>3.4916780525674653</v>
      </c>
      <c r="Z135">
        <f t="shared" ca="1" si="38"/>
        <v>3.2375438601833042</v>
      </c>
      <c r="AA135">
        <f t="shared" ca="1" si="39"/>
        <v>0.25413419238416113</v>
      </c>
      <c r="AB135">
        <f t="shared" ca="1" si="40"/>
        <v>306.18110000000001</v>
      </c>
    </row>
    <row r="136" spans="1:28" x14ac:dyDescent="0.25">
      <c r="A136" s="21">
        <f t="shared" ca="1" si="41"/>
        <v>45901</v>
      </c>
      <c r="B136" vm="401">
        <f ca="1"/>
        <v>45903</v>
      </c>
      <c r="C136" vm="402">
        <f ca="1"/>
        <v>316.39</v>
      </c>
      <c r="D136" vm="403">
        <f ca="1"/>
        <v>3219733</v>
      </c>
      <c r="E136">
        <f t="shared" ca="1" si="42"/>
        <v>1018691323.87</v>
      </c>
      <c r="F136">
        <f ca="1">SUM($E$2:E136)/SUM($D$2:D136)</f>
        <v>305.69621578441058</v>
      </c>
      <c r="G136">
        <f ca="1">_xlfn.STDEV.P($C$2:C136)</f>
        <v>8.2462378822028022</v>
      </c>
      <c r="H136">
        <f t="shared" ca="1" si="43"/>
        <v>313.9424536666134</v>
      </c>
      <c r="I136">
        <f t="shared" ca="1" si="44"/>
        <v>297.44997790220776</v>
      </c>
      <c r="J136">
        <f t="shared" ca="1" si="32"/>
        <v>310.28450000000004</v>
      </c>
      <c r="K136">
        <f t="shared" ca="1" si="33"/>
        <v>4.0402272929808509</v>
      </c>
      <c r="L136">
        <f t="shared" ca="1" si="34"/>
        <v>318.36495458596175</v>
      </c>
      <c r="M136">
        <f t="shared" ca="1" si="35"/>
        <v>302.20404541403832</v>
      </c>
      <c r="N136">
        <f t="shared" ca="1" si="45"/>
        <v>0.62999999999999545</v>
      </c>
      <c r="O136">
        <f t="shared" ca="1" si="46"/>
        <v>0.62999999999999545</v>
      </c>
      <c r="P136">
        <f t="shared" ca="1" si="47"/>
        <v>0</v>
      </c>
      <c r="Q136">
        <f t="shared" ca="1" si="30"/>
        <v>1.1548203506986374</v>
      </c>
      <c r="R136">
        <f t="shared" ca="1" si="31"/>
        <v>0.57723747314753882</v>
      </c>
      <c r="S136">
        <f t="shared" ca="1" si="28"/>
        <v>2.0005983748797118</v>
      </c>
      <c r="T136">
        <f t="shared" ca="1" si="29"/>
        <v>66.673313950585339</v>
      </c>
      <c r="U136">
        <f>70</f>
        <v>70</v>
      </c>
      <c r="V136">
        <f>30</f>
        <v>30</v>
      </c>
      <c r="W136">
        <f t="shared" ca="1" si="27"/>
        <v>312.56319431218299</v>
      </c>
      <c r="X136">
        <f t="shared" ca="1" si="37"/>
        <v>309.07151625961552</v>
      </c>
      <c r="Y136">
        <f t="shared" ca="1" si="36"/>
        <v>3.5861707303228059</v>
      </c>
      <c r="Z136">
        <f t="shared" ca="1" si="38"/>
        <v>3.3072692342112049</v>
      </c>
      <c r="AA136">
        <f t="shared" ca="1" si="39"/>
        <v>0.27890149611160098</v>
      </c>
      <c r="AB136">
        <f t="shared" ca="1" si="40"/>
        <v>306.30539999999996</v>
      </c>
    </row>
    <row r="137" spans="1:28" x14ac:dyDescent="0.25">
      <c r="A137" s="21">
        <f t="shared" ca="1" si="41"/>
        <v>45901</v>
      </c>
      <c r="B137" vm="404">
        <f ca="1"/>
        <v>45904</v>
      </c>
      <c r="C137" vm="405">
        <f ca="1"/>
        <v>316.99</v>
      </c>
      <c r="D137" vm="406">
        <f ca="1"/>
        <v>2881528</v>
      </c>
      <c r="E137">
        <f t="shared" ca="1" si="42"/>
        <v>913415560.72000003</v>
      </c>
      <c r="F137">
        <f ca="1">SUM($E$2:E137)/SUM($D$2:D137)</f>
        <v>305.76168440479171</v>
      </c>
      <c r="G137">
        <f ca="1">_xlfn.STDEV.P($C$2:C137)</f>
        <v>8.2643137584913191</v>
      </c>
      <c r="H137">
        <f t="shared" ca="1" si="43"/>
        <v>314.02599816328302</v>
      </c>
      <c r="I137">
        <f t="shared" ca="1" si="44"/>
        <v>297.4973706463004</v>
      </c>
      <c r="J137">
        <f t="shared" ca="1" si="32"/>
        <v>310.75100000000003</v>
      </c>
      <c r="K137">
        <f t="shared" ca="1" si="33"/>
        <v>4.2542151233558334</v>
      </c>
      <c r="L137">
        <f t="shared" ca="1" si="34"/>
        <v>319.2594302467117</v>
      </c>
      <c r="M137">
        <f t="shared" ca="1" si="35"/>
        <v>302.24256975328836</v>
      </c>
      <c r="N137">
        <f t="shared" ca="1" si="45"/>
        <v>0.60000000000002274</v>
      </c>
      <c r="O137">
        <f t="shared" ca="1" si="46"/>
        <v>0.60000000000002274</v>
      </c>
      <c r="P137">
        <f t="shared" ca="1" si="47"/>
        <v>0</v>
      </c>
      <c r="Q137">
        <f t="shared" ca="1" si="30"/>
        <v>1.1151903256487363</v>
      </c>
      <c r="R137">
        <f t="shared" ca="1" si="31"/>
        <v>0.53600622506557172</v>
      </c>
      <c r="S137">
        <f t="shared" ca="1" si="28"/>
        <v>2.0805548023482578</v>
      </c>
      <c r="T137">
        <f t="shared" ca="1" si="29"/>
        <v>67.53831487634254</v>
      </c>
      <c r="U137">
        <f>70</f>
        <v>70</v>
      </c>
      <c r="V137">
        <f>30</f>
        <v>30</v>
      </c>
      <c r="W137">
        <f t="shared" ca="1" si="27"/>
        <v>313.2442413410779</v>
      </c>
      <c r="X137">
        <f t="shared" ca="1" si="37"/>
        <v>309.65807061075509</v>
      </c>
      <c r="Y137">
        <f t="shared" ca="1" si="36"/>
        <v>3.411130284343983</v>
      </c>
      <c r="Z137">
        <f t="shared" ca="1" si="38"/>
        <v>3.328041444237761</v>
      </c>
      <c r="AA137">
        <f t="shared" ca="1" si="39"/>
        <v>8.3088840106221973E-2</v>
      </c>
      <c r="AB137">
        <f t="shared" ca="1" si="40"/>
        <v>306.40750000000003</v>
      </c>
    </row>
    <row r="138" spans="1:28" x14ac:dyDescent="0.25">
      <c r="A138" s="21">
        <f t="shared" ca="1" si="41"/>
        <v>45901</v>
      </c>
      <c r="B138" vm="407">
        <f ca="1"/>
        <v>45905</v>
      </c>
      <c r="C138" vm="408">
        <f ca="1"/>
        <v>314.38</v>
      </c>
      <c r="D138" vm="409">
        <f ca="1"/>
        <v>2533259</v>
      </c>
      <c r="E138">
        <f t="shared" ca="1" si="42"/>
        <v>796405964.41999996</v>
      </c>
      <c r="F138">
        <f ca="1">SUM($E$2:E138)/SUM($D$2:D138)</f>
        <v>305.80538277060845</v>
      </c>
      <c r="G138">
        <f ca="1">_xlfn.STDEV.P($C$2:C138)</f>
        <v>8.2606331362306094</v>
      </c>
      <c r="H138">
        <f t="shared" ca="1" si="43"/>
        <v>314.06601590683908</v>
      </c>
      <c r="I138">
        <f t="shared" ca="1" si="44"/>
        <v>297.54474963437781</v>
      </c>
      <c r="J138">
        <f t="shared" ca="1" si="32"/>
        <v>311.07450000000006</v>
      </c>
      <c r="K138">
        <f t="shared" ca="1" si="33"/>
        <v>4.2727650051779937</v>
      </c>
      <c r="L138">
        <f t="shared" ca="1" si="34"/>
        <v>319.62003001035606</v>
      </c>
      <c r="M138">
        <f t="shared" ca="1" si="35"/>
        <v>302.52896998964405</v>
      </c>
      <c r="N138">
        <f t="shared" ca="1" si="45"/>
        <v>-2.6100000000000136</v>
      </c>
      <c r="O138">
        <f t="shared" ca="1" si="46"/>
        <v>0</v>
      </c>
      <c r="P138">
        <f t="shared" ca="1" si="47"/>
        <v>2.6100000000000136</v>
      </c>
      <c r="Q138">
        <f t="shared" ca="1" si="30"/>
        <v>1.0355338738166837</v>
      </c>
      <c r="R138">
        <f t="shared" ca="1" si="31"/>
        <v>0.68414863756088906</v>
      </c>
      <c r="S138">
        <f t="shared" ca="1" si="28"/>
        <v>1.5136094950193064</v>
      </c>
      <c r="T138">
        <f t="shared" ca="1" si="29"/>
        <v>60.216572940964348</v>
      </c>
      <c r="U138">
        <f>70</f>
        <v>70</v>
      </c>
      <c r="V138">
        <f>30</f>
        <v>30</v>
      </c>
      <c r="W138">
        <f t="shared" ca="1" si="27"/>
        <v>313.41897344245052</v>
      </c>
      <c r="X138">
        <f t="shared" ca="1" si="37"/>
        <v>310.00784315810654</v>
      </c>
      <c r="Y138">
        <f t="shared" ca="1" si="36"/>
        <v>3.1090771681571709</v>
      </c>
      <c r="Z138">
        <f t="shared" ca="1" si="38"/>
        <v>3.2842485890216433</v>
      </c>
      <c r="AA138">
        <f t="shared" ca="1" si="39"/>
        <v>-0.17517142086447235</v>
      </c>
      <c r="AB138">
        <f t="shared" ca="1" si="40"/>
        <v>306.45229999999998</v>
      </c>
    </row>
    <row r="139" spans="1:28" x14ac:dyDescent="0.25">
      <c r="A139" s="21">
        <f t="shared" ca="1" si="41"/>
        <v>45908</v>
      </c>
      <c r="B139" vm="410">
        <f ca="1"/>
        <v>45908</v>
      </c>
      <c r="C139" vm="411">
        <f ca="1"/>
        <v>312.8</v>
      </c>
      <c r="D139" vm="412">
        <f ca="1"/>
        <v>2873797</v>
      </c>
      <c r="E139">
        <f t="shared" ca="1" si="42"/>
        <v>898923701.60000002</v>
      </c>
      <c r="F139">
        <f ca="1">SUM($E$2:E139)/SUM($D$2:D139)</f>
        <v>305.84538575026778</v>
      </c>
      <c r="G139">
        <f ca="1">_xlfn.STDEV.P($C$2:C139)</f>
        <v>8.2470835679409475</v>
      </c>
      <c r="H139">
        <f t="shared" ca="1" si="43"/>
        <v>314.09246931820871</v>
      </c>
      <c r="I139">
        <f t="shared" ca="1" si="44"/>
        <v>297.59830218232685</v>
      </c>
      <c r="J139">
        <f t="shared" ca="1" si="32"/>
        <v>311.44200000000006</v>
      </c>
      <c r="K139">
        <f t="shared" ca="1" si="33"/>
        <v>4.0750532447280294</v>
      </c>
      <c r="L139">
        <f t="shared" ca="1" si="34"/>
        <v>319.59210648945611</v>
      </c>
      <c r="M139">
        <f t="shared" ca="1" si="35"/>
        <v>303.29189351054401</v>
      </c>
      <c r="N139">
        <f t="shared" ca="1" si="45"/>
        <v>-1.5799999999999841</v>
      </c>
      <c r="O139">
        <f t="shared" ca="1" si="46"/>
        <v>0</v>
      </c>
      <c r="P139">
        <f t="shared" ca="1" si="47"/>
        <v>1.5799999999999841</v>
      </c>
      <c r="Q139">
        <f t="shared" ca="1" si="30"/>
        <v>0.96156716854406343</v>
      </c>
      <c r="R139">
        <f t="shared" ca="1" si="31"/>
        <v>0.74813802059225298</v>
      </c>
      <c r="S139">
        <f t="shared" ca="1" si="28"/>
        <v>1.2852804456894895</v>
      </c>
      <c r="T139">
        <f t="shared" ca="1" si="29"/>
        <v>56.2416944543412</v>
      </c>
      <c r="U139">
        <f>70</f>
        <v>70</v>
      </c>
      <c r="V139">
        <f>30</f>
        <v>30</v>
      </c>
      <c r="W139">
        <f t="shared" ca="1" si="27"/>
        <v>313.32374675899661</v>
      </c>
      <c r="X139">
        <f t="shared" ca="1" si="37"/>
        <v>310.21466959083943</v>
      </c>
      <c r="Y139">
        <f t="shared" ca="1" si="36"/>
        <v>2.8146586051258282</v>
      </c>
      <c r="Z139">
        <f t="shared" ca="1" si="38"/>
        <v>3.1903305922424803</v>
      </c>
      <c r="AA139">
        <f t="shared" ca="1" si="39"/>
        <v>-0.37567198711665206</v>
      </c>
      <c r="AB139">
        <f t="shared" ca="1" si="40"/>
        <v>306.4196</v>
      </c>
    </row>
    <row r="140" spans="1:28" x14ac:dyDescent="0.25">
      <c r="A140" s="21">
        <f t="shared" ca="1" si="41"/>
        <v>45908</v>
      </c>
      <c r="B140" vm="413">
        <f ca="1"/>
        <v>45909</v>
      </c>
      <c r="C140" vm="414">
        <f ca="1"/>
        <v>312.52</v>
      </c>
      <c r="D140" vm="415">
        <f ca="1"/>
        <v>2310842</v>
      </c>
      <c r="E140">
        <f t="shared" ca="1" si="42"/>
        <v>722184341.83999991</v>
      </c>
      <c r="F140">
        <f ca="1">SUM($E$2:E140)/SUM($D$2:D140)</f>
        <v>305.87594031339819</v>
      </c>
      <c r="G140">
        <f ca="1">_xlfn.STDEV.P($C$2:C140)</f>
        <v>8.2320266012487142</v>
      </c>
      <c r="H140">
        <f t="shared" ca="1" si="43"/>
        <v>314.10796691464691</v>
      </c>
      <c r="I140">
        <f t="shared" ca="1" si="44"/>
        <v>297.64391371214947</v>
      </c>
      <c r="J140">
        <f t="shared" ca="1" si="32"/>
        <v>311.85000000000008</v>
      </c>
      <c r="K140">
        <f t="shared" ca="1" si="33"/>
        <v>3.7218642753612801</v>
      </c>
      <c r="L140">
        <f t="shared" ca="1" si="34"/>
        <v>319.29372855072262</v>
      </c>
      <c r="M140">
        <f t="shared" ca="1" si="35"/>
        <v>304.40627144927754</v>
      </c>
      <c r="N140">
        <f t="shared" ca="1" si="45"/>
        <v>-0.28000000000002956</v>
      </c>
      <c r="O140">
        <f t="shared" ca="1" si="46"/>
        <v>0</v>
      </c>
      <c r="P140">
        <f t="shared" ca="1" si="47"/>
        <v>0.28000000000002956</v>
      </c>
      <c r="Q140">
        <f t="shared" ca="1" si="30"/>
        <v>0.89288379936234463</v>
      </c>
      <c r="R140">
        <f t="shared" ca="1" si="31"/>
        <v>0.71469959054995136</v>
      </c>
      <c r="S140">
        <f t="shared" ca="1" si="28"/>
        <v>1.2493134334599003</v>
      </c>
      <c r="T140">
        <f t="shared" ca="1" si="29"/>
        <v>55.541989607833479</v>
      </c>
      <c r="U140">
        <f>70</f>
        <v>70</v>
      </c>
      <c r="V140">
        <f>30</f>
        <v>30</v>
      </c>
      <c r="W140">
        <f t="shared" ca="1" si="27"/>
        <v>313.20009341145862</v>
      </c>
      <c r="X140">
        <f t="shared" ca="1" si="37"/>
        <v>310.3854348063328</v>
      </c>
      <c r="Y140">
        <f t="shared" ca="1" si="36"/>
        <v>2.0270126243448772</v>
      </c>
      <c r="Z140">
        <f t="shared" ca="1" si="38"/>
        <v>2.95766699866296</v>
      </c>
      <c r="AA140">
        <f t="shared" ca="1" si="39"/>
        <v>-0.93065437431808284</v>
      </c>
      <c r="AB140">
        <f t="shared" ca="1" si="40"/>
        <v>306.42</v>
      </c>
    </row>
    <row r="141" spans="1:28" x14ac:dyDescent="0.25">
      <c r="A141" s="21">
        <f t="shared" ca="1" si="41"/>
        <v>45908</v>
      </c>
      <c r="B141" vm="416">
        <f ca="1"/>
        <v>45910</v>
      </c>
      <c r="C141" vm="417">
        <f ca="1"/>
        <v>305.94</v>
      </c>
      <c r="D141" vm="418">
        <f ca="1"/>
        <v>3479927</v>
      </c>
      <c r="E141">
        <f t="shared" ca="1" si="42"/>
        <v>1064648866.38</v>
      </c>
      <c r="F141">
        <f ca="1">SUM($E$2:E141)/SUM($D$2:D141)</f>
        <v>305.8763788955888</v>
      </c>
      <c r="G141">
        <f ca="1">_xlfn.STDEV.P($C$2:C141)</f>
        <v>8.2028579949743321</v>
      </c>
      <c r="H141">
        <f t="shared" ca="1" si="43"/>
        <v>314.07923689056315</v>
      </c>
      <c r="I141">
        <f t="shared" ca="1" si="44"/>
        <v>297.67352090061445</v>
      </c>
      <c r="J141">
        <f t="shared" ca="1" si="32"/>
        <v>312.065</v>
      </c>
      <c r="K141">
        <f t="shared" ca="1" si="33"/>
        <v>3.1867546600197985</v>
      </c>
      <c r="L141">
        <f t="shared" ca="1" si="34"/>
        <v>318.4385093200396</v>
      </c>
      <c r="M141">
        <f t="shared" ca="1" si="35"/>
        <v>305.6914906799604</v>
      </c>
      <c r="N141">
        <f t="shared" ca="1" si="45"/>
        <v>-6.5799999999999841</v>
      </c>
      <c r="O141">
        <f t="shared" ca="1" si="46"/>
        <v>0</v>
      </c>
      <c r="P141">
        <f t="shared" ca="1" si="47"/>
        <v>6.5799999999999841</v>
      </c>
      <c r="Q141">
        <f t="shared" ca="1" si="30"/>
        <v>0.82910638512217716</v>
      </c>
      <c r="R141">
        <f t="shared" ca="1" si="31"/>
        <v>1.1336496197963821</v>
      </c>
      <c r="S141">
        <f t="shared" ca="1" si="28"/>
        <v>0.73136035212634321</v>
      </c>
      <c r="T141">
        <f t="shared" ca="1" si="29"/>
        <v>42.241948721312369</v>
      </c>
      <c r="U141">
        <f>70</f>
        <v>70</v>
      </c>
      <c r="V141">
        <f>30</f>
        <v>30</v>
      </c>
      <c r="W141">
        <f t="shared" ca="1" si="27"/>
        <v>312.08315596354191</v>
      </c>
      <c r="X141">
        <f t="shared" ca="1" si="37"/>
        <v>310.05614333919704</v>
      </c>
      <c r="Y141">
        <f t="shared" ca="1" si="36"/>
        <v>1.5854436921165416</v>
      </c>
      <c r="Z141">
        <f t="shared" ca="1" si="38"/>
        <v>2.6832223373536763</v>
      </c>
      <c r="AA141">
        <f t="shared" ca="1" si="39"/>
        <v>-1.0977786452371348</v>
      </c>
      <c r="AB141">
        <f t="shared" ca="1" si="40"/>
        <v>306.38839999999999</v>
      </c>
    </row>
    <row r="142" spans="1:28" x14ac:dyDescent="0.25">
      <c r="A142" s="21">
        <f t="shared" ca="1" si="41"/>
        <v>45908</v>
      </c>
      <c r="B142" vm="419">
        <f ca="1"/>
        <v>45911</v>
      </c>
      <c r="C142" vm="420">
        <f ca="1"/>
        <v>308.43</v>
      </c>
      <c r="D142" vm="421">
        <f ca="1"/>
        <v>2761496</v>
      </c>
      <c r="E142">
        <f t="shared" ca="1" si="42"/>
        <v>851728211.27999997</v>
      </c>
      <c r="F142">
        <f ca="1">SUM($E$2:E142)/SUM($D$2:D142)</f>
        <v>305.8901777739722</v>
      </c>
      <c r="G142">
        <f ca="1">_xlfn.STDEV.P($C$2:C142)</f>
        <v>8.1749410341866664</v>
      </c>
      <c r="H142">
        <f t="shared" ca="1" si="43"/>
        <v>314.06511880815884</v>
      </c>
      <c r="I142">
        <f t="shared" ca="1" si="44"/>
        <v>297.71523673978555</v>
      </c>
      <c r="J142">
        <f t="shared" ca="1" si="32"/>
        <v>312.23300000000006</v>
      </c>
      <c r="K142">
        <f t="shared" ca="1" si="33"/>
        <v>2.8715612844803289</v>
      </c>
      <c r="L142">
        <f t="shared" ca="1" si="34"/>
        <v>317.9761225689607</v>
      </c>
      <c r="M142">
        <f t="shared" ca="1" si="35"/>
        <v>306.48987743103942</v>
      </c>
      <c r="N142">
        <f t="shared" ca="1" si="45"/>
        <v>2.4900000000000091</v>
      </c>
      <c r="O142">
        <f t="shared" ca="1" si="46"/>
        <v>2.4900000000000091</v>
      </c>
      <c r="P142">
        <f t="shared" ca="1" si="47"/>
        <v>0</v>
      </c>
      <c r="Q142">
        <f t="shared" ca="1" si="30"/>
        <v>0.94774164332773658</v>
      </c>
      <c r="R142">
        <f t="shared" ca="1" si="31"/>
        <v>1.0526746469537833</v>
      </c>
      <c r="S142">
        <f t="shared" ca="1" si="28"/>
        <v>0.90031772501627116</v>
      </c>
      <c r="T142">
        <f t="shared" ca="1" si="29"/>
        <v>47.377220828088753</v>
      </c>
      <c r="U142">
        <f>70</f>
        <v>70</v>
      </c>
      <c r="V142">
        <f>30</f>
        <v>30</v>
      </c>
      <c r="W142">
        <f t="shared" ca="1" si="27"/>
        <v>311.52113196915087</v>
      </c>
      <c r="X142">
        <f t="shared" ca="1" si="37"/>
        <v>309.93568827703433</v>
      </c>
      <c r="Y142">
        <f t="shared" ca="1" si="36"/>
        <v>0.97970799088790272</v>
      </c>
      <c r="Z142">
        <f t="shared" ca="1" si="38"/>
        <v>2.3425194680605217</v>
      </c>
      <c r="AA142">
        <f t="shared" ca="1" si="39"/>
        <v>-1.362811477172619</v>
      </c>
      <c r="AB142">
        <f t="shared" ca="1" si="40"/>
        <v>306.35969999999998</v>
      </c>
    </row>
    <row r="143" spans="1:28" x14ac:dyDescent="0.25">
      <c r="A143" s="21">
        <f t="shared" ca="1" si="41"/>
        <v>45908</v>
      </c>
      <c r="B143" vm="422">
        <f ca="1"/>
        <v>45912</v>
      </c>
      <c r="C143" vm="423">
        <f ca="1"/>
        <v>305.39999999999998</v>
      </c>
      <c r="D143" vm="424">
        <f ca="1"/>
        <v>2072848</v>
      </c>
      <c r="E143">
        <f t="shared" ca="1" si="42"/>
        <v>633047779.19999993</v>
      </c>
      <c r="F143">
        <f ca="1">SUM($E$2:E143)/SUM($D$2:D143)</f>
        <v>305.88819758792624</v>
      </c>
      <c r="G143">
        <f ca="1">_xlfn.STDEV.P($C$2:C143)</f>
        <v>8.1468954321571783</v>
      </c>
      <c r="H143">
        <f t="shared" ca="1" si="43"/>
        <v>314.03509302008342</v>
      </c>
      <c r="I143">
        <f t="shared" ca="1" si="44"/>
        <v>297.74130215576906</v>
      </c>
      <c r="J143">
        <f t="shared" ca="1" si="32"/>
        <v>312.05549999999999</v>
      </c>
      <c r="K143">
        <f t="shared" ca="1" si="33"/>
        <v>3.1784893382995989</v>
      </c>
      <c r="L143">
        <f t="shared" ca="1" si="34"/>
        <v>318.41247867659922</v>
      </c>
      <c r="M143">
        <f t="shared" ca="1" si="35"/>
        <v>305.69852132340077</v>
      </c>
      <c r="N143">
        <f t="shared" ca="1" si="45"/>
        <v>-3.0300000000000296</v>
      </c>
      <c r="O143">
        <f t="shared" ca="1" si="46"/>
        <v>0</v>
      </c>
      <c r="P143">
        <f t="shared" ca="1" si="47"/>
        <v>3.0300000000000296</v>
      </c>
      <c r="Q143">
        <f t="shared" ca="1" si="30"/>
        <v>0.88004581166146967</v>
      </c>
      <c r="R143">
        <f t="shared" ca="1" si="31"/>
        <v>1.1939121721713721</v>
      </c>
      <c r="S143">
        <f t="shared" ca="1" si="28"/>
        <v>0.7371110138369118</v>
      </c>
      <c r="T143">
        <f t="shared" ca="1" si="29"/>
        <v>42.433155277093604</v>
      </c>
      <c r="U143">
        <f>70</f>
        <v>70</v>
      </c>
      <c r="V143">
        <f>30</f>
        <v>30</v>
      </c>
      <c r="W143">
        <f t="shared" ref="W143:W206" ca="1" si="48">C143*(2/(12+1)) + W142*(1-(2/(12+1)))</f>
        <v>310.57941935851227</v>
      </c>
      <c r="X143">
        <f t="shared" ca="1" si="37"/>
        <v>309.59971136762437</v>
      </c>
      <c r="Y143">
        <f t="shared" ca="1" si="36"/>
        <v>0.22832294871864178</v>
      </c>
      <c r="Z143">
        <f t="shared" ca="1" si="38"/>
        <v>1.9196801641921459</v>
      </c>
      <c r="AA143">
        <f t="shared" ca="1" si="39"/>
        <v>-1.6913572154735041</v>
      </c>
      <c r="AB143">
        <f t="shared" ca="1" si="40"/>
        <v>306.32649999999995</v>
      </c>
    </row>
    <row r="144" spans="1:28" x14ac:dyDescent="0.25">
      <c r="A144" s="21">
        <f t="shared" ca="1" si="41"/>
        <v>45915</v>
      </c>
      <c r="B144" vm="425">
        <f ca="1"/>
        <v>45915</v>
      </c>
      <c r="C144" vm="426">
        <f ca="1"/>
        <v>302.07</v>
      </c>
      <c r="D144" vm="427">
        <f ca="1"/>
        <v>3584545</v>
      </c>
      <c r="E144">
        <f t="shared" ca="1" si="42"/>
        <v>1082783508.1499999</v>
      </c>
      <c r="F144">
        <f ca="1">SUM($E$2:E144)/SUM($D$2:D144)</f>
        <v>305.86170929359287</v>
      </c>
      <c r="G144">
        <f ca="1">_xlfn.STDEV.P($C$2:C144)</f>
        <v>8.1277111929889241</v>
      </c>
      <c r="H144">
        <f t="shared" ca="1" si="43"/>
        <v>313.98942048658176</v>
      </c>
      <c r="I144">
        <f t="shared" ca="1" si="44"/>
        <v>297.73399810060397</v>
      </c>
      <c r="J144">
        <f t="shared" ca="1" si="32"/>
        <v>311.71249999999998</v>
      </c>
      <c r="K144">
        <f t="shared" ca="1" si="33"/>
        <v>3.8357156403576416</v>
      </c>
      <c r="L144">
        <f t="shared" ca="1" si="34"/>
        <v>319.38393128071527</v>
      </c>
      <c r="M144">
        <f t="shared" ca="1" si="35"/>
        <v>304.04106871928468</v>
      </c>
      <c r="N144">
        <f t="shared" ca="1" si="45"/>
        <v>-3.3299999999999841</v>
      </c>
      <c r="O144">
        <f t="shared" ca="1" si="46"/>
        <v>0</v>
      </c>
      <c r="P144">
        <f t="shared" ca="1" si="47"/>
        <v>3.3299999999999841</v>
      </c>
      <c r="Q144">
        <f t="shared" ca="1" si="30"/>
        <v>0.81718539654279332</v>
      </c>
      <c r="R144">
        <f t="shared" ca="1" si="31"/>
        <v>1.3464898741591302</v>
      </c>
      <c r="S144">
        <f t="shared" ref="S144:S207" ca="1" si="49">IF(R144=0,NA(),Q144/R144)</f>
        <v>0.60690051386618682</v>
      </c>
      <c r="T144">
        <f t="shared" ref="T144:T207" ca="1" si="50">100-(100/(1+S144))</f>
        <v>37.768393788486023</v>
      </c>
      <c r="U144">
        <f>70</f>
        <v>70</v>
      </c>
      <c r="V144">
        <f>30</f>
        <v>30</v>
      </c>
      <c r="W144">
        <f t="shared" ca="1" si="48"/>
        <v>309.27027791874116</v>
      </c>
      <c r="X144">
        <f t="shared" ca="1" si="37"/>
        <v>309.04195497002252</v>
      </c>
      <c r="Y144">
        <f t="shared" ca="1" si="36"/>
        <v>-0.26564906949062106</v>
      </c>
      <c r="Z144">
        <f t="shared" ca="1" si="38"/>
        <v>1.4826143174555926</v>
      </c>
      <c r="AA144">
        <f t="shared" ca="1" si="39"/>
        <v>-1.7482633869462136</v>
      </c>
      <c r="AB144">
        <f t="shared" ca="1" si="40"/>
        <v>306.15640000000002</v>
      </c>
    </row>
    <row r="145" spans="1:28" x14ac:dyDescent="0.25">
      <c r="A145" s="21">
        <f t="shared" ca="1" si="41"/>
        <v>45915</v>
      </c>
      <c r="B145" vm="428">
        <f ca="1"/>
        <v>45916</v>
      </c>
      <c r="C145" vm="429">
        <f ca="1"/>
        <v>303.29000000000002</v>
      </c>
      <c r="D145" vm="430">
        <f ca="1"/>
        <v>3578515</v>
      </c>
      <c r="E145">
        <f t="shared" ca="1" si="42"/>
        <v>1085327814.3500001</v>
      </c>
      <c r="F145">
        <f ca="1">SUM($E$2:E145)/SUM($D$2:D145)</f>
        <v>305.84402088166684</v>
      </c>
      <c r="G145">
        <f ca="1">_xlfn.STDEV.P($C$2:C145)</f>
        <v>8.1044323361076849</v>
      </c>
      <c r="H145">
        <f t="shared" ca="1" si="43"/>
        <v>313.9484532177745</v>
      </c>
      <c r="I145">
        <f t="shared" ca="1" si="44"/>
        <v>297.73958854555917</v>
      </c>
      <c r="J145">
        <f t="shared" ca="1" si="32"/>
        <v>311.44200000000001</v>
      </c>
      <c r="K145">
        <f t="shared" ca="1" si="33"/>
        <v>4.2298533009276369</v>
      </c>
      <c r="L145">
        <f t="shared" ca="1" si="34"/>
        <v>319.90170660185527</v>
      </c>
      <c r="M145">
        <f t="shared" ca="1" si="35"/>
        <v>302.98229339814475</v>
      </c>
      <c r="N145">
        <f t="shared" ca="1" si="45"/>
        <v>1.2200000000000273</v>
      </c>
      <c r="O145">
        <f t="shared" ca="1" si="46"/>
        <v>1.2200000000000273</v>
      </c>
      <c r="P145">
        <f t="shared" ca="1" si="47"/>
        <v>0</v>
      </c>
      <c r="Q145">
        <f t="shared" ref="Q145:Q208" ca="1" si="51">(Q144*13+O145)/14</f>
        <v>0.84595786821830998</v>
      </c>
      <c r="R145">
        <f t="shared" ref="R145:R208" ca="1" si="52">(R144*13+P145)/14</f>
        <v>1.2503120260049065</v>
      </c>
      <c r="S145">
        <f t="shared" ca="1" si="49"/>
        <v>0.67659740178728012</v>
      </c>
      <c r="T145">
        <f t="shared" ca="1" si="50"/>
        <v>40.355388900520552</v>
      </c>
      <c r="U145">
        <f>70</f>
        <v>70</v>
      </c>
      <c r="V145">
        <f>30</f>
        <v>30</v>
      </c>
      <c r="W145">
        <f t="shared" ca="1" si="48"/>
        <v>308.35023516201176</v>
      </c>
      <c r="X145">
        <f t="shared" ca="1" si="37"/>
        <v>308.61588423150238</v>
      </c>
      <c r="Y145">
        <f t="shared" ca="1" si="36"/>
        <v>-0.51561974963181001</v>
      </c>
      <c r="Z145">
        <f t="shared" ca="1" si="38"/>
        <v>1.0829675040381119</v>
      </c>
      <c r="AA145">
        <f t="shared" ca="1" si="39"/>
        <v>-1.5985872536699219</v>
      </c>
      <c r="AB145">
        <f t="shared" ca="1" si="40"/>
        <v>306.00449999999995</v>
      </c>
    </row>
    <row r="146" spans="1:28" x14ac:dyDescent="0.25">
      <c r="A146" s="21">
        <f t="shared" ca="1" si="41"/>
        <v>45915</v>
      </c>
      <c r="B146" vm="431">
        <f ca="1"/>
        <v>45917</v>
      </c>
      <c r="C146" vm="432">
        <f ca="1"/>
        <v>304.97000000000003</v>
      </c>
      <c r="D146" vm="433">
        <f ca="1"/>
        <v>2681606</v>
      </c>
      <c r="E146">
        <f t="shared" ca="1" si="42"/>
        <v>817809381.82000005</v>
      </c>
      <c r="F146">
        <f ca="1">SUM($E$2:E146)/SUM($D$2:D146)</f>
        <v>305.83953912550732</v>
      </c>
      <c r="G146">
        <f ca="1">_xlfn.STDEV.P($C$2:C146)</f>
        <v>8.0776932798261694</v>
      </c>
      <c r="H146">
        <f t="shared" ca="1" si="43"/>
        <v>313.91723240533349</v>
      </c>
      <c r="I146">
        <f t="shared" ca="1" si="44"/>
        <v>297.76184584568114</v>
      </c>
      <c r="J146">
        <f t="shared" ca="1" si="32"/>
        <v>311.14400000000001</v>
      </c>
      <c r="K146">
        <f t="shared" ca="1" si="33"/>
        <v>4.4709005333318874</v>
      </c>
      <c r="L146">
        <f t="shared" ca="1" si="34"/>
        <v>320.08580106666381</v>
      </c>
      <c r="M146">
        <f t="shared" ca="1" si="35"/>
        <v>302.20219893333621</v>
      </c>
      <c r="N146">
        <f t="shared" ca="1" si="45"/>
        <v>1.6800000000000068</v>
      </c>
      <c r="O146">
        <f t="shared" ca="1" si="46"/>
        <v>1.6800000000000068</v>
      </c>
      <c r="P146">
        <f t="shared" ca="1" si="47"/>
        <v>0</v>
      </c>
      <c r="Q146">
        <f t="shared" ca="1" si="51"/>
        <v>0.90553230620271685</v>
      </c>
      <c r="R146">
        <f t="shared" ca="1" si="52"/>
        <v>1.1610040241474131</v>
      </c>
      <c r="S146">
        <f t="shared" ca="1" si="49"/>
        <v>0.77995621666143433</v>
      </c>
      <c r="T146">
        <f t="shared" ca="1" si="50"/>
        <v>43.818842809760525</v>
      </c>
      <c r="U146">
        <f>70</f>
        <v>70</v>
      </c>
      <c r="V146">
        <f>30</f>
        <v>30</v>
      </c>
      <c r="W146">
        <f t="shared" ca="1" si="48"/>
        <v>307.83019898324073</v>
      </c>
      <c r="X146">
        <f t="shared" ca="1" si="37"/>
        <v>308.34581873287254</v>
      </c>
      <c r="Y146">
        <f t="shared" ca="1" si="36"/>
        <v>-1.0111167810856614</v>
      </c>
      <c r="Z146">
        <f t="shared" ca="1" si="38"/>
        <v>0.66415064701335735</v>
      </c>
      <c r="AA146">
        <f t="shared" ca="1" si="39"/>
        <v>-1.6752674280990187</v>
      </c>
      <c r="AB146">
        <f t="shared" ca="1" si="40"/>
        <v>305.892</v>
      </c>
    </row>
    <row r="147" spans="1:28" x14ac:dyDescent="0.25">
      <c r="A147" s="21">
        <f t="shared" ca="1" si="41"/>
        <v>45915</v>
      </c>
      <c r="B147" vm="434">
        <f ca="1"/>
        <v>45918</v>
      </c>
      <c r="C147" vm="435">
        <f ca="1"/>
        <v>301.14</v>
      </c>
      <c r="D147" vm="436">
        <f ca="1"/>
        <v>4654057</v>
      </c>
      <c r="E147">
        <f t="shared" ca="1" si="42"/>
        <v>1401522724.98</v>
      </c>
      <c r="F147">
        <f ca="1">SUM($E$2:E147)/SUM($D$2:D147)</f>
        <v>305.79808473548275</v>
      </c>
      <c r="G147">
        <f ca="1">_xlfn.STDEV.P($C$2:C147)</f>
        <v>8.0629349939604786</v>
      </c>
      <c r="H147">
        <f t="shared" ca="1" si="43"/>
        <v>313.86101972944323</v>
      </c>
      <c r="I147">
        <f t="shared" ca="1" si="44"/>
        <v>297.73514974152226</v>
      </c>
      <c r="J147">
        <f t="shared" ca="1" si="32"/>
        <v>310.54700000000003</v>
      </c>
      <c r="K147">
        <f t="shared" ca="1" si="33"/>
        <v>4.9682879609738704</v>
      </c>
      <c r="L147">
        <f t="shared" ca="1" si="34"/>
        <v>320.48357592194776</v>
      </c>
      <c r="M147">
        <f t="shared" ca="1" si="35"/>
        <v>300.61042407805229</v>
      </c>
      <c r="N147">
        <f t="shared" ca="1" si="45"/>
        <v>-3.8300000000000409</v>
      </c>
      <c r="O147">
        <f t="shared" ca="1" si="46"/>
        <v>0</v>
      </c>
      <c r="P147">
        <f t="shared" ca="1" si="47"/>
        <v>3.8300000000000409</v>
      </c>
      <c r="Q147">
        <f t="shared" ca="1" si="51"/>
        <v>0.84085142718823713</v>
      </c>
      <c r="R147">
        <f t="shared" ca="1" si="52"/>
        <v>1.3516465938511721</v>
      </c>
      <c r="S147">
        <f t="shared" ca="1" si="49"/>
        <v>0.62209414133353125</v>
      </c>
      <c r="T147">
        <f t="shared" ca="1" si="50"/>
        <v>38.351296973559421</v>
      </c>
      <c r="U147">
        <f>70</f>
        <v>70</v>
      </c>
      <c r="V147">
        <f>30</f>
        <v>30</v>
      </c>
      <c r="W147">
        <f t="shared" ca="1" si="48"/>
        <v>306.80093760120371</v>
      </c>
      <c r="X147">
        <f t="shared" ca="1" si="37"/>
        <v>307.81205438228938</v>
      </c>
      <c r="Y147">
        <f t="shared" ca="1" si="36"/>
        <v>-1.2888866287366341</v>
      </c>
      <c r="Z147">
        <f t="shared" ca="1" si="38"/>
        <v>0.27354319186335907</v>
      </c>
      <c r="AA147">
        <f t="shared" ca="1" si="39"/>
        <v>-1.5624298205999931</v>
      </c>
      <c r="AB147">
        <f t="shared" ca="1" si="40"/>
        <v>305.73600000000005</v>
      </c>
    </row>
    <row r="148" spans="1:28" x14ac:dyDescent="0.25">
      <c r="A148" s="21">
        <f t="shared" ca="1" si="41"/>
        <v>45915</v>
      </c>
      <c r="B148" vm="437">
        <f ca="1"/>
        <v>45919</v>
      </c>
      <c r="C148" vm="438">
        <f ca="1"/>
        <v>302.38</v>
      </c>
      <c r="D148" vm="439">
        <f ca="1"/>
        <v>5696853</v>
      </c>
      <c r="E148">
        <f t="shared" ca="1" si="42"/>
        <v>1722614410.1399999</v>
      </c>
      <c r="F148">
        <f ca="1">SUM($E$2:E148)/SUM($D$2:D148)</f>
        <v>305.76157259531038</v>
      </c>
      <c r="G148">
        <f ca="1">_xlfn.STDEV.P($C$2:C148)</f>
        <v>8.0430930550948485</v>
      </c>
      <c r="H148">
        <f t="shared" ca="1" si="43"/>
        <v>313.80466565040524</v>
      </c>
      <c r="I148">
        <f t="shared" ca="1" si="44"/>
        <v>297.71847954021553</v>
      </c>
      <c r="J148">
        <f t="shared" ca="1" si="32"/>
        <v>310.005</v>
      </c>
      <c r="K148">
        <f t="shared" ca="1" si="33"/>
        <v>5.2449148304760271</v>
      </c>
      <c r="L148">
        <f t="shared" ca="1" si="34"/>
        <v>320.49482966095206</v>
      </c>
      <c r="M148">
        <f t="shared" ca="1" si="35"/>
        <v>299.51517033904793</v>
      </c>
      <c r="N148">
        <f t="shared" ca="1" si="45"/>
        <v>1.2400000000000091</v>
      </c>
      <c r="O148">
        <f t="shared" ca="1" si="46"/>
        <v>1.2400000000000091</v>
      </c>
      <c r="P148">
        <f t="shared" ca="1" si="47"/>
        <v>0</v>
      </c>
      <c r="Q148">
        <f t="shared" ca="1" si="51"/>
        <v>0.86936203953193514</v>
      </c>
      <c r="R148">
        <f t="shared" ca="1" si="52"/>
        <v>1.2551004085760884</v>
      </c>
      <c r="S148">
        <f t="shared" ca="1" si="49"/>
        <v>0.69266333879870734</v>
      </c>
      <c r="T148">
        <f t="shared" ca="1" si="50"/>
        <v>40.9215065348018</v>
      </c>
      <c r="U148">
        <f>70</f>
        <v>70</v>
      </c>
      <c r="V148">
        <f>30</f>
        <v>30</v>
      </c>
      <c r="W148">
        <f t="shared" ca="1" si="48"/>
        <v>306.12079335486465</v>
      </c>
      <c r="X148">
        <f t="shared" ca="1" si="37"/>
        <v>307.40967998360128</v>
      </c>
      <c r="Y148">
        <f t="shared" ca="1" si="36"/>
        <v>-1.4431634423806372</v>
      </c>
      <c r="Z148">
        <f t="shared" ca="1" si="38"/>
        <v>-6.9798134985440186E-2</v>
      </c>
      <c r="AA148">
        <f t="shared" ca="1" si="39"/>
        <v>-1.373365307395197</v>
      </c>
      <c r="AB148">
        <f t="shared" ca="1" si="40"/>
        <v>305.5917</v>
      </c>
    </row>
    <row r="149" spans="1:28" x14ac:dyDescent="0.25">
      <c r="A149" s="21">
        <f t="shared" ca="1" si="41"/>
        <v>45922</v>
      </c>
      <c r="B149" vm="440">
        <f ca="1"/>
        <v>45922</v>
      </c>
      <c r="C149" vm="441">
        <f ca="1"/>
        <v>302.99</v>
      </c>
      <c r="D149" vm="442">
        <f ca="1"/>
        <v>3657877</v>
      </c>
      <c r="E149">
        <f t="shared" ca="1" si="42"/>
        <v>1108300152.23</v>
      </c>
      <c r="F149">
        <f ca="1">SUM($E$2:E149)/SUM($D$2:D149)</f>
        <v>305.74269241075331</v>
      </c>
      <c r="G149">
        <f ca="1">_xlfn.STDEV.P($C$2:C149)</f>
        <v>8.0213645770332906</v>
      </c>
      <c r="H149">
        <f t="shared" ca="1" si="43"/>
        <v>313.7640569877866</v>
      </c>
      <c r="I149">
        <f t="shared" ca="1" si="44"/>
        <v>297.72132783372001</v>
      </c>
      <c r="J149">
        <f t="shared" ca="1" si="32"/>
        <v>309.45100000000002</v>
      </c>
      <c r="K149">
        <f t="shared" ca="1" si="33"/>
        <v>5.3764651858574179</v>
      </c>
      <c r="L149">
        <f t="shared" ca="1" si="34"/>
        <v>320.20393037171488</v>
      </c>
      <c r="M149">
        <f t="shared" ca="1" si="35"/>
        <v>298.69806962828517</v>
      </c>
      <c r="N149">
        <f t="shared" ca="1" si="45"/>
        <v>0.61000000000001364</v>
      </c>
      <c r="O149">
        <f t="shared" ca="1" si="46"/>
        <v>0.61000000000001364</v>
      </c>
      <c r="P149">
        <f t="shared" ca="1" si="47"/>
        <v>0</v>
      </c>
      <c r="Q149">
        <f t="shared" ca="1" si="51"/>
        <v>0.85083617956536928</v>
      </c>
      <c r="R149">
        <f t="shared" ca="1" si="52"/>
        <v>1.1654503793920821</v>
      </c>
      <c r="S149">
        <f t="shared" ca="1" si="49"/>
        <v>0.73004925358484962</v>
      </c>
      <c r="T149">
        <f t="shared" ca="1" si="50"/>
        <v>42.198177425995731</v>
      </c>
      <c r="U149">
        <f>70</f>
        <v>70</v>
      </c>
      <c r="V149">
        <f>30</f>
        <v>30</v>
      </c>
      <c r="W149">
        <f t="shared" ca="1" si="48"/>
        <v>305.63913283873165</v>
      </c>
      <c r="X149">
        <f t="shared" ca="1" si="37"/>
        <v>307.08229628111229</v>
      </c>
      <c r="Y149">
        <f t="shared" ca="1" si="36"/>
        <v>-1.5316348668324622</v>
      </c>
      <c r="Z149">
        <f t="shared" ca="1" si="38"/>
        <v>-0.36216548135484461</v>
      </c>
      <c r="AA149">
        <f t="shared" ca="1" si="39"/>
        <v>-1.1694693854776177</v>
      </c>
      <c r="AB149">
        <f t="shared" ca="1" si="40"/>
        <v>305.47660000000002</v>
      </c>
    </row>
    <row r="150" spans="1:28" x14ac:dyDescent="0.25">
      <c r="A150" s="21">
        <f t="shared" ca="1" si="41"/>
        <v>45922</v>
      </c>
      <c r="B150" vm="443">
        <f ca="1"/>
        <v>45923</v>
      </c>
      <c r="C150" vm="444">
        <f ca="1"/>
        <v>303.19</v>
      </c>
      <c r="D150" vm="445">
        <f ca="1"/>
        <v>2976905</v>
      </c>
      <c r="E150">
        <f t="shared" ca="1" si="42"/>
        <v>902567826.95000005</v>
      </c>
      <c r="F150">
        <f ca="1">SUM($E$2:E150)/SUM($D$2:D150)</f>
        <v>305.72861854826238</v>
      </c>
      <c r="G150">
        <f ca="1">_xlfn.STDEV.P($C$2:C150)</f>
        <v>7.9992136026261162</v>
      </c>
      <c r="H150">
        <f t="shared" ca="1" si="43"/>
        <v>313.7278321508885</v>
      </c>
      <c r="I150">
        <f t="shared" ca="1" si="44"/>
        <v>297.72940494563625</v>
      </c>
      <c r="J150">
        <f t="shared" ref="J150:J213" ca="1" si="53">AVERAGE(C131:C150)</f>
        <v>308.93850000000003</v>
      </c>
      <c r="K150">
        <f t="shared" ref="K150:K213" ca="1" si="54">_xlfn.STDEV.S(C131:C150)</f>
        <v>5.464026156791828</v>
      </c>
      <c r="L150">
        <f t="shared" ref="L150:L213" ca="1" si="55">J150 + 2*K150</f>
        <v>319.86655231358367</v>
      </c>
      <c r="M150">
        <f t="shared" ref="M150:M213" ca="1" si="56">J150-2*K150</f>
        <v>298.0104476864164</v>
      </c>
      <c r="N150">
        <f t="shared" ca="1" si="45"/>
        <v>0.19999999999998863</v>
      </c>
      <c r="O150">
        <f t="shared" ca="1" si="46"/>
        <v>0.19999999999998863</v>
      </c>
      <c r="P150">
        <f t="shared" ca="1" si="47"/>
        <v>0</v>
      </c>
      <c r="Q150">
        <f t="shared" ca="1" si="51"/>
        <v>0.804347881024985</v>
      </c>
      <c r="R150">
        <f t="shared" ca="1" si="52"/>
        <v>1.0822039237212191</v>
      </c>
      <c r="S150">
        <f t="shared" ca="1" si="49"/>
        <v>0.74324982879307033</v>
      </c>
      <c r="T150">
        <f t="shared" ca="1" si="50"/>
        <v>42.635875622466308</v>
      </c>
      <c r="U150">
        <f>70</f>
        <v>70</v>
      </c>
      <c r="V150">
        <f>30</f>
        <v>30</v>
      </c>
      <c r="W150">
        <f t="shared" ca="1" si="48"/>
        <v>305.26234317123448</v>
      </c>
      <c r="X150">
        <f t="shared" ca="1" si="37"/>
        <v>306.79397803806694</v>
      </c>
      <c r="Y150">
        <f t="shared" ca="1" si="36"/>
        <v>-1.4925553860829837</v>
      </c>
      <c r="Z150">
        <f t="shared" ca="1" si="38"/>
        <v>-0.58824346230047242</v>
      </c>
      <c r="AA150">
        <f t="shared" ca="1" si="39"/>
        <v>-0.90431192378251124</v>
      </c>
      <c r="AB150">
        <f t="shared" ca="1" si="40"/>
        <v>305.31200000000001</v>
      </c>
    </row>
    <row r="151" spans="1:28" x14ac:dyDescent="0.25">
      <c r="A151" s="21">
        <f t="shared" ca="1" si="41"/>
        <v>45922</v>
      </c>
      <c r="B151" vm="446">
        <f ca="1"/>
        <v>45924</v>
      </c>
      <c r="C151" vm="447">
        <f ca="1"/>
        <v>304.33</v>
      </c>
      <c r="D151" vm="448">
        <f ca="1"/>
        <v>2427617</v>
      </c>
      <c r="E151">
        <f t="shared" ca="1" si="42"/>
        <v>738796681.61000001</v>
      </c>
      <c r="F151">
        <f ca="1">SUM($E$2:E151)/SUM($D$2:D151)</f>
        <v>305.72235845121395</v>
      </c>
      <c r="G151">
        <f ca="1">_xlfn.STDEV.P($C$2:C151)</f>
        <v>7.9745789854735021</v>
      </c>
      <c r="H151">
        <f t="shared" ca="1" si="43"/>
        <v>313.69693743668745</v>
      </c>
      <c r="I151">
        <f t="shared" ca="1" si="44"/>
        <v>297.74777946574045</v>
      </c>
      <c r="J151">
        <f t="shared" ca="1" si="53"/>
        <v>308.50800000000004</v>
      </c>
      <c r="K151">
        <f t="shared" ca="1" si="54"/>
        <v>5.4713402572428569</v>
      </c>
      <c r="L151">
        <f t="shared" ca="1" si="55"/>
        <v>319.45068051448573</v>
      </c>
      <c r="M151">
        <f t="shared" ca="1" si="56"/>
        <v>297.56531948551435</v>
      </c>
      <c r="N151">
        <f t="shared" ca="1" si="45"/>
        <v>1.1399999999999864</v>
      </c>
      <c r="O151">
        <f t="shared" ca="1" si="46"/>
        <v>1.1399999999999864</v>
      </c>
      <c r="P151">
        <f t="shared" ca="1" si="47"/>
        <v>0</v>
      </c>
      <c r="Q151">
        <f t="shared" ca="1" si="51"/>
        <v>0.82832303238034222</v>
      </c>
      <c r="R151">
        <f t="shared" ca="1" si="52"/>
        <v>1.0049036434554177</v>
      </c>
      <c r="S151">
        <f t="shared" ca="1" si="49"/>
        <v>0.82428105199430546</v>
      </c>
      <c r="T151">
        <f t="shared" ca="1" si="50"/>
        <v>45.183884966255647</v>
      </c>
      <c r="U151">
        <f>70</f>
        <v>70</v>
      </c>
      <c r="V151">
        <f>30</f>
        <v>30</v>
      </c>
      <c r="W151">
        <f t="shared" ca="1" si="48"/>
        <v>305.11890576027531</v>
      </c>
      <c r="X151">
        <f t="shared" ca="1" si="37"/>
        <v>306.61146114635829</v>
      </c>
      <c r="Y151">
        <f t="shared" ca="1" si="36"/>
        <v>-1.6068657030333497</v>
      </c>
      <c r="Z151">
        <f t="shared" ca="1" si="38"/>
        <v>-0.79196791044704795</v>
      </c>
      <c r="AA151">
        <f t="shared" ca="1" si="39"/>
        <v>-0.81489779258630179</v>
      </c>
      <c r="AB151">
        <f t="shared" ca="1" si="40"/>
        <v>305.21890000000002</v>
      </c>
    </row>
    <row r="152" spans="1:28" x14ac:dyDescent="0.25">
      <c r="A152" s="21">
        <f t="shared" ca="1" si="41"/>
        <v>45922</v>
      </c>
      <c r="B152" vm="449">
        <f ca="1"/>
        <v>45925</v>
      </c>
      <c r="C152" vm="450">
        <f ca="1"/>
        <v>302.3</v>
      </c>
      <c r="D152" vm="451">
        <f ca="1"/>
        <v>2558353</v>
      </c>
      <c r="E152">
        <f t="shared" ca="1" si="42"/>
        <v>773390111.89999998</v>
      </c>
      <c r="F152">
        <f ca="1">SUM($E$2:E152)/SUM($D$2:D152)</f>
        <v>305.70629111645127</v>
      </c>
      <c r="G152">
        <f ca="1">_xlfn.STDEV.P($C$2:C152)</f>
        <v>7.9556006417481617</v>
      </c>
      <c r="H152">
        <f t="shared" ca="1" si="43"/>
        <v>313.66189175819943</v>
      </c>
      <c r="I152">
        <f t="shared" ca="1" si="44"/>
        <v>297.75069047470311</v>
      </c>
      <c r="J152">
        <f t="shared" ca="1" si="53"/>
        <v>308.05149999999998</v>
      </c>
      <c r="K152">
        <f t="shared" ca="1" si="54"/>
        <v>5.5942124933767614</v>
      </c>
      <c r="L152">
        <f t="shared" ca="1" si="55"/>
        <v>319.23992498675352</v>
      </c>
      <c r="M152">
        <f t="shared" ca="1" si="56"/>
        <v>296.86307501324643</v>
      </c>
      <c r="N152">
        <f t="shared" ca="1" si="45"/>
        <v>-2.0299999999999727</v>
      </c>
      <c r="O152">
        <f t="shared" ca="1" si="46"/>
        <v>0</v>
      </c>
      <c r="P152">
        <f t="shared" ca="1" si="47"/>
        <v>2.0299999999999727</v>
      </c>
      <c r="Q152">
        <f t="shared" ca="1" si="51"/>
        <v>0.769157101496032</v>
      </c>
      <c r="R152">
        <f t="shared" ca="1" si="52"/>
        <v>1.0781248117800288</v>
      </c>
      <c r="S152">
        <f t="shared" ca="1" si="49"/>
        <v>0.71342120419816857</v>
      </c>
      <c r="T152">
        <f t="shared" ca="1" si="50"/>
        <v>41.637234466934764</v>
      </c>
      <c r="U152">
        <f>70</f>
        <v>70</v>
      </c>
      <c r="V152">
        <f>30</f>
        <v>30</v>
      </c>
      <c r="W152">
        <f t="shared" ca="1" si="48"/>
        <v>304.68522795100216</v>
      </c>
      <c r="X152">
        <f t="shared" ca="1" si="37"/>
        <v>306.29209365403551</v>
      </c>
      <c r="Y152">
        <f t="shared" ca="1" si="36"/>
        <v>-1.4435832937718374</v>
      </c>
      <c r="Z152">
        <f t="shared" ca="1" si="38"/>
        <v>-0.92229098711200586</v>
      </c>
      <c r="AA152">
        <f t="shared" ca="1" si="39"/>
        <v>-0.52129230665983151</v>
      </c>
      <c r="AB152">
        <f t="shared" ca="1" si="40"/>
        <v>305.12230000000005</v>
      </c>
    </row>
    <row r="153" spans="1:28" x14ac:dyDescent="0.25">
      <c r="A153" s="21">
        <f t="shared" ca="1" si="41"/>
        <v>45922</v>
      </c>
      <c r="B153" vm="452">
        <f ca="1"/>
        <v>45926</v>
      </c>
      <c r="C153" vm="453">
        <f ca="1"/>
        <v>305.24</v>
      </c>
      <c r="D153" vm="454">
        <f ca="1"/>
        <v>2284795</v>
      </c>
      <c r="E153">
        <f t="shared" ca="1" si="42"/>
        <v>697410825.80000007</v>
      </c>
      <c r="F153">
        <f ca="1">SUM($E$2:E153)/SUM($D$2:D153)</f>
        <v>305.70434420968888</v>
      </c>
      <c r="G153">
        <f ca="1">_xlfn.STDEV.P($C$2:C153)</f>
        <v>7.9300647890164573</v>
      </c>
      <c r="H153">
        <f t="shared" ca="1" si="43"/>
        <v>313.63440899870534</v>
      </c>
      <c r="I153">
        <f t="shared" ca="1" si="44"/>
        <v>297.77427942067243</v>
      </c>
      <c r="J153">
        <f t="shared" ca="1" si="53"/>
        <v>307.70249999999999</v>
      </c>
      <c r="K153">
        <f t="shared" ca="1" si="54"/>
        <v>5.5379132256416614</v>
      </c>
      <c r="L153">
        <f t="shared" ca="1" si="55"/>
        <v>318.77832645128331</v>
      </c>
      <c r="M153">
        <f t="shared" ca="1" si="56"/>
        <v>296.62667354871667</v>
      </c>
      <c r="N153">
        <f t="shared" ca="1" si="45"/>
        <v>2.9399999999999977</v>
      </c>
      <c r="O153">
        <f t="shared" ca="1" si="46"/>
        <v>2.9399999999999977</v>
      </c>
      <c r="P153">
        <f t="shared" ca="1" si="47"/>
        <v>0</v>
      </c>
      <c r="Q153">
        <f t="shared" ca="1" si="51"/>
        <v>0.92421730853202955</v>
      </c>
      <c r="R153">
        <f t="shared" ca="1" si="52"/>
        <v>1.0011158966528839</v>
      </c>
      <c r="S153">
        <f t="shared" ca="1" si="49"/>
        <v>0.92318712710690543</v>
      </c>
      <c r="T153">
        <f t="shared" ca="1" si="50"/>
        <v>48.0029797462131</v>
      </c>
      <c r="U153">
        <f>70</f>
        <v>70</v>
      </c>
      <c r="V153">
        <f>30</f>
        <v>30</v>
      </c>
      <c r="W153">
        <f t="shared" ca="1" si="48"/>
        <v>304.7705774970018</v>
      </c>
      <c r="X153">
        <f t="shared" ca="1" si="37"/>
        <v>306.21416079077363</v>
      </c>
      <c r="Y153">
        <f t="shared" ca="1" si="36"/>
        <v>-1.4786915680680863</v>
      </c>
      <c r="Z153">
        <f t="shared" ca="1" si="38"/>
        <v>-1.033571103303222</v>
      </c>
      <c r="AA153">
        <f t="shared" ca="1" si="39"/>
        <v>-0.44512046476486433</v>
      </c>
      <c r="AB153">
        <f t="shared" ca="1" si="40"/>
        <v>305.0175000000001</v>
      </c>
    </row>
    <row r="154" spans="1:28" x14ac:dyDescent="0.25">
      <c r="A154" s="21">
        <f t="shared" ca="1" si="41"/>
        <v>45929</v>
      </c>
      <c r="B154" vm="455">
        <f ca="1"/>
        <v>45929</v>
      </c>
      <c r="C154" vm="441">
        <f ca="1"/>
        <v>302.99</v>
      </c>
      <c r="D154" vm="456">
        <f ca="1"/>
        <v>3073835</v>
      </c>
      <c r="E154">
        <f t="shared" ca="1" si="42"/>
        <v>931341266.64999998</v>
      </c>
      <c r="F154">
        <f ca="1">SUM($E$2:E154)/SUM($D$2:D154)</f>
        <v>305.68918231265155</v>
      </c>
      <c r="G154">
        <f ca="1">_xlfn.STDEV.P($C$2:C154)</f>
        <v>7.9092044846165175</v>
      </c>
      <c r="H154">
        <f t="shared" ca="1" si="43"/>
        <v>313.59838679726806</v>
      </c>
      <c r="I154">
        <f t="shared" ca="1" si="44"/>
        <v>297.77997782803504</v>
      </c>
      <c r="J154">
        <f t="shared" ca="1" si="53"/>
        <v>307.1749999999999</v>
      </c>
      <c r="K154">
        <f t="shared" ca="1" si="54"/>
        <v>5.4544395244897315</v>
      </c>
      <c r="L154">
        <f t="shared" ca="1" si="55"/>
        <v>318.08387904897938</v>
      </c>
      <c r="M154">
        <f t="shared" ca="1" si="56"/>
        <v>296.26612095102041</v>
      </c>
      <c r="N154">
        <f t="shared" ca="1" si="45"/>
        <v>-2.25</v>
      </c>
      <c r="O154">
        <f t="shared" ca="1" si="46"/>
        <v>0</v>
      </c>
      <c r="P154">
        <f t="shared" ca="1" si="47"/>
        <v>2.25</v>
      </c>
      <c r="Q154">
        <f t="shared" ca="1" si="51"/>
        <v>0.85820178649402745</v>
      </c>
      <c r="R154">
        <f t="shared" ca="1" si="52"/>
        <v>1.0903219040348209</v>
      </c>
      <c r="S154">
        <f t="shared" ca="1" si="49"/>
        <v>0.7871086358241407</v>
      </c>
      <c r="T154">
        <f t="shared" ca="1" si="50"/>
        <v>44.043692702607238</v>
      </c>
      <c r="U154">
        <f>70</f>
        <v>70</v>
      </c>
      <c r="V154">
        <f>30</f>
        <v>30</v>
      </c>
      <c r="W154">
        <f t="shared" ca="1" si="48"/>
        <v>304.49664249746309</v>
      </c>
      <c r="X154">
        <f t="shared" ca="1" si="37"/>
        <v>305.97533406553117</v>
      </c>
      <c r="Y154">
        <f t="shared" ca="1" si="36"/>
        <v>-1.4175519930230962</v>
      </c>
      <c r="Z154">
        <f t="shared" ca="1" si="38"/>
        <v>-1.1103672812471967</v>
      </c>
      <c r="AA154">
        <f t="shared" ca="1" si="39"/>
        <v>-0.30718471177589945</v>
      </c>
      <c r="AB154">
        <f t="shared" ca="1" si="40"/>
        <v>304.87950000000006</v>
      </c>
    </row>
    <row r="155" spans="1:28" x14ac:dyDescent="0.25">
      <c r="A155" s="21">
        <f t="shared" ca="1" si="41"/>
        <v>45929</v>
      </c>
      <c r="B155" vm="457">
        <f ca="1"/>
        <v>45930</v>
      </c>
      <c r="C155" vm="458">
        <f ca="1"/>
        <v>303.89</v>
      </c>
      <c r="D155" vm="459">
        <f ca="1"/>
        <v>2640436</v>
      </c>
      <c r="E155">
        <f t="shared" ca="1" si="42"/>
        <v>802402096.03999996</v>
      </c>
      <c r="F155">
        <f ca="1">SUM($E$2:E155)/SUM($D$2:D155)</f>
        <v>305.68059059461831</v>
      </c>
      <c r="G155">
        <f ca="1">_xlfn.STDEV.P($C$2:C155)</f>
        <v>7.8862496131475783</v>
      </c>
      <c r="H155">
        <f t="shared" ca="1" si="43"/>
        <v>313.56684020776589</v>
      </c>
      <c r="I155">
        <f t="shared" ca="1" si="44"/>
        <v>297.79434098147073</v>
      </c>
      <c r="J155">
        <f t="shared" ca="1" si="53"/>
        <v>306.58150000000001</v>
      </c>
      <c r="K155">
        <f t="shared" ca="1" si="54"/>
        <v>5.1057833823389336</v>
      </c>
      <c r="L155">
        <f t="shared" ca="1" si="55"/>
        <v>316.79306676467786</v>
      </c>
      <c r="M155">
        <f t="shared" ca="1" si="56"/>
        <v>296.36993323532215</v>
      </c>
      <c r="N155">
        <f t="shared" ca="1" si="45"/>
        <v>0.89999999999997726</v>
      </c>
      <c r="O155">
        <f t="shared" ca="1" si="46"/>
        <v>0.89999999999997726</v>
      </c>
      <c r="P155">
        <f t="shared" ca="1" si="47"/>
        <v>0</v>
      </c>
      <c r="Q155">
        <f t="shared" ca="1" si="51"/>
        <v>0.86118737317302396</v>
      </c>
      <c r="R155">
        <f t="shared" ca="1" si="52"/>
        <v>1.0124417680323337</v>
      </c>
      <c r="S155">
        <f t="shared" ca="1" si="49"/>
        <v>0.85060435114873767</v>
      </c>
      <c r="T155">
        <f t="shared" ca="1" si="50"/>
        <v>45.963598357516915</v>
      </c>
      <c r="U155">
        <f>70</f>
        <v>70</v>
      </c>
      <c r="V155">
        <f>30</f>
        <v>30</v>
      </c>
      <c r="W155">
        <f t="shared" ca="1" si="48"/>
        <v>304.40331288246875</v>
      </c>
      <c r="X155">
        <f t="shared" ca="1" si="37"/>
        <v>305.82086487549185</v>
      </c>
      <c r="Y155">
        <f t="shared" ca="1" si="36"/>
        <v>-1.6223280867283165</v>
      </c>
      <c r="Z155">
        <f t="shared" ca="1" si="38"/>
        <v>-1.2127594423434207</v>
      </c>
      <c r="AA155">
        <f t="shared" ca="1" si="39"/>
        <v>-0.40956864438489582</v>
      </c>
      <c r="AB155">
        <f t="shared" ca="1" si="40"/>
        <v>304.73710000000005</v>
      </c>
    </row>
    <row r="156" spans="1:28" x14ac:dyDescent="0.25">
      <c r="A156" s="21">
        <f t="shared" ca="1" si="41"/>
        <v>45929</v>
      </c>
      <c r="B156" vm="460">
        <f ca="1"/>
        <v>45931</v>
      </c>
      <c r="C156" vm="461">
        <f ca="1"/>
        <v>300.52</v>
      </c>
      <c r="D156" vm="462">
        <f ca="1"/>
        <v>3055347</v>
      </c>
      <c r="E156">
        <f t="shared" ca="1" si="42"/>
        <v>918192880.43999994</v>
      </c>
      <c r="F156">
        <f ca="1">SUM($E$2:E156)/SUM($D$2:D156)</f>
        <v>305.65223126527314</v>
      </c>
      <c r="G156">
        <f ca="1">_xlfn.STDEV.P($C$2:C156)</f>
        <v>7.8752066946100134</v>
      </c>
      <c r="H156">
        <f t="shared" ca="1" si="43"/>
        <v>313.52743795988317</v>
      </c>
      <c r="I156">
        <f t="shared" ca="1" si="44"/>
        <v>297.77702457066312</v>
      </c>
      <c r="J156">
        <f t="shared" ca="1" si="53"/>
        <v>305.78800000000001</v>
      </c>
      <c r="K156">
        <f t="shared" ca="1" si="54"/>
        <v>4.7197999511576096</v>
      </c>
      <c r="L156">
        <f t="shared" ca="1" si="55"/>
        <v>315.22759990231521</v>
      </c>
      <c r="M156">
        <f t="shared" ca="1" si="56"/>
        <v>296.34840009768482</v>
      </c>
      <c r="N156">
        <f t="shared" ca="1" si="45"/>
        <v>-3.3700000000000045</v>
      </c>
      <c r="O156">
        <f t="shared" ca="1" si="46"/>
        <v>0</v>
      </c>
      <c r="P156">
        <f t="shared" ca="1" si="47"/>
        <v>3.3700000000000045</v>
      </c>
      <c r="Q156">
        <f t="shared" ca="1" si="51"/>
        <v>0.79967398937495082</v>
      </c>
      <c r="R156">
        <f t="shared" ca="1" si="52"/>
        <v>1.180838784601453</v>
      </c>
      <c r="S156">
        <f t="shared" ca="1" si="49"/>
        <v>0.67720843844475365</v>
      </c>
      <c r="T156">
        <f t="shared" ca="1" si="50"/>
        <v>40.377118485804743</v>
      </c>
      <c r="U156">
        <f>70</f>
        <v>70</v>
      </c>
      <c r="V156">
        <f>30</f>
        <v>30</v>
      </c>
      <c r="W156">
        <f t="shared" ca="1" si="48"/>
        <v>303.80588013131973</v>
      </c>
      <c r="X156">
        <f t="shared" ca="1" si="37"/>
        <v>305.42820821804804</v>
      </c>
      <c r="Y156">
        <f t="shared" ref="Y156:Y219" ca="1" si="57">W157-X157</f>
        <v>-1.8153312588707422</v>
      </c>
      <c r="Z156">
        <f t="shared" ca="1" si="38"/>
        <v>-1.3332738056488851</v>
      </c>
      <c r="AA156">
        <f t="shared" ca="1" si="39"/>
        <v>-0.48205745322185711</v>
      </c>
      <c r="AB156">
        <f t="shared" ca="1" si="40"/>
        <v>304.60740000000004</v>
      </c>
    </row>
    <row r="157" spans="1:28" x14ac:dyDescent="0.25">
      <c r="A157" s="21">
        <f t="shared" ca="1" si="41"/>
        <v>45929</v>
      </c>
      <c r="B157" vm="463">
        <f ca="1"/>
        <v>45932</v>
      </c>
      <c r="C157" vm="464">
        <f ca="1"/>
        <v>299.88</v>
      </c>
      <c r="D157" vm="465">
        <f ca="1"/>
        <v>2690402</v>
      </c>
      <c r="E157">
        <f t="shared" ca="1" si="42"/>
        <v>806797751.75999999</v>
      </c>
      <c r="F157">
        <f ca="1">SUM($E$2:E157)/SUM($D$2:D157)</f>
        <v>305.62443410456245</v>
      </c>
      <c r="G157">
        <f ca="1">_xlfn.STDEV.P($C$2:C157)</f>
        <v>7.8673373317878861</v>
      </c>
      <c r="H157">
        <f t="shared" ca="1" si="43"/>
        <v>313.49177143635035</v>
      </c>
      <c r="I157">
        <f t="shared" ca="1" si="44"/>
        <v>297.75709677277456</v>
      </c>
      <c r="J157">
        <f t="shared" ca="1" si="53"/>
        <v>304.9325</v>
      </c>
      <c r="K157">
        <f t="shared" ca="1" si="54"/>
        <v>4.0912986935690725</v>
      </c>
      <c r="L157">
        <f t="shared" ca="1" si="55"/>
        <v>313.11509738713812</v>
      </c>
      <c r="M157">
        <f t="shared" ca="1" si="56"/>
        <v>296.74990261286189</v>
      </c>
      <c r="N157">
        <f t="shared" ca="1" si="45"/>
        <v>-0.63999999999998636</v>
      </c>
      <c r="O157">
        <f t="shared" ca="1" si="46"/>
        <v>0</v>
      </c>
      <c r="P157">
        <f t="shared" ca="1" si="47"/>
        <v>0.63999999999998636</v>
      </c>
      <c r="Q157">
        <f t="shared" ca="1" si="51"/>
        <v>0.74255441870531147</v>
      </c>
      <c r="R157">
        <f t="shared" ca="1" si="52"/>
        <v>1.1422074428442053</v>
      </c>
      <c r="S157">
        <f t="shared" ca="1" si="49"/>
        <v>0.65010469276603577</v>
      </c>
      <c r="T157">
        <f t="shared" ca="1" si="50"/>
        <v>39.397784614276745</v>
      </c>
      <c r="U157">
        <f>70</f>
        <v>70</v>
      </c>
      <c r="V157">
        <f>30</f>
        <v>30</v>
      </c>
      <c r="W157">
        <f t="shared" ca="1" si="48"/>
        <v>303.20189857265518</v>
      </c>
      <c r="X157">
        <f t="shared" ref="X157:X220" ca="1" si="58">C157*(2/(26+1)) + X156*(1-(2/(26+1)))</f>
        <v>305.01722983152592</v>
      </c>
      <c r="Y157">
        <f t="shared" ca="1" si="57"/>
        <v>-1.8581077469154934</v>
      </c>
      <c r="Z157">
        <f t="shared" ca="1" si="38"/>
        <v>-1.4382405939022069</v>
      </c>
      <c r="AA157">
        <f t="shared" ca="1" si="39"/>
        <v>-0.41986715301328648</v>
      </c>
      <c r="AB157">
        <f t="shared" ca="1" si="40"/>
        <v>304.46940000000012</v>
      </c>
    </row>
    <row r="158" spans="1:28" x14ac:dyDescent="0.25">
      <c r="A158" s="21">
        <f t="shared" ca="1" si="41"/>
        <v>45929</v>
      </c>
      <c r="B158" vm="466">
        <f ca="1"/>
        <v>45933</v>
      </c>
      <c r="C158" vm="467">
        <f ca="1"/>
        <v>300.98</v>
      </c>
      <c r="D158" vm="468">
        <f ca="1"/>
        <v>2599053</v>
      </c>
      <c r="E158">
        <f t="shared" ca="1" si="42"/>
        <v>782262971.94000006</v>
      </c>
      <c r="F158">
        <f ca="1">SUM($E$2:E158)/SUM($D$2:D158)</f>
        <v>305.60292750461304</v>
      </c>
      <c r="G158">
        <f ca="1">_xlfn.STDEV.P($C$2:C158)</f>
        <v>7.8540563429721919</v>
      </c>
      <c r="H158">
        <f t="shared" ca="1" si="43"/>
        <v>313.45698384758521</v>
      </c>
      <c r="I158">
        <f t="shared" ca="1" si="44"/>
        <v>297.74887116164086</v>
      </c>
      <c r="J158">
        <f t="shared" ca="1" si="53"/>
        <v>304.26249999999999</v>
      </c>
      <c r="K158">
        <f t="shared" ca="1" si="54"/>
        <v>3.5200536404405756</v>
      </c>
      <c r="L158">
        <f t="shared" ca="1" si="55"/>
        <v>311.30260728088115</v>
      </c>
      <c r="M158">
        <f t="shared" ca="1" si="56"/>
        <v>297.22239271911883</v>
      </c>
      <c r="N158">
        <f t="shared" ca="1" si="45"/>
        <v>1.1000000000000227</v>
      </c>
      <c r="O158">
        <f t="shared" ca="1" si="46"/>
        <v>1.1000000000000227</v>
      </c>
      <c r="P158">
        <f t="shared" ca="1" si="47"/>
        <v>0</v>
      </c>
      <c r="Q158">
        <f t="shared" ca="1" si="51"/>
        <v>0.76808624594064789</v>
      </c>
      <c r="R158">
        <f t="shared" ca="1" si="52"/>
        <v>1.060621196926762</v>
      </c>
      <c r="S158">
        <f t="shared" ca="1" si="49"/>
        <v>0.72418526818645668</v>
      </c>
      <c r="T158">
        <f t="shared" ca="1" si="50"/>
        <v>42.001592378072793</v>
      </c>
      <c r="U158">
        <f>70</f>
        <v>70</v>
      </c>
      <c r="V158">
        <f>30</f>
        <v>30</v>
      </c>
      <c r="W158">
        <f t="shared" ca="1" si="48"/>
        <v>302.86006802301591</v>
      </c>
      <c r="X158">
        <f t="shared" ca="1" si="58"/>
        <v>304.71817576993141</v>
      </c>
      <c r="Y158">
        <f t="shared" ca="1" si="57"/>
        <v>-2.2645211464159161</v>
      </c>
      <c r="Z158">
        <f t="shared" ca="1" si="38"/>
        <v>-1.6034967044049488</v>
      </c>
      <c r="AA158">
        <f t="shared" ca="1" si="39"/>
        <v>-0.66102444201096722</v>
      </c>
      <c r="AB158">
        <f t="shared" ca="1" si="40"/>
        <v>304.36000000000007</v>
      </c>
    </row>
    <row r="159" spans="1:28" x14ac:dyDescent="0.25">
      <c r="A159" s="21">
        <f t="shared" ca="1" si="41"/>
        <v>45936</v>
      </c>
      <c r="B159" vm="469">
        <f ca="1"/>
        <v>45936</v>
      </c>
      <c r="C159" vm="470">
        <f ca="1"/>
        <v>296.04000000000002</v>
      </c>
      <c r="D159" vm="471">
        <f ca="1"/>
        <v>3814151</v>
      </c>
      <c r="E159">
        <f t="shared" ca="1" si="42"/>
        <v>1129141262.04</v>
      </c>
      <c r="F159">
        <f ca="1">SUM($E$2:E159)/SUM($D$2:D159)</f>
        <v>305.53838121328005</v>
      </c>
      <c r="G159">
        <f ca="1">_xlfn.STDEV.P($C$2:C159)</f>
        <v>7.8718099240092689</v>
      </c>
      <c r="H159">
        <f t="shared" ca="1" si="43"/>
        <v>313.4101911372893</v>
      </c>
      <c r="I159">
        <f t="shared" ca="1" si="44"/>
        <v>297.66657128927079</v>
      </c>
      <c r="J159">
        <f t="shared" ca="1" si="53"/>
        <v>303.42450000000002</v>
      </c>
      <c r="K159">
        <f t="shared" ca="1" si="54"/>
        <v>3.3724931820772994</v>
      </c>
      <c r="L159">
        <f t="shared" ca="1" si="55"/>
        <v>310.16948636415464</v>
      </c>
      <c r="M159">
        <f t="shared" ca="1" si="56"/>
        <v>296.67951363584541</v>
      </c>
      <c r="N159">
        <f t="shared" ca="1" si="45"/>
        <v>-4.9399999999999977</v>
      </c>
      <c r="O159">
        <f t="shared" ca="1" si="46"/>
        <v>0</v>
      </c>
      <c r="P159">
        <f t="shared" ca="1" si="47"/>
        <v>4.9399999999999977</v>
      </c>
      <c r="Q159">
        <f t="shared" ca="1" si="51"/>
        <v>0.71322294265917308</v>
      </c>
      <c r="R159">
        <f t="shared" ca="1" si="52"/>
        <v>1.3377196828605646</v>
      </c>
      <c r="S159">
        <f t="shared" ca="1" si="49"/>
        <v>0.53316322679354256</v>
      </c>
      <c r="T159">
        <f t="shared" ca="1" si="50"/>
        <v>34.775372737617772</v>
      </c>
      <c r="U159">
        <f>70</f>
        <v>70</v>
      </c>
      <c r="V159">
        <f>30</f>
        <v>30</v>
      </c>
      <c r="W159">
        <f t="shared" ca="1" si="48"/>
        <v>301.81082678870575</v>
      </c>
      <c r="X159">
        <f t="shared" ca="1" si="58"/>
        <v>304.07534793512167</v>
      </c>
      <c r="Y159">
        <f t="shared" ca="1" si="57"/>
        <v>-2.5347935118772966</v>
      </c>
      <c r="Z159">
        <f t="shared" ca="1" si="38"/>
        <v>-1.7897560658994185</v>
      </c>
      <c r="AA159">
        <f t="shared" ca="1" si="39"/>
        <v>-0.74503744597787813</v>
      </c>
      <c r="AB159">
        <f t="shared" ca="1" si="40"/>
        <v>304.23350000000011</v>
      </c>
    </row>
    <row r="160" spans="1:28" x14ac:dyDescent="0.25">
      <c r="A160" s="21">
        <f t="shared" ca="1" si="41"/>
        <v>45936</v>
      </c>
      <c r="B160" vm="472">
        <f ca="1"/>
        <v>45937</v>
      </c>
      <c r="C160" vm="473">
        <f ca="1"/>
        <v>296.32</v>
      </c>
      <c r="D160" vm="474">
        <f ca="1"/>
        <v>2516057</v>
      </c>
      <c r="E160">
        <f t="shared" ca="1" si="42"/>
        <v>745558010.24000001</v>
      </c>
      <c r="F160">
        <f ca="1">SUM($E$2:E160)/SUM($D$2:D160)</f>
        <v>305.49751839773216</v>
      </c>
      <c r="G160">
        <f ca="1">_xlfn.STDEV.P($C$2:C160)</f>
        <v>7.8865268279023084</v>
      </c>
      <c r="H160">
        <f t="shared" ca="1" si="43"/>
        <v>313.38404522563445</v>
      </c>
      <c r="I160">
        <f t="shared" ca="1" si="44"/>
        <v>297.61099156982988</v>
      </c>
      <c r="J160">
        <f t="shared" ca="1" si="53"/>
        <v>302.61450000000002</v>
      </c>
      <c r="K160">
        <f t="shared" ca="1" si="54"/>
        <v>2.9975805594723077</v>
      </c>
      <c r="L160">
        <f t="shared" ca="1" si="55"/>
        <v>308.60966111894464</v>
      </c>
      <c r="M160">
        <f t="shared" ca="1" si="56"/>
        <v>296.6193388810554</v>
      </c>
      <c r="N160">
        <f t="shared" ca="1" si="45"/>
        <v>0.27999999999997272</v>
      </c>
      <c r="O160">
        <f t="shared" ca="1" si="46"/>
        <v>0.27999999999997272</v>
      </c>
      <c r="P160">
        <f t="shared" ca="1" si="47"/>
        <v>0</v>
      </c>
      <c r="Q160">
        <f t="shared" ca="1" si="51"/>
        <v>0.68227844675494442</v>
      </c>
      <c r="R160">
        <f t="shared" ca="1" si="52"/>
        <v>1.2421682769419529</v>
      </c>
      <c r="S160">
        <f t="shared" ca="1" si="49"/>
        <v>0.54926410488812349</v>
      </c>
      <c r="T160">
        <f t="shared" ca="1" si="50"/>
        <v>35.453226028740104</v>
      </c>
      <c r="U160">
        <f>70</f>
        <v>70</v>
      </c>
      <c r="V160">
        <f>30</f>
        <v>30</v>
      </c>
      <c r="W160">
        <f t="shared" ca="1" si="48"/>
        <v>300.96608420582794</v>
      </c>
      <c r="X160">
        <f t="shared" ca="1" si="58"/>
        <v>303.50087771770524</v>
      </c>
      <c r="Y160">
        <f t="shared" ca="1" si="57"/>
        <v>-2.8708212225735679</v>
      </c>
      <c r="Z160">
        <f t="shared" ca="1" si="38"/>
        <v>-2.0059690972342485</v>
      </c>
      <c r="AA160">
        <f t="shared" ca="1" si="39"/>
        <v>-0.86485212533931932</v>
      </c>
      <c r="AB160">
        <f t="shared" ca="1" si="40"/>
        <v>304.12170000000009</v>
      </c>
    </row>
    <row r="161" spans="1:28" x14ac:dyDescent="0.25">
      <c r="A161" s="21">
        <f t="shared" ca="1" si="41"/>
        <v>45936</v>
      </c>
      <c r="B161" vm="475">
        <f ca="1"/>
        <v>45938</v>
      </c>
      <c r="C161" vm="476">
        <f ca="1"/>
        <v>294.39999999999998</v>
      </c>
      <c r="D161" vm="477">
        <f ca="1"/>
        <v>2464566</v>
      </c>
      <c r="E161">
        <f t="shared" ca="1" si="42"/>
        <v>725568230.39999998</v>
      </c>
      <c r="F161">
        <f ca="1">SUM($E$2:E161)/SUM($D$2:D161)</f>
        <v>305.44954087349748</v>
      </c>
      <c r="G161">
        <f ca="1">_xlfn.STDEV.P($C$2:C161)</f>
        <v>7.9169350166964074</v>
      </c>
      <c r="H161">
        <f t="shared" ca="1" si="43"/>
        <v>313.3664758901939</v>
      </c>
      <c r="I161">
        <f t="shared" ca="1" si="44"/>
        <v>297.53260585680107</v>
      </c>
      <c r="J161">
        <f t="shared" ca="1" si="53"/>
        <v>302.03750000000002</v>
      </c>
      <c r="K161">
        <f t="shared" ca="1" si="54"/>
        <v>3.4065322311854445</v>
      </c>
      <c r="L161">
        <f t="shared" ca="1" si="55"/>
        <v>308.85056446237093</v>
      </c>
      <c r="M161">
        <f t="shared" ca="1" si="56"/>
        <v>295.22443553762912</v>
      </c>
      <c r="N161">
        <f t="shared" ca="1" si="45"/>
        <v>-1.9200000000000159</v>
      </c>
      <c r="O161">
        <f t="shared" ca="1" si="46"/>
        <v>0</v>
      </c>
      <c r="P161">
        <f t="shared" ca="1" si="47"/>
        <v>1.9200000000000159</v>
      </c>
      <c r="Q161">
        <f t="shared" ca="1" si="51"/>
        <v>0.63354427198673413</v>
      </c>
      <c r="R161">
        <f t="shared" ca="1" si="52"/>
        <v>1.2905848285889572</v>
      </c>
      <c r="S161">
        <f t="shared" ca="1" si="49"/>
        <v>0.4908970398167557</v>
      </c>
      <c r="T161">
        <f t="shared" ca="1" si="50"/>
        <v>32.926287108135327</v>
      </c>
      <c r="U161">
        <f>70</f>
        <v>70</v>
      </c>
      <c r="V161">
        <f>30</f>
        <v>30</v>
      </c>
      <c r="W161">
        <f t="shared" ca="1" si="48"/>
        <v>299.95591740493131</v>
      </c>
      <c r="X161">
        <f t="shared" ca="1" si="58"/>
        <v>302.82673862750488</v>
      </c>
      <c r="Y161">
        <f t="shared" ca="1" si="57"/>
        <v>-3.1484404121780472</v>
      </c>
      <c r="Z161">
        <f t="shared" ca="1" si="38"/>
        <v>-2.2344633602230086</v>
      </c>
      <c r="AA161">
        <f t="shared" ca="1" si="39"/>
        <v>-0.91397705195503853</v>
      </c>
      <c r="AB161">
        <f t="shared" ca="1" si="40"/>
        <v>303.92090000000013</v>
      </c>
    </row>
    <row r="162" spans="1:28" x14ac:dyDescent="0.25">
      <c r="A162" s="21">
        <f t="shared" ca="1" si="41"/>
        <v>45936</v>
      </c>
      <c r="B162" vm="478">
        <f ca="1"/>
        <v>45939</v>
      </c>
      <c r="C162" vm="479">
        <f ca="1"/>
        <v>293.81</v>
      </c>
      <c r="D162" vm="480">
        <f ca="1"/>
        <v>2802739</v>
      </c>
      <c r="E162">
        <f t="shared" ca="1" si="42"/>
        <v>823472745.59000003</v>
      </c>
      <c r="F162">
        <f ca="1">SUM($E$2:E162)/SUM($D$2:D162)</f>
        <v>305.39259529023747</v>
      </c>
      <c r="G162">
        <f ca="1">_xlfn.STDEV.P($C$2:C162)</f>
        <v>7.9516975013056426</v>
      </c>
      <c r="H162">
        <f t="shared" ca="1" si="43"/>
        <v>313.34429279154313</v>
      </c>
      <c r="I162">
        <f t="shared" ca="1" si="44"/>
        <v>297.44089778893181</v>
      </c>
      <c r="J162">
        <f t="shared" ca="1" si="53"/>
        <v>301.30649999999997</v>
      </c>
      <c r="K162">
        <f t="shared" ca="1" si="54"/>
        <v>3.5290169721147131</v>
      </c>
      <c r="L162">
        <f t="shared" ca="1" si="55"/>
        <v>308.36453394422938</v>
      </c>
      <c r="M162">
        <f t="shared" ca="1" si="56"/>
        <v>294.24846605577056</v>
      </c>
      <c r="N162">
        <f t="shared" ca="1" si="45"/>
        <v>-0.58999999999997499</v>
      </c>
      <c r="O162">
        <f t="shared" ca="1" si="46"/>
        <v>0</v>
      </c>
      <c r="P162">
        <f t="shared" ca="1" si="47"/>
        <v>0.58999999999997499</v>
      </c>
      <c r="Q162">
        <f t="shared" ca="1" si="51"/>
        <v>0.58829110970196741</v>
      </c>
      <c r="R162">
        <f t="shared" ca="1" si="52"/>
        <v>1.2405430551183156</v>
      </c>
      <c r="S162">
        <f t="shared" ca="1" si="49"/>
        <v>0.47422063045273322</v>
      </c>
      <c r="T162">
        <f t="shared" ca="1" si="50"/>
        <v>32.167548103508764</v>
      </c>
      <c r="U162">
        <f>70</f>
        <v>70</v>
      </c>
      <c r="V162">
        <f>30</f>
        <v>30</v>
      </c>
      <c r="W162">
        <f t="shared" ca="1" si="48"/>
        <v>299.01039165032648</v>
      </c>
      <c r="X162">
        <f t="shared" ca="1" si="58"/>
        <v>302.15883206250453</v>
      </c>
      <c r="Y162">
        <f t="shared" ca="1" si="57"/>
        <v>-3.0747980061738076</v>
      </c>
      <c r="Z162">
        <f t="shared" ca="1" si="38"/>
        <v>-2.4025302894131686</v>
      </c>
      <c r="AA162">
        <f t="shared" ca="1" si="39"/>
        <v>-0.67226771676063901</v>
      </c>
      <c r="AB162">
        <f t="shared" ca="1" si="40"/>
        <v>303.67290000000014</v>
      </c>
    </row>
    <row r="163" spans="1:28" x14ac:dyDescent="0.25">
      <c r="A163" s="21">
        <f t="shared" ca="1" si="41"/>
        <v>45936</v>
      </c>
      <c r="B163" vm="481">
        <f ca="1"/>
        <v>45940</v>
      </c>
      <c r="C163" vm="482">
        <f ca="1"/>
        <v>297.01</v>
      </c>
      <c r="D163" vm="483">
        <f ca="1"/>
        <v>4016226</v>
      </c>
      <c r="E163">
        <f t="shared" ca="1" si="42"/>
        <v>1192859284.26</v>
      </c>
      <c r="F163">
        <f ca="1">SUM($E$2:E163)/SUM($D$2:D163)</f>
        <v>305.33423679192231</v>
      </c>
      <c r="G163">
        <f ca="1">_xlfn.STDEV.P($C$2:C163)</f>
        <v>7.9588847976473582</v>
      </c>
      <c r="H163">
        <f t="shared" ca="1" si="43"/>
        <v>313.29312158956969</v>
      </c>
      <c r="I163">
        <f t="shared" ca="1" si="44"/>
        <v>297.37535199427492</v>
      </c>
      <c r="J163">
        <f t="shared" ca="1" si="53"/>
        <v>300.887</v>
      </c>
      <c r="K163">
        <f t="shared" ca="1" si="54"/>
        <v>3.5154457679458586</v>
      </c>
      <c r="L163">
        <f t="shared" ca="1" si="55"/>
        <v>307.91789153589173</v>
      </c>
      <c r="M163">
        <f t="shared" ca="1" si="56"/>
        <v>293.85610846410827</v>
      </c>
      <c r="N163">
        <f t="shared" ca="1" si="45"/>
        <v>3.1999999999999886</v>
      </c>
      <c r="O163">
        <f t="shared" ca="1" si="46"/>
        <v>3.1999999999999886</v>
      </c>
      <c r="P163">
        <f t="shared" ca="1" si="47"/>
        <v>0</v>
      </c>
      <c r="Q163">
        <f t="shared" ca="1" si="51"/>
        <v>0.77484174472325462</v>
      </c>
      <c r="R163">
        <f t="shared" ca="1" si="52"/>
        <v>1.1519328368955788</v>
      </c>
      <c r="S163">
        <f t="shared" ca="1" si="49"/>
        <v>0.6726448972593122</v>
      </c>
      <c r="T163">
        <f t="shared" ca="1" si="50"/>
        <v>40.214447092832714</v>
      </c>
      <c r="U163">
        <f>70</f>
        <v>70</v>
      </c>
      <c r="V163">
        <f>30</f>
        <v>30</v>
      </c>
      <c r="W163">
        <f t="shared" ca="1" si="48"/>
        <v>298.70263908873778</v>
      </c>
      <c r="X163">
        <f t="shared" ca="1" si="58"/>
        <v>301.77743709491159</v>
      </c>
      <c r="Y163">
        <f t="shared" ca="1" si="57"/>
        <v>-2.7347670840204046</v>
      </c>
      <c r="Z163">
        <f t="shared" ca="1" si="38"/>
        <v>-2.468977648334616</v>
      </c>
      <c r="AA163">
        <f t="shared" ca="1" si="39"/>
        <v>-0.26578943568578861</v>
      </c>
      <c r="AB163">
        <f t="shared" ca="1" si="40"/>
        <v>303.43070000000012</v>
      </c>
    </row>
    <row r="164" spans="1:28" x14ac:dyDescent="0.25">
      <c r="A164" s="21">
        <f t="shared" ca="1" si="41"/>
        <v>45943</v>
      </c>
      <c r="B164" vm="484">
        <f ca="1"/>
        <v>45943</v>
      </c>
      <c r="C164" vm="94">
        <f ca="1"/>
        <v>300.11</v>
      </c>
      <c r="D164" vm="485">
        <f ca="1"/>
        <v>3369584</v>
      </c>
      <c r="E164">
        <f t="shared" ca="1" si="42"/>
        <v>1011245854.24</v>
      </c>
      <c r="F164">
        <f ca="1">SUM($E$2:E164)/SUM($D$2:D164)</f>
        <v>305.30389946636109</v>
      </c>
      <c r="G164">
        <f ca="1">_xlfn.STDEV.P($C$2:C164)</f>
        <v>7.9478602927038455</v>
      </c>
      <c r="H164">
        <f t="shared" ca="1" si="43"/>
        <v>313.25175975906495</v>
      </c>
      <c r="I164">
        <f t="shared" ca="1" si="44"/>
        <v>297.35603917365722</v>
      </c>
      <c r="J164">
        <f t="shared" ca="1" si="53"/>
        <v>300.78899999999999</v>
      </c>
      <c r="K164">
        <f t="shared" ca="1" si="54"/>
        <v>3.5080432392462151</v>
      </c>
      <c r="L164">
        <f t="shared" ca="1" si="55"/>
        <v>307.8050864784924</v>
      </c>
      <c r="M164">
        <f t="shared" ca="1" si="56"/>
        <v>293.77291352150758</v>
      </c>
      <c r="N164">
        <f t="shared" ca="1" si="45"/>
        <v>3.1000000000000227</v>
      </c>
      <c r="O164">
        <f t="shared" ca="1" si="46"/>
        <v>3.1000000000000227</v>
      </c>
      <c r="P164">
        <f t="shared" ca="1" si="47"/>
        <v>0</v>
      </c>
      <c r="Q164">
        <f t="shared" ca="1" si="51"/>
        <v>0.94092447724302375</v>
      </c>
      <c r="R164">
        <f t="shared" ca="1" si="52"/>
        <v>1.0696519199744661</v>
      </c>
      <c r="S164">
        <f t="shared" ca="1" si="49"/>
        <v>0.8796548294565627</v>
      </c>
      <c r="T164">
        <f t="shared" ca="1" si="50"/>
        <v>46.798742815503232</v>
      </c>
      <c r="U164">
        <f>70</f>
        <v>70</v>
      </c>
      <c r="V164">
        <f>30</f>
        <v>30</v>
      </c>
      <c r="W164">
        <f t="shared" ca="1" si="48"/>
        <v>298.9191561520089</v>
      </c>
      <c r="X164">
        <f t="shared" ca="1" si="58"/>
        <v>301.6539232360293</v>
      </c>
      <c r="Y164">
        <f t="shared" ca="1" si="57"/>
        <v>-2.0822098990395261</v>
      </c>
      <c r="Z164">
        <f t="shared" ca="1" si="38"/>
        <v>-2.3916240984755981</v>
      </c>
      <c r="AA164">
        <f t="shared" ca="1" si="39"/>
        <v>0.30941419943607196</v>
      </c>
      <c r="AB164">
        <f t="shared" ca="1" si="40"/>
        <v>303.23380000000014</v>
      </c>
    </row>
    <row r="165" spans="1:28" x14ac:dyDescent="0.25">
      <c r="A165" s="21">
        <f t="shared" ca="1" si="41"/>
        <v>45943</v>
      </c>
      <c r="B165" vm="486">
        <f ca="1"/>
        <v>45944</v>
      </c>
      <c r="C165" vm="487">
        <f ca="1"/>
        <v>304.56</v>
      </c>
      <c r="D165" vm="488">
        <f ca="1"/>
        <v>2992849</v>
      </c>
      <c r="E165">
        <f t="shared" ca="1" si="42"/>
        <v>911502091.44000006</v>
      </c>
      <c r="F165">
        <f ca="1">SUM($E$2:E165)/SUM($D$2:D165)</f>
        <v>305.30008228350113</v>
      </c>
      <c r="G165">
        <f ca="1">_xlfn.STDEV.P($C$2:C165)</f>
        <v>7.9243713309310451</v>
      </c>
      <c r="H165">
        <f t="shared" ca="1" si="43"/>
        <v>313.22445361443215</v>
      </c>
      <c r="I165">
        <f t="shared" ca="1" si="44"/>
        <v>297.3757109525701</v>
      </c>
      <c r="J165">
        <f t="shared" ca="1" si="53"/>
        <v>300.85250000000002</v>
      </c>
      <c r="K165">
        <f t="shared" ca="1" si="54"/>
        <v>3.5667010778795847</v>
      </c>
      <c r="L165">
        <f t="shared" ca="1" si="55"/>
        <v>307.98590215575916</v>
      </c>
      <c r="M165">
        <f t="shared" ca="1" si="56"/>
        <v>293.71909784424088</v>
      </c>
      <c r="N165">
        <f t="shared" ca="1" si="45"/>
        <v>4.4499999999999886</v>
      </c>
      <c r="O165">
        <f t="shared" ca="1" si="46"/>
        <v>4.4499999999999886</v>
      </c>
      <c r="P165">
        <f t="shared" ca="1" si="47"/>
        <v>0</v>
      </c>
      <c r="Q165">
        <f t="shared" ca="1" si="51"/>
        <v>1.1915727288685214</v>
      </c>
      <c r="R165">
        <f t="shared" ca="1" si="52"/>
        <v>0.9932482114048613</v>
      </c>
      <c r="S165">
        <f t="shared" ca="1" si="49"/>
        <v>1.1996726650865523</v>
      </c>
      <c r="T165">
        <f t="shared" ca="1" si="50"/>
        <v>54.538690420983521</v>
      </c>
      <c r="U165">
        <f>70</f>
        <v>70</v>
      </c>
      <c r="V165">
        <f>30</f>
        <v>30</v>
      </c>
      <c r="W165">
        <f t="shared" ca="1" si="48"/>
        <v>299.78697828246908</v>
      </c>
      <c r="X165">
        <f t="shared" ca="1" si="58"/>
        <v>301.8691881815086</v>
      </c>
      <c r="Y165">
        <f t="shared" ca="1" si="57"/>
        <v>-1.4921755244928363</v>
      </c>
      <c r="Z165">
        <f t="shared" ca="1" si="38"/>
        <v>-2.2117343836790457</v>
      </c>
      <c r="AA165">
        <f t="shared" ca="1" si="39"/>
        <v>0.71955885918620943</v>
      </c>
      <c r="AB165">
        <f t="shared" ca="1" si="40"/>
        <v>303.11500000000012</v>
      </c>
    </row>
    <row r="166" spans="1:28" x14ac:dyDescent="0.25">
      <c r="A166" s="21">
        <f t="shared" ca="1" si="41"/>
        <v>45943</v>
      </c>
      <c r="B166" vm="489">
        <f ca="1"/>
        <v>45945</v>
      </c>
      <c r="C166" vm="490">
        <f ca="1"/>
        <v>305.25</v>
      </c>
      <c r="D166" vm="491">
        <f ca="1"/>
        <v>2522103</v>
      </c>
      <c r="E166">
        <f t="shared" ca="1" si="42"/>
        <v>769871940.75</v>
      </c>
      <c r="F166">
        <f ca="1">SUM($E$2:E166)/SUM($D$2:D166)</f>
        <v>305.29986664965878</v>
      </c>
      <c r="G166">
        <f ca="1">_xlfn.STDEV.P($C$2:C166)</f>
        <v>7.9005241411134195</v>
      </c>
      <c r="H166">
        <f t="shared" ca="1" si="43"/>
        <v>313.20039079077219</v>
      </c>
      <c r="I166">
        <f t="shared" ca="1" si="44"/>
        <v>297.39934250854537</v>
      </c>
      <c r="J166">
        <f t="shared" ca="1" si="53"/>
        <v>300.86649999999997</v>
      </c>
      <c r="K166">
        <f t="shared" ca="1" si="54"/>
        <v>3.5842202044076781</v>
      </c>
      <c r="L166">
        <f t="shared" ca="1" si="55"/>
        <v>308.03494040881532</v>
      </c>
      <c r="M166">
        <f t="shared" ca="1" si="56"/>
        <v>293.69805959118463</v>
      </c>
      <c r="N166">
        <f t="shared" ca="1" si="45"/>
        <v>0.68999999999999773</v>
      </c>
      <c r="O166">
        <f t="shared" ca="1" si="46"/>
        <v>0.68999999999999773</v>
      </c>
      <c r="P166">
        <f t="shared" ca="1" si="47"/>
        <v>0</v>
      </c>
      <c r="Q166">
        <f t="shared" ca="1" si="51"/>
        <v>1.1557461053779126</v>
      </c>
      <c r="R166">
        <f t="shared" ca="1" si="52"/>
        <v>0.92230191059022837</v>
      </c>
      <c r="S166">
        <f t="shared" ca="1" si="49"/>
        <v>1.2531103883741184</v>
      </c>
      <c r="T166">
        <f t="shared" ca="1" si="50"/>
        <v>55.616910509137696</v>
      </c>
      <c r="U166">
        <f>70</f>
        <v>70</v>
      </c>
      <c r="V166">
        <f>30</f>
        <v>30</v>
      </c>
      <c r="W166">
        <f t="shared" ca="1" si="48"/>
        <v>300.62744316208921</v>
      </c>
      <c r="X166">
        <f t="shared" ca="1" si="58"/>
        <v>302.11961868658204</v>
      </c>
      <c r="Y166">
        <f t="shared" ca="1" si="57"/>
        <v>-1.006511264953474</v>
      </c>
      <c r="Z166">
        <f t="shared" ref="Z166:Z229" ca="1" si="59">Y166*(2/(9+1)) + Z165*(1-(2/(9+1)))</f>
        <v>-1.9706897599339315</v>
      </c>
      <c r="AA166">
        <f t="shared" ref="AA166:AA229" ca="1" si="60">Y166-Z166</f>
        <v>0.96417849498045749</v>
      </c>
      <c r="AB166">
        <f t="shared" ref="AB166:AB229" ca="1" si="61">AVERAGE(C67:C166)</f>
        <v>303.02440000000018</v>
      </c>
    </row>
    <row r="167" spans="1:28" x14ac:dyDescent="0.25">
      <c r="A167" s="21">
        <f t="shared" ca="1" si="41"/>
        <v>45943</v>
      </c>
      <c r="B167" vm="492">
        <f ca="1"/>
        <v>45946</v>
      </c>
      <c r="C167" vm="493">
        <f ca="1"/>
        <v>305.33</v>
      </c>
      <c r="D167" vm="494">
        <f ca="1"/>
        <v>2021608</v>
      </c>
      <c r="E167">
        <f t="shared" ca="1" si="42"/>
        <v>617257570.63999999</v>
      </c>
      <c r="F167">
        <f ca="1">SUM($E$2:E167)/SUM($D$2:D167)</f>
        <v>305.29997028743924</v>
      </c>
      <c r="G167">
        <f ca="1">_xlfn.STDEV.P($C$2:C167)</f>
        <v>7.8768493104025668</v>
      </c>
      <c r="H167">
        <f t="shared" ca="1" si="43"/>
        <v>313.17681959784181</v>
      </c>
      <c r="I167">
        <f t="shared" ca="1" si="44"/>
        <v>297.42312097703666</v>
      </c>
      <c r="J167">
        <f t="shared" ca="1" si="53"/>
        <v>301.07600000000002</v>
      </c>
      <c r="K167">
        <f t="shared" ca="1" si="54"/>
        <v>3.7208960437535818</v>
      </c>
      <c r="L167">
        <f t="shared" ca="1" si="55"/>
        <v>308.51779208750719</v>
      </c>
      <c r="M167">
        <f t="shared" ca="1" si="56"/>
        <v>293.63420791249285</v>
      </c>
      <c r="N167">
        <f t="shared" ca="1" si="45"/>
        <v>7.9999999999984084E-2</v>
      </c>
      <c r="O167">
        <f t="shared" ca="1" si="46"/>
        <v>7.9999999999984084E-2</v>
      </c>
      <c r="P167">
        <f t="shared" ca="1" si="47"/>
        <v>0</v>
      </c>
      <c r="Q167">
        <f t="shared" ca="1" si="51"/>
        <v>1.0789070978509177</v>
      </c>
      <c r="R167">
        <f t="shared" ca="1" si="52"/>
        <v>0.85642320269092642</v>
      </c>
      <c r="S167">
        <f t="shared" ca="1" si="49"/>
        <v>1.2597826570566224</v>
      </c>
      <c r="T167">
        <f t="shared" ca="1" si="50"/>
        <v>55.747956694981248</v>
      </c>
      <c r="U167">
        <f>70</f>
        <v>70</v>
      </c>
      <c r="V167">
        <f>30</f>
        <v>30</v>
      </c>
      <c r="W167">
        <f t="shared" ca="1" si="48"/>
        <v>301.35091344484471</v>
      </c>
      <c r="X167">
        <f t="shared" ca="1" si="58"/>
        <v>302.35742470979818</v>
      </c>
      <c r="Y167">
        <f t="shared" ca="1" si="57"/>
        <v>-0.39436392468809345</v>
      </c>
      <c r="Z167">
        <f t="shared" ca="1" si="59"/>
        <v>-1.655424592884764</v>
      </c>
      <c r="AA167">
        <f t="shared" ca="1" si="60"/>
        <v>1.2610606681966705</v>
      </c>
      <c r="AB167">
        <f t="shared" ca="1" si="61"/>
        <v>302.93200000000019</v>
      </c>
    </row>
    <row r="168" spans="1:28" x14ac:dyDescent="0.25">
      <c r="A168" s="21">
        <f t="shared" ca="1" si="41"/>
        <v>45943</v>
      </c>
      <c r="B168" vm="495">
        <f ca="1"/>
        <v>45947</v>
      </c>
      <c r="C168" vm="496">
        <f ca="1"/>
        <v>308.08999999999997</v>
      </c>
      <c r="D168" vm="497">
        <f ca="1"/>
        <v>2194185</v>
      </c>
      <c r="E168">
        <f t="shared" ca="1" si="42"/>
        <v>676006456.64999998</v>
      </c>
      <c r="F168">
        <f ca="1">SUM($E$2:E168)/SUM($D$2:D168)</f>
        <v>305.31034647093253</v>
      </c>
      <c r="G168">
        <f ca="1">_xlfn.STDEV.P($C$2:C168)</f>
        <v>7.854932577695128</v>
      </c>
      <c r="H168">
        <f t="shared" ca="1" si="43"/>
        <v>313.16527904862767</v>
      </c>
      <c r="I168">
        <f t="shared" ca="1" si="44"/>
        <v>297.45541389323739</v>
      </c>
      <c r="J168">
        <f t="shared" ca="1" si="53"/>
        <v>301.36150000000004</v>
      </c>
      <c r="K168">
        <f t="shared" ca="1" si="54"/>
        <v>4.0322506122511763</v>
      </c>
      <c r="L168">
        <f t="shared" ca="1" si="55"/>
        <v>309.42600122450239</v>
      </c>
      <c r="M168">
        <f t="shared" ca="1" si="56"/>
        <v>293.29699877549768</v>
      </c>
      <c r="N168">
        <f t="shared" ca="1" si="45"/>
        <v>2.7599999999999909</v>
      </c>
      <c r="O168">
        <f t="shared" ca="1" si="46"/>
        <v>2.7599999999999909</v>
      </c>
      <c r="P168">
        <f t="shared" ca="1" si="47"/>
        <v>0</v>
      </c>
      <c r="Q168">
        <f t="shared" ca="1" si="51"/>
        <v>1.1989851622901371</v>
      </c>
      <c r="R168">
        <f t="shared" ca="1" si="52"/>
        <v>0.79525011678443158</v>
      </c>
      <c r="S168">
        <f t="shared" ca="1" si="49"/>
        <v>1.5076831011835563</v>
      </c>
      <c r="T168">
        <f t="shared" ca="1" si="50"/>
        <v>60.122552984145884</v>
      </c>
      <c r="U168">
        <f>70</f>
        <v>70</v>
      </c>
      <c r="V168">
        <f>30</f>
        <v>30</v>
      </c>
      <c r="W168">
        <f t="shared" ca="1" si="48"/>
        <v>302.3876959917917</v>
      </c>
      <c r="X168">
        <f t="shared" ca="1" si="58"/>
        <v>302.7820599164798</v>
      </c>
      <c r="Y168">
        <f t="shared" ca="1" si="57"/>
        <v>6.4205802581795979E-2</v>
      </c>
      <c r="Z168">
        <f t="shared" ca="1" si="59"/>
        <v>-1.3114985137914521</v>
      </c>
      <c r="AA168">
        <f t="shared" ca="1" si="60"/>
        <v>1.3757043163732481</v>
      </c>
      <c r="AB168">
        <f t="shared" ca="1" si="61"/>
        <v>302.86340000000013</v>
      </c>
    </row>
    <row r="169" spans="1:28" x14ac:dyDescent="0.25">
      <c r="A169" s="21">
        <f t="shared" ca="1" si="41"/>
        <v>45950</v>
      </c>
      <c r="B169" vm="498">
        <f ca="1"/>
        <v>45950</v>
      </c>
      <c r="C169" vm="499">
        <f ca="1"/>
        <v>307.77</v>
      </c>
      <c r="D169" vm="500">
        <f ca="1"/>
        <v>2329755</v>
      </c>
      <c r="E169">
        <f t="shared" ca="1" si="42"/>
        <v>717028696.3499999</v>
      </c>
      <c r="F169">
        <f ca="1">SUM($E$2:E169)/SUM($D$2:D169)</f>
        <v>305.32002096346855</v>
      </c>
      <c r="G169">
        <f ca="1">_xlfn.STDEV.P($C$2:C169)</f>
        <v>7.832725764359421</v>
      </c>
      <c r="H169">
        <f t="shared" ca="1" si="43"/>
        <v>313.15274672782795</v>
      </c>
      <c r="I169">
        <f t="shared" ca="1" si="44"/>
        <v>297.48729519910916</v>
      </c>
      <c r="J169">
        <f t="shared" ca="1" si="53"/>
        <v>301.60050000000001</v>
      </c>
      <c r="K169">
        <f t="shared" ca="1" si="54"/>
        <v>4.2685896536887826</v>
      </c>
      <c r="L169">
        <f t="shared" ca="1" si="55"/>
        <v>310.1376793073776</v>
      </c>
      <c r="M169">
        <f t="shared" ca="1" si="56"/>
        <v>293.06332069262243</v>
      </c>
      <c r="N169">
        <f t="shared" ca="1" si="45"/>
        <v>-0.31999999999999318</v>
      </c>
      <c r="O169">
        <f t="shared" ca="1" si="46"/>
        <v>0</v>
      </c>
      <c r="P169">
        <f t="shared" ca="1" si="47"/>
        <v>0.31999999999999318</v>
      </c>
      <c r="Q169">
        <f t="shared" ca="1" si="51"/>
        <v>1.1133433649836986</v>
      </c>
      <c r="R169">
        <f t="shared" ca="1" si="52"/>
        <v>0.76130367987125747</v>
      </c>
      <c r="S169">
        <f t="shared" ca="1" si="49"/>
        <v>1.4624168967263811</v>
      </c>
      <c r="T169">
        <f t="shared" ca="1" si="50"/>
        <v>59.389492440153688</v>
      </c>
      <c r="U169">
        <f>70</f>
        <v>70</v>
      </c>
      <c r="V169">
        <f>30</f>
        <v>30</v>
      </c>
      <c r="W169">
        <f t="shared" ca="1" si="48"/>
        <v>303.21574276228529</v>
      </c>
      <c r="X169">
        <f t="shared" ca="1" si="58"/>
        <v>303.15153695970349</v>
      </c>
      <c r="Y169">
        <f t="shared" ca="1" si="57"/>
        <v>0.39961848574091619</v>
      </c>
      <c r="Z169">
        <f t="shared" ca="1" si="59"/>
        <v>-0.96927511388497856</v>
      </c>
      <c r="AA169">
        <f t="shared" ca="1" si="60"/>
        <v>1.3688935996258946</v>
      </c>
      <c r="AB169">
        <f t="shared" ca="1" si="61"/>
        <v>302.81270000000018</v>
      </c>
    </row>
    <row r="170" spans="1:28" x14ac:dyDescent="0.25">
      <c r="A170" s="21">
        <f t="shared" ca="1" si="41"/>
        <v>45950</v>
      </c>
      <c r="B170" vm="501">
        <f ca="1"/>
        <v>45951</v>
      </c>
      <c r="C170" vm="502">
        <f ca="1"/>
        <v>307.48</v>
      </c>
      <c r="D170" vm="503">
        <f ca="1"/>
        <v>2461407</v>
      </c>
      <c r="E170">
        <f t="shared" ca="1" si="42"/>
        <v>756833424.36000001</v>
      </c>
      <c r="F170">
        <f ca="1">SUM($E$2:E170)/SUM($D$2:D170)</f>
        <v>305.32895969686729</v>
      </c>
      <c r="G170">
        <f ca="1">_xlfn.STDEV.P($C$2:C170)</f>
        <v>7.8103492818762792</v>
      </c>
      <c r="H170">
        <f t="shared" ca="1" si="43"/>
        <v>313.13930897874354</v>
      </c>
      <c r="I170">
        <f t="shared" ca="1" si="44"/>
        <v>297.51861041499103</v>
      </c>
      <c r="J170">
        <f t="shared" ca="1" si="53"/>
        <v>301.81499999999994</v>
      </c>
      <c r="K170">
        <f t="shared" ca="1" si="54"/>
        <v>4.456326667606521</v>
      </c>
      <c r="L170">
        <f t="shared" ca="1" si="55"/>
        <v>310.72765333521301</v>
      </c>
      <c r="M170">
        <f t="shared" ca="1" si="56"/>
        <v>292.90234666478688</v>
      </c>
      <c r="N170">
        <f t="shared" ca="1" si="45"/>
        <v>-0.28999999999996362</v>
      </c>
      <c r="O170">
        <f t="shared" ca="1" si="46"/>
        <v>0</v>
      </c>
      <c r="P170">
        <f t="shared" ca="1" si="47"/>
        <v>0.28999999999996362</v>
      </c>
      <c r="Q170">
        <f t="shared" ca="1" si="51"/>
        <v>1.0338188389134344</v>
      </c>
      <c r="R170">
        <f t="shared" ca="1" si="52"/>
        <v>0.72763913130902225</v>
      </c>
      <c r="S170">
        <f t="shared" ca="1" si="49"/>
        <v>1.420785104085311</v>
      </c>
      <c r="T170">
        <f t="shared" ca="1" si="50"/>
        <v>58.691087518987025</v>
      </c>
      <c r="U170">
        <f>70</f>
        <v>70</v>
      </c>
      <c r="V170">
        <f>30</f>
        <v>30</v>
      </c>
      <c r="W170">
        <f t="shared" ca="1" si="48"/>
        <v>303.87178233731828</v>
      </c>
      <c r="X170">
        <f t="shared" ca="1" si="58"/>
        <v>303.47216385157736</v>
      </c>
      <c r="Y170">
        <f t="shared" ca="1" si="57"/>
        <v>0.86765271344978601</v>
      </c>
      <c r="Z170">
        <f t="shared" ca="1" si="59"/>
        <v>-0.60188954841802578</v>
      </c>
      <c r="AA170">
        <f t="shared" ca="1" si="60"/>
        <v>1.4695422618678118</v>
      </c>
      <c r="AB170">
        <f t="shared" ca="1" si="61"/>
        <v>302.76890000000014</v>
      </c>
    </row>
    <row r="171" spans="1:28" x14ac:dyDescent="0.25">
      <c r="A171" s="21">
        <f t="shared" ca="1" si="41"/>
        <v>45950</v>
      </c>
      <c r="B171" vm="504">
        <f ca="1"/>
        <v>45952</v>
      </c>
      <c r="C171" vm="505">
        <f ca="1"/>
        <v>310.11</v>
      </c>
      <c r="D171" vm="506">
        <f ca="1"/>
        <v>2735723</v>
      </c>
      <c r="E171">
        <f t="shared" ca="1" si="42"/>
        <v>848375059.53000009</v>
      </c>
      <c r="F171">
        <f ca="1">SUM($E$2:E171)/SUM($D$2:D171)</f>
        <v>305.35084963655618</v>
      </c>
      <c r="G171">
        <f ca="1">_xlfn.STDEV.P($C$2:C171)</f>
        <v>7.7936752063101347</v>
      </c>
      <c r="H171">
        <f t="shared" ca="1" si="43"/>
        <v>313.1445248428663</v>
      </c>
      <c r="I171">
        <f t="shared" ca="1" si="44"/>
        <v>297.55717443024605</v>
      </c>
      <c r="J171">
        <f t="shared" ca="1" si="53"/>
        <v>302.10399999999993</v>
      </c>
      <c r="K171">
        <f t="shared" ca="1" si="54"/>
        <v>4.8020252306489892</v>
      </c>
      <c r="L171">
        <f t="shared" ca="1" si="55"/>
        <v>311.70805046129789</v>
      </c>
      <c r="M171">
        <f t="shared" ca="1" si="56"/>
        <v>292.49994953870197</v>
      </c>
      <c r="N171">
        <f t="shared" ca="1" si="45"/>
        <v>2.6299999999999955</v>
      </c>
      <c r="O171">
        <f t="shared" ca="1" si="46"/>
        <v>2.6299999999999955</v>
      </c>
      <c r="P171">
        <f t="shared" ca="1" si="47"/>
        <v>0</v>
      </c>
      <c r="Q171">
        <f t="shared" ca="1" si="51"/>
        <v>1.1478317789910459</v>
      </c>
      <c r="R171">
        <f t="shared" ca="1" si="52"/>
        <v>0.67566490764409204</v>
      </c>
      <c r="S171">
        <f t="shared" ca="1" si="49"/>
        <v>1.6988181064387449</v>
      </c>
      <c r="T171">
        <f t="shared" ca="1" si="50"/>
        <v>62.946743331303608</v>
      </c>
      <c r="U171">
        <f>70</f>
        <v>70</v>
      </c>
      <c r="V171">
        <f>30</f>
        <v>30</v>
      </c>
      <c r="W171">
        <f t="shared" ca="1" si="48"/>
        <v>304.83150813157698</v>
      </c>
      <c r="X171">
        <f t="shared" ca="1" si="58"/>
        <v>303.9638554181272</v>
      </c>
      <c r="Y171">
        <f t="shared" ca="1" si="57"/>
        <v>0.97397408600295421</v>
      </c>
      <c r="Z171">
        <f t="shared" ca="1" si="59"/>
        <v>-0.28671682153382982</v>
      </c>
      <c r="AA171">
        <f t="shared" ca="1" si="60"/>
        <v>1.260690907536784</v>
      </c>
      <c r="AB171">
        <f t="shared" ca="1" si="61"/>
        <v>302.73150000000015</v>
      </c>
    </row>
    <row r="172" spans="1:28" x14ac:dyDescent="0.25">
      <c r="A172" s="21">
        <f t="shared" ca="1" si="41"/>
        <v>45950</v>
      </c>
      <c r="B172" vm="507">
        <f ca="1"/>
        <v>45953</v>
      </c>
      <c r="C172" vm="508">
        <f ca="1"/>
        <v>306.97000000000003</v>
      </c>
      <c r="D172" vm="509">
        <f ca="1"/>
        <v>2081527</v>
      </c>
      <c r="E172">
        <f t="shared" ca="1" si="42"/>
        <v>638966343.19000006</v>
      </c>
      <c r="F172">
        <f ca="1">SUM($E$2:E172)/SUM($D$2:D172)</f>
        <v>305.35647057690539</v>
      </c>
      <c r="G172">
        <f ca="1">_xlfn.STDEV.P($C$2:C172)</f>
        <v>7.7711859891604202</v>
      </c>
      <c r="H172">
        <f t="shared" ca="1" si="43"/>
        <v>313.12765656606581</v>
      </c>
      <c r="I172">
        <f t="shared" ca="1" si="44"/>
        <v>297.58528458774498</v>
      </c>
      <c r="J172">
        <f t="shared" ca="1" si="53"/>
        <v>302.33749999999998</v>
      </c>
      <c r="K172">
        <f t="shared" ca="1" si="54"/>
        <v>4.9240471961054251</v>
      </c>
      <c r="L172">
        <f t="shared" ca="1" si="55"/>
        <v>312.18559439221082</v>
      </c>
      <c r="M172">
        <f t="shared" ca="1" si="56"/>
        <v>292.48940560778914</v>
      </c>
      <c r="N172">
        <f t="shared" ca="1" si="45"/>
        <v>-3.1399999999999864</v>
      </c>
      <c r="O172">
        <f t="shared" ca="1" si="46"/>
        <v>0</v>
      </c>
      <c r="P172">
        <f t="shared" ca="1" si="47"/>
        <v>3.1399999999999864</v>
      </c>
      <c r="Q172">
        <f t="shared" ca="1" si="51"/>
        <v>1.0658437947773998</v>
      </c>
      <c r="R172">
        <f t="shared" ca="1" si="52"/>
        <v>0.85168884281237023</v>
      </c>
      <c r="S172">
        <f t="shared" ca="1" si="49"/>
        <v>1.251447408020359</v>
      </c>
      <c r="T172">
        <f t="shared" ca="1" si="50"/>
        <v>55.584127950860072</v>
      </c>
      <c r="U172">
        <f>70</f>
        <v>70</v>
      </c>
      <c r="V172">
        <f>30</f>
        <v>30</v>
      </c>
      <c r="W172">
        <f t="shared" ca="1" si="48"/>
        <v>305.16050688056515</v>
      </c>
      <c r="X172">
        <f t="shared" ca="1" si="58"/>
        <v>304.1865327945622</v>
      </c>
      <c r="Y172">
        <f t="shared" ca="1" si="57"/>
        <v>0.95204383274966631</v>
      </c>
      <c r="Z172">
        <f t="shared" ca="1" si="59"/>
        <v>-3.8964690677130598E-2</v>
      </c>
      <c r="AA172">
        <f t="shared" ca="1" si="60"/>
        <v>0.99100852342679691</v>
      </c>
      <c r="AB172">
        <f t="shared" ca="1" si="61"/>
        <v>302.67440000000022</v>
      </c>
    </row>
    <row r="173" spans="1:28" x14ac:dyDescent="0.25">
      <c r="A173" s="21">
        <f t="shared" ca="1" si="41"/>
        <v>45950</v>
      </c>
      <c r="B173" vm="510">
        <f ca="1"/>
        <v>45954</v>
      </c>
      <c r="C173" vm="511">
        <f ca="1"/>
        <v>305.79000000000002</v>
      </c>
      <c r="D173" vm="512">
        <f ca="1"/>
        <v>1994545</v>
      </c>
      <c r="E173">
        <f t="shared" ca="1" si="42"/>
        <v>609911915.55000007</v>
      </c>
      <c r="F173">
        <f ca="1">SUM($E$2:E173)/SUM($D$2:D173)</f>
        <v>305.3579079181676</v>
      </c>
      <c r="G173">
        <f ca="1">_xlfn.STDEV.P($C$2:C173)</f>
        <v>7.7485843163020123</v>
      </c>
      <c r="H173">
        <f t="shared" ca="1" si="43"/>
        <v>313.10649223446961</v>
      </c>
      <c r="I173">
        <f t="shared" ca="1" si="44"/>
        <v>297.60932360186558</v>
      </c>
      <c r="J173">
        <f t="shared" ca="1" si="53"/>
        <v>302.36500000000001</v>
      </c>
      <c r="K173">
        <f t="shared" ca="1" si="54"/>
        <v>4.9426111786340137</v>
      </c>
      <c r="L173">
        <f t="shared" ca="1" si="55"/>
        <v>312.25022235726806</v>
      </c>
      <c r="M173">
        <f t="shared" ca="1" si="56"/>
        <v>292.47977764273196</v>
      </c>
      <c r="N173">
        <f t="shared" ca="1" si="45"/>
        <v>-1.1800000000000068</v>
      </c>
      <c r="O173">
        <f t="shared" ca="1" si="46"/>
        <v>0</v>
      </c>
      <c r="P173">
        <f t="shared" ca="1" si="47"/>
        <v>1.1800000000000068</v>
      </c>
      <c r="Q173">
        <f t="shared" ca="1" si="51"/>
        <v>0.98971209515044267</v>
      </c>
      <c r="R173">
        <f t="shared" ca="1" si="52"/>
        <v>0.87513963975434428</v>
      </c>
      <c r="S173">
        <f t="shared" ca="1" si="49"/>
        <v>1.1309190558757678</v>
      </c>
      <c r="T173">
        <f t="shared" ca="1" si="50"/>
        <v>53.071891809188458</v>
      </c>
      <c r="U173">
        <f>70</f>
        <v>70</v>
      </c>
      <c r="V173">
        <f>30</f>
        <v>30</v>
      </c>
      <c r="W173">
        <f t="shared" ca="1" si="48"/>
        <v>305.25735197586283</v>
      </c>
      <c r="X173">
        <f t="shared" ca="1" si="58"/>
        <v>304.30530814311317</v>
      </c>
      <c r="Y173">
        <f t="shared" ca="1" si="57"/>
        <v>1.2598529638731293</v>
      </c>
      <c r="Z173">
        <f t="shared" ca="1" si="59"/>
        <v>0.22079884023292137</v>
      </c>
      <c r="AA173">
        <f t="shared" ca="1" si="60"/>
        <v>1.039054123640208</v>
      </c>
      <c r="AB173">
        <f t="shared" ca="1" si="61"/>
        <v>302.60840000000019</v>
      </c>
    </row>
    <row r="174" spans="1:28" x14ac:dyDescent="0.25">
      <c r="A174" s="21">
        <f t="shared" ca="1" si="41"/>
        <v>45957</v>
      </c>
      <c r="B174" vm="513">
        <f ca="1"/>
        <v>45957</v>
      </c>
      <c r="C174" vm="514">
        <f ca="1"/>
        <v>310</v>
      </c>
      <c r="D174" vm="515">
        <f ca="1"/>
        <v>2139674</v>
      </c>
      <c r="E174">
        <f t="shared" ca="1" si="42"/>
        <v>663298940</v>
      </c>
      <c r="F174">
        <f ca="1">SUM($E$2:E174)/SUM($D$2:D174)</f>
        <v>305.37435985106714</v>
      </c>
      <c r="G174">
        <f ca="1">_xlfn.STDEV.P($C$2:C174)</f>
        <v>7.7320136715576187</v>
      </c>
      <c r="H174">
        <f t="shared" ca="1" si="43"/>
        <v>313.10637352262478</v>
      </c>
      <c r="I174">
        <f t="shared" ca="1" si="44"/>
        <v>297.6423461795095</v>
      </c>
      <c r="J174">
        <f t="shared" ca="1" si="53"/>
        <v>302.71549999999991</v>
      </c>
      <c r="K174">
        <f t="shared" ca="1" si="54"/>
        <v>5.2294927549126822</v>
      </c>
      <c r="L174">
        <f t="shared" ca="1" si="55"/>
        <v>313.17448550982527</v>
      </c>
      <c r="M174">
        <f t="shared" ca="1" si="56"/>
        <v>292.25651449017454</v>
      </c>
      <c r="N174">
        <f t="shared" ca="1" si="45"/>
        <v>4.2099999999999795</v>
      </c>
      <c r="O174">
        <f t="shared" ca="1" si="46"/>
        <v>4.2099999999999795</v>
      </c>
      <c r="P174">
        <f t="shared" ca="1" si="47"/>
        <v>0</v>
      </c>
      <c r="Q174">
        <f t="shared" ca="1" si="51"/>
        <v>1.2197326597825524</v>
      </c>
      <c r="R174">
        <f t="shared" ca="1" si="52"/>
        <v>0.81262966548617677</v>
      </c>
      <c r="S174">
        <f t="shared" ca="1" si="49"/>
        <v>1.5009698902055413</v>
      </c>
      <c r="T174">
        <f t="shared" ca="1" si="50"/>
        <v>60.015512225226537</v>
      </c>
      <c r="U174">
        <f>70</f>
        <v>70</v>
      </c>
      <c r="V174">
        <f>30</f>
        <v>30</v>
      </c>
      <c r="W174">
        <f t="shared" ca="1" si="48"/>
        <v>305.98699013342235</v>
      </c>
      <c r="X174">
        <f t="shared" ca="1" si="58"/>
        <v>304.72713716954922</v>
      </c>
      <c r="Y174">
        <f t="shared" ca="1" si="57"/>
        <v>1.1994771781280065</v>
      </c>
      <c r="Z174">
        <f t="shared" ca="1" si="59"/>
        <v>0.41653450781193846</v>
      </c>
      <c r="AA174">
        <f t="shared" ca="1" si="60"/>
        <v>0.78294267031606801</v>
      </c>
      <c r="AB174">
        <f t="shared" ca="1" si="61"/>
        <v>302.59270000000021</v>
      </c>
    </row>
    <row r="175" spans="1:28" x14ac:dyDescent="0.25">
      <c r="A175" s="21">
        <f t="shared" ca="1" si="41"/>
        <v>45957</v>
      </c>
      <c r="B175" vm="516">
        <f ca="1"/>
        <v>45958</v>
      </c>
      <c r="C175" vm="517">
        <f ca="1"/>
        <v>306.39999999999998</v>
      </c>
      <c r="D175" vm="518">
        <f ca="1"/>
        <v>2336495</v>
      </c>
      <c r="E175">
        <f t="shared" ca="1" si="42"/>
        <v>715902068</v>
      </c>
      <c r="F175">
        <f ca="1">SUM($E$2:E175)/SUM($D$2:D175)</f>
        <v>305.37831386254703</v>
      </c>
      <c r="G175">
        <f ca="1">_xlfn.STDEV.P($C$2:C175)</f>
        <v>7.7098076078361419</v>
      </c>
      <c r="H175">
        <f t="shared" ca="1" si="43"/>
        <v>313.08812147038316</v>
      </c>
      <c r="I175">
        <f t="shared" ca="1" si="44"/>
        <v>297.66850625471091</v>
      </c>
      <c r="J175">
        <f t="shared" ca="1" si="53"/>
        <v>302.84099999999995</v>
      </c>
      <c r="K175">
        <f t="shared" ca="1" si="54"/>
        <v>5.2889426860991904</v>
      </c>
      <c r="L175">
        <f t="shared" ca="1" si="55"/>
        <v>313.41888537219836</v>
      </c>
      <c r="M175">
        <f t="shared" ca="1" si="56"/>
        <v>292.26311462780154</v>
      </c>
      <c r="N175">
        <f t="shared" ca="1" si="45"/>
        <v>-3.6000000000000227</v>
      </c>
      <c r="O175">
        <f t="shared" ca="1" si="46"/>
        <v>0</v>
      </c>
      <c r="P175">
        <f t="shared" ca="1" si="47"/>
        <v>3.6000000000000227</v>
      </c>
      <c r="Q175">
        <f t="shared" ca="1" si="51"/>
        <v>1.1326088983695128</v>
      </c>
      <c r="R175">
        <f t="shared" ca="1" si="52"/>
        <v>1.0117275465228801</v>
      </c>
      <c r="S175">
        <f t="shared" ca="1" si="49"/>
        <v>1.1194801429120711</v>
      </c>
      <c r="T175">
        <f t="shared" ca="1" si="50"/>
        <v>52.818619068256766</v>
      </c>
      <c r="U175">
        <f>70</f>
        <v>70</v>
      </c>
      <c r="V175">
        <f>30</f>
        <v>30</v>
      </c>
      <c r="W175">
        <f t="shared" ca="1" si="48"/>
        <v>306.05053011289579</v>
      </c>
      <c r="X175">
        <f t="shared" ca="1" si="58"/>
        <v>304.85105293476778</v>
      </c>
      <c r="Y175">
        <f t="shared" ca="1" si="57"/>
        <v>0.81542803342034631</v>
      </c>
      <c r="Z175">
        <f t="shared" ca="1" si="59"/>
        <v>0.49631321293362007</v>
      </c>
      <c r="AA175">
        <f t="shared" ca="1" si="60"/>
        <v>0.31911482048672624</v>
      </c>
      <c r="AB175">
        <f t="shared" ca="1" si="61"/>
        <v>302.56690000000015</v>
      </c>
    </row>
    <row r="176" spans="1:28" x14ac:dyDescent="0.25">
      <c r="A176" s="21">
        <f t="shared" ca="1" si="41"/>
        <v>45957</v>
      </c>
      <c r="B176" vm="519">
        <f ca="1"/>
        <v>45959</v>
      </c>
      <c r="C176" vm="520">
        <f ca="1"/>
        <v>302.35000000000002</v>
      </c>
      <c r="D176" vm="521">
        <f ca="1"/>
        <v>2502261</v>
      </c>
      <c r="E176">
        <f t="shared" ca="1" si="42"/>
        <v>756558613.35000002</v>
      </c>
      <c r="F176">
        <f ca="1">SUM($E$2:E176)/SUM($D$2:D176)</f>
        <v>305.36586234803099</v>
      </c>
      <c r="G176">
        <f ca="1">_xlfn.STDEV.P($C$2:C176)</f>
        <v>7.6928213525629809</v>
      </c>
      <c r="H176">
        <f t="shared" ca="1" si="43"/>
        <v>313.05868370059397</v>
      </c>
      <c r="I176">
        <f t="shared" ca="1" si="44"/>
        <v>297.673040995468</v>
      </c>
      <c r="J176">
        <f t="shared" ca="1" si="53"/>
        <v>302.9325</v>
      </c>
      <c r="K176">
        <f t="shared" ca="1" si="54"/>
        <v>5.262438773240528</v>
      </c>
      <c r="L176">
        <f t="shared" ca="1" si="55"/>
        <v>313.45737754648104</v>
      </c>
      <c r="M176">
        <f t="shared" ca="1" si="56"/>
        <v>292.40762245351897</v>
      </c>
      <c r="N176">
        <f t="shared" ca="1" si="45"/>
        <v>-4.0499999999999545</v>
      </c>
      <c r="O176">
        <f t="shared" ca="1" si="46"/>
        <v>0</v>
      </c>
      <c r="P176">
        <f t="shared" ca="1" si="47"/>
        <v>4.0499999999999545</v>
      </c>
      <c r="Q176">
        <f t="shared" ca="1" si="51"/>
        <v>1.0517082627716905</v>
      </c>
      <c r="R176">
        <f t="shared" ca="1" si="52"/>
        <v>1.2287470074855282</v>
      </c>
      <c r="S176">
        <f t="shared" ca="1" si="49"/>
        <v>0.85591928718009691</v>
      </c>
      <c r="T176">
        <f t="shared" ca="1" si="50"/>
        <v>46.118346476186986</v>
      </c>
      <c r="U176">
        <f>70</f>
        <v>70</v>
      </c>
      <c r="V176">
        <f>30</f>
        <v>30</v>
      </c>
      <c r="W176">
        <f t="shared" ca="1" si="48"/>
        <v>305.48121778783491</v>
      </c>
      <c r="X176">
        <f t="shared" ca="1" si="58"/>
        <v>304.66578975441456</v>
      </c>
      <c r="Y176">
        <f t="shared" ca="1" si="57"/>
        <v>0.51162396809752408</v>
      </c>
      <c r="Z176">
        <f t="shared" ca="1" si="59"/>
        <v>0.49937536396640086</v>
      </c>
      <c r="AA176">
        <f t="shared" ca="1" si="60"/>
        <v>1.224860413112322E-2</v>
      </c>
      <c r="AB176">
        <f t="shared" ca="1" si="61"/>
        <v>302.51680000000016</v>
      </c>
    </row>
    <row r="177" spans="1:28" x14ac:dyDescent="0.25">
      <c r="A177" s="21">
        <f t="shared" ca="1" si="41"/>
        <v>45957</v>
      </c>
      <c r="B177" vm="522">
        <f ca="1"/>
        <v>45960</v>
      </c>
      <c r="C177" vm="523">
        <f ca="1"/>
        <v>302.43</v>
      </c>
      <c r="D177" vm="524">
        <f ca="1"/>
        <v>3128398</v>
      </c>
      <c r="E177">
        <f t="shared" ca="1" si="42"/>
        <v>946121407.13999999</v>
      </c>
      <c r="F177">
        <f ca="1">SUM($E$2:E177)/SUM($D$2:D177)</f>
        <v>305.35084754716371</v>
      </c>
      <c r="G177">
        <f ca="1">_xlfn.STDEV.P($C$2:C177)</f>
        <v>7.6757191342012776</v>
      </c>
      <c r="H177">
        <f t="shared" ca="1" si="43"/>
        <v>313.02656668136501</v>
      </c>
      <c r="I177">
        <f t="shared" ca="1" si="44"/>
        <v>297.67512841296241</v>
      </c>
      <c r="J177">
        <f t="shared" ca="1" si="53"/>
        <v>303.06</v>
      </c>
      <c r="K177">
        <f t="shared" ca="1" si="54"/>
        <v>5.215269080205486</v>
      </c>
      <c r="L177">
        <f t="shared" ca="1" si="55"/>
        <v>313.49053816041095</v>
      </c>
      <c r="M177">
        <f t="shared" ca="1" si="56"/>
        <v>292.62946183958906</v>
      </c>
      <c r="N177">
        <f t="shared" ca="1" si="45"/>
        <v>7.9999999999984084E-2</v>
      </c>
      <c r="O177">
        <f t="shared" ca="1" si="46"/>
        <v>7.9999999999984084E-2</v>
      </c>
      <c r="P177">
        <f t="shared" ca="1" si="47"/>
        <v>0</v>
      </c>
      <c r="Q177">
        <f t="shared" ca="1" si="51"/>
        <v>0.98230052971656867</v>
      </c>
      <c r="R177">
        <f t="shared" ca="1" si="52"/>
        <v>1.1409793640937047</v>
      </c>
      <c r="S177">
        <f t="shared" ca="1" si="49"/>
        <v>0.86092751598257278</v>
      </c>
      <c r="T177">
        <f t="shared" ca="1" si="50"/>
        <v>46.263355697011214</v>
      </c>
      <c r="U177">
        <f>70</f>
        <v>70</v>
      </c>
      <c r="V177">
        <f>30</f>
        <v>30</v>
      </c>
      <c r="W177">
        <f t="shared" ca="1" si="48"/>
        <v>305.01179966662954</v>
      </c>
      <c r="X177">
        <f t="shared" ca="1" si="58"/>
        <v>304.50017569853202</v>
      </c>
      <c r="Y177">
        <f t="shared" ca="1" si="57"/>
        <v>-5.1317951663634176E-2</v>
      </c>
      <c r="Z177">
        <f t="shared" ca="1" si="59"/>
        <v>0.38923670084039386</v>
      </c>
      <c r="AA177">
        <f t="shared" ca="1" si="60"/>
        <v>-0.44055465250402803</v>
      </c>
      <c r="AB177">
        <f t="shared" ca="1" si="61"/>
        <v>302.4933000000002</v>
      </c>
    </row>
    <row r="178" spans="1:28" x14ac:dyDescent="0.25">
      <c r="A178" s="21">
        <f t="shared" ca="1" si="41"/>
        <v>45957</v>
      </c>
      <c r="B178" vm="525">
        <f ca="1"/>
        <v>45961</v>
      </c>
      <c r="C178" vm="526">
        <f ca="1"/>
        <v>298.43</v>
      </c>
      <c r="D178" vm="527">
        <f ca="1"/>
        <v>3582719</v>
      </c>
      <c r="E178">
        <f t="shared" ca="1" si="42"/>
        <v>1069190831.1700001</v>
      </c>
      <c r="F178">
        <f ca="1">SUM($E$2:E178)/SUM($D$2:D178)</f>
        <v>305.31054823084463</v>
      </c>
      <c r="G178">
        <f ca="1">_xlfn.STDEV.P($C$2:C178)</f>
        <v>7.6750858759223908</v>
      </c>
      <c r="H178">
        <f t="shared" ca="1" si="43"/>
        <v>312.98563410676701</v>
      </c>
      <c r="I178">
        <f t="shared" ca="1" si="44"/>
        <v>297.63546235492225</v>
      </c>
      <c r="J178">
        <f t="shared" ca="1" si="53"/>
        <v>302.9325</v>
      </c>
      <c r="K178">
        <f t="shared" ca="1" si="54"/>
        <v>5.2992897984938558</v>
      </c>
      <c r="L178">
        <f t="shared" ca="1" si="55"/>
        <v>313.53107959698769</v>
      </c>
      <c r="M178">
        <f t="shared" ca="1" si="56"/>
        <v>292.33392040301231</v>
      </c>
      <c r="N178">
        <f t="shared" ca="1" si="45"/>
        <v>-4</v>
      </c>
      <c r="O178">
        <f t="shared" ca="1" si="46"/>
        <v>0</v>
      </c>
      <c r="P178">
        <f t="shared" ca="1" si="47"/>
        <v>4</v>
      </c>
      <c r="Q178">
        <f t="shared" ca="1" si="51"/>
        <v>0.91213620616538527</v>
      </c>
      <c r="R178">
        <f t="shared" ca="1" si="52"/>
        <v>1.3451951238012971</v>
      </c>
      <c r="S178">
        <f t="shared" ca="1" si="49"/>
        <v>0.67806981308989611</v>
      </c>
      <c r="T178">
        <f t="shared" ca="1" si="50"/>
        <v>40.407723671599776</v>
      </c>
      <c r="U178">
        <f>70</f>
        <v>70</v>
      </c>
      <c r="V178">
        <f>30</f>
        <v>30</v>
      </c>
      <c r="W178">
        <f t="shared" ca="1" si="48"/>
        <v>303.99921510253267</v>
      </c>
      <c r="X178">
        <f t="shared" ca="1" si="58"/>
        <v>304.05053305419631</v>
      </c>
      <c r="Y178">
        <f t="shared" ca="1" si="57"/>
        <v>-0.65611497766838056</v>
      </c>
      <c r="Z178">
        <f t="shared" ca="1" si="59"/>
        <v>0.18016636513863898</v>
      </c>
      <c r="AA178">
        <f t="shared" ca="1" si="60"/>
        <v>-0.83628134280701949</v>
      </c>
      <c r="AB178">
        <f t="shared" ca="1" si="61"/>
        <v>302.47330000000022</v>
      </c>
    </row>
    <row r="179" spans="1:28" x14ac:dyDescent="0.25">
      <c r="A179" s="21">
        <f t="shared" ca="1" si="41"/>
        <v>45964</v>
      </c>
      <c r="B179" vm="528">
        <f ca="1"/>
        <v>45964</v>
      </c>
      <c r="C179" vm="529">
        <f ca="1"/>
        <v>296.37</v>
      </c>
      <c r="D179" vm="530">
        <f ca="1"/>
        <v>3899313</v>
      </c>
      <c r="E179">
        <f t="shared" ca="1" si="42"/>
        <v>1155639393.8099999</v>
      </c>
      <c r="F179">
        <f ca="1">SUM($E$2:E179)/SUM($D$2:D179)</f>
        <v>305.25424487680107</v>
      </c>
      <c r="G179">
        <f ca="1">_xlfn.STDEV.P($C$2:C179)</f>
        <v>7.6870671203087788</v>
      </c>
      <c r="H179">
        <f t="shared" ca="1" si="43"/>
        <v>312.94131199710984</v>
      </c>
      <c r="I179">
        <f t="shared" ca="1" si="44"/>
        <v>297.5671777564923</v>
      </c>
      <c r="J179">
        <f t="shared" ca="1" si="53"/>
        <v>302.94900000000001</v>
      </c>
      <c r="K179">
        <f t="shared" ca="1" si="54"/>
        <v>5.277167202601273</v>
      </c>
      <c r="L179">
        <f t="shared" ca="1" si="55"/>
        <v>313.50333440520257</v>
      </c>
      <c r="M179">
        <f t="shared" ca="1" si="56"/>
        <v>292.39466559479746</v>
      </c>
      <c r="N179">
        <f t="shared" ca="1" si="45"/>
        <v>-2.0600000000000023</v>
      </c>
      <c r="O179">
        <f t="shared" ca="1" si="46"/>
        <v>0</v>
      </c>
      <c r="P179">
        <f t="shared" ca="1" si="47"/>
        <v>2.0600000000000023</v>
      </c>
      <c r="Q179">
        <f t="shared" ca="1" si="51"/>
        <v>0.84698362001071481</v>
      </c>
      <c r="R179">
        <f t="shared" ca="1" si="52"/>
        <v>1.3962526149583476</v>
      </c>
      <c r="S179">
        <f t="shared" ca="1" si="49"/>
        <v>0.60661202058767971</v>
      </c>
      <c r="T179">
        <f t="shared" ca="1" si="50"/>
        <v>37.757219092994724</v>
      </c>
      <c r="U179">
        <f>70</f>
        <v>70</v>
      </c>
      <c r="V179">
        <f>30</f>
        <v>30</v>
      </c>
      <c r="W179">
        <f t="shared" ca="1" si="48"/>
        <v>302.82548970214299</v>
      </c>
      <c r="X179">
        <f t="shared" ca="1" si="58"/>
        <v>303.48160467981137</v>
      </c>
      <c r="Y179">
        <f t="shared" ca="1" si="57"/>
        <v>-0.89592900114587337</v>
      </c>
      <c r="Z179">
        <f t="shared" ca="1" si="59"/>
        <v>-3.5052708118263498E-2</v>
      </c>
      <c r="AA179">
        <f t="shared" ca="1" si="60"/>
        <v>-0.86087629302760993</v>
      </c>
      <c r="AB179">
        <f t="shared" ca="1" si="61"/>
        <v>302.41980000000012</v>
      </c>
    </row>
    <row r="180" spans="1:28" x14ac:dyDescent="0.25">
      <c r="A180" s="21">
        <f t="shared" ca="1" si="41"/>
        <v>45964</v>
      </c>
      <c r="B180" vm="531">
        <f ca="1"/>
        <v>45965</v>
      </c>
      <c r="C180" vm="532">
        <f ca="1"/>
        <v>299.20999999999998</v>
      </c>
      <c r="D180" vm="533">
        <f ca="1"/>
        <v>4151259</v>
      </c>
      <c r="E180">
        <f t="shared" ca="1" si="42"/>
        <v>1242098205.3899999</v>
      </c>
      <c r="F180">
        <f ca="1">SUM($E$2:E180)/SUM($D$2:D180)</f>
        <v>305.21399153689964</v>
      </c>
      <c r="G180">
        <f ca="1">_xlfn.STDEV.P($C$2:C180)</f>
        <v>7.6818501175856264</v>
      </c>
      <c r="H180">
        <f t="shared" ca="1" si="43"/>
        <v>312.89584165448525</v>
      </c>
      <c r="I180">
        <f t="shared" ca="1" si="44"/>
        <v>297.53214141931403</v>
      </c>
      <c r="J180">
        <f t="shared" ca="1" si="53"/>
        <v>303.09350000000006</v>
      </c>
      <c r="K180">
        <f t="shared" ca="1" si="54"/>
        <v>5.123425329334192</v>
      </c>
      <c r="L180">
        <f t="shared" ca="1" si="55"/>
        <v>313.34035065866846</v>
      </c>
      <c r="M180">
        <f t="shared" ca="1" si="56"/>
        <v>292.84664934133167</v>
      </c>
      <c r="N180">
        <f t="shared" ca="1" si="45"/>
        <v>2.839999999999975</v>
      </c>
      <c r="O180">
        <f t="shared" ca="1" si="46"/>
        <v>2.839999999999975</v>
      </c>
      <c r="P180">
        <f t="shared" ca="1" si="47"/>
        <v>0</v>
      </c>
      <c r="Q180">
        <f t="shared" ca="1" si="51"/>
        <v>0.9893419328670906</v>
      </c>
      <c r="R180">
        <f t="shared" ca="1" si="52"/>
        <v>1.2965202853184656</v>
      </c>
      <c r="S180">
        <f t="shared" ca="1" si="49"/>
        <v>0.76307478106605753</v>
      </c>
      <c r="T180">
        <f t="shared" ca="1" si="50"/>
        <v>43.280908402799469</v>
      </c>
      <c r="U180">
        <f>70</f>
        <v>70</v>
      </c>
      <c r="V180">
        <f>30</f>
        <v>30</v>
      </c>
      <c r="W180">
        <f t="shared" ca="1" si="48"/>
        <v>302.26926051719795</v>
      </c>
      <c r="X180">
        <f t="shared" ca="1" si="58"/>
        <v>303.16518951834382</v>
      </c>
      <c r="Y180">
        <f t="shared" ca="1" si="57"/>
        <v>-0.55827982864371961</v>
      </c>
      <c r="Z180">
        <f t="shared" ca="1" si="59"/>
        <v>-0.13969813222335473</v>
      </c>
      <c r="AA180">
        <f t="shared" ca="1" si="60"/>
        <v>-0.41858169642036491</v>
      </c>
      <c r="AB180">
        <f t="shared" ca="1" si="61"/>
        <v>302.38030000000015</v>
      </c>
    </row>
    <row r="181" spans="1:28" x14ac:dyDescent="0.25">
      <c r="A181" s="21">
        <f t="shared" ca="1" si="41"/>
        <v>45964</v>
      </c>
      <c r="B181" vm="534">
        <f ca="1"/>
        <v>45966</v>
      </c>
      <c r="C181" vm="68">
        <f ca="1"/>
        <v>305.67</v>
      </c>
      <c r="D181" vm="535">
        <f ca="1"/>
        <v>6070334</v>
      </c>
      <c r="E181">
        <f t="shared" ca="1" si="42"/>
        <v>1855518993.7800002</v>
      </c>
      <c r="F181">
        <f ca="1">SUM($E$2:E181)/SUM($D$2:D181)</f>
        <v>305.21838955090919</v>
      </c>
      <c r="G181">
        <f ca="1">_xlfn.STDEV.P($C$2:C181)</f>
        <v>7.6604978279627645</v>
      </c>
      <c r="H181">
        <f t="shared" ca="1" si="43"/>
        <v>312.87888737887198</v>
      </c>
      <c r="I181">
        <f t="shared" ca="1" si="44"/>
        <v>297.55789172294641</v>
      </c>
      <c r="J181">
        <f t="shared" ca="1" si="53"/>
        <v>303.65700000000004</v>
      </c>
      <c r="K181">
        <f t="shared" ca="1" si="54"/>
        <v>4.7208998919140077</v>
      </c>
      <c r="L181">
        <f t="shared" ca="1" si="55"/>
        <v>313.09879978382804</v>
      </c>
      <c r="M181">
        <f t="shared" ca="1" si="56"/>
        <v>294.21520021617204</v>
      </c>
      <c r="N181">
        <f t="shared" ca="1" si="45"/>
        <v>6.4600000000000364</v>
      </c>
      <c r="O181">
        <f t="shared" ca="1" si="46"/>
        <v>6.4600000000000364</v>
      </c>
      <c r="P181">
        <f t="shared" ca="1" si="47"/>
        <v>0</v>
      </c>
      <c r="Q181">
        <f t="shared" ca="1" si="51"/>
        <v>1.3801032233765866</v>
      </c>
      <c r="R181">
        <f t="shared" ca="1" si="52"/>
        <v>1.2039116935100036</v>
      </c>
      <c r="S181">
        <f t="shared" ca="1" si="49"/>
        <v>1.14634921383054</v>
      </c>
      <c r="T181">
        <f t="shared" ca="1" si="50"/>
        <v>53.409259147754284</v>
      </c>
      <c r="U181">
        <f>70</f>
        <v>70</v>
      </c>
      <c r="V181">
        <f>30</f>
        <v>30</v>
      </c>
      <c r="W181">
        <f t="shared" ca="1" si="48"/>
        <v>302.79245120685982</v>
      </c>
      <c r="X181">
        <f t="shared" ca="1" si="58"/>
        <v>303.35073103550354</v>
      </c>
      <c r="Y181">
        <f t="shared" ca="1" si="57"/>
        <v>-0.86652301453358405</v>
      </c>
      <c r="Z181">
        <f t="shared" ca="1" si="59"/>
        <v>-0.28506310868540063</v>
      </c>
      <c r="AA181">
        <f t="shared" ca="1" si="60"/>
        <v>-0.58145990584818341</v>
      </c>
      <c r="AB181">
        <f t="shared" ca="1" si="61"/>
        <v>302.41790000000015</v>
      </c>
    </row>
    <row r="182" spans="1:28" x14ac:dyDescent="0.25">
      <c r="A182" s="21">
        <f t="shared" ca="1" si="41"/>
        <v>45964</v>
      </c>
      <c r="B182" vm="536">
        <f ca="1"/>
        <v>45967</v>
      </c>
      <c r="C182" vm="537">
        <f ca="1"/>
        <v>298.41000000000003</v>
      </c>
      <c r="D182" vm="538">
        <f ca="1"/>
        <v>3544869</v>
      </c>
      <c r="E182">
        <f t="shared" ca="1" si="42"/>
        <v>1057824358.2900001</v>
      </c>
      <c r="F182">
        <f ca="1">SUM($E$2:E182)/SUM($D$2:D182)</f>
        <v>305.18025869337868</v>
      </c>
      <c r="G182">
        <f ca="1">_xlfn.STDEV.P($C$2:C182)</f>
        <v>7.6593409300539488</v>
      </c>
      <c r="H182">
        <f t="shared" ca="1" si="43"/>
        <v>312.8395996234326</v>
      </c>
      <c r="I182">
        <f t="shared" ca="1" si="44"/>
        <v>297.52091776332475</v>
      </c>
      <c r="J182">
        <f t="shared" ca="1" si="53"/>
        <v>303.88700000000006</v>
      </c>
      <c r="K182">
        <f t="shared" ca="1" si="54"/>
        <v>4.3100898757267343</v>
      </c>
      <c r="L182">
        <f t="shared" ca="1" si="55"/>
        <v>312.50717975145352</v>
      </c>
      <c r="M182">
        <f t="shared" ca="1" si="56"/>
        <v>295.26682024854659</v>
      </c>
      <c r="N182">
        <f t="shared" ca="1" si="45"/>
        <v>-7.2599999999999909</v>
      </c>
      <c r="O182">
        <f t="shared" ca="1" si="46"/>
        <v>0</v>
      </c>
      <c r="P182">
        <f t="shared" ca="1" si="47"/>
        <v>7.2599999999999909</v>
      </c>
      <c r="Q182">
        <f t="shared" ca="1" si="51"/>
        <v>1.2815244217068305</v>
      </c>
      <c r="R182">
        <f t="shared" ca="1" si="52"/>
        <v>1.6364894296878598</v>
      </c>
      <c r="S182">
        <f t="shared" ca="1" si="49"/>
        <v>0.78309361396319277</v>
      </c>
      <c r="T182">
        <f t="shared" ca="1" si="50"/>
        <v>43.917694944947385</v>
      </c>
      <c r="U182">
        <f>70</f>
        <v>70</v>
      </c>
      <c r="V182">
        <f>30</f>
        <v>30</v>
      </c>
      <c r="W182">
        <f t="shared" ca="1" si="48"/>
        <v>302.11822794426598</v>
      </c>
      <c r="X182">
        <f t="shared" ca="1" si="58"/>
        <v>302.98475095879957</v>
      </c>
      <c r="Y182">
        <f t="shared" ca="1" si="57"/>
        <v>-0.99843408023605207</v>
      </c>
      <c r="Z182">
        <f t="shared" ca="1" si="59"/>
        <v>-0.42773730299553092</v>
      </c>
      <c r="AA182">
        <f t="shared" ca="1" si="60"/>
        <v>-0.57069677724052115</v>
      </c>
      <c r="AB182">
        <f t="shared" ca="1" si="61"/>
        <v>302.43910000000017</v>
      </c>
    </row>
    <row r="183" spans="1:28" x14ac:dyDescent="0.25">
      <c r="A183" s="21">
        <f t="shared" ca="1" si="41"/>
        <v>45964</v>
      </c>
      <c r="B183" vm="539">
        <f ca="1"/>
        <v>45968</v>
      </c>
      <c r="C183" vm="540">
        <f ca="1"/>
        <v>299.66000000000003</v>
      </c>
      <c r="D183" vm="541">
        <f ca="1"/>
        <v>3250197</v>
      </c>
      <c r="E183">
        <f t="shared" ca="1" si="42"/>
        <v>973954033.0200001</v>
      </c>
      <c r="F183">
        <f ca="1">SUM($E$2:E183)/SUM($D$2:D183)</f>
        <v>305.1520569018079</v>
      </c>
      <c r="G183">
        <f ca="1">_xlfn.STDEV.P($C$2:C183)</f>
        <v>7.6519080456788204</v>
      </c>
      <c r="H183">
        <f t="shared" ca="1" si="43"/>
        <v>312.80396494748669</v>
      </c>
      <c r="I183">
        <f t="shared" ca="1" si="44"/>
        <v>297.5001488561291</v>
      </c>
      <c r="J183">
        <f t="shared" ca="1" si="53"/>
        <v>304.01949999999999</v>
      </c>
      <c r="K183">
        <f t="shared" ca="1" si="54"/>
        <v>4.1242791714686939</v>
      </c>
      <c r="L183">
        <f t="shared" ca="1" si="55"/>
        <v>312.26805834293737</v>
      </c>
      <c r="M183">
        <f t="shared" ca="1" si="56"/>
        <v>295.77094165706262</v>
      </c>
      <c r="N183">
        <f t="shared" ca="1" si="45"/>
        <v>1.25</v>
      </c>
      <c r="O183">
        <f t="shared" ca="1" si="46"/>
        <v>1.25</v>
      </c>
      <c r="P183">
        <f t="shared" ca="1" si="47"/>
        <v>0</v>
      </c>
      <c r="Q183">
        <f t="shared" ca="1" si="51"/>
        <v>1.2792726772991998</v>
      </c>
      <c r="R183">
        <f t="shared" ca="1" si="52"/>
        <v>1.5195973275672985</v>
      </c>
      <c r="S183">
        <f t="shared" ca="1" si="49"/>
        <v>0.84184978092003426</v>
      </c>
      <c r="T183">
        <f t="shared" ca="1" si="50"/>
        <v>45.706755764822276</v>
      </c>
      <c r="U183">
        <f>70</f>
        <v>70</v>
      </c>
      <c r="V183">
        <f>30</f>
        <v>30</v>
      </c>
      <c r="W183">
        <f t="shared" ca="1" si="48"/>
        <v>301.74003902976352</v>
      </c>
      <c r="X183">
        <f t="shared" ca="1" si="58"/>
        <v>302.73847310999957</v>
      </c>
      <c r="Y183">
        <f t="shared" ca="1" si="57"/>
        <v>-1.135077404302308</v>
      </c>
      <c r="Z183">
        <f t="shared" ca="1" si="59"/>
        <v>-0.56920532325688633</v>
      </c>
      <c r="AA183">
        <f t="shared" ca="1" si="60"/>
        <v>-0.56587208104542164</v>
      </c>
      <c r="AB183">
        <f t="shared" ca="1" si="61"/>
        <v>302.51260000000013</v>
      </c>
    </row>
    <row r="184" spans="1:28" x14ac:dyDescent="0.25">
      <c r="A184" s="21">
        <f t="shared" ca="1" si="41"/>
        <v>45971</v>
      </c>
      <c r="B184" vm="542">
        <f ca="1"/>
        <v>45971</v>
      </c>
      <c r="C184" vm="543">
        <f ca="1"/>
        <v>299.10000000000002</v>
      </c>
      <c r="D184" vm="544">
        <f ca="1"/>
        <v>3824334</v>
      </c>
      <c r="E184">
        <f t="shared" ca="1" si="42"/>
        <v>1143858299.4000001</v>
      </c>
      <c r="F184">
        <f ca="1">SUM($E$2:E184)/SUM($D$2:D184)</f>
        <v>305.11589397509431</v>
      </c>
      <c r="G184">
        <f ca="1">_xlfn.STDEV.P($C$2:C184)</f>
        <v>7.6469579819049169</v>
      </c>
      <c r="H184">
        <f t="shared" ca="1" si="43"/>
        <v>312.76285195699921</v>
      </c>
      <c r="I184">
        <f t="shared" ca="1" si="44"/>
        <v>297.4689359931894</v>
      </c>
      <c r="J184">
        <f t="shared" ca="1" si="53"/>
        <v>303.96899999999994</v>
      </c>
      <c r="K184">
        <f t="shared" ca="1" si="54"/>
        <v>4.1804695027183083</v>
      </c>
      <c r="L184">
        <f t="shared" ca="1" si="55"/>
        <v>312.32993900543653</v>
      </c>
      <c r="M184">
        <f t="shared" ca="1" si="56"/>
        <v>295.60806099456335</v>
      </c>
      <c r="N184">
        <f t="shared" ca="1" si="45"/>
        <v>-0.56000000000000227</v>
      </c>
      <c r="O184">
        <f t="shared" ca="1" si="46"/>
        <v>0</v>
      </c>
      <c r="P184">
        <f t="shared" ca="1" si="47"/>
        <v>0.56000000000000227</v>
      </c>
      <c r="Q184">
        <f t="shared" ca="1" si="51"/>
        <v>1.1878960574921142</v>
      </c>
      <c r="R184">
        <f t="shared" ca="1" si="52"/>
        <v>1.4510546613124917</v>
      </c>
      <c r="S184">
        <f t="shared" ca="1" si="49"/>
        <v>0.81864321804228368</v>
      </c>
      <c r="T184">
        <f t="shared" ca="1" si="50"/>
        <v>45.013953804723123</v>
      </c>
      <c r="U184">
        <f>70</f>
        <v>70</v>
      </c>
      <c r="V184">
        <f>30</f>
        <v>30</v>
      </c>
      <c r="W184">
        <f t="shared" ca="1" si="48"/>
        <v>301.33387917903065</v>
      </c>
      <c r="X184">
        <f t="shared" ca="1" si="58"/>
        <v>302.46895658333295</v>
      </c>
      <c r="Y184">
        <f t="shared" ca="1" si="57"/>
        <v>-0.61256060800883461</v>
      </c>
      <c r="Z184">
        <f t="shared" ca="1" si="59"/>
        <v>-0.57787638020727605</v>
      </c>
      <c r="AA184">
        <f t="shared" ca="1" si="60"/>
        <v>-3.4684227801558554E-2</v>
      </c>
      <c r="AB184">
        <f t="shared" ca="1" si="61"/>
        <v>302.60730000000012</v>
      </c>
    </row>
    <row r="185" spans="1:28" x14ac:dyDescent="0.25">
      <c r="A185" s="21">
        <f t="shared" ca="1" si="41"/>
        <v>45971</v>
      </c>
      <c r="B185" vm="545">
        <f ca="1"/>
        <v>45972</v>
      </c>
      <c r="C185" vm="546">
        <f ca="1"/>
        <v>306.83</v>
      </c>
      <c r="D185" vm="547">
        <f ca="1"/>
        <v>2755799</v>
      </c>
      <c r="E185">
        <f t="shared" ca="1" si="42"/>
        <v>845561807.16999996</v>
      </c>
      <c r="F185">
        <f ca="1">SUM($E$2:E185)/SUM($D$2:D185)</f>
        <v>305.12324290338358</v>
      </c>
      <c r="G185">
        <f ca="1">_xlfn.STDEV.P($C$2:C185)</f>
        <v>7.6265503364793652</v>
      </c>
      <c r="H185">
        <f t="shared" ca="1" si="43"/>
        <v>312.74979323986292</v>
      </c>
      <c r="I185">
        <f t="shared" ca="1" si="44"/>
        <v>297.49669256690424</v>
      </c>
      <c r="J185">
        <f t="shared" ca="1" si="53"/>
        <v>304.08249999999998</v>
      </c>
      <c r="K185">
        <f t="shared" ca="1" si="54"/>
        <v>4.2279058832824905</v>
      </c>
      <c r="L185">
        <f t="shared" ca="1" si="55"/>
        <v>312.53831176656496</v>
      </c>
      <c r="M185">
        <f t="shared" ca="1" si="56"/>
        <v>295.626688233435</v>
      </c>
      <c r="N185">
        <f t="shared" ca="1" si="45"/>
        <v>7.7299999999999613</v>
      </c>
      <c r="O185">
        <f t="shared" ca="1" si="46"/>
        <v>7.7299999999999613</v>
      </c>
      <c r="P185">
        <f t="shared" ca="1" si="47"/>
        <v>0</v>
      </c>
      <c r="Q185">
        <f t="shared" ca="1" si="51"/>
        <v>1.6551891962426748</v>
      </c>
      <c r="R185">
        <f t="shared" ca="1" si="52"/>
        <v>1.3474078997901711</v>
      </c>
      <c r="S185">
        <f t="shared" ca="1" si="49"/>
        <v>1.2284247379731363</v>
      </c>
      <c r="T185">
        <f t="shared" ca="1" si="50"/>
        <v>55.125251350891482</v>
      </c>
      <c r="U185">
        <f>70</f>
        <v>70</v>
      </c>
      <c r="V185">
        <f>30</f>
        <v>30</v>
      </c>
      <c r="W185">
        <f t="shared" ca="1" si="48"/>
        <v>302.17943622841057</v>
      </c>
      <c r="X185">
        <f t="shared" ca="1" si="58"/>
        <v>302.7919968364194</v>
      </c>
      <c r="Y185">
        <f t="shared" ca="1" si="57"/>
        <v>-0.18742567520905595</v>
      </c>
      <c r="Z185">
        <f t="shared" ca="1" si="59"/>
        <v>-0.4997862392076321</v>
      </c>
      <c r="AA185">
        <f t="shared" ca="1" si="60"/>
        <v>0.31236056399857615</v>
      </c>
      <c r="AB185">
        <f t="shared" ca="1" si="61"/>
        <v>302.80100000000016</v>
      </c>
    </row>
    <row r="186" spans="1:28" x14ac:dyDescent="0.25">
      <c r="A186" s="21">
        <f t="shared" ca="1" si="41"/>
        <v>45971</v>
      </c>
      <c r="B186" vm="548">
        <f ca="1"/>
        <v>45973</v>
      </c>
      <c r="C186" vm="549">
        <f ca="1"/>
        <v>306.94</v>
      </c>
      <c r="D186" vm="550">
        <f ca="1"/>
        <v>2818642</v>
      </c>
      <c r="E186">
        <f t="shared" ca="1" si="42"/>
        <v>865153975.48000002</v>
      </c>
      <c r="F186">
        <f ca="1">SUM($E$2:E186)/SUM($D$2:D186)</f>
        <v>305.13117476842746</v>
      </c>
      <c r="G186">
        <f ca="1">_xlfn.STDEV.P($C$2:C186)</f>
        <v>7.6063916024381806</v>
      </c>
      <c r="H186">
        <f t="shared" ca="1" si="43"/>
        <v>312.73756637086564</v>
      </c>
      <c r="I186">
        <f t="shared" ca="1" si="44"/>
        <v>297.52478316598928</v>
      </c>
      <c r="J186">
        <f t="shared" ca="1" si="53"/>
        <v>304.16699999999997</v>
      </c>
      <c r="K186">
        <f t="shared" ca="1" si="54"/>
        <v>4.2691550994497556</v>
      </c>
      <c r="L186">
        <f t="shared" ca="1" si="55"/>
        <v>312.7053101988995</v>
      </c>
      <c r="M186">
        <f t="shared" ca="1" si="56"/>
        <v>295.62868980110045</v>
      </c>
      <c r="N186">
        <f t="shared" ca="1" si="45"/>
        <v>0.11000000000001364</v>
      </c>
      <c r="O186">
        <f t="shared" ca="1" si="46"/>
        <v>0.11000000000001364</v>
      </c>
      <c r="P186">
        <f t="shared" ca="1" si="47"/>
        <v>0</v>
      </c>
      <c r="Q186">
        <f t="shared" ca="1" si="51"/>
        <v>1.544818539368199</v>
      </c>
      <c r="R186">
        <f t="shared" ca="1" si="52"/>
        <v>1.2511644783765874</v>
      </c>
      <c r="S186">
        <f t="shared" ca="1" si="49"/>
        <v>1.2347046020461148</v>
      </c>
      <c r="T186">
        <f t="shared" ca="1" si="50"/>
        <v>55.251356305240911</v>
      </c>
      <c r="U186">
        <f>70</f>
        <v>70</v>
      </c>
      <c r="V186">
        <f>30</f>
        <v>30</v>
      </c>
      <c r="W186">
        <f t="shared" ca="1" si="48"/>
        <v>302.91183065480891</v>
      </c>
      <c r="X186">
        <f t="shared" ca="1" si="58"/>
        <v>303.09925633001797</v>
      </c>
      <c r="Y186">
        <f t="shared" ca="1" si="57"/>
        <v>0.19884728553392961</v>
      </c>
      <c r="Z186">
        <f t="shared" ca="1" si="59"/>
        <v>-0.3600595342593198</v>
      </c>
      <c r="AA186">
        <f t="shared" ca="1" si="60"/>
        <v>0.55890681979324941</v>
      </c>
      <c r="AB186">
        <f t="shared" ca="1" si="61"/>
        <v>302.97520000000009</v>
      </c>
    </row>
    <row r="187" spans="1:28" x14ac:dyDescent="0.25">
      <c r="A187" s="21">
        <f t="shared" ca="1" si="41"/>
        <v>45971</v>
      </c>
      <c r="B187" vm="551">
        <f ca="1"/>
        <v>45974</v>
      </c>
      <c r="C187" vm="552">
        <f ca="1"/>
        <v>307.58</v>
      </c>
      <c r="D187" vm="553">
        <f ca="1"/>
        <v>2294288</v>
      </c>
      <c r="E187">
        <f t="shared" ca="1" si="42"/>
        <v>705677103.03999996</v>
      </c>
      <c r="F187">
        <f ca="1">SUM($E$2:E187)/SUM($D$2:D187)</f>
        <v>305.13984645595679</v>
      </c>
      <c r="G187">
        <f ca="1">_xlfn.STDEV.P($C$2:C187)</f>
        <v>7.5870598012610078</v>
      </c>
      <c r="H187">
        <f t="shared" ca="1" si="43"/>
        <v>312.72690625721782</v>
      </c>
      <c r="I187">
        <f t="shared" ca="1" si="44"/>
        <v>297.55278665469575</v>
      </c>
      <c r="J187">
        <f t="shared" ca="1" si="53"/>
        <v>304.27949999999998</v>
      </c>
      <c r="K187">
        <f t="shared" ca="1" si="54"/>
        <v>4.3306186199640004</v>
      </c>
      <c r="L187">
        <f t="shared" ca="1" si="55"/>
        <v>312.94073723992801</v>
      </c>
      <c r="M187">
        <f t="shared" ca="1" si="56"/>
        <v>295.61826276007196</v>
      </c>
      <c r="N187">
        <f t="shared" ca="1" si="45"/>
        <v>0.63999999999998636</v>
      </c>
      <c r="O187">
        <f t="shared" ca="1" si="46"/>
        <v>0.63999999999998636</v>
      </c>
      <c r="P187">
        <f t="shared" ca="1" si="47"/>
        <v>0</v>
      </c>
      <c r="Q187">
        <f t="shared" ca="1" si="51"/>
        <v>1.480188643699041</v>
      </c>
      <c r="R187">
        <f t="shared" ca="1" si="52"/>
        <v>1.161795587063974</v>
      </c>
      <c r="S187">
        <f t="shared" ca="1" si="49"/>
        <v>1.274052561552323</v>
      </c>
      <c r="T187">
        <f t="shared" ca="1" si="50"/>
        <v>56.025642638735846</v>
      </c>
      <c r="U187">
        <f>70</f>
        <v>70</v>
      </c>
      <c r="V187">
        <f>30</f>
        <v>30</v>
      </c>
      <c r="W187">
        <f t="shared" ca="1" si="48"/>
        <v>303.63001055406909</v>
      </c>
      <c r="X187">
        <f t="shared" ca="1" si="58"/>
        <v>303.43116326853516</v>
      </c>
      <c r="Y187">
        <f t="shared" ca="1" si="57"/>
        <v>0.45534208628083661</v>
      </c>
      <c r="Z187">
        <f t="shared" ca="1" si="59"/>
        <v>-0.19697921015128855</v>
      </c>
      <c r="AA187">
        <f t="shared" ca="1" si="60"/>
        <v>0.65232129643212522</v>
      </c>
      <c r="AB187">
        <f t="shared" ca="1" si="61"/>
        <v>303.13630000000018</v>
      </c>
    </row>
    <row r="188" spans="1:28" x14ac:dyDescent="0.25">
      <c r="A188" s="21">
        <f t="shared" ca="1" si="41"/>
        <v>45971</v>
      </c>
      <c r="B188" vm="554">
        <f ca="1"/>
        <v>45975</v>
      </c>
      <c r="C188" vm="555">
        <f ca="1"/>
        <v>307.02999999999997</v>
      </c>
      <c r="D188" vm="556">
        <f ca="1"/>
        <v>3112574</v>
      </c>
      <c r="E188">
        <f t="shared" ca="1" si="42"/>
        <v>955653595.21999991</v>
      </c>
      <c r="F188">
        <f ca="1">SUM($E$2:E188)/SUM($D$2:D188)</f>
        <v>305.1488836423693</v>
      </c>
      <c r="G188">
        <f ca="1">_xlfn.STDEV.P($C$2:C188)</f>
        <v>7.5672878338278409</v>
      </c>
      <c r="H188">
        <f t="shared" ca="1" si="43"/>
        <v>312.71617147619713</v>
      </c>
      <c r="I188">
        <f t="shared" ca="1" si="44"/>
        <v>297.58159580854146</v>
      </c>
      <c r="J188">
        <f t="shared" ca="1" si="53"/>
        <v>304.22649999999993</v>
      </c>
      <c r="K188">
        <f t="shared" ca="1" si="54"/>
        <v>4.2878043393596608</v>
      </c>
      <c r="L188">
        <f t="shared" ca="1" si="55"/>
        <v>312.80210867871926</v>
      </c>
      <c r="M188">
        <f t="shared" ca="1" si="56"/>
        <v>295.6508913212806</v>
      </c>
      <c r="N188">
        <f t="shared" ca="1" si="45"/>
        <v>-0.55000000000001137</v>
      </c>
      <c r="O188">
        <f t="shared" ca="1" si="46"/>
        <v>0</v>
      </c>
      <c r="P188">
        <f t="shared" ca="1" si="47"/>
        <v>0.55000000000001137</v>
      </c>
      <c r="Q188">
        <f t="shared" ca="1" si="51"/>
        <v>1.3744608834348238</v>
      </c>
      <c r="R188">
        <f t="shared" ca="1" si="52"/>
        <v>1.1180959022736909</v>
      </c>
      <c r="S188">
        <f t="shared" ca="1" si="49"/>
        <v>1.2292871127063474</v>
      </c>
      <c r="T188">
        <f t="shared" ca="1" si="50"/>
        <v>55.14261064444036</v>
      </c>
      <c r="U188">
        <f>70</f>
        <v>70</v>
      </c>
      <c r="V188">
        <f>30</f>
        <v>30</v>
      </c>
      <c r="W188">
        <f t="shared" ca="1" si="48"/>
        <v>304.15308585344303</v>
      </c>
      <c r="X188">
        <f t="shared" ca="1" si="58"/>
        <v>303.69774376716219</v>
      </c>
      <c r="Y188">
        <f t="shared" ca="1" si="57"/>
        <v>0.48119593773463976</v>
      </c>
      <c r="Z188">
        <f t="shared" ca="1" si="59"/>
        <v>-6.1344180574102902E-2</v>
      </c>
      <c r="AA188">
        <f t="shared" ca="1" si="60"/>
        <v>0.5425401183087426</v>
      </c>
      <c r="AB188">
        <f t="shared" ca="1" si="61"/>
        <v>303.35110000000009</v>
      </c>
    </row>
    <row r="189" spans="1:28" x14ac:dyDescent="0.25">
      <c r="A189" s="21">
        <f t="shared" ca="1" si="41"/>
        <v>45978</v>
      </c>
      <c r="B189" vm="557">
        <f ca="1"/>
        <v>45978</v>
      </c>
      <c r="C189" vm="558">
        <f ca="1"/>
        <v>304.89999999999998</v>
      </c>
      <c r="D189" vm="559">
        <f ca="1"/>
        <v>2435713</v>
      </c>
      <c r="E189">
        <f t="shared" ca="1" si="42"/>
        <v>742648893.69999993</v>
      </c>
      <c r="F189">
        <f ca="1">SUM($E$2:E189)/SUM($D$2:D189)</f>
        <v>305.14795592204814</v>
      </c>
      <c r="G189">
        <f ca="1">_xlfn.STDEV.P($C$2:C189)</f>
        <v>7.5474162562937597</v>
      </c>
      <c r="H189">
        <f t="shared" ca="1" si="43"/>
        <v>312.69537217834193</v>
      </c>
      <c r="I189">
        <f t="shared" ca="1" si="44"/>
        <v>297.60053966575435</v>
      </c>
      <c r="J189">
        <f t="shared" ca="1" si="53"/>
        <v>304.08299999999997</v>
      </c>
      <c r="K189">
        <f t="shared" ca="1" si="54"/>
        <v>4.2102970266516282</v>
      </c>
      <c r="L189">
        <f t="shared" ca="1" si="55"/>
        <v>312.50359405330323</v>
      </c>
      <c r="M189">
        <f t="shared" ca="1" si="56"/>
        <v>295.66240594669671</v>
      </c>
      <c r="N189">
        <f t="shared" ca="1" si="45"/>
        <v>-2.1299999999999955</v>
      </c>
      <c r="O189">
        <f t="shared" ca="1" si="46"/>
        <v>0</v>
      </c>
      <c r="P189">
        <f t="shared" ca="1" si="47"/>
        <v>2.1299999999999955</v>
      </c>
      <c r="Q189">
        <f t="shared" ca="1" si="51"/>
        <v>1.276285106046622</v>
      </c>
      <c r="R189">
        <f t="shared" ca="1" si="52"/>
        <v>1.1903747663969984</v>
      </c>
      <c r="S189">
        <f t="shared" ca="1" si="49"/>
        <v>1.0721708339884046</v>
      </c>
      <c r="T189">
        <f t="shared" ca="1" si="50"/>
        <v>51.741430600330709</v>
      </c>
      <c r="U189">
        <f>70</f>
        <v>70</v>
      </c>
      <c r="V189">
        <f>30</f>
        <v>30</v>
      </c>
      <c r="W189">
        <f t="shared" ca="1" si="48"/>
        <v>304.26799572214406</v>
      </c>
      <c r="X189">
        <f t="shared" ca="1" si="58"/>
        <v>303.78679978440942</v>
      </c>
      <c r="Y189">
        <f t="shared" ca="1" si="57"/>
        <v>0.47123874513886221</v>
      </c>
      <c r="Z189">
        <f t="shared" ca="1" si="59"/>
        <v>4.5172404568490115E-2</v>
      </c>
      <c r="AA189">
        <f t="shared" ca="1" si="60"/>
        <v>0.42606634057037207</v>
      </c>
      <c r="AB189">
        <f t="shared" ca="1" si="61"/>
        <v>303.54380000000015</v>
      </c>
    </row>
    <row r="190" spans="1:28" x14ac:dyDescent="0.25">
      <c r="A190" s="21">
        <f t="shared" ca="1" si="41"/>
        <v>45978</v>
      </c>
      <c r="B190" vm="560">
        <f ca="1"/>
        <v>45979</v>
      </c>
      <c r="C190" vm="561">
        <f ca="1"/>
        <v>304.58999999999997</v>
      </c>
      <c r="D190" vm="562">
        <f ca="1"/>
        <v>2774197</v>
      </c>
      <c r="E190">
        <f t="shared" ca="1" si="42"/>
        <v>844992664.2299999</v>
      </c>
      <c r="F190">
        <f ca="1">SUM($E$2:E190)/SUM($D$2:D190)</f>
        <v>305.14559711789605</v>
      </c>
      <c r="G190">
        <f ca="1">_xlfn.STDEV.P($C$2:C190)</f>
        <v>7.5279269926890402</v>
      </c>
      <c r="H190">
        <f t="shared" ca="1" si="43"/>
        <v>312.67352411058511</v>
      </c>
      <c r="I190">
        <f t="shared" ca="1" si="44"/>
        <v>297.61767012520698</v>
      </c>
      <c r="J190">
        <f t="shared" ca="1" si="53"/>
        <v>303.93849999999992</v>
      </c>
      <c r="K190">
        <f t="shared" ca="1" si="54"/>
        <v>4.1365206266543382</v>
      </c>
      <c r="L190">
        <f t="shared" ca="1" si="55"/>
        <v>312.21154125330861</v>
      </c>
      <c r="M190">
        <f t="shared" ca="1" si="56"/>
        <v>295.66545874669123</v>
      </c>
      <c r="N190">
        <f t="shared" ca="1" si="45"/>
        <v>-0.31000000000000227</v>
      </c>
      <c r="O190">
        <f t="shared" ca="1" si="46"/>
        <v>0</v>
      </c>
      <c r="P190">
        <f t="shared" ca="1" si="47"/>
        <v>0.31000000000000227</v>
      </c>
      <c r="Q190">
        <f t="shared" ca="1" si="51"/>
        <v>1.1851218841861491</v>
      </c>
      <c r="R190">
        <f t="shared" ca="1" si="52"/>
        <v>1.1274908545114986</v>
      </c>
      <c r="S190">
        <f t="shared" ca="1" si="49"/>
        <v>1.0511144098810628</v>
      </c>
      <c r="T190">
        <f t="shared" ca="1" si="50"/>
        <v>51.246015571701491</v>
      </c>
      <c r="U190">
        <f>70</f>
        <v>70</v>
      </c>
      <c r="V190">
        <f>30</f>
        <v>30</v>
      </c>
      <c r="W190">
        <f t="shared" ca="1" si="48"/>
        <v>304.31753484181422</v>
      </c>
      <c r="X190">
        <f t="shared" ca="1" si="58"/>
        <v>303.84629609667536</v>
      </c>
      <c r="Y190">
        <f t="shared" ca="1" si="57"/>
        <v>0.31048893618043394</v>
      </c>
      <c r="Z190">
        <f t="shared" ca="1" si="59"/>
        <v>9.8235710890878875E-2</v>
      </c>
      <c r="AA190">
        <f t="shared" ca="1" si="60"/>
        <v>0.21225322528955506</v>
      </c>
      <c r="AB190">
        <f t="shared" ca="1" si="61"/>
        <v>303.67420000000016</v>
      </c>
    </row>
    <row r="191" spans="1:28" x14ac:dyDescent="0.25">
      <c r="A191" s="21">
        <f t="shared" ca="1" si="41"/>
        <v>45978</v>
      </c>
      <c r="B191" vm="563">
        <f ca="1"/>
        <v>45980</v>
      </c>
      <c r="C191" vm="564">
        <f ca="1"/>
        <v>302.74</v>
      </c>
      <c r="D191" vm="565">
        <f ca="1"/>
        <v>2008521</v>
      </c>
      <c r="E191">
        <f t="shared" ca="1" si="42"/>
        <v>608059647.53999996</v>
      </c>
      <c r="F191">
        <f ca="1">SUM($E$2:E191)/SUM($D$2:D191)</f>
        <v>305.13825659970144</v>
      </c>
      <c r="G191">
        <f ca="1">_xlfn.STDEV.P($C$2:C191)</f>
        <v>7.5113210439632274</v>
      </c>
      <c r="H191">
        <f t="shared" ca="1" si="43"/>
        <v>312.64957764366466</v>
      </c>
      <c r="I191">
        <f t="shared" ca="1" si="44"/>
        <v>297.62693555573821</v>
      </c>
      <c r="J191">
        <f t="shared" ca="1" si="53"/>
        <v>303.56999999999994</v>
      </c>
      <c r="K191">
        <f t="shared" ca="1" si="54"/>
        <v>3.8779973127755878</v>
      </c>
      <c r="L191">
        <f t="shared" ca="1" si="55"/>
        <v>311.32599462555112</v>
      </c>
      <c r="M191">
        <f t="shared" ca="1" si="56"/>
        <v>295.81400537444875</v>
      </c>
      <c r="N191">
        <f t="shared" ca="1" si="45"/>
        <v>-1.8499999999999659</v>
      </c>
      <c r="O191">
        <f t="shared" ca="1" si="46"/>
        <v>0</v>
      </c>
      <c r="P191">
        <f t="shared" ca="1" si="47"/>
        <v>1.8499999999999659</v>
      </c>
      <c r="Q191">
        <f t="shared" ca="1" si="51"/>
        <v>1.1004703210299955</v>
      </c>
      <c r="R191">
        <f t="shared" ca="1" si="52"/>
        <v>1.1790986506178176</v>
      </c>
      <c r="S191">
        <f t="shared" ca="1" si="49"/>
        <v>0.93331488459712608</v>
      </c>
      <c r="T191">
        <f t="shared" ca="1" si="50"/>
        <v>48.275368489267848</v>
      </c>
      <c r="U191">
        <f>70</f>
        <v>70</v>
      </c>
      <c r="V191">
        <f>30</f>
        <v>30</v>
      </c>
      <c r="W191">
        <f t="shared" ca="1" si="48"/>
        <v>304.07483717384281</v>
      </c>
      <c r="X191">
        <f t="shared" ca="1" si="58"/>
        <v>303.76434823766238</v>
      </c>
      <c r="Y191">
        <f t="shared" ca="1" si="57"/>
        <v>0.29428337148448236</v>
      </c>
      <c r="Z191">
        <f t="shared" ca="1" si="59"/>
        <v>0.13744524300959959</v>
      </c>
      <c r="AA191">
        <f t="shared" ca="1" si="60"/>
        <v>0.15683812847488277</v>
      </c>
      <c r="AB191">
        <f t="shared" ca="1" si="61"/>
        <v>303.77990000000017</v>
      </c>
    </row>
    <row r="192" spans="1:28" x14ac:dyDescent="0.25">
      <c r="A192" s="21">
        <f t="shared" ca="1" si="41"/>
        <v>45978</v>
      </c>
      <c r="B192" vm="566">
        <f ca="1"/>
        <v>45981</v>
      </c>
      <c r="C192" vm="567">
        <f ca="1"/>
        <v>304.16000000000003</v>
      </c>
      <c r="D192" vm="568">
        <f ca="1"/>
        <v>4205133</v>
      </c>
      <c r="E192">
        <f t="shared" ca="1" si="42"/>
        <v>1279033253.2800002</v>
      </c>
      <c r="F192">
        <f ca="1">SUM($E$2:E192)/SUM($D$2:D192)</f>
        <v>305.13204656177493</v>
      </c>
      <c r="G192">
        <f ca="1">_xlfn.STDEV.P($C$2:C192)</f>
        <v>7.4925311136103154</v>
      </c>
      <c r="H192">
        <f t="shared" ca="1" si="43"/>
        <v>312.62457767538524</v>
      </c>
      <c r="I192">
        <f t="shared" ca="1" si="44"/>
        <v>297.63951544816462</v>
      </c>
      <c r="J192">
        <f t="shared" ca="1" si="53"/>
        <v>303.4294999999999</v>
      </c>
      <c r="K192">
        <f t="shared" ca="1" si="54"/>
        <v>3.7984186113918983</v>
      </c>
      <c r="L192">
        <f t="shared" ca="1" si="55"/>
        <v>311.0263372227837</v>
      </c>
      <c r="M192">
        <f t="shared" ca="1" si="56"/>
        <v>295.83266277721611</v>
      </c>
      <c r="N192">
        <f t="shared" ca="1" si="45"/>
        <v>1.4200000000000159</v>
      </c>
      <c r="O192">
        <f t="shared" ca="1" si="46"/>
        <v>1.4200000000000159</v>
      </c>
      <c r="P192">
        <f t="shared" ca="1" si="47"/>
        <v>0</v>
      </c>
      <c r="Q192">
        <f t="shared" ca="1" si="51"/>
        <v>1.123293869527854</v>
      </c>
      <c r="R192">
        <f t="shared" ca="1" si="52"/>
        <v>1.0948773184308307</v>
      </c>
      <c r="S192">
        <f t="shared" ca="1" si="49"/>
        <v>1.0259540960605062</v>
      </c>
      <c r="T192">
        <f t="shared" ca="1" si="50"/>
        <v>50.640540082101914</v>
      </c>
      <c r="U192">
        <f>70</f>
        <v>70</v>
      </c>
      <c r="V192">
        <f>30</f>
        <v>30</v>
      </c>
      <c r="W192">
        <f t="shared" ca="1" si="48"/>
        <v>304.08793914709776</v>
      </c>
      <c r="X192">
        <f t="shared" ca="1" si="58"/>
        <v>303.79365577561327</v>
      </c>
      <c r="Y192">
        <f t="shared" ca="1" si="57"/>
        <v>0.69225014134963203</v>
      </c>
      <c r="Z192">
        <f t="shared" ca="1" si="59"/>
        <v>0.24840622267760609</v>
      </c>
      <c r="AA192">
        <f t="shared" ca="1" si="60"/>
        <v>0.44384391867202594</v>
      </c>
      <c r="AB192">
        <f t="shared" ca="1" si="61"/>
        <v>303.84660000000014</v>
      </c>
    </row>
    <row r="193" spans="1:28" x14ac:dyDescent="0.25">
      <c r="A193" s="21">
        <f t="shared" ca="1" si="41"/>
        <v>45978</v>
      </c>
      <c r="B193" vm="569">
        <f ca="1"/>
        <v>45982</v>
      </c>
      <c r="C193" vm="570">
        <f ca="1"/>
        <v>309.35000000000002</v>
      </c>
      <c r="D193" vm="571">
        <f ca="1"/>
        <v>3348908</v>
      </c>
      <c r="E193">
        <f t="shared" ca="1" si="42"/>
        <v>1035984689.8000001</v>
      </c>
      <c r="F193">
        <f ca="1">SUM($E$2:E193)/SUM($D$2:D193)</f>
        <v>305.15326320528715</v>
      </c>
      <c r="G193">
        <f ca="1">_xlfn.STDEV.P($C$2:C193)</f>
        <v>7.4774607124743371</v>
      </c>
      <c r="H193">
        <f t="shared" ca="1" si="43"/>
        <v>312.63072391776149</v>
      </c>
      <c r="I193">
        <f t="shared" ca="1" si="44"/>
        <v>297.67580249281281</v>
      </c>
      <c r="J193">
        <f t="shared" ca="1" si="53"/>
        <v>303.60749999999996</v>
      </c>
      <c r="K193">
        <f t="shared" ca="1" si="54"/>
        <v>3.9932731265414141</v>
      </c>
      <c r="L193">
        <f t="shared" ca="1" si="55"/>
        <v>311.59404625308281</v>
      </c>
      <c r="M193">
        <f t="shared" ca="1" si="56"/>
        <v>295.62095374691711</v>
      </c>
      <c r="N193">
        <f t="shared" ca="1" si="45"/>
        <v>5.1899999999999977</v>
      </c>
      <c r="O193">
        <f t="shared" ca="1" si="46"/>
        <v>5.1899999999999977</v>
      </c>
      <c r="P193">
        <f t="shared" ca="1" si="47"/>
        <v>0</v>
      </c>
      <c r="Q193">
        <f t="shared" ca="1" si="51"/>
        <v>1.413772878847293</v>
      </c>
      <c r="R193">
        <f t="shared" ca="1" si="52"/>
        <v>1.0166717956857714</v>
      </c>
      <c r="S193">
        <f t="shared" ca="1" si="49"/>
        <v>1.3905892588410664</v>
      </c>
      <c r="T193">
        <f t="shared" ca="1" si="50"/>
        <v>58.169309248683312</v>
      </c>
      <c r="U193">
        <f>70</f>
        <v>70</v>
      </c>
      <c r="V193">
        <f>30</f>
        <v>30</v>
      </c>
      <c r="W193">
        <f t="shared" ca="1" si="48"/>
        <v>304.89748697062117</v>
      </c>
      <c r="X193">
        <f t="shared" ca="1" si="58"/>
        <v>304.20523682927154</v>
      </c>
      <c r="Y193">
        <f t="shared" ca="1" si="57"/>
        <v>0.64117282268153986</v>
      </c>
      <c r="Z193">
        <f t="shared" ca="1" si="59"/>
        <v>0.32695954267839289</v>
      </c>
      <c r="AA193">
        <f t="shared" ca="1" si="60"/>
        <v>0.31421328000314697</v>
      </c>
      <c r="AB193">
        <f t="shared" ca="1" si="61"/>
        <v>303.99380000000014</v>
      </c>
    </row>
    <row r="194" spans="1:28" x14ac:dyDescent="0.25">
      <c r="A194" s="21">
        <f t="shared" ca="1" si="41"/>
        <v>45985</v>
      </c>
      <c r="B194" vm="572">
        <f ca="1"/>
        <v>45985</v>
      </c>
      <c r="C194" vm="558">
        <f ca="1"/>
        <v>304.89999999999998</v>
      </c>
      <c r="D194" vm="573">
        <f ca="1"/>
        <v>3687330</v>
      </c>
      <c r="E194">
        <f t="shared" ca="1" si="42"/>
        <v>1124266917</v>
      </c>
      <c r="F194">
        <f ca="1">SUM($E$2:E194)/SUM($D$2:D194)</f>
        <v>305.15186826014093</v>
      </c>
      <c r="G194">
        <f ca="1">_xlfn.STDEV.P($C$2:C194)</f>
        <v>7.4583306095773132</v>
      </c>
      <c r="H194">
        <f t="shared" ca="1" si="43"/>
        <v>312.61019886971826</v>
      </c>
      <c r="I194">
        <f t="shared" ca="1" si="44"/>
        <v>297.6935376505636</v>
      </c>
      <c r="J194">
        <f t="shared" ca="1" si="53"/>
        <v>303.35249999999996</v>
      </c>
      <c r="K194">
        <f t="shared" ca="1" si="54"/>
        <v>3.7168490829280523</v>
      </c>
      <c r="L194">
        <f t="shared" ca="1" si="55"/>
        <v>310.78619816585609</v>
      </c>
      <c r="M194">
        <f t="shared" ca="1" si="56"/>
        <v>295.91880183414384</v>
      </c>
      <c r="N194">
        <f t="shared" ca="1" si="45"/>
        <v>-4.4500000000000455</v>
      </c>
      <c r="O194">
        <f t="shared" ca="1" si="46"/>
        <v>0</v>
      </c>
      <c r="P194">
        <f t="shared" ca="1" si="47"/>
        <v>4.4500000000000455</v>
      </c>
      <c r="Q194">
        <f t="shared" ca="1" si="51"/>
        <v>1.3127891017867719</v>
      </c>
      <c r="R194">
        <f t="shared" ca="1" si="52"/>
        <v>1.2619095245653624</v>
      </c>
      <c r="S194">
        <f t="shared" ca="1" si="49"/>
        <v>1.0403195127946545</v>
      </c>
      <c r="T194">
        <f t="shared" ca="1" si="50"/>
        <v>50.988068597634211</v>
      </c>
      <c r="U194">
        <f>70</f>
        <v>70</v>
      </c>
      <c r="V194">
        <f>30</f>
        <v>30</v>
      </c>
      <c r="W194">
        <f t="shared" ca="1" si="48"/>
        <v>304.89787359052559</v>
      </c>
      <c r="X194">
        <f t="shared" ca="1" si="58"/>
        <v>304.25670076784405</v>
      </c>
      <c r="Y194">
        <f t="shared" ca="1" si="57"/>
        <v>1.0365832103612433</v>
      </c>
      <c r="Z194">
        <f t="shared" ca="1" si="59"/>
        <v>0.46888427621496298</v>
      </c>
      <c r="AA194">
        <f t="shared" ca="1" si="60"/>
        <v>0.56769893414628037</v>
      </c>
      <c r="AB194">
        <f t="shared" ca="1" si="61"/>
        <v>304.10200000000015</v>
      </c>
    </row>
    <row r="195" spans="1:28" x14ac:dyDescent="0.25">
      <c r="A195" s="21">
        <f t="shared" ref="A195:A252" ca="1" si="62">B195 - WEEKDAY(B195, 2) + 1</f>
        <v>45985</v>
      </c>
      <c r="B195" vm="574">
        <f ca="1"/>
        <v>45986</v>
      </c>
      <c r="C195" vm="575">
        <f ca="1"/>
        <v>310.45</v>
      </c>
      <c r="D195" vm="576">
        <f ca="1"/>
        <v>4189915</v>
      </c>
      <c r="E195">
        <f t="shared" ref="E195:E252" ca="1" si="63">C195*D195</f>
        <v>1300759111.75</v>
      </c>
      <c r="F195">
        <f ca="1">SUM($E$2:E195)/SUM($D$2:D195)</f>
        <v>305.18482098849762</v>
      </c>
      <c r="G195">
        <f ca="1">_xlfn.STDEV.P($C$2:C195)</f>
        <v>7.4466157103601764</v>
      </c>
      <c r="H195">
        <f t="shared" ref="H195:H252" ca="1" si="64">F195 + G195</f>
        <v>312.63143669885778</v>
      </c>
      <c r="I195">
        <f t="shared" ref="I195:I252" ca="1" si="65">F195 - G195</f>
        <v>297.73820527813746</v>
      </c>
      <c r="J195">
        <f t="shared" ca="1" si="53"/>
        <v>303.55499999999995</v>
      </c>
      <c r="K195">
        <f t="shared" ca="1" si="54"/>
        <v>3.9917777335022242</v>
      </c>
      <c r="L195">
        <f t="shared" ca="1" si="55"/>
        <v>311.53855546700441</v>
      </c>
      <c r="M195">
        <f t="shared" ca="1" si="56"/>
        <v>295.57144453299549</v>
      </c>
      <c r="N195">
        <f t="shared" ca="1" si="45"/>
        <v>5.5500000000000114</v>
      </c>
      <c r="O195">
        <f t="shared" ca="1" si="46"/>
        <v>5.5500000000000114</v>
      </c>
      <c r="P195">
        <f t="shared" ca="1" si="47"/>
        <v>0</v>
      </c>
      <c r="Q195">
        <f t="shared" ca="1" si="51"/>
        <v>1.6154470230877176</v>
      </c>
      <c r="R195">
        <f t="shared" ca="1" si="52"/>
        <v>1.1717731299535508</v>
      </c>
      <c r="S195">
        <f t="shared" ca="1" si="49"/>
        <v>1.3786346365117232</v>
      </c>
      <c r="T195">
        <f t="shared" ca="1" si="50"/>
        <v>57.959075149662169</v>
      </c>
      <c r="U195">
        <f>70</f>
        <v>70</v>
      </c>
      <c r="V195">
        <f>30</f>
        <v>30</v>
      </c>
      <c r="W195">
        <f t="shared" ca="1" si="48"/>
        <v>305.75204688429091</v>
      </c>
      <c r="X195">
        <f t="shared" ca="1" si="58"/>
        <v>304.71546367392966</v>
      </c>
      <c r="Y195">
        <f t="shared" ca="1" si="57"/>
        <v>1.4901203151204072</v>
      </c>
      <c r="Z195">
        <f t="shared" ca="1" si="59"/>
        <v>0.67313148399605183</v>
      </c>
      <c r="AA195">
        <f t="shared" ca="1" si="60"/>
        <v>0.81698883112435539</v>
      </c>
      <c r="AB195">
        <f t="shared" ca="1" si="61"/>
        <v>304.27120000000008</v>
      </c>
    </row>
    <row r="196" spans="1:28" x14ac:dyDescent="0.25">
      <c r="A196" s="21">
        <f t="shared" ca="1" si="62"/>
        <v>45985</v>
      </c>
      <c r="B196" vm="577">
        <f ca="1"/>
        <v>45987</v>
      </c>
      <c r="C196" vm="578">
        <f ca="1"/>
        <v>312.39999999999998</v>
      </c>
      <c r="D196" vm="579">
        <f ca="1"/>
        <v>2786843</v>
      </c>
      <c r="E196">
        <f t="shared" ca="1" si="63"/>
        <v>870609753.19999993</v>
      </c>
      <c r="F196">
        <f ca="1">SUM($E$2:E196)/SUM($D$2:D196)</f>
        <v>305.21454655196703</v>
      </c>
      <c r="G196">
        <f ca="1">_xlfn.STDEV.P($C$2:C196)</f>
        <v>7.4424514363202645</v>
      </c>
      <c r="H196">
        <f t="shared" ca="1" si="64"/>
        <v>312.65699798828729</v>
      </c>
      <c r="I196">
        <f t="shared" ca="1" si="65"/>
        <v>297.77209511564678</v>
      </c>
      <c r="J196">
        <f t="shared" ca="1" si="53"/>
        <v>304.05749999999995</v>
      </c>
      <c r="K196">
        <f t="shared" ca="1" si="54"/>
        <v>4.4395553060852162</v>
      </c>
      <c r="L196">
        <f t="shared" ca="1" si="55"/>
        <v>312.9366106121704</v>
      </c>
      <c r="M196">
        <f t="shared" ca="1" si="56"/>
        <v>295.1783893878295</v>
      </c>
      <c r="N196">
        <f t="shared" ref="N196:N252" ca="1" si="66">C196-C195</f>
        <v>1.9499999999999886</v>
      </c>
      <c r="O196">
        <f t="shared" ref="O196:O252" ca="1" si="67">MAX(N196,0)</f>
        <v>1.9499999999999886</v>
      </c>
      <c r="P196">
        <f t="shared" ref="P196:P252" ca="1" si="68">MAX(-N196,0)</f>
        <v>0</v>
      </c>
      <c r="Q196">
        <f t="shared" ca="1" si="51"/>
        <v>1.6393436642957369</v>
      </c>
      <c r="R196">
        <f t="shared" ca="1" si="52"/>
        <v>1.0880750492425828</v>
      </c>
      <c r="S196">
        <f t="shared" ca="1" si="49"/>
        <v>1.5066457644046669</v>
      </c>
      <c r="T196">
        <f t="shared" ca="1" si="50"/>
        <v>60.10605031630778</v>
      </c>
      <c r="U196">
        <f>70</f>
        <v>70</v>
      </c>
      <c r="V196">
        <f>30</f>
        <v>30</v>
      </c>
      <c r="W196">
        <f t="shared" ca="1" si="48"/>
        <v>306.77480890209233</v>
      </c>
      <c r="X196">
        <f t="shared" ca="1" si="58"/>
        <v>305.28468858697192</v>
      </c>
      <c r="Y196">
        <f t="shared" ca="1" si="57"/>
        <v>1.78220641924662</v>
      </c>
      <c r="Z196">
        <f t="shared" ca="1" si="59"/>
        <v>0.89494647104616554</v>
      </c>
      <c r="AA196">
        <f t="shared" ca="1" si="60"/>
        <v>0.88725994820045451</v>
      </c>
      <c r="AB196">
        <f t="shared" ca="1" si="61"/>
        <v>304.47850000000011</v>
      </c>
    </row>
    <row r="197" spans="1:28" x14ac:dyDescent="0.25">
      <c r="A197" s="21">
        <f t="shared" ca="1" si="62"/>
        <v>45985</v>
      </c>
      <c r="B197" vm="580">
        <f ca="1"/>
        <v>45989</v>
      </c>
      <c r="C197" vm="581">
        <f ca="1"/>
        <v>311.82</v>
      </c>
      <c r="D197" vm="582">
        <f ca="1"/>
        <v>1850687</v>
      </c>
      <c r="E197">
        <f t="shared" ca="1" si="63"/>
        <v>577081220.34000003</v>
      </c>
      <c r="F197">
        <f ca="1">SUM($E$2:E197)/SUM($D$2:D197)</f>
        <v>305.23256923812397</v>
      </c>
      <c r="G197">
        <f ca="1">_xlfn.STDEV.P($C$2:C197)</f>
        <v>7.4356902960365057</v>
      </c>
      <c r="H197">
        <f t="shared" ca="1" si="64"/>
        <v>312.66825953416048</v>
      </c>
      <c r="I197">
        <f t="shared" ca="1" si="65"/>
        <v>297.79687894208746</v>
      </c>
      <c r="J197">
        <f t="shared" ca="1" si="53"/>
        <v>304.52699999999999</v>
      </c>
      <c r="K197">
        <f t="shared" ca="1" si="54"/>
        <v>4.7444284221212039</v>
      </c>
      <c r="L197">
        <f t="shared" ca="1" si="55"/>
        <v>314.01585684424242</v>
      </c>
      <c r="M197">
        <f t="shared" ca="1" si="56"/>
        <v>295.03814315575755</v>
      </c>
      <c r="N197">
        <f t="shared" ca="1" si="66"/>
        <v>-0.57999999999998408</v>
      </c>
      <c r="O197">
        <f t="shared" ca="1" si="67"/>
        <v>0</v>
      </c>
      <c r="P197">
        <f t="shared" ca="1" si="68"/>
        <v>0.57999999999998408</v>
      </c>
      <c r="Q197">
        <f t="shared" ca="1" si="51"/>
        <v>1.5222476882746128</v>
      </c>
      <c r="R197">
        <f t="shared" ca="1" si="52"/>
        <v>1.051783974296683</v>
      </c>
      <c r="S197">
        <f t="shared" ca="1" si="49"/>
        <v>1.4473007057295428</v>
      </c>
      <c r="T197">
        <f t="shared" ca="1" si="50"/>
        <v>59.138654368920349</v>
      </c>
      <c r="U197">
        <f>70</f>
        <v>70</v>
      </c>
      <c r="V197">
        <f>30</f>
        <v>30</v>
      </c>
      <c r="W197">
        <f t="shared" ca="1" si="48"/>
        <v>307.55099214792432</v>
      </c>
      <c r="X197">
        <f t="shared" ca="1" si="58"/>
        <v>305.7687857286777</v>
      </c>
      <c r="Y197">
        <f t="shared" ca="1" si="57"/>
        <v>1.3326191057358301</v>
      </c>
      <c r="Z197">
        <f t="shared" ca="1" si="59"/>
        <v>0.98248099798409849</v>
      </c>
      <c r="AA197">
        <f t="shared" ca="1" si="60"/>
        <v>0.3501381077517316</v>
      </c>
      <c r="AB197">
        <f t="shared" ca="1" si="61"/>
        <v>304.6665000000001</v>
      </c>
    </row>
    <row r="198" spans="1:28" x14ac:dyDescent="0.25">
      <c r="A198" s="21">
        <f t="shared" ca="1" si="62"/>
        <v>45992</v>
      </c>
      <c r="B198" vm="583">
        <f ca="1"/>
        <v>45992</v>
      </c>
      <c r="C198" vm="584">
        <f ca="1"/>
        <v>303.57</v>
      </c>
      <c r="D198" vm="585">
        <f ca="1"/>
        <v>3354081</v>
      </c>
      <c r="E198">
        <f t="shared" ca="1" si="63"/>
        <v>1018198369.17</v>
      </c>
      <c r="F198">
        <f ca="1">SUM($E$2:E198)/SUM($D$2:D198)</f>
        <v>305.22438845373915</v>
      </c>
      <c r="G198">
        <f ca="1">_xlfn.STDEV.P($C$2:C198)</f>
        <v>7.41858311252623</v>
      </c>
      <c r="H198">
        <f t="shared" ca="1" si="64"/>
        <v>312.64297156626537</v>
      </c>
      <c r="I198">
        <f t="shared" ca="1" si="65"/>
        <v>297.80580534121293</v>
      </c>
      <c r="J198">
        <f t="shared" ca="1" si="53"/>
        <v>304.78399999999999</v>
      </c>
      <c r="K198">
        <f t="shared" ca="1" si="54"/>
        <v>4.5312010723311174</v>
      </c>
      <c r="L198">
        <f t="shared" ca="1" si="55"/>
        <v>313.84640214466225</v>
      </c>
      <c r="M198">
        <f t="shared" ca="1" si="56"/>
        <v>295.72159785533773</v>
      </c>
      <c r="N198">
        <f t="shared" ca="1" si="66"/>
        <v>-8.25</v>
      </c>
      <c r="O198">
        <f t="shared" ca="1" si="67"/>
        <v>0</v>
      </c>
      <c r="P198">
        <f t="shared" ca="1" si="68"/>
        <v>8.25</v>
      </c>
      <c r="Q198">
        <f t="shared" ca="1" si="51"/>
        <v>1.4135157105407117</v>
      </c>
      <c r="R198">
        <f t="shared" ca="1" si="52"/>
        <v>1.5659422618469201</v>
      </c>
      <c r="S198">
        <f t="shared" ca="1" si="49"/>
        <v>0.90266144862427311</v>
      </c>
      <c r="T198">
        <f t="shared" ca="1" si="50"/>
        <v>47.442042265424888</v>
      </c>
      <c r="U198">
        <f>70</f>
        <v>70</v>
      </c>
      <c r="V198">
        <f>30</f>
        <v>30</v>
      </c>
      <c r="W198">
        <f t="shared" ca="1" si="48"/>
        <v>306.93853181747443</v>
      </c>
      <c r="X198">
        <f t="shared" ca="1" si="58"/>
        <v>305.6059127117386</v>
      </c>
      <c r="Y198">
        <f t="shared" ca="1" si="57"/>
        <v>0.73784136317624416</v>
      </c>
      <c r="Z198">
        <f t="shared" ca="1" si="59"/>
        <v>0.93355307102252771</v>
      </c>
      <c r="AA198">
        <f t="shared" ca="1" si="60"/>
        <v>-0.19571170784628356</v>
      </c>
      <c r="AB198">
        <f t="shared" ca="1" si="61"/>
        <v>304.71830000000011</v>
      </c>
    </row>
    <row r="199" spans="1:28" x14ac:dyDescent="0.25">
      <c r="A199" s="21">
        <f t="shared" ca="1" si="62"/>
        <v>45992</v>
      </c>
      <c r="B199" vm="586">
        <f ca="1"/>
        <v>45993</v>
      </c>
      <c r="C199" vm="587">
        <f ca="1"/>
        <v>300.72000000000003</v>
      </c>
      <c r="D199" vm="588">
        <f ca="1"/>
        <v>3947816</v>
      </c>
      <c r="E199">
        <f t="shared" ca="1" si="63"/>
        <v>1187187227.5200002</v>
      </c>
      <c r="F199">
        <f ca="1">SUM($E$2:E199)/SUM($D$2:D199)</f>
        <v>305.19845105643935</v>
      </c>
      <c r="G199">
        <f ca="1">_xlfn.STDEV.P($C$2:C199)</f>
        <v>7.408758722318475</v>
      </c>
      <c r="H199">
        <f t="shared" ca="1" si="64"/>
        <v>312.60720977875781</v>
      </c>
      <c r="I199">
        <f t="shared" ca="1" si="65"/>
        <v>297.7896923341209</v>
      </c>
      <c r="J199">
        <f t="shared" ca="1" si="53"/>
        <v>305.00149999999996</v>
      </c>
      <c r="K199">
        <f t="shared" ca="1" si="54"/>
        <v>4.198235562960372</v>
      </c>
      <c r="L199">
        <f t="shared" ca="1" si="55"/>
        <v>313.39797112592072</v>
      </c>
      <c r="M199">
        <f t="shared" ca="1" si="56"/>
        <v>296.60502887407921</v>
      </c>
      <c r="N199">
        <f t="shared" ca="1" si="66"/>
        <v>-2.8499999999999659</v>
      </c>
      <c r="O199">
        <f t="shared" ca="1" si="67"/>
        <v>0</v>
      </c>
      <c r="P199">
        <f t="shared" ca="1" si="68"/>
        <v>2.8499999999999659</v>
      </c>
      <c r="Q199">
        <f t="shared" ca="1" si="51"/>
        <v>1.3125503026449465</v>
      </c>
      <c r="R199">
        <f t="shared" ca="1" si="52"/>
        <v>1.6576606717149949</v>
      </c>
      <c r="S199">
        <f t="shared" ca="1" si="49"/>
        <v>0.79180879720515929</v>
      </c>
      <c r="T199">
        <f t="shared" ca="1" si="50"/>
        <v>44.190473807261839</v>
      </c>
      <c r="U199">
        <f>70</f>
        <v>70</v>
      </c>
      <c r="V199">
        <f>30</f>
        <v>30</v>
      </c>
      <c r="W199">
        <f t="shared" ca="1" si="48"/>
        <v>305.98183461478607</v>
      </c>
      <c r="X199">
        <f t="shared" ca="1" si="58"/>
        <v>305.24399325160982</v>
      </c>
      <c r="Y199">
        <f t="shared" ca="1" si="57"/>
        <v>0.82104579435400638</v>
      </c>
      <c r="Z199">
        <f t="shared" ca="1" si="59"/>
        <v>0.91105161568882354</v>
      </c>
      <c r="AA199">
        <f t="shared" ca="1" si="60"/>
        <v>-9.000582133481716E-2</v>
      </c>
      <c r="AB199">
        <f t="shared" ca="1" si="61"/>
        <v>304.72640000000013</v>
      </c>
    </row>
    <row r="200" spans="1:28" x14ac:dyDescent="0.25">
      <c r="A200" s="21">
        <f t="shared" ca="1" si="62"/>
        <v>45992</v>
      </c>
      <c r="B200" vm="589">
        <f ca="1"/>
        <v>45994</v>
      </c>
      <c r="C200" vm="590">
        <f ca="1"/>
        <v>307.70999999999998</v>
      </c>
      <c r="D200" vm="591">
        <f ca="1"/>
        <v>4986897</v>
      </c>
      <c r="E200">
        <f t="shared" ca="1" si="63"/>
        <v>1534518075.8699999</v>
      </c>
      <c r="F200">
        <f ca="1">SUM($E$2:E200)/SUM($D$2:D200)</f>
        <v>305.2165877511199</v>
      </c>
      <c r="G200">
        <f ca="1">_xlfn.STDEV.P($C$2:C200)</f>
        <v>7.3913222610400586</v>
      </c>
      <c r="H200">
        <f t="shared" ca="1" si="64"/>
        <v>312.60791001215995</v>
      </c>
      <c r="I200">
        <f t="shared" ca="1" si="65"/>
        <v>297.82526549007986</v>
      </c>
      <c r="J200">
        <f t="shared" ca="1" si="53"/>
        <v>305.42649999999998</v>
      </c>
      <c r="K200">
        <f t="shared" ca="1" si="54"/>
        <v>4.0069706039666091</v>
      </c>
      <c r="L200">
        <f t="shared" ca="1" si="55"/>
        <v>313.44044120793319</v>
      </c>
      <c r="M200">
        <f t="shared" ca="1" si="56"/>
        <v>297.41255879206676</v>
      </c>
      <c r="N200">
        <f t="shared" ca="1" si="66"/>
        <v>6.9899999999999523</v>
      </c>
      <c r="O200">
        <f t="shared" ca="1" si="67"/>
        <v>6.9899999999999523</v>
      </c>
      <c r="P200">
        <f t="shared" ca="1" si="68"/>
        <v>0</v>
      </c>
      <c r="Q200">
        <f t="shared" ca="1" si="51"/>
        <v>1.71808242388459</v>
      </c>
      <c r="R200">
        <f t="shared" ca="1" si="52"/>
        <v>1.5392563380210667</v>
      </c>
      <c r="S200">
        <f t="shared" ca="1" si="49"/>
        <v>1.1161769365156098</v>
      </c>
      <c r="T200">
        <f t="shared" ca="1" si="50"/>
        <v>52.744972183349205</v>
      </c>
      <c r="U200">
        <f>70</f>
        <v>70</v>
      </c>
      <c r="V200">
        <f>30</f>
        <v>30</v>
      </c>
      <c r="W200">
        <f t="shared" ca="1" si="48"/>
        <v>306.24770621251128</v>
      </c>
      <c r="X200">
        <f t="shared" ca="1" si="58"/>
        <v>305.42666041815727</v>
      </c>
      <c r="Y200">
        <f t="shared" ca="1" si="57"/>
        <v>0.943088630241391</v>
      </c>
      <c r="Z200">
        <f t="shared" ca="1" si="59"/>
        <v>0.91745901859933709</v>
      </c>
      <c r="AA200">
        <f t="shared" ca="1" si="60"/>
        <v>2.5629611642053907E-2</v>
      </c>
      <c r="AB200">
        <f t="shared" ca="1" si="61"/>
        <v>304.7847000000001</v>
      </c>
    </row>
    <row r="201" spans="1:28" x14ac:dyDescent="0.25">
      <c r="A201" s="21">
        <f t="shared" ca="1" si="62"/>
        <v>45992</v>
      </c>
      <c r="B201" vm="592">
        <f ca="1"/>
        <v>45995</v>
      </c>
      <c r="C201" vm="593">
        <f ca="1"/>
        <v>308.54000000000002</v>
      </c>
      <c r="D201" vm="594">
        <f ca="1"/>
        <v>4632369</v>
      </c>
      <c r="E201">
        <f t="shared" ca="1" si="63"/>
        <v>1429271131.26</v>
      </c>
      <c r="F201">
        <f ca="1">SUM($E$2:E201)/SUM($D$2:D201)</f>
        <v>305.23873245953439</v>
      </c>
      <c r="G201">
        <f ca="1">_xlfn.STDEV.P($C$2:C201)</f>
        <v>7.3752901161581441</v>
      </c>
      <c r="H201">
        <f t="shared" ca="1" si="64"/>
        <v>312.61402257569256</v>
      </c>
      <c r="I201">
        <f t="shared" ca="1" si="65"/>
        <v>297.86344234337622</v>
      </c>
      <c r="J201">
        <f t="shared" ca="1" si="53"/>
        <v>305.57</v>
      </c>
      <c r="K201">
        <f t="shared" ca="1" si="54"/>
        <v>4.0670899980983322</v>
      </c>
      <c r="L201">
        <f t="shared" ca="1" si="55"/>
        <v>313.70417999619667</v>
      </c>
      <c r="M201">
        <f t="shared" ca="1" si="56"/>
        <v>297.43582000380331</v>
      </c>
      <c r="N201">
        <f t="shared" ca="1" si="66"/>
        <v>0.83000000000004093</v>
      </c>
      <c r="O201">
        <f t="shared" ca="1" si="67"/>
        <v>0.83000000000004093</v>
      </c>
      <c r="P201">
        <f t="shared" ca="1" si="68"/>
        <v>0</v>
      </c>
      <c r="Q201">
        <f t="shared" ca="1" si="51"/>
        <v>1.6546479650356936</v>
      </c>
      <c r="R201">
        <f t="shared" ca="1" si="52"/>
        <v>1.4293094567338476</v>
      </c>
      <c r="S201">
        <f t="shared" ca="1" si="49"/>
        <v>1.1576555078679553</v>
      </c>
      <c r="T201">
        <f t="shared" ca="1" si="50"/>
        <v>53.653398498811782</v>
      </c>
      <c r="U201">
        <f>70</f>
        <v>70</v>
      </c>
      <c r="V201">
        <f>30</f>
        <v>30</v>
      </c>
      <c r="W201">
        <f t="shared" ca="1" si="48"/>
        <v>306.60036679520181</v>
      </c>
      <c r="X201">
        <f t="shared" ca="1" si="58"/>
        <v>305.65727816496042</v>
      </c>
      <c r="Y201">
        <f t="shared" ca="1" si="57"/>
        <v>1.2425456825150718</v>
      </c>
      <c r="Z201">
        <f t="shared" ca="1" si="59"/>
        <v>0.98247635138248413</v>
      </c>
      <c r="AA201">
        <f t="shared" ca="1" si="60"/>
        <v>0.26006933113258768</v>
      </c>
      <c r="AB201">
        <f t="shared" ca="1" si="61"/>
        <v>304.87390000000011</v>
      </c>
    </row>
    <row r="202" spans="1:28" x14ac:dyDescent="0.25">
      <c r="A202" s="21">
        <f t="shared" ca="1" si="62"/>
        <v>45992</v>
      </c>
      <c r="B202" vm="595">
        <f ca="1"/>
        <v>45996</v>
      </c>
      <c r="C202" vm="596">
        <f ca="1"/>
        <v>311.23</v>
      </c>
      <c r="D202" vm="597">
        <f ca="1"/>
        <v>3147587</v>
      </c>
      <c r="E202">
        <f t="shared" ca="1" si="63"/>
        <v>979623502.01000011</v>
      </c>
      <c r="F202">
        <f ca="1">SUM($E$2:E202)/SUM($D$2:D202)</f>
        <v>305.26573578312474</v>
      </c>
      <c r="G202">
        <f ca="1">_xlfn.STDEV.P($C$2:C202)</f>
        <v>7.3666598714372595</v>
      </c>
      <c r="H202">
        <f t="shared" ca="1" si="64"/>
        <v>312.632395654562</v>
      </c>
      <c r="I202">
        <f t="shared" ca="1" si="65"/>
        <v>297.89907591168748</v>
      </c>
      <c r="J202">
        <f t="shared" ca="1" si="53"/>
        <v>306.21099999999996</v>
      </c>
      <c r="K202">
        <f t="shared" ca="1" si="54"/>
        <v>3.8854355577829565</v>
      </c>
      <c r="L202">
        <f t="shared" ca="1" si="55"/>
        <v>313.98187111556587</v>
      </c>
      <c r="M202">
        <f t="shared" ca="1" si="56"/>
        <v>298.44012888443405</v>
      </c>
      <c r="N202">
        <f t="shared" ca="1" si="66"/>
        <v>2.6899999999999977</v>
      </c>
      <c r="O202">
        <f t="shared" ca="1" si="67"/>
        <v>2.6899999999999977</v>
      </c>
      <c r="P202">
        <f t="shared" ca="1" si="68"/>
        <v>0</v>
      </c>
      <c r="Q202">
        <f t="shared" ca="1" si="51"/>
        <v>1.7286016818188581</v>
      </c>
      <c r="R202">
        <f t="shared" ca="1" si="52"/>
        <v>1.3272159241100014</v>
      </c>
      <c r="S202">
        <f t="shared" ca="1" si="49"/>
        <v>1.3024268699744663</v>
      </c>
      <c r="T202">
        <f t="shared" ca="1" si="50"/>
        <v>56.567567333372466</v>
      </c>
      <c r="U202">
        <f>70</f>
        <v>70</v>
      </c>
      <c r="V202">
        <f>30</f>
        <v>30</v>
      </c>
      <c r="W202">
        <f t="shared" ca="1" si="48"/>
        <v>307.31261805747846</v>
      </c>
      <c r="X202">
        <f t="shared" ca="1" si="58"/>
        <v>306.07007237496339</v>
      </c>
      <c r="Y202">
        <f t="shared" ca="1" si="57"/>
        <v>1.3481311715328275</v>
      </c>
      <c r="Z202">
        <f t="shared" ca="1" si="59"/>
        <v>1.0556073154125527</v>
      </c>
      <c r="AA202">
        <f t="shared" ca="1" si="60"/>
        <v>0.29252385612027476</v>
      </c>
      <c r="AB202">
        <f t="shared" ca="1" si="61"/>
        <v>304.99720000000008</v>
      </c>
    </row>
    <row r="203" spans="1:28" x14ac:dyDescent="0.25">
      <c r="A203" s="21">
        <f t="shared" ca="1" si="62"/>
        <v>45999</v>
      </c>
      <c r="B203" vm="598">
        <f ca="1"/>
        <v>45999</v>
      </c>
      <c r="C203" vm="599">
        <f ca="1"/>
        <v>309.79000000000002</v>
      </c>
      <c r="D203" vm="600">
        <f ca="1"/>
        <v>3575017</v>
      </c>
      <c r="E203">
        <f t="shared" ca="1" si="63"/>
        <v>1107504516.4300001</v>
      </c>
      <c r="F203">
        <f ca="1">SUM($E$2:E203)/SUM($D$2:D203)</f>
        <v>305.28877826649762</v>
      </c>
      <c r="G203">
        <f ca="1">_xlfn.STDEV.P($C$2:C203)</f>
        <v>7.3535391524997236</v>
      </c>
      <c r="H203">
        <f t="shared" ca="1" si="64"/>
        <v>312.64231741899732</v>
      </c>
      <c r="I203">
        <f t="shared" ca="1" si="65"/>
        <v>297.93523911399791</v>
      </c>
      <c r="J203">
        <f t="shared" ca="1" si="53"/>
        <v>306.71749999999997</v>
      </c>
      <c r="K203">
        <f t="shared" ca="1" si="54"/>
        <v>3.6389586060907688</v>
      </c>
      <c r="L203">
        <f t="shared" ca="1" si="55"/>
        <v>313.99541721218151</v>
      </c>
      <c r="M203">
        <f t="shared" ca="1" si="56"/>
        <v>299.43958278781844</v>
      </c>
      <c r="N203">
        <f t="shared" ca="1" si="66"/>
        <v>-1.4399999999999977</v>
      </c>
      <c r="O203">
        <f t="shared" ca="1" si="67"/>
        <v>0</v>
      </c>
      <c r="P203">
        <f t="shared" ca="1" si="68"/>
        <v>1.4399999999999977</v>
      </c>
      <c r="Q203">
        <f t="shared" ca="1" si="51"/>
        <v>1.605130133117511</v>
      </c>
      <c r="R203">
        <f t="shared" ca="1" si="52"/>
        <v>1.3352719295307156</v>
      </c>
      <c r="S203">
        <f t="shared" ca="1" si="49"/>
        <v>1.2020998102473686</v>
      </c>
      <c r="T203">
        <f t="shared" ca="1" si="50"/>
        <v>54.588797685438834</v>
      </c>
      <c r="U203">
        <f>70</f>
        <v>70</v>
      </c>
      <c r="V203">
        <f>30</f>
        <v>30</v>
      </c>
      <c r="W203">
        <f t="shared" ca="1" si="48"/>
        <v>307.69375374094335</v>
      </c>
      <c r="X203">
        <f t="shared" ca="1" si="58"/>
        <v>306.34562256941052</v>
      </c>
      <c r="Y203">
        <f t="shared" ca="1" si="57"/>
        <v>1.4952636068425704</v>
      </c>
      <c r="Z203">
        <f t="shared" ca="1" si="59"/>
        <v>1.1435385736985564</v>
      </c>
      <c r="AA203">
        <f t="shared" ca="1" si="60"/>
        <v>0.35172503314401404</v>
      </c>
      <c r="AB203">
        <f t="shared" ca="1" si="61"/>
        <v>305.09140000000008</v>
      </c>
    </row>
    <row r="204" spans="1:28" x14ac:dyDescent="0.25">
      <c r="A204" s="21">
        <f t="shared" ca="1" si="62"/>
        <v>45999</v>
      </c>
      <c r="B204" vm="601">
        <f ca="1"/>
        <v>46000</v>
      </c>
      <c r="C204" vm="602">
        <f ca="1"/>
        <v>310.79000000000002</v>
      </c>
      <c r="D204" vm="603">
        <f ca="1"/>
        <v>2355256</v>
      </c>
      <c r="E204">
        <f t="shared" ca="1" si="63"/>
        <v>731990012.24000001</v>
      </c>
      <c r="F204">
        <f ca="1">SUM($E$2:E204)/SUM($D$2:D204)</f>
        <v>305.30717521099746</v>
      </c>
      <c r="G204">
        <f ca="1">_xlfn.STDEV.P($C$2:C204)</f>
        <v>7.3434090825432117</v>
      </c>
      <c r="H204">
        <f t="shared" ca="1" si="64"/>
        <v>312.65058429354065</v>
      </c>
      <c r="I204">
        <f t="shared" ca="1" si="65"/>
        <v>297.96376612845427</v>
      </c>
      <c r="J204">
        <f t="shared" ca="1" si="53"/>
        <v>307.30199999999996</v>
      </c>
      <c r="K204">
        <f t="shared" ca="1" si="54"/>
        <v>3.2712827035149057</v>
      </c>
      <c r="L204">
        <f t="shared" ca="1" si="55"/>
        <v>313.84456540702979</v>
      </c>
      <c r="M204">
        <f t="shared" ca="1" si="56"/>
        <v>300.75943459297014</v>
      </c>
      <c r="N204">
        <f t="shared" ca="1" si="66"/>
        <v>1</v>
      </c>
      <c r="O204">
        <f t="shared" ca="1" si="67"/>
        <v>1</v>
      </c>
      <c r="P204">
        <f t="shared" ca="1" si="68"/>
        <v>0</v>
      </c>
      <c r="Q204">
        <f t="shared" ca="1" si="51"/>
        <v>1.5619065521805457</v>
      </c>
      <c r="R204">
        <f t="shared" ca="1" si="52"/>
        <v>1.2398953631356644</v>
      </c>
      <c r="S204">
        <f t="shared" ca="1" si="49"/>
        <v>1.2597083581557424</v>
      </c>
      <c r="T204">
        <f t="shared" ca="1" si="50"/>
        <v>55.746501693866875</v>
      </c>
      <c r="U204">
        <f>70</f>
        <v>70</v>
      </c>
      <c r="V204">
        <f>30</f>
        <v>30</v>
      </c>
      <c r="W204">
        <f t="shared" ca="1" si="48"/>
        <v>308.17009931925975</v>
      </c>
      <c r="X204">
        <f t="shared" ca="1" si="58"/>
        <v>306.67483571241718</v>
      </c>
      <c r="Y204">
        <f t="shared" ca="1" si="57"/>
        <v>1.5727575250272707</v>
      </c>
      <c r="Z204">
        <f t="shared" ca="1" si="59"/>
        <v>1.2293823639642993</v>
      </c>
      <c r="AA204">
        <f t="shared" ca="1" si="60"/>
        <v>0.34337516106297139</v>
      </c>
      <c r="AB204">
        <f t="shared" ca="1" si="61"/>
        <v>305.22860000000009</v>
      </c>
    </row>
    <row r="205" spans="1:28" x14ac:dyDescent="0.25">
      <c r="A205" s="21">
        <f t="shared" ca="1" si="62"/>
        <v>45999</v>
      </c>
      <c r="B205" vm="604">
        <f ca="1"/>
        <v>46001</v>
      </c>
      <c r="C205" vm="605">
        <f ca="1"/>
        <v>310.52999999999997</v>
      </c>
      <c r="D205" vm="606">
        <f ca="1"/>
        <v>4104201</v>
      </c>
      <c r="E205">
        <f t="shared" ca="1" si="63"/>
        <v>1274477536.53</v>
      </c>
      <c r="F205">
        <f ca="1">SUM($E$2:E205)/SUM($D$2:D205)</f>
        <v>305.33743452184598</v>
      </c>
      <c r="G205">
        <f ca="1">_xlfn.STDEV.P($C$2:C205)</f>
        <v>7.3324662672567111</v>
      </c>
      <c r="H205">
        <f t="shared" ca="1" si="64"/>
        <v>312.66990078910271</v>
      </c>
      <c r="I205">
        <f t="shared" ca="1" si="65"/>
        <v>298.00496825458924</v>
      </c>
      <c r="J205">
        <f t="shared" ca="1" si="53"/>
        <v>307.48699999999997</v>
      </c>
      <c r="K205">
        <f t="shared" ca="1" si="54"/>
        <v>3.3469327670821851</v>
      </c>
      <c r="L205">
        <f t="shared" ca="1" si="55"/>
        <v>314.18086553416435</v>
      </c>
      <c r="M205">
        <f t="shared" ca="1" si="56"/>
        <v>300.79313446583558</v>
      </c>
      <c r="N205">
        <f t="shared" ca="1" si="66"/>
        <v>-0.26000000000004775</v>
      </c>
      <c r="O205">
        <f t="shared" ca="1" si="67"/>
        <v>0</v>
      </c>
      <c r="P205">
        <f t="shared" ca="1" si="68"/>
        <v>0.26000000000004775</v>
      </c>
      <c r="Q205">
        <f t="shared" ca="1" si="51"/>
        <v>1.450341798453364</v>
      </c>
      <c r="R205">
        <f t="shared" ca="1" si="52"/>
        <v>1.1699028371974063</v>
      </c>
      <c r="S205">
        <f t="shared" ca="1" si="49"/>
        <v>1.2397113267352793</v>
      </c>
      <c r="T205">
        <f t="shared" ca="1" si="50"/>
        <v>55.351388901637947</v>
      </c>
      <c r="U205">
        <f>70</f>
        <v>70</v>
      </c>
      <c r="V205">
        <f>30</f>
        <v>30</v>
      </c>
      <c r="W205">
        <f t="shared" ca="1" si="48"/>
        <v>308.53316096245055</v>
      </c>
      <c r="X205">
        <f t="shared" ca="1" si="58"/>
        <v>306.96040343742328</v>
      </c>
      <c r="Y205">
        <f t="shared" ca="1" si="57"/>
        <v>1.5501358652001045</v>
      </c>
      <c r="Z205">
        <f t="shared" ca="1" si="59"/>
        <v>1.2935330642114604</v>
      </c>
      <c r="AA205">
        <f t="shared" ca="1" si="60"/>
        <v>0.25660280098864408</v>
      </c>
      <c r="AB205">
        <f t="shared" ca="1" si="61"/>
        <v>305.37650000000008</v>
      </c>
    </row>
    <row r="206" spans="1:28" x14ac:dyDescent="0.25">
      <c r="A206" s="21">
        <f t="shared" ca="1" si="62"/>
        <v>45999</v>
      </c>
      <c r="B206" vm="607">
        <f ca="1"/>
        <v>46002</v>
      </c>
      <c r="C206" vm="608">
        <f ca="1"/>
        <v>309.70999999999998</v>
      </c>
      <c r="D206" vm="609">
        <f ca="1"/>
        <v>4844183</v>
      </c>
      <c r="E206">
        <f t="shared" ca="1" si="63"/>
        <v>1500291916.9299998</v>
      </c>
      <c r="F206">
        <f ca="1">SUM($E$2:E206)/SUM($D$2:D206)</f>
        <v>305.36713217340923</v>
      </c>
      <c r="G206">
        <f ca="1">_xlfn.STDEV.P($C$2:C206)</f>
        <v>7.3192728797606499</v>
      </c>
      <c r="H206">
        <f t="shared" ca="1" si="64"/>
        <v>312.68640505316989</v>
      </c>
      <c r="I206">
        <f t="shared" ca="1" si="65"/>
        <v>298.04785929364857</v>
      </c>
      <c r="J206">
        <f t="shared" ca="1" si="53"/>
        <v>307.62549999999999</v>
      </c>
      <c r="K206">
        <f t="shared" ca="1" si="54"/>
        <v>3.3802529880406698</v>
      </c>
      <c r="L206">
        <f t="shared" ca="1" si="55"/>
        <v>314.38600597608132</v>
      </c>
      <c r="M206">
        <f t="shared" ca="1" si="56"/>
        <v>300.86499402391865</v>
      </c>
      <c r="N206">
        <f t="shared" ca="1" si="66"/>
        <v>-0.81999999999999318</v>
      </c>
      <c r="O206">
        <f t="shared" ca="1" si="67"/>
        <v>0</v>
      </c>
      <c r="P206">
        <f t="shared" ca="1" si="68"/>
        <v>0.81999999999999318</v>
      </c>
      <c r="Q206">
        <f t="shared" ca="1" si="51"/>
        <v>1.346745955706695</v>
      </c>
      <c r="R206">
        <f t="shared" ca="1" si="52"/>
        <v>1.1449097773975911</v>
      </c>
      <c r="S206">
        <f t="shared" ca="1" si="49"/>
        <v>1.1762900293924317</v>
      </c>
      <c r="T206">
        <f t="shared" ca="1" si="50"/>
        <v>54.050242086567096</v>
      </c>
      <c r="U206">
        <f>70</f>
        <v>70</v>
      </c>
      <c r="V206">
        <f>30</f>
        <v>30</v>
      </c>
      <c r="W206">
        <f t="shared" ca="1" si="48"/>
        <v>308.71421312207355</v>
      </c>
      <c r="X206">
        <f t="shared" ca="1" si="58"/>
        <v>307.16407725687344</v>
      </c>
      <c r="Y206">
        <f t="shared" ca="1" si="57"/>
        <v>2.0739492557606241</v>
      </c>
      <c r="Z206">
        <f t="shared" ca="1" si="59"/>
        <v>1.4496163025212931</v>
      </c>
      <c r="AA206">
        <f t="shared" ca="1" si="60"/>
        <v>0.62433295323933091</v>
      </c>
      <c r="AB206">
        <f t="shared" ca="1" si="61"/>
        <v>305.48190000000005</v>
      </c>
    </row>
    <row r="207" spans="1:28" x14ac:dyDescent="0.25">
      <c r="A207" s="21">
        <f t="shared" ca="1" si="62"/>
        <v>45999</v>
      </c>
      <c r="B207" vm="610">
        <f ca="1"/>
        <v>46003</v>
      </c>
      <c r="C207" vm="611">
        <f ca="1"/>
        <v>316.72000000000003</v>
      </c>
      <c r="D207" vm="612">
        <f ca="1"/>
        <v>3771935</v>
      </c>
      <c r="E207">
        <f t="shared" ca="1" si="63"/>
        <v>1194647253.2</v>
      </c>
      <c r="F207">
        <f ca="1">SUM($E$2:E207)/SUM($D$2:D207)</f>
        <v>305.4268555464941</v>
      </c>
      <c r="G207">
        <f ca="1">_xlfn.STDEV.P($C$2:C207)</f>
        <v>7.3396919868400161</v>
      </c>
      <c r="H207">
        <f t="shared" ca="1" si="64"/>
        <v>312.76654753333412</v>
      </c>
      <c r="I207">
        <f t="shared" ca="1" si="65"/>
        <v>298.08716355965407</v>
      </c>
      <c r="J207">
        <f t="shared" ca="1" si="53"/>
        <v>308.08250000000004</v>
      </c>
      <c r="K207">
        <f t="shared" ca="1" si="54"/>
        <v>3.9445296897962661</v>
      </c>
      <c r="L207">
        <f t="shared" ca="1" si="55"/>
        <v>315.97155937959258</v>
      </c>
      <c r="M207">
        <f t="shared" ca="1" si="56"/>
        <v>300.1934406204075</v>
      </c>
      <c r="N207">
        <f t="shared" ca="1" si="66"/>
        <v>7.0100000000000477</v>
      </c>
      <c r="O207">
        <f t="shared" ca="1" si="67"/>
        <v>7.0100000000000477</v>
      </c>
      <c r="P207">
        <f t="shared" ca="1" si="68"/>
        <v>0</v>
      </c>
      <c r="Q207">
        <f t="shared" ca="1" si="51"/>
        <v>1.7512641017276489</v>
      </c>
      <c r="R207">
        <f t="shared" ca="1" si="52"/>
        <v>1.0631305075834774</v>
      </c>
      <c r="S207">
        <f t="shared" ca="1" si="49"/>
        <v>1.6472710445571885</v>
      </c>
      <c r="T207">
        <f t="shared" ca="1" si="50"/>
        <v>62.225250714088823</v>
      </c>
      <c r="U207">
        <f>70</f>
        <v>70</v>
      </c>
      <c r="V207">
        <f>30</f>
        <v>30</v>
      </c>
      <c r="W207">
        <f t="shared" ref="W207:W252" ca="1" si="69">C207*(2/(12+1)) + W206*(1-(2/(12+1)))</f>
        <v>309.94587264175453</v>
      </c>
      <c r="X207">
        <f t="shared" ca="1" si="58"/>
        <v>307.87192338599391</v>
      </c>
      <c r="Y207">
        <f t="shared" ca="1" si="57"/>
        <v>2.6210514933135869</v>
      </c>
      <c r="Z207">
        <f t="shared" ca="1" si="59"/>
        <v>1.6839033406797519</v>
      </c>
      <c r="AA207">
        <f t="shared" ca="1" si="60"/>
        <v>0.937148152633835</v>
      </c>
      <c r="AB207">
        <f t="shared" ca="1" si="61"/>
        <v>305.66790000000003</v>
      </c>
    </row>
    <row r="208" spans="1:28" x14ac:dyDescent="0.25">
      <c r="A208" s="21">
        <f t="shared" ca="1" si="62"/>
        <v>46006</v>
      </c>
      <c r="B208" vm="613">
        <f ca="1"/>
        <v>46006</v>
      </c>
      <c r="C208" vm="614">
        <f ca="1"/>
        <v>318.73</v>
      </c>
      <c r="D208" vm="615">
        <f ca="1"/>
        <v>3814860</v>
      </c>
      <c r="E208">
        <f t="shared" ca="1" si="63"/>
        <v>1215910327.8</v>
      </c>
      <c r="F208">
        <f ca="1">SUM($E$2:E208)/SUM($D$2:D208)</f>
        <v>305.49726045127045</v>
      </c>
      <c r="G208">
        <f ca="1">_xlfn.STDEV.P($C$2:C208)</f>
        <v>7.3748567695481766</v>
      </c>
      <c r="H208">
        <f t="shared" ca="1" si="64"/>
        <v>312.87211722081861</v>
      </c>
      <c r="I208">
        <f t="shared" ca="1" si="65"/>
        <v>298.12240368172229</v>
      </c>
      <c r="J208">
        <f t="shared" ca="1" si="53"/>
        <v>308.66750000000002</v>
      </c>
      <c r="K208">
        <f t="shared" ca="1" si="54"/>
        <v>4.5942983829502166</v>
      </c>
      <c r="L208">
        <f t="shared" ca="1" si="55"/>
        <v>317.85609676590047</v>
      </c>
      <c r="M208">
        <f t="shared" ca="1" si="56"/>
        <v>299.47890323409956</v>
      </c>
      <c r="N208">
        <f t="shared" ca="1" si="66"/>
        <v>2.0099999999999909</v>
      </c>
      <c r="O208">
        <f t="shared" ca="1" si="67"/>
        <v>2.0099999999999909</v>
      </c>
      <c r="P208">
        <f t="shared" ca="1" si="68"/>
        <v>0</v>
      </c>
      <c r="Q208">
        <f t="shared" ca="1" si="51"/>
        <v>1.7697452373185303</v>
      </c>
      <c r="R208">
        <f t="shared" ca="1" si="52"/>
        <v>0.98719261418465754</v>
      </c>
      <c r="S208">
        <f t="shared" ref="S208:S252" ca="1" si="70">IF(R208=0,NA(),Q208/R208)</f>
        <v>1.7927051032287138</v>
      </c>
      <c r="T208">
        <f t="shared" ref="T208:T252" ca="1" si="71">100-(100/(1+S208))</f>
        <v>64.192424082160485</v>
      </c>
      <c r="U208">
        <f>70</f>
        <v>70</v>
      </c>
      <c r="V208">
        <f>30</f>
        <v>30</v>
      </c>
      <c r="W208">
        <f t="shared" ca="1" si="69"/>
        <v>311.29727685071538</v>
      </c>
      <c r="X208">
        <f t="shared" ca="1" si="58"/>
        <v>308.67622535740179</v>
      </c>
      <c r="Y208">
        <f t="shared" ca="1" si="57"/>
        <v>2.6823874173985018</v>
      </c>
      <c r="Z208">
        <f t="shared" ca="1" si="59"/>
        <v>1.8836001560235021</v>
      </c>
      <c r="AA208">
        <f t="shared" ca="1" si="60"/>
        <v>0.79878726137499978</v>
      </c>
      <c r="AB208">
        <f t="shared" ca="1" si="61"/>
        <v>305.91039999999998</v>
      </c>
    </row>
    <row r="209" spans="1:28" x14ac:dyDescent="0.25">
      <c r="A209" s="21">
        <f t="shared" ca="1" si="62"/>
        <v>46006</v>
      </c>
      <c r="B209" vm="616">
        <f ca="1"/>
        <v>46007</v>
      </c>
      <c r="C209" vm="141">
        <f ca="1"/>
        <v>314.5</v>
      </c>
      <c r="D209" vm="617">
        <f ca="1"/>
        <v>2972523</v>
      </c>
      <c r="E209">
        <f t="shared" ca="1" si="63"/>
        <v>934858483.5</v>
      </c>
      <c r="F209">
        <f ca="1">SUM($E$2:E209)/SUM($D$2:D209)</f>
        <v>305.53423327859059</v>
      </c>
      <c r="G209">
        <f ca="1">_xlfn.STDEV.P($C$2:C209)</f>
        <v>7.3801633413112295</v>
      </c>
      <c r="H209">
        <f t="shared" ca="1" si="64"/>
        <v>312.91439661990182</v>
      </c>
      <c r="I209">
        <f t="shared" ca="1" si="65"/>
        <v>298.15406993727936</v>
      </c>
      <c r="J209">
        <f t="shared" ca="1" si="53"/>
        <v>309.14750000000004</v>
      </c>
      <c r="K209">
        <f t="shared" ca="1" si="54"/>
        <v>4.6806430900937244</v>
      </c>
      <c r="L209">
        <f t="shared" ca="1" si="55"/>
        <v>318.50878618018749</v>
      </c>
      <c r="M209">
        <f t="shared" ca="1" si="56"/>
        <v>299.78621381981259</v>
      </c>
      <c r="N209">
        <f t="shared" ca="1" si="66"/>
        <v>-4.2300000000000182</v>
      </c>
      <c r="O209">
        <f t="shared" ca="1" si="67"/>
        <v>0</v>
      </c>
      <c r="P209">
        <f t="shared" ca="1" si="68"/>
        <v>4.2300000000000182</v>
      </c>
      <c r="Q209">
        <f t="shared" ref="Q209:Q252" ca="1" si="72">(Q208*13+O209)/14</f>
        <v>1.6433348632243496</v>
      </c>
      <c r="R209">
        <f t="shared" ref="R209:R252" ca="1" si="73">(R208*13+P209)/14</f>
        <v>1.2188217131714689</v>
      </c>
      <c r="S209">
        <f t="shared" ca="1" si="70"/>
        <v>1.3482979876919525</v>
      </c>
      <c r="T209">
        <f t="shared" ca="1" si="71"/>
        <v>57.41596657488688</v>
      </c>
      <c r="U209">
        <f>70</f>
        <v>70</v>
      </c>
      <c r="V209">
        <f>30</f>
        <v>30</v>
      </c>
      <c r="W209">
        <f t="shared" ca="1" si="69"/>
        <v>311.79000348906686</v>
      </c>
      <c r="X209">
        <f t="shared" ca="1" si="58"/>
        <v>309.10761607166836</v>
      </c>
      <c r="Y209">
        <f t="shared" ca="1" si="57"/>
        <v>3.034119125243933</v>
      </c>
      <c r="Z209">
        <f t="shared" ca="1" si="59"/>
        <v>2.1137039498675882</v>
      </c>
      <c r="AA209">
        <f t="shared" ca="1" si="60"/>
        <v>0.92041517537634476</v>
      </c>
      <c r="AB209">
        <f t="shared" ca="1" si="61"/>
        <v>306.07070000000004</v>
      </c>
    </row>
    <row r="210" spans="1:28" x14ac:dyDescent="0.25">
      <c r="A210" s="21">
        <f t="shared" ca="1" si="62"/>
        <v>46006</v>
      </c>
      <c r="B210" vm="618">
        <f ca="1"/>
        <v>46008</v>
      </c>
      <c r="C210" vm="619">
        <f ca="1"/>
        <v>318.69</v>
      </c>
      <c r="D210" vm="620">
        <f ca="1"/>
        <v>3329002</v>
      </c>
      <c r="E210">
        <f t="shared" ca="1" si="63"/>
        <v>1060919647.38</v>
      </c>
      <c r="F210">
        <f ca="1">SUM($E$2:E210)/SUM($D$2:D210)</f>
        <v>305.59446427922353</v>
      </c>
      <c r="G210">
        <f ca="1">_xlfn.STDEV.P($C$2:C210)</f>
        <v>7.4134593777476159</v>
      </c>
      <c r="H210">
        <f t="shared" ca="1" si="64"/>
        <v>313.00792365697117</v>
      </c>
      <c r="I210">
        <f t="shared" ca="1" si="65"/>
        <v>298.18100490147589</v>
      </c>
      <c r="J210">
        <f t="shared" ca="1" si="53"/>
        <v>309.85250000000002</v>
      </c>
      <c r="K210">
        <f t="shared" ca="1" si="54"/>
        <v>5.0084558761316744</v>
      </c>
      <c r="L210">
        <f t="shared" ca="1" si="55"/>
        <v>319.86941175226337</v>
      </c>
      <c r="M210">
        <f t="shared" ca="1" si="56"/>
        <v>299.83558824773667</v>
      </c>
      <c r="N210">
        <f t="shared" ca="1" si="66"/>
        <v>4.1899999999999977</v>
      </c>
      <c r="O210">
        <f t="shared" ca="1" si="67"/>
        <v>4.1899999999999977</v>
      </c>
      <c r="P210">
        <f t="shared" ca="1" si="68"/>
        <v>0</v>
      </c>
      <c r="Q210">
        <f t="shared" ca="1" si="72"/>
        <v>1.8252395158511816</v>
      </c>
      <c r="R210">
        <f t="shared" ca="1" si="73"/>
        <v>1.1317630193735069</v>
      </c>
      <c r="S210">
        <f t="shared" ca="1" si="70"/>
        <v>1.6127400211941474</v>
      </c>
      <c r="T210">
        <f t="shared" ca="1" si="71"/>
        <v>61.726004428754756</v>
      </c>
      <c r="U210">
        <f>70</f>
        <v>70</v>
      </c>
      <c r="V210">
        <f>30</f>
        <v>30</v>
      </c>
      <c r="W210">
        <f t="shared" ca="1" si="69"/>
        <v>312.85154141382577</v>
      </c>
      <c r="X210">
        <f t="shared" ca="1" si="58"/>
        <v>309.81742228858184</v>
      </c>
      <c r="Y210">
        <f t="shared" ca="1" si="57"/>
        <v>3.3516967410744769</v>
      </c>
      <c r="Z210">
        <f t="shared" ca="1" si="59"/>
        <v>2.3613025081089658</v>
      </c>
      <c r="AA210">
        <f t="shared" ca="1" si="60"/>
        <v>0.9903942329655111</v>
      </c>
      <c r="AB210">
        <f t="shared" ca="1" si="61"/>
        <v>306.2654</v>
      </c>
    </row>
    <row r="211" spans="1:28" x14ac:dyDescent="0.25">
      <c r="A211" s="21">
        <f t="shared" ca="1" si="62"/>
        <v>46006</v>
      </c>
      <c r="B211" vm="621">
        <f ca="1"/>
        <v>46009</v>
      </c>
      <c r="C211" vm="144">
        <f ca="1"/>
        <v>319.64999999999998</v>
      </c>
      <c r="D211" vm="622">
        <f ca="1"/>
        <v>3335221</v>
      </c>
      <c r="E211">
        <f t="shared" ca="1" si="63"/>
        <v>1066103392.65</v>
      </c>
      <c r="F211">
        <f ca="1">SUM($E$2:E211)/SUM($D$2:D211)</f>
        <v>305.65864053705144</v>
      </c>
      <c r="G211">
        <f ca="1">_xlfn.STDEV.P($C$2:C211)</f>
        <v>7.4537492157894665</v>
      </c>
      <c r="H211">
        <f t="shared" ca="1" si="64"/>
        <v>313.1123897528409</v>
      </c>
      <c r="I211">
        <f t="shared" ca="1" si="65"/>
        <v>298.20489132126198</v>
      </c>
      <c r="J211">
        <f t="shared" ca="1" si="53"/>
        <v>310.69799999999998</v>
      </c>
      <c r="K211">
        <f t="shared" ca="1" si="54"/>
        <v>5.1693118752071703</v>
      </c>
      <c r="L211">
        <f t="shared" ca="1" si="55"/>
        <v>321.03662375041432</v>
      </c>
      <c r="M211">
        <f t="shared" ca="1" si="56"/>
        <v>300.35937624958564</v>
      </c>
      <c r="N211">
        <f t="shared" ca="1" si="66"/>
        <v>0.95999999999997954</v>
      </c>
      <c r="O211">
        <f t="shared" ca="1" si="67"/>
        <v>0.95999999999997954</v>
      </c>
      <c r="P211">
        <f t="shared" ca="1" si="68"/>
        <v>0</v>
      </c>
      <c r="Q211">
        <f t="shared" ca="1" si="72"/>
        <v>1.7634366932903816</v>
      </c>
      <c r="R211">
        <f t="shared" ca="1" si="73"/>
        <v>1.0509228037039706</v>
      </c>
      <c r="S211">
        <f t="shared" ca="1" si="70"/>
        <v>1.6779887990584659</v>
      </c>
      <c r="T211">
        <f t="shared" ca="1" si="71"/>
        <v>62.658544339260018</v>
      </c>
      <c r="U211">
        <f>70</f>
        <v>70</v>
      </c>
      <c r="V211">
        <f>30</f>
        <v>30</v>
      </c>
      <c r="W211">
        <f t="shared" ca="1" si="69"/>
        <v>313.89745811939099</v>
      </c>
      <c r="X211">
        <f t="shared" ca="1" si="58"/>
        <v>310.54576137831651</v>
      </c>
      <c r="Y211">
        <f t="shared" ca="1" si="57"/>
        <v>3.2583835142628459</v>
      </c>
      <c r="Z211">
        <f t="shared" ca="1" si="59"/>
        <v>2.5407187093397416</v>
      </c>
      <c r="AA211">
        <f t="shared" ca="1" si="60"/>
        <v>0.71766480492310425</v>
      </c>
      <c r="AB211">
        <f t="shared" ca="1" si="61"/>
        <v>306.43520000000007</v>
      </c>
    </row>
    <row r="212" spans="1:28" x14ac:dyDescent="0.25">
      <c r="A212" s="21">
        <f t="shared" ca="1" si="62"/>
        <v>46006</v>
      </c>
      <c r="B212" vm="623">
        <f ca="1"/>
        <v>46010</v>
      </c>
      <c r="C212" vm="624">
        <f ca="1"/>
        <v>315.83999999999997</v>
      </c>
      <c r="D212" vm="625">
        <f ca="1"/>
        <v>7128705</v>
      </c>
      <c r="E212">
        <f t="shared" ca="1" si="63"/>
        <v>2251530187.1999998</v>
      </c>
      <c r="F212">
        <f ca="1">SUM($E$2:E212)/SUM($D$2:D212)</f>
        <v>305.75704186888049</v>
      </c>
      <c r="G212">
        <f ca="1">_xlfn.STDEV.P($C$2:C212)</f>
        <v>7.4652513325291929</v>
      </c>
      <c r="H212">
        <f t="shared" ca="1" si="64"/>
        <v>313.22229320140968</v>
      </c>
      <c r="I212">
        <f t="shared" ca="1" si="65"/>
        <v>298.2917905363513</v>
      </c>
      <c r="J212">
        <f t="shared" ca="1" si="53"/>
        <v>311.28200000000004</v>
      </c>
      <c r="K212">
        <f t="shared" ca="1" si="54"/>
        <v>5.050208541811859</v>
      </c>
      <c r="L212">
        <f t="shared" ca="1" si="55"/>
        <v>321.38241708362375</v>
      </c>
      <c r="M212">
        <f t="shared" ca="1" si="56"/>
        <v>301.18158291637633</v>
      </c>
      <c r="N212">
        <f t="shared" ca="1" si="66"/>
        <v>-3.8100000000000023</v>
      </c>
      <c r="O212">
        <f t="shared" ca="1" si="67"/>
        <v>0</v>
      </c>
      <c r="P212">
        <f t="shared" ca="1" si="68"/>
        <v>3.8100000000000023</v>
      </c>
      <c r="Q212">
        <f t="shared" ca="1" si="72"/>
        <v>1.6374769294839258</v>
      </c>
      <c r="R212">
        <f t="shared" ca="1" si="73"/>
        <v>1.2479997462965444</v>
      </c>
      <c r="S212">
        <f t="shared" ca="1" si="70"/>
        <v>1.3120811397142988</v>
      </c>
      <c r="T212">
        <f t="shared" ca="1" si="71"/>
        <v>56.748922742236942</v>
      </c>
      <c r="U212">
        <f>70</f>
        <v>70</v>
      </c>
      <c r="V212">
        <f>30</f>
        <v>30</v>
      </c>
      <c r="W212">
        <f t="shared" ca="1" si="69"/>
        <v>314.19631071640777</v>
      </c>
      <c r="X212">
        <f t="shared" ca="1" si="58"/>
        <v>310.93792720214492</v>
      </c>
      <c r="Y212">
        <f t="shared" ca="1" si="57"/>
        <v>3.1784556754302002</v>
      </c>
      <c r="Z212">
        <f t="shared" ca="1" si="59"/>
        <v>2.6682661025578334</v>
      </c>
      <c r="AA212">
        <f t="shared" ca="1" si="60"/>
        <v>0.51018957287236688</v>
      </c>
      <c r="AB212">
        <f t="shared" ca="1" si="61"/>
        <v>306.55750000000006</v>
      </c>
    </row>
    <row r="213" spans="1:28" x14ac:dyDescent="0.25">
      <c r="A213" s="21">
        <f t="shared" ca="1" si="62"/>
        <v>46013</v>
      </c>
      <c r="B213" vm="626">
        <f ca="1"/>
        <v>46013</v>
      </c>
      <c r="C213" vm="132">
        <f ca="1"/>
        <v>316.22000000000003</v>
      </c>
      <c r="D213" vm="627">
        <f ca="1"/>
        <v>2514579</v>
      </c>
      <c r="E213">
        <f t="shared" ca="1" si="63"/>
        <v>795160171.38000011</v>
      </c>
      <c r="F213">
        <f ca="1">SUM($E$2:E213)/SUM($D$2:D213)</f>
        <v>305.79259077688181</v>
      </c>
      <c r="G213">
        <f ca="1">_xlfn.STDEV.P($C$2:C213)</f>
        <v>7.478679789579803</v>
      </c>
      <c r="H213">
        <f t="shared" ca="1" si="64"/>
        <v>313.27127056646162</v>
      </c>
      <c r="I213">
        <f t="shared" ca="1" si="65"/>
        <v>298.31391098730199</v>
      </c>
      <c r="J213">
        <f t="shared" ca="1" si="53"/>
        <v>311.62549999999999</v>
      </c>
      <c r="K213">
        <f t="shared" ca="1" si="54"/>
        <v>5.1446389827817756</v>
      </c>
      <c r="L213">
        <f t="shared" ca="1" si="55"/>
        <v>321.91477796556353</v>
      </c>
      <c r="M213">
        <f t="shared" ca="1" si="56"/>
        <v>301.33622203443645</v>
      </c>
      <c r="N213">
        <f t="shared" ca="1" si="66"/>
        <v>0.3800000000000523</v>
      </c>
      <c r="O213">
        <f t="shared" ca="1" si="67"/>
        <v>0.3800000000000523</v>
      </c>
      <c r="P213">
        <f t="shared" ca="1" si="68"/>
        <v>0</v>
      </c>
      <c r="Q213">
        <f t="shared" ca="1" si="72"/>
        <v>1.5476571488065061</v>
      </c>
      <c r="R213">
        <f t="shared" ca="1" si="73"/>
        <v>1.1588569072753627</v>
      </c>
      <c r="S213">
        <f t="shared" ca="1" si="70"/>
        <v>1.3355032352055165</v>
      </c>
      <c r="T213">
        <f t="shared" ca="1" si="71"/>
        <v>57.182675454011807</v>
      </c>
      <c r="U213">
        <f>70</f>
        <v>70</v>
      </c>
      <c r="V213">
        <f>30</f>
        <v>30</v>
      </c>
      <c r="W213">
        <f t="shared" ca="1" si="69"/>
        <v>314.50764752926813</v>
      </c>
      <c r="X213">
        <f t="shared" ca="1" si="58"/>
        <v>311.32919185383793</v>
      </c>
      <c r="Y213">
        <f t="shared" ca="1" si="57"/>
        <v>2.6504386430065665</v>
      </c>
      <c r="Z213">
        <f t="shared" ca="1" si="59"/>
        <v>2.6647006106475803</v>
      </c>
      <c r="AA213">
        <f t="shared" ca="1" si="60"/>
        <v>-1.426196764101384E-2</v>
      </c>
      <c r="AB213">
        <f t="shared" ca="1" si="61"/>
        <v>306.71900000000005</v>
      </c>
    </row>
    <row r="214" spans="1:28" x14ac:dyDescent="0.25">
      <c r="A214" s="21">
        <f t="shared" ca="1" si="62"/>
        <v>46013</v>
      </c>
      <c r="B214" vm="628">
        <f ca="1"/>
        <v>46014</v>
      </c>
      <c r="C214" vm="629">
        <f ca="1"/>
        <v>310.83999999999997</v>
      </c>
      <c r="D214" vm="630">
        <f ca="1"/>
        <v>2922808</v>
      </c>
      <c r="E214">
        <f t="shared" ca="1" si="63"/>
        <v>908525638.71999991</v>
      </c>
      <c r="F214">
        <f ca="1">SUM($E$2:E214)/SUM($D$2:D214)</f>
        <v>305.81244548780865</v>
      </c>
      <c r="G214">
        <f ca="1">_xlfn.STDEV.P($C$2:C214)</f>
        <v>7.4674698067150818</v>
      </c>
      <c r="H214">
        <f t="shared" ca="1" si="64"/>
        <v>313.27991529452373</v>
      </c>
      <c r="I214">
        <f t="shared" ca="1" si="65"/>
        <v>298.34497568109356</v>
      </c>
      <c r="J214">
        <f t="shared" ref="J214:J252" ca="1" si="74">AVERAGE(C195:C214)</f>
        <v>311.92250000000001</v>
      </c>
      <c r="K214">
        <f t="shared" ref="K214:K252" ca="1" si="75">_xlfn.STDEV.S(C195:C214)</f>
        <v>4.9016612382677804</v>
      </c>
      <c r="L214">
        <f t="shared" ref="L214:L252" ca="1" si="76">J214 + 2*K214</f>
        <v>321.7258224765356</v>
      </c>
      <c r="M214">
        <f t="shared" ref="M214:M252" ca="1" si="77">J214-2*K214</f>
        <v>302.11917752346443</v>
      </c>
      <c r="N214">
        <f t="shared" ca="1" si="66"/>
        <v>-5.3800000000000523</v>
      </c>
      <c r="O214">
        <f t="shared" ca="1" si="67"/>
        <v>0</v>
      </c>
      <c r="P214">
        <f t="shared" ca="1" si="68"/>
        <v>5.3800000000000523</v>
      </c>
      <c r="Q214">
        <f t="shared" ca="1" si="72"/>
        <v>1.4371102096060413</v>
      </c>
      <c r="R214">
        <f t="shared" ca="1" si="73"/>
        <v>1.4603671281842689</v>
      </c>
      <c r="S214">
        <f t="shared" ca="1" si="70"/>
        <v>0.9840746082752877</v>
      </c>
      <c r="T214">
        <f t="shared" ca="1" si="71"/>
        <v>49.598669534444674</v>
      </c>
      <c r="U214">
        <f>70</f>
        <v>70</v>
      </c>
      <c r="V214">
        <f>30</f>
        <v>30</v>
      </c>
      <c r="W214">
        <f t="shared" ca="1" si="69"/>
        <v>313.94339406322689</v>
      </c>
      <c r="X214">
        <f t="shared" ca="1" si="58"/>
        <v>311.29295542022032</v>
      </c>
      <c r="Y214">
        <f t="shared" ca="1" si="57"/>
        <v>2.4051781344923029</v>
      </c>
      <c r="Z214">
        <f t="shared" ca="1" si="59"/>
        <v>2.6127961154165251</v>
      </c>
      <c r="AA214">
        <f t="shared" ca="1" si="60"/>
        <v>-0.20761798092422223</v>
      </c>
      <c r="AB214">
        <f t="shared" ca="1" si="61"/>
        <v>306.79850000000005</v>
      </c>
    </row>
    <row r="215" spans="1:28" x14ac:dyDescent="0.25">
      <c r="A215" s="21">
        <f t="shared" ca="1" si="62"/>
        <v>46013</v>
      </c>
      <c r="B215" vm="631">
        <f ca="1"/>
        <v>46015</v>
      </c>
      <c r="C215" vm="632">
        <f ca="1"/>
        <v>313.33</v>
      </c>
      <c r="D215" vm="633">
        <f ca="1"/>
        <v>1011483</v>
      </c>
      <c r="E215">
        <f t="shared" ca="1" si="63"/>
        <v>316927968.38999999</v>
      </c>
      <c r="F215">
        <f ca="1">SUM($E$2:E215)/SUM($D$2:D215)</f>
        <v>305.82266521106703</v>
      </c>
      <c r="G215">
        <f ca="1">_xlfn.STDEV.P($C$2:C215)</f>
        <v>7.4651889644391343</v>
      </c>
      <c r="H215">
        <f t="shared" ca="1" si="64"/>
        <v>313.28785417550614</v>
      </c>
      <c r="I215">
        <f t="shared" ca="1" si="65"/>
        <v>298.35747624662793</v>
      </c>
      <c r="J215">
        <f t="shared" ca="1" si="74"/>
        <v>312.06650000000002</v>
      </c>
      <c r="K215">
        <f t="shared" ca="1" si="75"/>
        <v>4.8984286148454617</v>
      </c>
      <c r="L215">
        <f t="shared" ca="1" si="76"/>
        <v>321.86335722969096</v>
      </c>
      <c r="M215">
        <f t="shared" ca="1" si="77"/>
        <v>302.26964277030908</v>
      </c>
      <c r="N215">
        <f t="shared" ca="1" si="66"/>
        <v>2.4900000000000091</v>
      </c>
      <c r="O215">
        <f t="shared" ca="1" si="67"/>
        <v>2.4900000000000091</v>
      </c>
      <c r="P215">
        <f t="shared" ca="1" si="68"/>
        <v>0</v>
      </c>
      <c r="Q215">
        <f t="shared" ca="1" si="72"/>
        <v>1.5123166232056104</v>
      </c>
      <c r="R215">
        <f t="shared" ca="1" si="73"/>
        <v>1.3560551904568212</v>
      </c>
      <c r="S215">
        <f t="shared" ca="1" si="70"/>
        <v>1.1152323547363501</v>
      </c>
      <c r="T215">
        <f t="shared" ca="1" si="71"/>
        <v>52.723869897279279</v>
      </c>
      <c r="U215">
        <f>70</f>
        <v>70</v>
      </c>
      <c r="V215">
        <f>30</f>
        <v>30</v>
      </c>
      <c r="W215">
        <f t="shared" ca="1" si="69"/>
        <v>313.84902574580741</v>
      </c>
      <c r="X215">
        <f t="shared" ca="1" si="58"/>
        <v>311.44384761131511</v>
      </c>
      <c r="Y215">
        <f t="shared" ca="1" si="57"/>
        <v>1.9742170166022106</v>
      </c>
      <c r="Z215">
        <f t="shared" ca="1" si="59"/>
        <v>2.4850802956536624</v>
      </c>
      <c r="AA215">
        <f t="shared" ca="1" si="60"/>
        <v>-0.51086327905145179</v>
      </c>
      <c r="AB215">
        <f t="shared" ca="1" si="61"/>
        <v>306.8895</v>
      </c>
    </row>
    <row r="216" spans="1:28" x14ac:dyDescent="0.25">
      <c r="A216" s="21">
        <f t="shared" ca="1" si="62"/>
        <v>46013</v>
      </c>
      <c r="B216" vm="634">
        <f ca="1"/>
        <v>46017</v>
      </c>
      <c r="C216" vm="635">
        <f ca="1"/>
        <v>310.68</v>
      </c>
      <c r="D216" vm="636">
        <f ca="1"/>
        <v>1308854</v>
      </c>
      <c r="E216">
        <f t="shared" ca="1" si="63"/>
        <v>406634760.72000003</v>
      </c>
      <c r="F216">
        <f ca="1">SUM($E$2:E216)/SUM($D$2:D216)</f>
        <v>305.83119483531573</v>
      </c>
      <c r="G216">
        <f ca="1">_xlfn.STDEV.P($C$2:C216)</f>
        <v>7.4535417890187592</v>
      </c>
      <c r="H216">
        <f t="shared" ca="1" si="64"/>
        <v>313.28473662433447</v>
      </c>
      <c r="I216">
        <f t="shared" ca="1" si="65"/>
        <v>298.37765304629698</v>
      </c>
      <c r="J216">
        <f t="shared" ca="1" si="74"/>
        <v>311.98050000000001</v>
      </c>
      <c r="K216">
        <f t="shared" ca="1" si="75"/>
        <v>4.9073558911194981</v>
      </c>
      <c r="L216">
        <f t="shared" ca="1" si="76"/>
        <v>321.79521178223899</v>
      </c>
      <c r="M216">
        <f t="shared" ca="1" si="77"/>
        <v>302.16578821776102</v>
      </c>
      <c r="N216">
        <f t="shared" ca="1" si="66"/>
        <v>-2.6499999999999773</v>
      </c>
      <c r="O216">
        <f t="shared" ca="1" si="67"/>
        <v>0</v>
      </c>
      <c r="P216">
        <f t="shared" ca="1" si="68"/>
        <v>2.6499999999999773</v>
      </c>
      <c r="Q216">
        <f t="shared" ca="1" si="72"/>
        <v>1.4042940072623527</v>
      </c>
      <c r="R216">
        <f t="shared" ca="1" si="73"/>
        <v>1.4484798197099038</v>
      </c>
      <c r="S216">
        <f t="shared" ca="1" si="70"/>
        <v>0.96949504449678803</v>
      </c>
      <c r="T216">
        <f t="shared" ca="1" si="71"/>
        <v>49.225564045249833</v>
      </c>
      <c r="U216">
        <f>70</f>
        <v>70</v>
      </c>
      <c r="V216">
        <f>30</f>
        <v>30</v>
      </c>
      <c r="W216">
        <f t="shared" ca="1" si="69"/>
        <v>313.36148332337547</v>
      </c>
      <c r="X216">
        <f t="shared" ca="1" si="58"/>
        <v>311.38726630677326</v>
      </c>
      <c r="Y216">
        <f t="shared" ca="1" si="57"/>
        <v>1.442561245986326</v>
      </c>
      <c r="Z216">
        <f t="shared" ca="1" si="59"/>
        <v>2.2765764857201951</v>
      </c>
      <c r="AA216">
        <f t="shared" ca="1" si="60"/>
        <v>-0.83401523973386915</v>
      </c>
      <c r="AB216">
        <f t="shared" ca="1" si="61"/>
        <v>307.00860000000006</v>
      </c>
    </row>
    <row r="217" spans="1:28" x14ac:dyDescent="0.25">
      <c r="A217" s="21">
        <f t="shared" ca="1" si="62"/>
        <v>46020</v>
      </c>
      <c r="B217" vm="637">
        <f ca="1"/>
        <v>46020</v>
      </c>
      <c r="C217" vm="638">
        <f ca="1"/>
        <v>308.52999999999997</v>
      </c>
      <c r="D217" vm="639">
        <f ca="1"/>
        <v>2148502</v>
      </c>
      <c r="E217">
        <f t="shared" ca="1" si="63"/>
        <v>662877322.05999994</v>
      </c>
      <c r="F217">
        <f ca="1">SUM($E$2:E217)/SUM($D$2:D217)</f>
        <v>305.83895190831822</v>
      </c>
      <c r="G217">
        <f ca="1">_xlfn.STDEV.P($C$2:C217)</f>
        <v>7.4376686605526237</v>
      </c>
      <c r="H217">
        <f t="shared" ca="1" si="64"/>
        <v>313.27662056887084</v>
      </c>
      <c r="I217">
        <f t="shared" ca="1" si="65"/>
        <v>298.4012832477656</v>
      </c>
      <c r="J217">
        <f t="shared" ca="1" si="74"/>
        <v>311.81600000000003</v>
      </c>
      <c r="K217">
        <f t="shared" ca="1" si="75"/>
        <v>4.9677892997102635</v>
      </c>
      <c r="L217">
        <f t="shared" ca="1" si="76"/>
        <v>321.75157859942055</v>
      </c>
      <c r="M217">
        <f t="shared" ca="1" si="77"/>
        <v>301.88042140057951</v>
      </c>
      <c r="N217">
        <f t="shared" ca="1" si="66"/>
        <v>-2.1500000000000341</v>
      </c>
      <c r="O217">
        <f t="shared" ca="1" si="67"/>
        <v>0</v>
      </c>
      <c r="P217">
        <f t="shared" ca="1" si="68"/>
        <v>2.1500000000000341</v>
      </c>
      <c r="Q217">
        <f t="shared" ca="1" si="72"/>
        <v>1.3039872924578988</v>
      </c>
      <c r="R217">
        <f t="shared" ca="1" si="73"/>
        <v>1.4985884040163417</v>
      </c>
      <c r="S217">
        <f t="shared" ca="1" si="70"/>
        <v>0.87014372256124783</v>
      </c>
      <c r="T217">
        <f t="shared" ca="1" si="71"/>
        <v>46.528173854442912</v>
      </c>
      <c r="U217">
        <f>70</f>
        <v>70</v>
      </c>
      <c r="V217">
        <f>30</f>
        <v>30</v>
      </c>
      <c r="W217">
        <f t="shared" ca="1" si="69"/>
        <v>312.61817819670227</v>
      </c>
      <c r="X217">
        <f t="shared" ca="1" si="58"/>
        <v>311.17561695071595</v>
      </c>
      <c r="Y217">
        <f t="shared" ca="1" si="57"/>
        <v>0.96969634027891516</v>
      </c>
      <c r="Z217">
        <f t="shared" ca="1" si="59"/>
        <v>2.0152004566319395</v>
      </c>
      <c r="AA217">
        <f t="shared" ca="1" si="60"/>
        <v>-1.0455041163530243</v>
      </c>
      <c r="AB217">
        <f t="shared" ca="1" si="61"/>
        <v>307.01730000000003</v>
      </c>
    </row>
    <row r="218" spans="1:28" x14ac:dyDescent="0.25">
      <c r="A218" s="21">
        <f t="shared" ca="1" si="62"/>
        <v>46020</v>
      </c>
      <c r="B218" vm="640">
        <f ca="1"/>
        <v>46021</v>
      </c>
      <c r="C218" vm="641">
        <f ca="1"/>
        <v>308.02999999999997</v>
      </c>
      <c r="D218" vm="642">
        <f ca="1"/>
        <v>1678742</v>
      </c>
      <c r="E218">
        <f t="shared" ca="1" si="63"/>
        <v>517102898.25999993</v>
      </c>
      <c r="F218">
        <f ca="1">SUM($E$2:E218)/SUM($D$2:D218)</f>
        <v>305.84386157712947</v>
      </c>
      <c r="G218">
        <f ca="1">_xlfn.STDEV.P($C$2:C218)</f>
        <v>7.4213187397059022</v>
      </c>
      <c r="H218">
        <f t="shared" ca="1" si="64"/>
        <v>313.26518031683537</v>
      </c>
      <c r="I218">
        <f t="shared" ca="1" si="65"/>
        <v>298.42254283742358</v>
      </c>
      <c r="J218">
        <f t="shared" ca="1" si="74"/>
        <v>312.03899999999999</v>
      </c>
      <c r="K218">
        <f t="shared" ca="1" si="75"/>
        <v>4.6692858689863685</v>
      </c>
      <c r="L218">
        <f t="shared" ca="1" si="76"/>
        <v>321.37757173797274</v>
      </c>
      <c r="M218">
        <f t="shared" ca="1" si="77"/>
        <v>302.70042826202723</v>
      </c>
      <c r="N218">
        <f t="shared" ca="1" si="66"/>
        <v>-0.5</v>
      </c>
      <c r="O218">
        <f t="shared" ca="1" si="67"/>
        <v>0</v>
      </c>
      <c r="P218">
        <f t="shared" ca="1" si="68"/>
        <v>0.5</v>
      </c>
      <c r="Q218">
        <f t="shared" ca="1" si="72"/>
        <v>1.2108453429966204</v>
      </c>
      <c r="R218">
        <f t="shared" ca="1" si="73"/>
        <v>1.4272606608723173</v>
      </c>
      <c r="S218">
        <f t="shared" ca="1" si="70"/>
        <v>0.84837015143160499</v>
      </c>
      <c r="T218">
        <f t="shared" ca="1" si="71"/>
        <v>45.898282374584063</v>
      </c>
      <c r="U218">
        <f>70</f>
        <v>70</v>
      </c>
      <c r="V218">
        <f>30</f>
        <v>30</v>
      </c>
      <c r="W218">
        <f t="shared" ca="1" si="69"/>
        <v>311.91230462797887</v>
      </c>
      <c r="X218">
        <f t="shared" ca="1" si="58"/>
        <v>310.94260828769995</v>
      </c>
      <c r="Y218">
        <f t="shared" ca="1" si="57"/>
        <v>0.39671447580406038</v>
      </c>
      <c r="Z218">
        <f t="shared" ca="1" si="59"/>
        <v>1.6915032604663638</v>
      </c>
      <c r="AA218">
        <f t="shared" ca="1" si="60"/>
        <v>-1.2947887846623034</v>
      </c>
      <c r="AB218">
        <f t="shared" ca="1" si="61"/>
        <v>307.01850000000002</v>
      </c>
    </row>
    <row r="219" spans="1:28" x14ac:dyDescent="0.25">
      <c r="A219" s="21">
        <f t="shared" ca="1" si="62"/>
        <v>46020</v>
      </c>
      <c r="B219" vm="643">
        <f ca="1"/>
        <v>46022</v>
      </c>
      <c r="C219" vm="644">
        <f ca="1"/>
        <v>305.63</v>
      </c>
      <c r="D219" vm="645">
        <f ca="1"/>
        <v>1903701</v>
      </c>
      <c r="E219">
        <f t="shared" ca="1" si="63"/>
        <v>581828136.63</v>
      </c>
      <c r="F219">
        <f ca="1">SUM($E$2:E219)/SUM($D$2:D219)</f>
        <v>305.84331951924565</v>
      </c>
      <c r="G219">
        <f ca="1">_xlfn.STDEV.P($C$2:C219)</f>
        <v>7.4044708201193874</v>
      </c>
      <c r="H219">
        <f t="shared" ca="1" si="64"/>
        <v>313.24779033936505</v>
      </c>
      <c r="I219">
        <f t="shared" ca="1" si="65"/>
        <v>298.43884869912625</v>
      </c>
      <c r="J219">
        <f t="shared" ca="1" si="74"/>
        <v>312.28449999999998</v>
      </c>
      <c r="K219">
        <f t="shared" ca="1" si="75"/>
        <v>4.1421612398411218</v>
      </c>
      <c r="L219">
        <f t="shared" ca="1" si="76"/>
        <v>320.56882247968224</v>
      </c>
      <c r="M219">
        <f t="shared" ca="1" si="77"/>
        <v>304.00017752031772</v>
      </c>
      <c r="N219">
        <f t="shared" ca="1" si="66"/>
        <v>-2.3999999999999773</v>
      </c>
      <c r="O219">
        <f t="shared" ca="1" si="67"/>
        <v>0</v>
      </c>
      <c r="P219">
        <f t="shared" ca="1" si="68"/>
        <v>2.3999999999999773</v>
      </c>
      <c r="Q219">
        <f t="shared" ca="1" si="72"/>
        <v>1.1243563899254332</v>
      </c>
      <c r="R219">
        <f t="shared" ca="1" si="73"/>
        <v>1.4967420422385787</v>
      </c>
      <c r="S219">
        <f t="shared" ca="1" si="70"/>
        <v>0.75120251733144827</v>
      </c>
      <c r="T219">
        <f t="shared" ca="1" si="71"/>
        <v>42.896381766065552</v>
      </c>
      <c r="U219">
        <f>70</f>
        <v>70</v>
      </c>
      <c r="V219">
        <f>30</f>
        <v>30</v>
      </c>
      <c r="W219">
        <f t="shared" ca="1" si="69"/>
        <v>310.94579622367439</v>
      </c>
      <c r="X219">
        <f t="shared" ca="1" si="58"/>
        <v>310.54908174787033</v>
      </c>
      <c r="Y219">
        <f t="shared" ca="1" si="57"/>
        <v>-0.24578373112984764</v>
      </c>
      <c r="Z219">
        <f t="shared" ca="1" si="59"/>
        <v>1.3040458621471216</v>
      </c>
      <c r="AA219">
        <f t="shared" ca="1" si="60"/>
        <v>-1.5498295932769692</v>
      </c>
      <c r="AB219">
        <f t="shared" ca="1" si="61"/>
        <v>307.02029999999996</v>
      </c>
    </row>
    <row r="220" spans="1:28" x14ac:dyDescent="0.25">
      <c r="A220" s="21">
        <f t="shared" ca="1" si="62"/>
        <v>46020</v>
      </c>
      <c r="B220" vm="646">
        <f ca="1"/>
        <v>46024</v>
      </c>
      <c r="C220" vm="647">
        <f ca="1"/>
        <v>303.26</v>
      </c>
      <c r="D220" vm="648">
        <f ca="1"/>
        <v>3124487</v>
      </c>
      <c r="E220">
        <f t="shared" ca="1" si="63"/>
        <v>947531927.62</v>
      </c>
      <c r="F220">
        <f ca="1">SUM($E$2:E220)/SUM($D$2:D220)</f>
        <v>305.8326174416917</v>
      </c>
      <c r="G220">
        <f ca="1">_xlfn.STDEV.P($C$2:C220)</f>
        <v>7.3906128681141956</v>
      </c>
      <c r="H220">
        <f t="shared" ca="1" si="64"/>
        <v>313.2232303098059</v>
      </c>
      <c r="I220">
        <f t="shared" ca="1" si="65"/>
        <v>298.44200457357749</v>
      </c>
      <c r="J220">
        <f t="shared" ca="1" si="74"/>
        <v>312.06200000000001</v>
      </c>
      <c r="K220">
        <f t="shared" ca="1" si="75"/>
        <v>4.504488521697585</v>
      </c>
      <c r="L220">
        <f t="shared" ca="1" si="76"/>
        <v>321.0709770433952</v>
      </c>
      <c r="M220">
        <f t="shared" ca="1" si="77"/>
        <v>303.05302295660482</v>
      </c>
      <c r="N220">
        <f t="shared" ca="1" si="66"/>
        <v>-2.3700000000000045</v>
      </c>
      <c r="O220">
        <f t="shared" ca="1" si="67"/>
        <v>0</v>
      </c>
      <c r="P220">
        <f t="shared" ca="1" si="68"/>
        <v>2.3700000000000045</v>
      </c>
      <c r="Q220">
        <f t="shared" ca="1" si="72"/>
        <v>1.0440452192164738</v>
      </c>
      <c r="R220">
        <f t="shared" ca="1" si="73"/>
        <v>1.559117610650109</v>
      </c>
      <c r="S220">
        <f t="shared" ca="1" si="70"/>
        <v>0.66963852635923704</v>
      </c>
      <c r="T220">
        <f t="shared" ca="1" si="71"/>
        <v>40.106796518371581</v>
      </c>
      <c r="U220">
        <f>70</f>
        <v>70</v>
      </c>
      <c r="V220">
        <f>30</f>
        <v>30</v>
      </c>
      <c r="W220">
        <f t="shared" ca="1" si="69"/>
        <v>309.76336603541677</v>
      </c>
      <c r="X220">
        <f t="shared" ca="1" si="58"/>
        <v>310.00914976654661</v>
      </c>
      <c r="Y220">
        <f t="shared" ref="Y220:Y251" ca="1" si="78">W221-X221</f>
        <v>-1.0175896342133228</v>
      </c>
      <c r="Z220">
        <f t="shared" ca="1" si="59"/>
        <v>0.83971876287503266</v>
      </c>
      <c r="AA220">
        <f t="shared" ca="1" si="60"/>
        <v>-1.8573083970883555</v>
      </c>
      <c r="AB220">
        <f t="shared" ca="1" si="61"/>
        <v>307.00930000000005</v>
      </c>
    </row>
    <row r="221" spans="1:28" x14ac:dyDescent="0.25">
      <c r="A221" s="21">
        <f t="shared" ca="1" si="62"/>
        <v>46027</v>
      </c>
      <c r="B221" vm="649">
        <f ca="1"/>
        <v>46027</v>
      </c>
      <c r="C221" vm="650">
        <f ca="1"/>
        <v>299.86</v>
      </c>
      <c r="D221" vm="651">
        <f ca="1"/>
        <v>4573300</v>
      </c>
      <c r="E221">
        <f t="shared" ca="1" si="63"/>
        <v>1371349738</v>
      </c>
      <c r="F221">
        <f ca="1">SUM($E$2:E221)/SUM($D$2:D221)</f>
        <v>305.79661929545586</v>
      </c>
      <c r="G221">
        <f ca="1">_xlfn.STDEV.P($C$2:C221)</f>
        <v>7.3869208566042932</v>
      </c>
      <c r="H221">
        <f t="shared" ca="1" si="64"/>
        <v>313.18354015206017</v>
      </c>
      <c r="I221">
        <f t="shared" ca="1" si="65"/>
        <v>298.40969843885154</v>
      </c>
      <c r="J221">
        <f t="shared" ca="1" si="74"/>
        <v>311.62800000000004</v>
      </c>
      <c r="K221">
        <f t="shared" ca="1" si="75"/>
        <v>5.2225982644253781</v>
      </c>
      <c r="L221">
        <f t="shared" ca="1" si="76"/>
        <v>322.07319652885081</v>
      </c>
      <c r="M221">
        <f t="shared" ca="1" si="77"/>
        <v>301.18280347114927</v>
      </c>
      <c r="N221">
        <f t="shared" ca="1" si="66"/>
        <v>-3.3999999999999773</v>
      </c>
      <c r="O221">
        <f t="shared" ca="1" si="67"/>
        <v>0</v>
      </c>
      <c r="P221">
        <f t="shared" ca="1" si="68"/>
        <v>3.3999999999999773</v>
      </c>
      <c r="Q221">
        <f t="shared" ca="1" si="72"/>
        <v>0.96947056070101134</v>
      </c>
      <c r="R221">
        <f t="shared" ca="1" si="73"/>
        <v>1.6906092098893855</v>
      </c>
      <c r="S221">
        <f t="shared" ca="1" si="70"/>
        <v>0.57344450451943452</v>
      </c>
      <c r="T221">
        <f t="shared" ca="1" si="71"/>
        <v>36.445168728373893</v>
      </c>
      <c r="U221">
        <f>70</f>
        <v>70</v>
      </c>
      <c r="V221">
        <f>30</f>
        <v>30</v>
      </c>
      <c r="W221">
        <f t="shared" ca="1" si="69"/>
        <v>308.23977126073726</v>
      </c>
      <c r="X221">
        <f t="shared" ref="X221:X252" ca="1" si="79">C221*(2/(26+1)) + X220*(1-(2/(26+1)))</f>
        <v>309.25736089495058</v>
      </c>
      <c r="Y221">
        <f t="shared" ca="1" si="78"/>
        <v>-1.3785476536182273</v>
      </c>
      <c r="Z221">
        <f t="shared" ca="1" si="59"/>
        <v>0.39606547957638072</v>
      </c>
      <c r="AA221">
        <f t="shared" ca="1" si="60"/>
        <v>-1.774613133194608</v>
      </c>
      <c r="AB221">
        <f t="shared" ca="1" si="61"/>
        <v>306.99150000000003</v>
      </c>
    </row>
    <row r="222" spans="1:28" x14ac:dyDescent="0.25">
      <c r="A222" s="21">
        <f t="shared" ca="1" si="62"/>
        <v>46027</v>
      </c>
      <c r="B222" vm="652">
        <f ca="1"/>
        <v>46028</v>
      </c>
      <c r="C222" vm="653">
        <f ca="1"/>
        <v>302.77</v>
      </c>
      <c r="D222" vm="654">
        <f ca="1"/>
        <v>3769102</v>
      </c>
      <c r="E222">
        <f t="shared" ca="1" si="63"/>
        <v>1141171012.54</v>
      </c>
      <c r="F222">
        <f ca="1">SUM($E$2:E222)/SUM($D$2:D222)</f>
        <v>305.78165936799513</v>
      </c>
      <c r="G222">
        <f ca="1">_xlfn.STDEV.P($C$2:C222)</f>
        <v>7.3741562126725686</v>
      </c>
      <c r="H222">
        <f t="shared" ca="1" si="64"/>
        <v>313.15581558066771</v>
      </c>
      <c r="I222">
        <f t="shared" ca="1" si="65"/>
        <v>298.40750315532256</v>
      </c>
      <c r="J222">
        <f t="shared" ca="1" si="74"/>
        <v>311.20500000000004</v>
      </c>
      <c r="K222">
        <f t="shared" ca="1" si="75"/>
        <v>5.5864606062571669</v>
      </c>
      <c r="L222">
        <f t="shared" ca="1" si="76"/>
        <v>322.37792121251437</v>
      </c>
      <c r="M222">
        <f t="shared" ca="1" si="77"/>
        <v>300.03207878748572</v>
      </c>
      <c r="N222">
        <f t="shared" ca="1" si="66"/>
        <v>2.9099999999999682</v>
      </c>
      <c r="O222">
        <f t="shared" ca="1" si="67"/>
        <v>2.9099999999999682</v>
      </c>
      <c r="P222">
        <f t="shared" ca="1" si="68"/>
        <v>0</v>
      </c>
      <c r="Q222">
        <f t="shared" ca="1" si="72"/>
        <v>1.1080798063652224</v>
      </c>
      <c r="R222">
        <f t="shared" ca="1" si="73"/>
        <v>1.5698514091830007</v>
      </c>
      <c r="S222">
        <f t="shared" ca="1" si="70"/>
        <v>0.70585012051675733</v>
      </c>
      <c r="T222">
        <f t="shared" ca="1" si="71"/>
        <v>41.378202693618384</v>
      </c>
      <c r="U222">
        <f>70</f>
        <v>70</v>
      </c>
      <c r="V222">
        <f>30</f>
        <v>30</v>
      </c>
      <c r="W222">
        <f t="shared" ca="1" si="69"/>
        <v>307.39826798985456</v>
      </c>
      <c r="X222">
        <f t="shared" ca="1" si="79"/>
        <v>308.77681564347279</v>
      </c>
      <c r="Y222">
        <f t="shared" ca="1" si="78"/>
        <v>-1.5347563850194774</v>
      </c>
      <c r="Z222">
        <f t="shared" ca="1" si="59"/>
        <v>9.9011066572090578E-3</v>
      </c>
      <c r="AA222">
        <f t="shared" ca="1" si="60"/>
        <v>-1.5446574916766864</v>
      </c>
      <c r="AB222">
        <f t="shared" ca="1" si="61"/>
        <v>306.96850000000001</v>
      </c>
    </row>
    <row r="223" spans="1:28" x14ac:dyDescent="0.25">
      <c r="A223" s="21">
        <f t="shared" ca="1" si="62"/>
        <v>46027</v>
      </c>
      <c r="B223" vm="655">
        <f ca="1"/>
        <v>46029</v>
      </c>
      <c r="C223" vm="567">
        <f ca="1"/>
        <v>304.16000000000003</v>
      </c>
      <c r="D223" vm="656">
        <f ca="1"/>
        <v>4100536</v>
      </c>
      <c r="E223">
        <f t="shared" ca="1" si="63"/>
        <v>1247219029.76</v>
      </c>
      <c r="F223">
        <f ca="1">SUM($E$2:E223)/SUM($D$2:D223)</f>
        <v>305.77298565724311</v>
      </c>
      <c r="G223">
        <f ca="1">_xlfn.STDEV.P($C$2:C223)</f>
        <v>7.3589999040423848</v>
      </c>
      <c r="H223">
        <f t="shared" ca="1" si="64"/>
        <v>313.13198556128549</v>
      </c>
      <c r="I223">
        <f t="shared" ca="1" si="65"/>
        <v>298.41398575320073</v>
      </c>
      <c r="J223">
        <f t="shared" ca="1" si="74"/>
        <v>310.92349999999999</v>
      </c>
      <c r="K223">
        <f t="shared" ca="1" si="75"/>
        <v>5.7993069231998495</v>
      </c>
      <c r="L223">
        <f t="shared" ca="1" si="76"/>
        <v>322.52211384639969</v>
      </c>
      <c r="M223">
        <f t="shared" ca="1" si="77"/>
        <v>299.32488615360029</v>
      </c>
      <c r="N223">
        <f t="shared" ca="1" si="66"/>
        <v>1.3900000000000432</v>
      </c>
      <c r="O223">
        <f t="shared" ca="1" si="67"/>
        <v>1.3900000000000432</v>
      </c>
      <c r="P223">
        <f t="shared" ca="1" si="68"/>
        <v>0</v>
      </c>
      <c r="Q223">
        <f t="shared" ca="1" si="72"/>
        <v>1.128216963053424</v>
      </c>
      <c r="R223">
        <f t="shared" ca="1" si="73"/>
        <v>1.4577191656699291</v>
      </c>
      <c r="S223">
        <f t="shared" ca="1" si="70"/>
        <v>0.77396043738982145</v>
      </c>
      <c r="T223">
        <f t="shared" ca="1" si="71"/>
        <v>43.628957054341932</v>
      </c>
      <c r="U223">
        <f>70</f>
        <v>70</v>
      </c>
      <c r="V223">
        <f>30</f>
        <v>30</v>
      </c>
      <c r="W223">
        <f t="shared" ca="1" si="69"/>
        <v>306.90007291449234</v>
      </c>
      <c r="X223">
        <f t="shared" ca="1" si="79"/>
        <v>308.43482929951182</v>
      </c>
      <c r="Y223">
        <f t="shared" ca="1" si="78"/>
        <v>-1.2631278254618792</v>
      </c>
      <c r="Z223">
        <f t="shared" ca="1" si="59"/>
        <v>-0.24470467976660859</v>
      </c>
      <c r="AA223">
        <f t="shared" ca="1" si="60"/>
        <v>-1.0184231456952706</v>
      </c>
      <c r="AB223">
        <f t="shared" ca="1" si="61"/>
        <v>306.92060000000004</v>
      </c>
    </row>
    <row r="224" spans="1:28" x14ac:dyDescent="0.25">
      <c r="A224" s="21">
        <f t="shared" ca="1" si="62"/>
        <v>46027</v>
      </c>
      <c r="B224" vm="657">
        <f ca="1"/>
        <v>46030</v>
      </c>
      <c r="C224" vm="658">
        <f ca="1"/>
        <v>308.88</v>
      </c>
      <c r="D224" vm="659">
        <f ca="1"/>
        <v>3268280</v>
      </c>
      <c r="E224">
        <f t="shared" ca="1" si="63"/>
        <v>1009506326.4</v>
      </c>
      <c r="F224">
        <f ca="1">SUM($E$2:E224)/SUM($D$2:D224)</f>
        <v>305.7861748946803</v>
      </c>
      <c r="G224">
        <f ca="1">_xlfn.STDEV.P($C$2:C224)</f>
        <v>7.3444312636567917</v>
      </c>
      <c r="H224">
        <f t="shared" ca="1" si="64"/>
        <v>313.13060615833712</v>
      </c>
      <c r="I224">
        <f t="shared" ca="1" si="65"/>
        <v>298.44174363102348</v>
      </c>
      <c r="J224">
        <f t="shared" ca="1" si="74"/>
        <v>310.82800000000003</v>
      </c>
      <c r="K224">
        <f t="shared" ca="1" si="75"/>
        <v>5.8173195129534951</v>
      </c>
      <c r="L224">
        <f t="shared" ca="1" si="76"/>
        <v>322.46263902590704</v>
      </c>
      <c r="M224">
        <f t="shared" ca="1" si="77"/>
        <v>299.19336097409303</v>
      </c>
      <c r="N224">
        <f t="shared" ca="1" si="66"/>
        <v>4.7199999999999704</v>
      </c>
      <c r="O224">
        <f t="shared" ca="1" si="67"/>
        <v>4.7199999999999704</v>
      </c>
      <c r="P224">
        <f t="shared" ca="1" si="68"/>
        <v>0</v>
      </c>
      <c r="Q224">
        <f t="shared" ca="1" si="72"/>
        <v>1.3847728942638915</v>
      </c>
      <c r="R224">
        <f t="shared" ca="1" si="73"/>
        <v>1.3535963681220768</v>
      </c>
      <c r="S224">
        <f t="shared" ca="1" si="70"/>
        <v>1.0230323653904803</v>
      </c>
      <c r="T224">
        <f t="shared" ca="1" si="71"/>
        <v>50.569253507371215</v>
      </c>
      <c r="U224">
        <f>70</f>
        <v>70</v>
      </c>
      <c r="V224">
        <f>30</f>
        <v>30</v>
      </c>
      <c r="W224">
        <f t="shared" ca="1" si="69"/>
        <v>307.20467708149351</v>
      </c>
      <c r="X224">
        <f t="shared" ca="1" si="79"/>
        <v>308.46780490695539</v>
      </c>
      <c r="Y224">
        <f t="shared" ca="1" si="78"/>
        <v>-1.1603632522989642</v>
      </c>
      <c r="Z224">
        <f t="shared" ca="1" si="59"/>
        <v>-0.42783639427307973</v>
      </c>
      <c r="AA224">
        <f t="shared" ca="1" si="60"/>
        <v>-0.73252685802588446</v>
      </c>
      <c r="AB224">
        <f t="shared" ca="1" si="61"/>
        <v>306.92010000000005</v>
      </c>
    </row>
    <row r="225" spans="1:28" x14ac:dyDescent="0.25">
      <c r="A225" s="21">
        <f t="shared" ca="1" si="62"/>
        <v>46027</v>
      </c>
      <c r="B225" vm="660">
        <f ca="1"/>
        <v>46031</v>
      </c>
      <c r="C225" vm="661">
        <f ca="1"/>
        <v>307.32</v>
      </c>
      <c r="D225" vm="662">
        <f ca="1"/>
        <v>2971973</v>
      </c>
      <c r="E225">
        <f t="shared" ca="1" si="63"/>
        <v>913346742.36000001</v>
      </c>
      <c r="F225">
        <f ca="1">SUM($E$2:E225)/SUM($D$2:D225)</f>
        <v>305.79207289331322</v>
      </c>
      <c r="G225">
        <f ca="1">_xlfn.STDEV.P($C$2:C225)</f>
        <v>7.3282994066753018</v>
      </c>
      <c r="H225">
        <f t="shared" ca="1" si="64"/>
        <v>313.1203722999885</v>
      </c>
      <c r="I225">
        <f t="shared" ca="1" si="65"/>
        <v>298.46377348663793</v>
      </c>
      <c r="J225">
        <f t="shared" ca="1" si="74"/>
        <v>310.66749999999996</v>
      </c>
      <c r="K225">
        <f t="shared" ca="1" si="75"/>
        <v>5.8700173719818265</v>
      </c>
      <c r="L225">
        <f t="shared" ca="1" si="76"/>
        <v>322.40753474396359</v>
      </c>
      <c r="M225">
        <f t="shared" ca="1" si="77"/>
        <v>298.92746525603633</v>
      </c>
      <c r="N225">
        <f t="shared" ca="1" si="66"/>
        <v>-1.5600000000000023</v>
      </c>
      <c r="O225">
        <f t="shared" ca="1" si="67"/>
        <v>0</v>
      </c>
      <c r="P225">
        <f t="shared" ca="1" si="68"/>
        <v>1.5600000000000023</v>
      </c>
      <c r="Q225">
        <f t="shared" ca="1" si="72"/>
        <v>1.2858605446736135</v>
      </c>
      <c r="R225">
        <f t="shared" ca="1" si="73"/>
        <v>1.3683394846847858</v>
      </c>
      <c r="S225">
        <f t="shared" ca="1" si="70"/>
        <v>0.93972333552139486</v>
      </c>
      <c r="T225">
        <f t="shared" ca="1" si="71"/>
        <v>48.44625613934776</v>
      </c>
      <c r="U225">
        <f>70</f>
        <v>70</v>
      </c>
      <c r="V225">
        <f>30</f>
        <v>30</v>
      </c>
      <c r="W225">
        <f t="shared" ca="1" si="69"/>
        <v>307.22241906895601</v>
      </c>
      <c r="X225">
        <f t="shared" ca="1" si="79"/>
        <v>308.38278232125498</v>
      </c>
      <c r="Y225">
        <f t="shared" ca="1" si="78"/>
        <v>-1.1120962704499675</v>
      </c>
      <c r="Z225">
        <f t="shared" ca="1" si="59"/>
        <v>-0.56468836950845736</v>
      </c>
      <c r="AA225">
        <f t="shared" ca="1" si="60"/>
        <v>-0.54740790094151015</v>
      </c>
      <c r="AB225">
        <f t="shared" ca="1" si="61"/>
        <v>306.90630000000004</v>
      </c>
    </row>
    <row r="226" spans="1:28" x14ac:dyDescent="0.25">
      <c r="A226" s="21">
        <f t="shared" ca="1" si="62"/>
        <v>46034</v>
      </c>
      <c r="B226" vm="663">
        <f ca="1"/>
        <v>46034</v>
      </c>
      <c r="C226" vm="664">
        <f ca="1"/>
        <v>306.75</v>
      </c>
      <c r="D226" vm="665">
        <f ca="1"/>
        <v>3206608</v>
      </c>
      <c r="E226">
        <f t="shared" ca="1" si="63"/>
        <v>983627004</v>
      </c>
      <c r="F226">
        <f ca="1">SUM($E$2:E226)/SUM($D$2:D226)</f>
        <v>305.79603078765797</v>
      </c>
      <c r="G226">
        <f ca="1">_xlfn.STDEV.P($C$2:C226)</f>
        <v>7.3120415099991467</v>
      </c>
      <c r="H226">
        <f t="shared" ca="1" si="64"/>
        <v>313.10807229765709</v>
      </c>
      <c r="I226">
        <f t="shared" ca="1" si="65"/>
        <v>298.48398927765885</v>
      </c>
      <c r="J226">
        <f t="shared" ca="1" si="74"/>
        <v>310.51949999999994</v>
      </c>
      <c r="K226">
        <f t="shared" ca="1" si="75"/>
        <v>5.9324127291915296</v>
      </c>
      <c r="L226">
        <f t="shared" ca="1" si="76"/>
        <v>322.38432545838299</v>
      </c>
      <c r="M226">
        <f t="shared" ca="1" si="77"/>
        <v>298.65467454161688</v>
      </c>
      <c r="N226">
        <f t="shared" ca="1" si="66"/>
        <v>-0.56999999999999318</v>
      </c>
      <c r="O226">
        <f t="shared" ca="1" si="67"/>
        <v>0</v>
      </c>
      <c r="P226">
        <f t="shared" ca="1" si="68"/>
        <v>0.56999999999999318</v>
      </c>
      <c r="Q226">
        <f t="shared" ca="1" si="72"/>
        <v>1.1940133629112126</v>
      </c>
      <c r="R226">
        <f t="shared" ca="1" si="73"/>
        <v>1.3113152357787292</v>
      </c>
      <c r="S226">
        <f t="shared" ca="1" si="70"/>
        <v>0.91054639672675164</v>
      </c>
      <c r="T226">
        <f t="shared" ca="1" si="71"/>
        <v>47.658952344038724</v>
      </c>
      <c r="U226">
        <f>70</f>
        <v>70</v>
      </c>
      <c r="V226">
        <f>30</f>
        <v>30</v>
      </c>
      <c r="W226">
        <f t="shared" ca="1" si="69"/>
        <v>307.14973921219354</v>
      </c>
      <c r="X226">
        <f t="shared" ca="1" si="79"/>
        <v>308.26183548264351</v>
      </c>
      <c r="Y226">
        <f t="shared" ca="1" si="78"/>
        <v>-0.84701990267137717</v>
      </c>
      <c r="Z226">
        <f t="shared" ca="1" si="59"/>
        <v>-0.62115467614104136</v>
      </c>
      <c r="AA226">
        <f t="shared" ca="1" si="60"/>
        <v>-0.22586522653033581</v>
      </c>
      <c r="AB226">
        <f t="shared" ca="1" si="61"/>
        <v>306.86450000000008</v>
      </c>
    </row>
    <row r="227" spans="1:28" x14ac:dyDescent="0.25">
      <c r="A227" s="21">
        <f t="shared" ca="1" si="62"/>
        <v>46034</v>
      </c>
      <c r="B227" vm="666">
        <f ca="1"/>
        <v>46035</v>
      </c>
      <c r="C227" vm="667">
        <f ca="1"/>
        <v>309.44</v>
      </c>
      <c r="D227" vm="668">
        <f ca="1"/>
        <v>2967887</v>
      </c>
      <c r="E227">
        <f t="shared" ca="1" si="63"/>
        <v>918382953.27999997</v>
      </c>
      <c r="F227">
        <f ca="1">SUM($E$2:E227)/SUM($D$2:D227)</f>
        <v>305.80991273169667</v>
      </c>
      <c r="G227">
        <f ca="1">_xlfn.STDEV.P($C$2:C227)</f>
        <v>7.2987013501780984</v>
      </c>
      <c r="H227">
        <f t="shared" ca="1" si="64"/>
        <v>313.10861408187475</v>
      </c>
      <c r="I227">
        <f t="shared" ca="1" si="65"/>
        <v>298.51121138151859</v>
      </c>
      <c r="J227">
        <f t="shared" ca="1" si="74"/>
        <v>310.15549999999996</v>
      </c>
      <c r="K227">
        <f t="shared" ca="1" si="75"/>
        <v>5.7525559307878185</v>
      </c>
      <c r="L227">
        <f t="shared" ca="1" si="76"/>
        <v>321.6606118615756</v>
      </c>
      <c r="M227">
        <f t="shared" ca="1" si="77"/>
        <v>298.65038813842432</v>
      </c>
      <c r="N227">
        <f t="shared" ca="1" si="66"/>
        <v>2.6899999999999977</v>
      </c>
      <c r="O227">
        <f t="shared" ca="1" si="67"/>
        <v>2.6899999999999977</v>
      </c>
      <c r="P227">
        <f t="shared" ca="1" si="68"/>
        <v>0</v>
      </c>
      <c r="Q227">
        <f t="shared" ca="1" si="72"/>
        <v>1.3008695512746973</v>
      </c>
      <c r="R227">
        <f t="shared" ca="1" si="73"/>
        <v>1.2176498617945342</v>
      </c>
      <c r="S227">
        <f t="shared" ca="1" si="70"/>
        <v>1.0683445151938149</v>
      </c>
      <c r="T227">
        <f t="shared" ca="1" si="71"/>
        <v>51.652155013146121</v>
      </c>
      <c r="U227">
        <f>70</f>
        <v>70</v>
      </c>
      <c r="V227">
        <f>30</f>
        <v>30</v>
      </c>
      <c r="W227">
        <f t="shared" ca="1" si="69"/>
        <v>307.50208702570222</v>
      </c>
      <c r="X227">
        <f t="shared" ca="1" si="79"/>
        <v>308.3491069283736</v>
      </c>
      <c r="Y227">
        <f t="shared" ca="1" si="78"/>
        <v>-0.73418776378309758</v>
      </c>
      <c r="Z227">
        <f t="shared" ca="1" si="59"/>
        <v>-0.64376129366945256</v>
      </c>
      <c r="AA227">
        <f t="shared" ca="1" si="60"/>
        <v>-9.0426470113645019E-2</v>
      </c>
      <c r="AB227">
        <f t="shared" ca="1" si="61"/>
        <v>306.82810000000006</v>
      </c>
    </row>
    <row r="228" spans="1:28" x14ac:dyDescent="0.25">
      <c r="A228" s="21">
        <f t="shared" ca="1" si="62"/>
        <v>46034</v>
      </c>
      <c r="B228" vm="669">
        <f ca="1"/>
        <v>46036</v>
      </c>
      <c r="C228" vm="670">
        <f ca="1"/>
        <v>308.13</v>
      </c>
      <c r="D228" vm="671">
        <f ca="1"/>
        <v>2949126</v>
      </c>
      <c r="E228">
        <f t="shared" ca="1" si="63"/>
        <v>908714194.38</v>
      </c>
      <c r="F228">
        <f ca="1">SUM($E$2:E228)/SUM($D$2:D228)</f>
        <v>305.81866226656427</v>
      </c>
      <c r="G228">
        <f ca="1">_xlfn.STDEV.P($C$2:C228)</f>
        <v>7.2835312059200792</v>
      </c>
      <c r="H228">
        <f t="shared" ca="1" si="64"/>
        <v>313.10219347248437</v>
      </c>
      <c r="I228">
        <f t="shared" ca="1" si="65"/>
        <v>298.53513106064418</v>
      </c>
      <c r="J228">
        <f t="shared" ca="1" si="74"/>
        <v>309.62549999999999</v>
      </c>
      <c r="K228">
        <f t="shared" ca="1" si="75"/>
        <v>5.3983852117773896</v>
      </c>
      <c r="L228">
        <f t="shared" ca="1" si="76"/>
        <v>320.42227042355478</v>
      </c>
      <c r="M228">
        <f t="shared" ca="1" si="77"/>
        <v>298.8287295764452</v>
      </c>
      <c r="N228">
        <f t="shared" ca="1" si="66"/>
        <v>-1.3100000000000023</v>
      </c>
      <c r="O228">
        <f t="shared" ca="1" si="67"/>
        <v>0</v>
      </c>
      <c r="P228">
        <f t="shared" ca="1" si="68"/>
        <v>1.3100000000000023</v>
      </c>
      <c r="Q228">
        <f t="shared" ca="1" si="72"/>
        <v>1.2079502976122189</v>
      </c>
      <c r="R228">
        <f t="shared" ca="1" si="73"/>
        <v>1.2242463002377819</v>
      </c>
      <c r="S228">
        <f t="shared" ca="1" si="70"/>
        <v>0.98668895088970432</v>
      </c>
      <c r="T228">
        <f t="shared" ca="1" si="71"/>
        <v>49.664994132465111</v>
      </c>
      <c r="U228">
        <f>70</f>
        <v>70</v>
      </c>
      <c r="V228">
        <f>30</f>
        <v>30</v>
      </c>
      <c r="W228">
        <f t="shared" ca="1" si="69"/>
        <v>307.59868902174804</v>
      </c>
      <c r="X228">
        <f t="shared" ca="1" si="79"/>
        <v>308.33287678553114</v>
      </c>
      <c r="Y228">
        <f t="shared" ca="1" si="78"/>
        <v>-0.59833138415513076</v>
      </c>
      <c r="Z228">
        <f t="shared" ca="1" si="59"/>
        <v>-0.6346753117665882</v>
      </c>
      <c r="AA228">
        <f t="shared" ca="1" si="60"/>
        <v>3.6343927611457438E-2</v>
      </c>
      <c r="AB228">
        <f t="shared" ca="1" si="61"/>
        <v>306.77720000000011</v>
      </c>
    </row>
    <row r="229" spans="1:28" x14ac:dyDescent="0.25">
      <c r="A229" s="21">
        <f t="shared" ca="1" si="62"/>
        <v>46034</v>
      </c>
      <c r="B229" vm="672">
        <f ca="1"/>
        <v>46037</v>
      </c>
      <c r="C229" vm="673">
        <f ca="1"/>
        <v>308.62</v>
      </c>
      <c r="D229" vm="674">
        <f ca="1"/>
        <v>3189620</v>
      </c>
      <c r="E229">
        <f t="shared" ca="1" si="63"/>
        <v>984380524.39999998</v>
      </c>
      <c r="F229">
        <f ca="1">SUM($E$2:E229)/SUM($D$2:D229)</f>
        <v>305.83004178704516</v>
      </c>
      <c r="G229">
        <f ca="1">_xlfn.STDEV.P($C$2:C229)</f>
        <v>7.2690403296830315</v>
      </c>
      <c r="H229">
        <f t="shared" ca="1" si="64"/>
        <v>313.0990821167282</v>
      </c>
      <c r="I229">
        <f t="shared" ca="1" si="65"/>
        <v>298.56100145736212</v>
      </c>
      <c r="J229">
        <f t="shared" ca="1" si="74"/>
        <v>309.33149999999995</v>
      </c>
      <c r="K229">
        <f t="shared" ca="1" si="75"/>
        <v>5.2777101045215051</v>
      </c>
      <c r="L229">
        <f t="shared" ca="1" si="76"/>
        <v>319.88692020904296</v>
      </c>
      <c r="M229">
        <f t="shared" ca="1" si="77"/>
        <v>298.77607979095694</v>
      </c>
      <c r="N229">
        <f t="shared" ca="1" si="66"/>
        <v>0.49000000000000909</v>
      </c>
      <c r="O229">
        <f t="shared" ca="1" si="67"/>
        <v>0.49000000000000909</v>
      </c>
      <c r="P229">
        <f t="shared" ca="1" si="68"/>
        <v>0</v>
      </c>
      <c r="Q229">
        <f t="shared" ca="1" si="72"/>
        <v>1.156668133497061</v>
      </c>
      <c r="R229">
        <f t="shared" ca="1" si="73"/>
        <v>1.1368001359350832</v>
      </c>
      <c r="S229">
        <f t="shared" ca="1" si="70"/>
        <v>1.0174771245480501</v>
      </c>
      <c r="T229">
        <f t="shared" ca="1" si="71"/>
        <v>50.433143066045055</v>
      </c>
      <c r="U229">
        <f>70</f>
        <v>70</v>
      </c>
      <c r="V229">
        <f>30</f>
        <v>30</v>
      </c>
      <c r="W229">
        <f t="shared" ca="1" si="69"/>
        <v>307.75581378763297</v>
      </c>
      <c r="X229">
        <f t="shared" ca="1" si="79"/>
        <v>308.3541451717881</v>
      </c>
      <c r="Y229">
        <f t="shared" ca="1" si="78"/>
        <v>-0.5800013843423244</v>
      </c>
      <c r="Z229">
        <f t="shared" ca="1" si="59"/>
        <v>-0.62374052628173549</v>
      </c>
      <c r="AA229">
        <f t="shared" ca="1" si="60"/>
        <v>4.3739141939411086E-2</v>
      </c>
      <c r="AB229">
        <f t="shared" ca="1" si="61"/>
        <v>306.72270000000009</v>
      </c>
    </row>
    <row r="230" spans="1:28" x14ac:dyDescent="0.25">
      <c r="A230" s="21">
        <f t="shared" ca="1" si="62"/>
        <v>46034</v>
      </c>
      <c r="B230" vm="675">
        <f ca="1"/>
        <v>46038</v>
      </c>
      <c r="C230" vm="676">
        <f ca="1"/>
        <v>307.43</v>
      </c>
      <c r="D230" vm="677">
        <f ca="1"/>
        <v>2590593</v>
      </c>
      <c r="E230">
        <f t="shared" ca="1" si="63"/>
        <v>796426005.99000001</v>
      </c>
      <c r="F230">
        <f ca="1">SUM($E$2:E230)/SUM($D$2:D230)</f>
        <v>305.83530313317061</v>
      </c>
      <c r="G230">
        <f ca="1">_xlfn.STDEV.P($C$2:C230)</f>
        <v>7.2534723168298738</v>
      </c>
      <c r="H230">
        <f t="shared" ca="1" si="64"/>
        <v>313.08877545000047</v>
      </c>
      <c r="I230">
        <f t="shared" ca="1" si="65"/>
        <v>298.58183081634076</v>
      </c>
      <c r="J230">
        <f t="shared" ca="1" si="74"/>
        <v>308.76850000000002</v>
      </c>
      <c r="K230">
        <f t="shared" ca="1" si="75"/>
        <v>4.8063831187505741</v>
      </c>
      <c r="L230">
        <f t="shared" ca="1" si="76"/>
        <v>318.38126623750117</v>
      </c>
      <c r="M230">
        <f t="shared" ca="1" si="77"/>
        <v>299.15573376249887</v>
      </c>
      <c r="N230">
        <f t="shared" ca="1" si="66"/>
        <v>-1.1899999999999977</v>
      </c>
      <c r="O230">
        <f t="shared" ca="1" si="67"/>
        <v>0</v>
      </c>
      <c r="P230">
        <f t="shared" ca="1" si="68"/>
        <v>1.1899999999999977</v>
      </c>
      <c r="Q230">
        <f t="shared" ca="1" si="72"/>
        <v>1.0740489811044138</v>
      </c>
      <c r="R230">
        <f t="shared" ca="1" si="73"/>
        <v>1.1406001262254342</v>
      </c>
      <c r="S230">
        <f t="shared" ca="1" si="70"/>
        <v>0.94165251818684537</v>
      </c>
      <c r="T230">
        <f t="shared" ca="1" si="71"/>
        <v>48.497478790189483</v>
      </c>
      <c r="U230">
        <f>70</f>
        <v>70</v>
      </c>
      <c r="V230">
        <f>30</f>
        <v>30</v>
      </c>
      <c r="W230">
        <f t="shared" ca="1" si="69"/>
        <v>307.70568858953555</v>
      </c>
      <c r="X230">
        <f t="shared" ca="1" si="79"/>
        <v>308.28568997387788</v>
      </c>
      <c r="Y230">
        <f t="shared" ca="1" si="78"/>
        <v>-0.9251844171459993</v>
      </c>
      <c r="Z230">
        <f t="shared" ref="Z230:Z252" ca="1" si="80">Y230*(2/(9+1)) + Z229*(1-(2/(9+1)))</f>
        <v>-0.68402930445458832</v>
      </c>
      <c r="AA230">
        <f t="shared" ref="AA230:AA252" ca="1" si="81">Y230-Z230</f>
        <v>-0.24115511269141099</v>
      </c>
      <c r="AB230">
        <f t="shared" ref="AB230:AB252" ca="1" si="82">AVERAGE(C131:C230)</f>
        <v>306.66260000000011</v>
      </c>
    </row>
    <row r="231" spans="1:28" x14ac:dyDescent="0.25">
      <c r="A231" s="21">
        <f t="shared" ca="1" si="62"/>
        <v>46041</v>
      </c>
      <c r="B231" vm="678">
        <f ca="1"/>
        <v>46042</v>
      </c>
      <c r="C231" vm="679">
        <f ca="1"/>
        <v>302.83999999999997</v>
      </c>
      <c r="D231" vm="680">
        <f ca="1"/>
        <v>3017998</v>
      </c>
      <c r="E231">
        <f t="shared" ca="1" si="63"/>
        <v>913970514.31999993</v>
      </c>
      <c r="F231">
        <f ca="1">SUM($E$2:E231)/SUM($D$2:D231)</f>
        <v>305.8238720288893</v>
      </c>
      <c r="G231">
        <f ca="1">_xlfn.STDEV.P($C$2:C231)</f>
        <v>7.2414762890580926</v>
      </c>
      <c r="H231">
        <f t="shared" ca="1" si="64"/>
        <v>313.06534831794738</v>
      </c>
      <c r="I231">
        <f t="shared" ca="1" si="65"/>
        <v>298.58239573983121</v>
      </c>
      <c r="J231">
        <f t="shared" ca="1" si="74"/>
        <v>307.928</v>
      </c>
      <c r="K231">
        <f t="shared" ca="1" si="75"/>
        <v>4.2397636478315244</v>
      </c>
      <c r="L231">
        <f t="shared" ca="1" si="76"/>
        <v>316.40752729566304</v>
      </c>
      <c r="M231">
        <f t="shared" ca="1" si="77"/>
        <v>299.44847270433695</v>
      </c>
      <c r="N231">
        <f t="shared" ca="1" si="66"/>
        <v>-4.5900000000000318</v>
      </c>
      <c r="O231">
        <f t="shared" ca="1" si="67"/>
        <v>0</v>
      </c>
      <c r="P231">
        <f t="shared" ca="1" si="68"/>
        <v>4.5900000000000318</v>
      </c>
      <c r="Q231">
        <f t="shared" ca="1" si="72"/>
        <v>0.99733119673981285</v>
      </c>
      <c r="R231">
        <f t="shared" ca="1" si="73"/>
        <v>1.3869858314950483</v>
      </c>
      <c r="S231">
        <f t="shared" ca="1" si="70"/>
        <v>0.71906372371863225</v>
      </c>
      <c r="T231">
        <f t="shared" ca="1" si="71"/>
        <v>41.828799816866187</v>
      </c>
      <c r="U231">
        <f>70</f>
        <v>70</v>
      </c>
      <c r="V231">
        <f>30</f>
        <v>30</v>
      </c>
      <c r="W231">
        <f t="shared" ca="1" si="69"/>
        <v>306.95712111422239</v>
      </c>
      <c r="X231">
        <f t="shared" ca="1" si="79"/>
        <v>307.88230553136839</v>
      </c>
      <c r="Y231">
        <f t="shared" ca="1" si="78"/>
        <v>-0.95773312470277006</v>
      </c>
      <c r="Z231">
        <f t="shared" ca="1" si="80"/>
        <v>-0.73877006850422466</v>
      </c>
      <c r="AA231">
        <f t="shared" ca="1" si="81"/>
        <v>-0.21896305619854539</v>
      </c>
      <c r="AB231">
        <f t="shared" ca="1" si="82"/>
        <v>306.56160000000011</v>
      </c>
    </row>
    <row r="232" spans="1:28" x14ac:dyDescent="0.25">
      <c r="A232" s="21">
        <f t="shared" ca="1" si="62"/>
        <v>46041</v>
      </c>
      <c r="B232" vm="681">
        <f ca="1"/>
        <v>46043</v>
      </c>
      <c r="C232" vm="682">
        <f ca="1"/>
        <v>305.69</v>
      </c>
      <c r="D232" vm="683">
        <f ca="1"/>
        <v>3630850</v>
      </c>
      <c r="E232">
        <f t="shared" ca="1" si="63"/>
        <v>1109914536.5</v>
      </c>
      <c r="F232">
        <f ca="1">SUM($E$2:E232)/SUM($D$2:D232)</f>
        <v>305.82326018983741</v>
      </c>
      <c r="G232">
        <f ca="1">_xlfn.STDEV.P($C$2:C232)</f>
        <v>7.2259290531535898</v>
      </c>
      <c r="H232">
        <f t="shared" ca="1" si="64"/>
        <v>313.04918924299102</v>
      </c>
      <c r="I232">
        <f t="shared" ca="1" si="65"/>
        <v>298.59733113668381</v>
      </c>
      <c r="J232">
        <f t="shared" ca="1" si="74"/>
        <v>307.4205</v>
      </c>
      <c r="K232">
        <f t="shared" ca="1" si="75"/>
        <v>3.8305839530093375</v>
      </c>
      <c r="L232">
        <f t="shared" ca="1" si="76"/>
        <v>315.08166790601865</v>
      </c>
      <c r="M232">
        <f t="shared" ca="1" si="77"/>
        <v>299.75933209398136</v>
      </c>
      <c r="N232">
        <f t="shared" ca="1" si="66"/>
        <v>2.8500000000000227</v>
      </c>
      <c r="O232">
        <f t="shared" ca="1" si="67"/>
        <v>2.8500000000000227</v>
      </c>
      <c r="P232">
        <f t="shared" ca="1" si="68"/>
        <v>0</v>
      </c>
      <c r="Q232">
        <f t="shared" ca="1" si="72"/>
        <v>1.1296646826869707</v>
      </c>
      <c r="R232">
        <f t="shared" ca="1" si="73"/>
        <v>1.2879154149596876</v>
      </c>
      <c r="S232">
        <f t="shared" ca="1" si="70"/>
        <v>0.87712645532884603</v>
      </c>
      <c r="T232">
        <f t="shared" ca="1" si="71"/>
        <v>46.727083987273829</v>
      </c>
      <c r="U232">
        <f>70</f>
        <v>70</v>
      </c>
      <c r="V232">
        <f>30</f>
        <v>30</v>
      </c>
      <c r="W232">
        <f t="shared" ca="1" si="69"/>
        <v>306.76217940434202</v>
      </c>
      <c r="X232">
        <f t="shared" ca="1" si="79"/>
        <v>307.71991252904479</v>
      </c>
      <c r="Y232">
        <f t="shared" ca="1" si="78"/>
        <v>-0.94519740413102227</v>
      </c>
      <c r="Z232">
        <f t="shared" ca="1" si="80"/>
        <v>-0.78005553562958418</v>
      </c>
      <c r="AA232">
        <f t="shared" ca="1" si="81"/>
        <v>-0.16514186850143808</v>
      </c>
      <c r="AB232">
        <f t="shared" ca="1" si="82"/>
        <v>306.50420000000008</v>
      </c>
    </row>
    <row r="233" spans="1:28" x14ac:dyDescent="0.25">
      <c r="A233" s="21">
        <f t="shared" ca="1" si="62"/>
        <v>46041</v>
      </c>
      <c r="B233" vm="684">
        <f ca="1"/>
        <v>46044</v>
      </c>
      <c r="C233" vm="685">
        <f ca="1"/>
        <v>306.02999999999997</v>
      </c>
      <c r="D233" vm="686">
        <f ca="1"/>
        <v>2809356</v>
      </c>
      <c r="E233">
        <f t="shared" ca="1" si="63"/>
        <v>859747216.67999995</v>
      </c>
      <c r="F233">
        <f ca="1">SUM($E$2:E233)/SUM($D$2:D233)</f>
        <v>305.82398870208095</v>
      </c>
      <c r="G233">
        <f ca="1">_xlfn.STDEV.P($C$2:C233)</f>
        <v>7.2103759315476728</v>
      </c>
      <c r="H233">
        <f t="shared" ca="1" si="64"/>
        <v>313.03436463362863</v>
      </c>
      <c r="I233">
        <f t="shared" ca="1" si="65"/>
        <v>298.61361277053328</v>
      </c>
      <c r="J233">
        <f t="shared" ca="1" si="74"/>
        <v>306.911</v>
      </c>
      <c r="K233">
        <f t="shared" ca="1" si="75"/>
        <v>3.229017937718099</v>
      </c>
      <c r="L233">
        <f t="shared" ca="1" si="76"/>
        <v>313.36903587543623</v>
      </c>
      <c r="M233">
        <f t="shared" ca="1" si="77"/>
        <v>300.45296412456378</v>
      </c>
      <c r="N233">
        <f t="shared" ca="1" si="66"/>
        <v>0.33999999999997499</v>
      </c>
      <c r="O233">
        <f t="shared" ca="1" si="67"/>
        <v>0.33999999999997499</v>
      </c>
      <c r="P233">
        <f t="shared" ca="1" si="68"/>
        <v>0</v>
      </c>
      <c r="Q233">
        <f t="shared" ca="1" si="72"/>
        <v>1.0732600624950426</v>
      </c>
      <c r="R233">
        <f t="shared" ca="1" si="73"/>
        <v>1.1959214567482814</v>
      </c>
      <c r="S233">
        <f t="shared" ca="1" si="70"/>
        <v>0.8974335701052174</v>
      </c>
      <c r="T233">
        <f t="shared" ca="1" si="71"/>
        <v>47.297232653865848</v>
      </c>
      <c r="U233">
        <f>70</f>
        <v>70</v>
      </c>
      <c r="V233">
        <f>30</f>
        <v>30</v>
      </c>
      <c r="W233">
        <f t="shared" ca="1" si="69"/>
        <v>306.64953641905862</v>
      </c>
      <c r="X233">
        <f t="shared" ca="1" si="79"/>
        <v>307.59473382318964</v>
      </c>
      <c r="Y233">
        <f t="shared" ca="1" si="78"/>
        <v>-0.66773839337952268</v>
      </c>
      <c r="Z233">
        <f t="shared" ca="1" si="80"/>
        <v>-0.75759210717957193</v>
      </c>
      <c r="AA233">
        <f t="shared" ca="1" si="81"/>
        <v>8.9853713800049251E-2</v>
      </c>
      <c r="AB233">
        <f t="shared" ca="1" si="82"/>
        <v>306.44230000000005</v>
      </c>
    </row>
    <row r="234" spans="1:28" x14ac:dyDescent="0.25">
      <c r="A234" s="21">
        <f t="shared" ca="1" si="62"/>
        <v>46041</v>
      </c>
      <c r="B234" vm="687">
        <f ca="1"/>
        <v>46045</v>
      </c>
      <c r="C234" vm="688">
        <f ca="1"/>
        <v>309.25</v>
      </c>
      <c r="D234" vm="689">
        <f ca="1"/>
        <v>2350447</v>
      </c>
      <c r="E234">
        <f t="shared" ca="1" si="63"/>
        <v>726875734.75</v>
      </c>
      <c r="F234">
        <f ca="1">SUM($E$2:E234)/SUM($D$2:D234)</f>
        <v>305.8340595657624</v>
      </c>
      <c r="G234">
        <f ca="1">_xlfn.STDEV.P($C$2:C234)</f>
        <v>7.1973317677556148</v>
      </c>
      <c r="H234">
        <f t="shared" ca="1" si="64"/>
        <v>313.031391333518</v>
      </c>
      <c r="I234">
        <f t="shared" ca="1" si="65"/>
        <v>298.6367277980068</v>
      </c>
      <c r="J234">
        <f t="shared" ca="1" si="74"/>
        <v>306.83149999999995</v>
      </c>
      <c r="K234">
        <f t="shared" ca="1" si="75"/>
        <v>3.1456909123099592</v>
      </c>
      <c r="L234">
        <f t="shared" ca="1" si="76"/>
        <v>313.12288182461987</v>
      </c>
      <c r="M234">
        <f t="shared" ca="1" si="77"/>
        <v>300.54011817538003</v>
      </c>
      <c r="N234">
        <f t="shared" ca="1" si="66"/>
        <v>3.2200000000000273</v>
      </c>
      <c r="O234">
        <f t="shared" ca="1" si="67"/>
        <v>3.2200000000000273</v>
      </c>
      <c r="P234">
        <f t="shared" ca="1" si="68"/>
        <v>0</v>
      </c>
      <c r="Q234">
        <f t="shared" ca="1" si="72"/>
        <v>1.2265986294596842</v>
      </c>
      <c r="R234">
        <f t="shared" ca="1" si="73"/>
        <v>1.1104984955519757</v>
      </c>
      <c r="S234">
        <f t="shared" ca="1" si="70"/>
        <v>1.1045477633447858</v>
      </c>
      <c r="T234">
        <f t="shared" ca="1" si="71"/>
        <v>52.483853423659689</v>
      </c>
      <c r="U234">
        <f>70</f>
        <v>70</v>
      </c>
      <c r="V234">
        <f>30</f>
        <v>30</v>
      </c>
      <c r="W234">
        <f t="shared" ca="1" si="69"/>
        <v>307.04960773920345</v>
      </c>
      <c r="X234">
        <f t="shared" ca="1" si="79"/>
        <v>307.71734613258297</v>
      </c>
      <c r="Y234">
        <f t="shared" ca="1" si="78"/>
        <v>-0.14758972805140047</v>
      </c>
      <c r="Z234">
        <f t="shared" ca="1" si="80"/>
        <v>-0.6355916313539377</v>
      </c>
      <c r="AA234">
        <f t="shared" ca="1" si="81"/>
        <v>0.48800190330253723</v>
      </c>
      <c r="AB234">
        <f t="shared" ca="1" si="82"/>
        <v>306.39940000000007</v>
      </c>
    </row>
    <row r="235" spans="1:28" x14ac:dyDescent="0.25">
      <c r="A235" s="21">
        <f t="shared" ca="1" si="62"/>
        <v>46048</v>
      </c>
      <c r="B235" vm="690">
        <f ca="1"/>
        <v>46048</v>
      </c>
      <c r="C235" vm="691">
        <f ca="1"/>
        <v>312.95</v>
      </c>
      <c r="D235" vm="692">
        <f ca="1"/>
        <v>3385352</v>
      </c>
      <c r="E235">
        <f t="shared" ca="1" si="63"/>
        <v>1059445908.4</v>
      </c>
      <c r="F235">
        <f ca="1">SUM($E$2:E235)/SUM($D$2:D235)</f>
        <v>305.86406008431624</v>
      </c>
      <c r="G235">
        <f ca="1">_xlfn.STDEV.P($C$2:C235)</f>
        <v>7.1946638071695661</v>
      </c>
      <c r="H235">
        <f t="shared" ca="1" si="64"/>
        <v>313.05872389148578</v>
      </c>
      <c r="I235">
        <f t="shared" ca="1" si="65"/>
        <v>298.66939627714669</v>
      </c>
      <c r="J235">
        <f t="shared" ca="1" si="74"/>
        <v>306.8125</v>
      </c>
      <c r="K235">
        <f t="shared" ca="1" si="75"/>
        <v>3.1052618755572721</v>
      </c>
      <c r="L235">
        <f t="shared" ca="1" si="76"/>
        <v>313.02302375111452</v>
      </c>
      <c r="M235">
        <f t="shared" ca="1" si="77"/>
        <v>300.60197624888548</v>
      </c>
      <c r="N235">
        <f t="shared" ca="1" si="66"/>
        <v>3.6999999999999886</v>
      </c>
      <c r="O235">
        <f t="shared" ca="1" si="67"/>
        <v>3.6999999999999886</v>
      </c>
      <c r="P235">
        <f t="shared" ca="1" si="68"/>
        <v>0</v>
      </c>
      <c r="Q235">
        <f t="shared" ca="1" si="72"/>
        <v>1.403270155926849</v>
      </c>
      <c r="R235">
        <f t="shared" ca="1" si="73"/>
        <v>1.0311771744411202</v>
      </c>
      <c r="S235">
        <f t="shared" ca="1" si="70"/>
        <v>1.3608429188586302</v>
      </c>
      <c r="T235">
        <f t="shared" ca="1" si="71"/>
        <v>57.64224752049752</v>
      </c>
      <c r="U235">
        <f>70</f>
        <v>70</v>
      </c>
      <c r="V235">
        <f>30</f>
        <v>30</v>
      </c>
      <c r="W235">
        <f t="shared" ca="1" si="69"/>
        <v>307.95736039471058</v>
      </c>
      <c r="X235">
        <f t="shared" ca="1" si="79"/>
        <v>308.10495012276198</v>
      </c>
      <c r="Y235">
        <f t="shared" ca="1" si="78"/>
        <v>0.35574714339429647</v>
      </c>
      <c r="Z235">
        <f t="shared" ca="1" si="80"/>
        <v>-0.43732387640429082</v>
      </c>
      <c r="AA235">
        <f t="shared" ca="1" si="81"/>
        <v>0.7930710197985873</v>
      </c>
      <c r="AB235">
        <f t="shared" ca="1" si="82"/>
        <v>306.37130000000008</v>
      </c>
    </row>
    <row r="236" spans="1:28" x14ac:dyDescent="0.25">
      <c r="A236" s="21">
        <f t="shared" ca="1" si="62"/>
        <v>46048</v>
      </c>
      <c r="B236" vm="693">
        <f ca="1"/>
        <v>46049</v>
      </c>
      <c r="C236" vm="694">
        <f ca="1"/>
        <v>314.13</v>
      </c>
      <c r="D236" vm="695">
        <f ca="1"/>
        <v>2506830</v>
      </c>
      <c r="E236">
        <f t="shared" ca="1" si="63"/>
        <v>787470507.89999998</v>
      </c>
      <c r="F236">
        <f ca="1">SUM($E$2:E236)/SUM($D$2:D236)</f>
        <v>305.88978512352787</v>
      </c>
      <c r="G236">
        <f ca="1">_xlfn.STDEV.P($C$2:C236)</f>
        <v>7.1968576015686638</v>
      </c>
      <c r="H236">
        <f t="shared" ca="1" si="64"/>
        <v>313.08664272509651</v>
      </c>
      <c r="I236">
        <f t="shared" ca="1" si="65"/>
        <v>298.69292752195923</v>
      </c>
      <c r="J236">
        <f t="shared" ca="1" si="74"/>
        <v>306.98500000000001</v>
      </c>
      <c r="K236">
        <f t="shared" ca="1" si="75"/>
        <v>3.4120799336598489</v>
      </c>
      <c r="L236">
        <f t="shared" ca="1" si="76"/>
        <v>313.80915986731969</v>
      </c>
      <c r="M236">
        <f t="shared" ca="1" si="77"/>
        <v>300.16084013268033</v>
      </c>
      <c r="N236">
        <f t="shared" ca="1" si="66"/>
        <v>1.1800000000000068</v>
      </c>
      <c r="O236">
        <f t="shared" ca="1" si="67"/>
        <v>1.1800000000000068</v>
      </c>
      <c r="P236">
        <f t="shared" ca="1" si="68"/>
        <v>0</v>
      </c>
      <c r="Q236">
        <f t="shared" ca="1" si="72"/>
        <v>1.3873222876463605</v>
      </c>
      <c r="R236">
        <f t="shared" ca="1" si="73"/>
        <v>0.95752166198104027</v>
      </c>
      <c r="S236">
        <f t="shared" ca="1" si="70"/>
        <v>1.4488677830808496</v>
      </c>
      <c r="T236">
        <f t="shared" ca="1" si="71"/>
        <v>59.164802325835296</v>
      </c>
      <c r="U236">
        <f>70</f>
        <v>70</v>
      </c>
      <c r="V236">
        <f>30</f>
        <v>30</v>
      </c>
      <c r="W236">
        <f t="shared" ca="1" si="69"/>
        <v>308.90699725706281</v>
      </c>
      <c r="X236">
        <f t="shared" ca="1" si="79"/>
        <v>308.55125011366852</v>
      </c>
      <c r="Y236">
        <f t="shared" ca="1" si="78"/>
        <v>0.63994842850536315</v>
      </c>
      <c r="Z236">
        <f t="shared" ca="1" si="80"/>
        <v>-0.22186941542236002</v>
      </c>
      <c r="AA236">
        <f t="shared" ca="1" si="81"/>
        <v>0.8618178439277232</v>
      </c>
      <c r="AB236">
        <f t="shared" ca="1" si="82"/>
        <v>306.34870000000006</v>
      </c>
    </row>
    <row r="237" spans="1:28" x14ac:dyDescent="0.25">
      <c r="A237" s="21">
        <f t="shared" ca="1" si="62"/>
        <v>46048</v>
      </c>
      <c r="B237" vm="696">
        <f ca="1"/>
        <v>46050</v>
      </c>
      <c r="C237" vm="411">
        <f ca="1"/>
        <v>312.8</v>
      </c>
      <c r="D237" vm="697">
        <f ca="1"/>
        <v>2184937</v>
      </c>
      <c r="E237">
        <f t="shared" ca="1" si="63"/>
        <v>683448293.60000002</v>
      </c>
      <c r="F237">
        <f ca="1">SUM($E$2:E237)/SUM($D$2:D237)</f>
        <v>305.90847872321859</v>
      </c>
      <c r="G237">
        <f ca="1">_xlfn.STDEV.P($C$2:C237)</f>
        <v>7.1934167127422839</v>
      </c>
      <c r="H237">
        <f t="shared" ca="1" si="64"/>
        <v>313.1018954359609</v>
      </c>
      <c r="I237">
        <f t="shared" ca="1" si="65"/>
        <v>298.71506201047629</v>
      </c>
      <c r="J237">
        <f t="shared" ca="1" si="74"/>
        <v>307.19849999999997</v>
      </c>
      <c r="K237">
        <f t="shared" ca="1" si="75"/>
        <v>3.6398312207833863</v>
      </c>
      <c r="L237">
        <f t="shared" ca="1" si="76"/>
        <v>314.47816244156672</v>
      </c>
      <c r="M237">
        <f t="shared" ca="1" si="77"/>
        <v>299.91883755843321</v>
      </c>
      <c r="N237">
        <f t="shared" ca="1" si="66"/>
        <v>-1.3299999999999841</v>
      </c>
      <c r="O237">
        <f t="shared" ca="1" si="67"/>
        <v>0</v>
      </c>
      <c r="P237">
        <f t="shared" ca="1" si="68"/>
        <v>1.3299999999999841</v>
      </c>
      <c r="Q237">
        <f t="shared" ca="1" si="72"/>
        <v>1.2882278385287633</v>
      </c>
      <c r="R237">
        <f t="shared" ca="1" si="73"/>
        <v>0.98412725755382191</v>
      </c>
      <c r="S237">
        <f t="shared" ca="1" si="70"/>
        <v>1.309005343202081</v>
      </c>
      <c r="T237">
        <f t="shared" ca="1" si="71"/>
        <v>56.69130853490271</v>
      </c>
      <c r="U237">
        <f>70</f>
        <v>70</v>
      </c>
      <c r="V237">
        <f>30</f>
        <v>30</v>
      </c>
      <c r="W237">
        <f t="shared" ca="1" si="69"/>
        <v>309.50592075597626</v>
      </c>
      <c r="X237">
        <f t="shared" ca="1" si="79"/>
        <v>308.8659723274709</v>
      </c>
      <c r="Y237">
        <f t="shared" ca="1" si="78"/>
        <v>1.0715027296208177</v>
      </c>
      <c r="Z237">
        <f t="shared" ca="1" si="80"/>
        <v>3.6805013586275526E-2</v>
      </c>
      <c r="AA237">
        <f t="shared" ca="1" si="81"/>
        <v>1.0346977160345423</v>
      </c>
      <c r="AB237">
        <f t="shared" ca="1" si="82"/>
        <v>306.30680000000007</v>
      </c>
    </row>
    <row r="238" spans="1:28" x14ac:dyDescent="0.25">
      <c r="A238" s="21">
        <f t="shared" ca="1" si="62"/>
        <v>46048</v>
      </c>
      <c r="B238" vm="698">
        <f ca="1"/>
        <v>46051</v>
      </c>
      <c r="C238" vm="699">
        <f ca="1"/>
        <v>315.51</v>
      </c>
      <c r="D238" vm="700">
        <f ca="1"/>
        <v>3211259</v>
      </c>
      <c r="E238">
        <f t="shared" ca="1" si="63"/>
        <v>1013184327.0899999</v>
      </c>
      <c r="F238">
        <f ca="1">SUM($E$2:E238)/SUM($D$2:D238)</f>
        <v>305.94650243881637</v>
      </c>
      <c r="G238">
        <f ca="1">_xlfn.STDEV.P($C$2:C238)</f>
        <v>7.2020478388227431</v>
      </c>
      <c r="H238">
        <f t="shared" ca="1" si="64"/>
        <v>313.14855027763912</v>
      </c>
      <c r="I238">
        <f t="shared" ca="1" si="65"/>
        <v>298.74445459999362</v>
      </c>
      <c r="J238">
        <f t="shared" ca="1" si="74"/>
        <v>307.57249999999999</v>
      </c>
      <c r="K238">
        <f t="shared" ca="1" si="75"/>
        <v>4.0866353101169599</v>
      </c>
      <c r="L238">
        <f t="shared" ca="1" si="76"/>
        <v>315.74577062023388</v>
      </c>
      <c r="M238">
        <f t="shared" ca="1" si="77"/>
        <v>299.3992293797661</v>
      </c>
      <c r="N238">
        <f t="shared" ca="1" si="66"/>
        <v>2.7099999999999795</v>
      </c>
      <c r="O238">
        <f t="shared" ca="1" si="67"/>
        <v>2.7099999999999795</v>
      </c>
      <c r="P238">
        <f t="shared" ca="1" si="68"/>
        <v>0</v>
      </c>
      <c r="Q238">
        <f t="shared" ca="1" si="72"/>
        <v>1.3897829929195644</v>
      </c>
      <c r="R238">
        <f t="shared" ca="1" si="73"/>
        <v>0.91383245344283459</v>
      </c>
      <c r="S238">
        <f t="shared" ca="1" si="70"/>
        <v>1.520829105689562</v>
      </c>
      <c r="T238">
        <f t="shared" ca="1" si="71"/>
        <v>60.330511983419271</v>
      </c>
      <c r="U238">
        <f>70</f>
        <v>70</v>
      </c>
      <c r="V238">
        <f>30</f>
        <v>30</v>
      </c>
      <c r="W238">
        <f t="shared" ca="1" si="69"/>
        <v>310.42962525505686</v>
      </c>
      <c r="X238">
        <f t="shared" ca="1" si="79"/>
        <v>309.35812252543604</v>
      </c>
      <c r="Y238">
        <f t="shared" ca="1" si="78"/>
        <v>1.3567204557982109</v>
      </c>
      <c r="Z238">
        <f t="shared" ca="1" si="80"/>
        <v>0.30078810202866263</v>
      </c>
      <c r="AA238">
        <f t="shared" ca="1" si="81"/>
        <v>1.0559323537695482</v>
      </c>
      <c r="AB238">
        <f t="shared" ca="1" si="82"/>
        <v>306.31810000000007</v>
      </c>
    </row>
    <row r="239" spans="1:28" x14ac:dyDescent="0.25">
      <c r="A239" s="21">
        <f t="shared" ca="1" si="62"/>
        <v>46048</v>
      </c>
      <c r="B239" vm="701">
        <f ca="1"/>
        <v>46052</v>
      </c>
      <c r="C239" vm="702">
        <f ca="1"/>
        <v>315</v>
      </c>
      <c r="D239" vm="703">
        <f ca="1"/>
        <v>2983277</v>
      </c>
      <c r="E239">
        <f t="shared" ca="1" si="63"/>
        <v>939732255</v>
      </c>
      <c r="F239">
        <f ca="1">SUM($E$2:E239)/SUM($D$2:D239)</f>
        <v>305.9796883915526</v>
      </c>
      <c r="G239">
        <f ca="1">_xlfn.STDEV.P($C$2:C239)</f>
        <v>7.207811445359968</v>
      </c>
      <c r="H239">
        <f t="shared" ca="1" si="64"/>
        <v>313.18749983691259</v>
      </c>
      <c r="I239">
        <f t="shared" ca="1" si="65"/>
        <v>298.77187694619261</v>
      </c>
      <c r="J239">
        <f t="shared" ca="1" si="74"/>
        <v>308.04100000000005</v>
      </c>
      <c r="K239">
        <f t="shared" ca="1" si="75"/>
        <v>4.378871399897708</v>
      </c>
      <c r="L239">
        <f t="shared" ca="1" si="76"/>
        <v>316.79874279979549</v>
      </c>
      <c r="M239">
        <f t="shared" ca="1" si="77"/>
        <v>299.28325720020462</v>
      </c>
      <c r="N239">
        <f t="shared" ca="1" si="66"/>
        <v>-0.50999999999999091</v>
      </c>
      <c r="O239">
        <f t="shared" ca="1" si="67"/>
        <v>0</v>
      </c>
      <c r="P239">
        <f t="shared" ca="1" si="68"/>
        <v>0.50999999999999091</v>
      </c>
      <c r="Q239">
        <f t="shared" ca="1" si="72"/>
        <v>1.2905127791395954</v>
      </c>
      <c r="R239">
        <f t="shared" ca="1" si="73"/>
        <v>0.88498727819691714</v>
      </c>
      <c r="S239">
        <f t="shared" ca="1" si="70"/>
        <v>1.4582274920029363</v>
      </c>
      <c r="T239">
        <f t="shared" ca="1" si="71"/>
        <v>59.320282469658196</v>
      </c>
      <c r="U239">
        <f>70</f>
        <v>70</v>
      </c>
      <c r="V239">
        <f>30</f>
        <v>30</v>
      </c>
      <c r="W239">
        <f t="shared" ca="1" si="69"/>
        <v>311.13275983120195</v>
      </c>
      <c r="X239">
        <f t="shared" ca="1" si="79"/>
        <v>309.77603937540374</v>
      </c>
      <c r="Y239">
        <f t="shared" ca="1" si="78"/>
        <v>1.8463158770961741</v>
      </c>
      <c r="Z239">
        <f t="shared" ca="1" si="80"/>
        <v>0.60989365704216492</v>
      </c>
      <c r="AA239">
        <f t="shared" ca="1" si="81"/>
        <v>1.2364222200540091</v>
      </c>
      <c r="AB239">
        <f t="shared" ca="1" si="82"/>
        <v>306.34010000000006</v>
      </c>
    </row>
    <row r="240" spans="1:28" x14ac:dyDescent="0.25">
      <c r="A240" s="21">
        <f t="shared" ca="1" si="62"/>
        <v>46055</v>
      </c>
      <c r="B240" vm="704">
        <f ca="1"/>
        <v>46055</v>
      </c>
      <c r="C240" vm="705">
        <f ca="1"/>
        <v>318.52999999999997</v>
      </c>
      <c r="D240" vm="706">
        <f ca="1"/>
        <v>3309834</v>
      </c>
      <c r="E240">
        <f t="shared" ca="1" si="63"/>
        <v>1054281424.0199999</v>
      </c>
      <c r="F240">
        <f ca="1">SUM($E$2:E240)/SUM($D$2:D240)</f>
        <v>306.03052100580481</v>
      </c>
      <c r="G240">
        <f ca="1">_xlfn.STDEV.P($C$2:C240)</f>
        <v>7.2341387835530897</v>
      </c>
      <c r="H240">
        <f t="shared" ca="1" si="64"/>
        <v>313.26465978935789</v>
      </c>
      <c r="I240">
        <f t="shared" ca="1" si="65"/>
        <v>298.79638222225174</v>
      </c>
      <c r="J240">
        <f t="shared" ca="1" si="74"/>
        <v>308.80450000000002</v>
      </c>
      <c r="K240">
        <f t="shared" ca="1" si="75"/>
        <v>4.8112712785488876</v>
      </c>
      <c r="L240">
        <f t="shared" ca="1" si="76"/>
        <v>318.42704255709782</v>
      </c>
      <c r="M240">
        <f t="shared" ca="1" si="77"/>
        <v>299.18195744290222</v>
      </c>
      <c r="N240">
        <f t="shared" ca="1" si="66"/>
        <v>3.5299999999999727</v>
      </c>
      <c r="O240">
        <f t="shared" ca="1" si="67"/>
        <v>3.5299999999999727</v>
      </c>
      <c r="P240">
        <f t="shared" ca="1" si="68"/>
        <v>0</v>
      </c>
      <c r="Q240">
        <f t="shared" ca="1" si="72"/>
        <v>1.4504761520581937</v>
      </c>
      <c r="R240">
        <f t="shared" ca="1" si="73"/>
        <v>0.82177390118285154</v>
      </c>
      <c r="S240">
        <f t="shared" ca="1" si="70"/>
        <v>1.7650550230062012</v>
      </c>
      <c r="T240">
        <f t="shared" ca="1" si="71"/>
        <v>63.834354409599129</v>
      </c>
      <c r="U240">
        <f>70</f>
        <v>70</v>
      </c>
      <c r="V240">
        <f>30</f>
        <v>30</v>
      </c>
      <c r="W240">
        <f t="shared" ca="1" si="69"/>
        <v>312.27079678024779</v>
      </c>
      <c r="X240">
        <f t="shared" ca="1" si="79"/>
        <v>310.42448090315162</v>
      </c>
      <c r="Y240">
        <f t="shared" ca="1" si="78"/>
        <v>2.2846448723912545</v>
      </c>
      <c r="Z240">
        <f t="shared" ca="1" si="80"/>
        <v>0.94484390011198283</v>
      </c>
      <c r="AA240">
        <f t="shared" ca="1" si="81"/>
        <v>1.3398009722792716</v>
      </c>
      <c r="AB240">
        <f t="shared" ca="1" si="82"/>
        <v>306.40019999999998</v>
      </c>
    </row>
    <row r="241" spans="1:28" x14ac:dyDescent="0.25">
      <c r="A241" s="21">
        <f t="shared" ca="1" si="62"/>
        <v>46055</v>
      </c>
      <c r="B241" vm="707">
        <f ca="1"/>
        <v>46056</v>
      </c>
      <c r="C241" vm="708">
        <f ca="1"/>
        <v>319.48</v>
      </c>
      <c r="D241" vm="709">
        <f ca="1"/>
        <v>4043582</v>
      </c>
      <c r="E241">
        <f t="shared" ca="1" si="63"/>
        <v>1291843577.3600001</v>
      </c>
      <c r="F241">
        <f ca="1">SUM($E$2:E241)/SUM($D$2:D241)</f>
        <v>306.09674414424421</v>
      </c>
      <c r="G241">
        <f ca="1">_xlfn.STDEV.P($C$2:C241)</f>
        <v>7.2665410687731375</v>
      </c>
      <c r="H241">
        <f t="shared" ca="1" si="64"/>
        <v>313.36328521301738</v>
      </c>
      <c r="I241">
        <f t="shared" ca="1" si="65"/>
        <v>298.83020307547105</v>
      </c>
      <c r="J241">
        <f t="shared" ca="1" si="74"/>
        <v>309.78550000000007</v>
      </c>
      <c r="K241">
        <f t="shared" ca="1" si="75"/>
        <v>4.8910944582986762</v>
      </c>
      <c r="L241">
        <f t="shared" ca="1" si="76"/>
        <v>319.56768891659743</v>
      </c>
      <c r="M241">
        <f t="shared" ca="1" si="77"/>
        <v>300.00331108340271</v>
      </c>
      <c r="N241">
        <f t="shared" ca="1" si="66"/>
        <v>0.95000000000004547</v>
      </c>
      <c r="O241">
        <f t="shared" ca="1" si="67"/>
        <v>0.95000000000004547</v>
      </c>
      <c r="P241">
        <f t="shared" ca="1" si="68"/>
        <v>0</v>
      </c>
      <c r="Q241">
        <f t="shared" ca="1" si="72"/>
        <v>1.4147278554826117</v>
      </c>
      <c r="R241">
        <f t="shared" ca="1" si="73"/>
        <v>0.76307576538407651</v>
      </c>
      <c r="S241">
        <f t="shared" ca="1" si="70"/>
        <v>1.8539808491631775</v>
      </c>
      <c r="T241">
        <f t="shared" ca="1" si="71"/>
        <v>64.961222487067062</v>
      </c>
      <c r="U241">
        <f>70</f>
        <v>70</v>
      </c>
      <c r="V241">
        <f>30</f>
        <v>30</v>
      </c>
      <c r="W241">
        <f t="shared" ca="1" si="69"/>
        <v>313.37990496790201</v>
      </c>
      <c r="X241">
        <f t="shared" ca="1" si="79"/>
        <v>311.09526009551075</v>
      </c>
      <c r="Y241">
        <f t="shared" ca="1" si="78"/>
        <v>2.9378696422390362</v>
      </c>
      <c r="Z241">
        <f t="shared" ca="1" si="80"/>
        <v>1.3434490485373938</v>
      </c>
      <c r="AA241">
        <f t="shared" ca="1" si="81"/>
        <v>1.5944205937016425</v>
      </c>
      <c r="AB241">
        <f t="shared" ca="1" si="82"/>
        <v>306.53559999999999</v>
      </c>
    </row>
    <row r="242" spans="1:28" x14ac:dyDescent="0.25">
      <c r="A242" s="21">
        <f t="shared" ca="1" si="62"/>
        <v>46055</v>
      </c>
      <c r="B242" vm="710">
        <f ca="1"/>
        <v>46057</v>
      </c>
      <c r="C242" vm="711">
        <f ca="1"/>
        <v>323.69</v>
      </c>
      <c r="D242" vm="712">
        <f ca="1"/>
        <v>4805925</v>
      </c>
      <c r="E242">
        <f t="shared" ca="1" si="63"/>
        <v>1555629863.25</v>
      </c>
      <c r="F242">
        <f ca="1">SUM($E$2:E242)/SUM($D$2:D242)</f>
        <v>306.19910339654939</v>
      </c>
      <c r="G242">
        <f ca="1">_xlfn.STDEV.P($C$2:C242)</f>
        <v>7.3336382939063816</v>
      </c>
      <c r="H242">
        <f t="shared" ca="1" si="64"/>
        <v>313.53274169045579</v>
      </c>
      <c r="I242">
        <f t="shared" ca="1" si="65"/>
        <v>298.86546510264299</v>
      </c>
      <c r="J242">
        <f t="shared" ca="1" si="74"/>
        <v>310.83150000000001</v>
      </c>
      <c r="K242">
        <f t="shared" ca="1" si="75"/>
        <v>5.509651125644508</v>
      </c>
      <c r="L242">
        <f t="shared" ca="1" si="76"/>
        <v>321.850802251289</v>
      </c>
      <c r="M242">
        <f t="shared" ca="1" si="77"/>
        <v>299.81219774871101</v>
      </c>
      <c r="N242">
        <f t="shared" ca="1" si="66"/>
        <v>4.2099999999999795</v>
      </c>
      <c r="O242">
        <f t="shared" ca="1" si="67"/>
        <v>4.2099999999999795</v>
      </c>
      <c r="P242">
        <f t="shared" ca="1" si="68"/>
        <v>0</v>
      </c>
      <c r="Q242">
        <f t="shared" ca="1" si="72"/>
        <v>1.6143901515195667</v>
      </c>
      <c r="R242">
        <f t="shared" ca="1" si="73"/>
        <v>0.70857035357092812</v>
      </c>
      <c r="S242">
        <f t="shared" ca="1" si="70"/>
        <v>2.2783766543204176</v>
      </c>
      <c r="T242">
        <f t="shared" ca="1" si="71"/>
        <v>69.497098550828582</v>
      </c>
      <c r="U242">
        <f>70</f>
        <v>70</v>
      </c>
      <c r="V242">
        <f>30</f>
        <v>30</v>
      </c>
      <c r="W242">
        <f t="shared" ca="1" si="69"/>
        <v>314.96607343437864</v>
      </c>
      <c r="X242">
        <f t="shared" ca="1" si="79"/>
        <v>312.02820379213961</v>
      </c>
      <c r="Y242">
        <f t="shared" ca="1" si="78"/>
        <v>3.3994232979061962</v>
      </c>
      <c r="Z242">
        <f t="shared" ca="1" si="80"/>
        <v>1.7546438984111543</v>
      </c>
      <c r="AA242">
        <f t="shared" ca="1" si="81"/>
        <v>1.6447793994950419</v>
      </c>
      <c r="AB242">
        <f t="shared" ca="1" si="82"/>
        <v>306.68819999999999</v>
      </c>
    </row>
    <row r="243" spans="1:28" x14ac:dyDescent="0.25">
      <c r="A243" s="21">
        <f t="shared" ca="1" si="62"/>
        <v>46055</v>
      </c>
      <c r="B243" vm="713">
        <f ca="1"/>
        <v>46058</v>
      </c>
      <c r="C243" vm="714">
        <f ca="1"/>
        <v>323.48</v>
      </c>
      <c r="D243" vm="715">
        <f ca="1"/>
        <v>3936775</v>
      </c>
      <c r="E243">
        <f t="shared" ca="1" si="63"/>
        <v>1273467977</v>
      </c>
      <c r="F243">
        <f ca="1">SUM($E$2:E243)/SUM($D$2:D243)</f>
        <v>306.28107168703798</v>
      </c>
      <c r="G243">
        <f ca="1">_xlfn.STDEV.P($C$2:C243)</f>
        <v>7.3969443538894657</v>
      </c>
      <c r="H243">
        <f t="shared" ca="1" si="64"/>
        <v>313.67801604092745</v>
      </c>
      <c r="I243">
        <f t="shared" ca="1" si="65"/>
        <v>298.88412733314851</v>
      </c>
      <c r="J243">
        <f t="shared" ca="1" si="74"/>
        <v>311.79750000000001</v>
      </c>
      <c r="K243">
        <f t="shared" ca="1" si="75"/>
        <v>5.9541289300610156</v>
      </c>
      <c r="L243">
        <f t="shared" ca="1" si="76"/>
        <v>323.70575786012205</v>
      </c>
      <c r="M243">
        <f t="shared" ca="1" si="77"/>
        <v>299.88924213987798</v>
      </c>
      <c r="N243">
        <f t="shared" ca="1" si="66"/>
        <v>-0.20999999999997954</v>
      </c>
      <c r="O243">
        <f t="shared" ca="1" si="67"/>
        <v>0</v>
      </c>
      <c r="P243">
        <f t="shared" ca="1" si="68"/>
        <v>0.20999999999997954</v>
      </c>
      <c r="Q243">
        <f t="shared" ca="1" si="72"/>
        <v>1.4990765692681691</v>
      </c>
      <c r="R243">
        <f t="shared" ca="1" si="73"/>
        <v>0.67295818545871744</v>
      </c>
      <c r="S243">
        <f t="shared" ca="1" si="70"/>
        <v>2.227592444315591</v>
      </c>
      <c r="T243">
        <f t="shared" ca="1" si="71"/>
        <v>69.017153892487528</v>
      </c>
      <c r="U243">
        <f>70</f>
        <v>70</v>
      </c>
      <c r="V243">
        <f>30</f>
        <v>30</v>
      </c>
      <c r="W243">
        <f t="shared" ca="1" si="69"/>
        <v>316.27590829062808</v>
      </c>
      <c r="X243">
        <f t="shared" ca="1" si="79"/>
        <v>312.87648499272188</v>
      </c>
      <c r="Y243">
        <f t="shared" ca="1" si="78"/>
        <v>4.0158607968146498</v>
      </c>
      <c r="Z243">
        <f t="shared" ca="1" si="80"/>
        <v>2.2068872780918536</v>
      </c>
      <c r="AA243">
        <f t="shared" ca="1" si="81"/>
        <v>1.8089735187227962</v>
      </c>
      <c r="AB243">
        <f t="shared" ca="1" si="82"/>
        <v>306.86899999999997</v>
      </c>
    </row>
    <row r="244" spans="1:28" x14ac:dyDescent="0.25">
      <c r="A244" s="21">
        <f t="shared" ca="1" si="62"/>
        <v>46055</v>
      </c>
      <c r="B244" vm="716">
        <f ca="1"/>
        <v>46059</v>
      </c>
      <c r="C244" vm="717">
        <f ca="1"/>
        <v>327.16000000000003</v>
      </c>
      <c r="D244" vm="718">
        <f ca="1"/>
        <v>2831866</v>
      </c>
      <c r="E244">
        <f t="shared" ca="1" si="63"/>
        <v>926473280.56000006</v>
      </c>
      <c r="F244">
        <f ca="1">SUM($E$2:E244)/SUM($D$2:D244)</f>
        <v>306.35206878786113</v>
      </c>
      <c r="G244">
        <f ca="1">_xlfn.STDEV.P($C$2:C244)</f>
        <v>7.4959241039624542</v>
      </c>
      <c r="H244">
        <f t="shared" ca="1" si="64"/>
        <v>313.84799289182359</v>
      </c>
      <c r="I244">
        <f t="shared" ca="1" si="65"/>
        <v>298.85614468389866</v>
      </c>
      <c r="J244">
        <f t="shared" ca="1" si="74"/>
        <v>312.7115</v>
      </c>
      <c r="K244">
        <f t="shared" ca="1" si="75"/>
        <v>6.8224399671424925</v>
      </c>
      <c r="L244">
        <f t="shared" ca="1" si="76"/>
        <v>326.35637993428497</v>
      </c>
      <c r="M244">
        <f t="shared" ca="1" si="77"/>
        <v>299.06662006571503</v>
      </c>
      <c r="N244">
        <f t="shared" ca="1" si="66"/>
        <v>3.6800000000000068</v>
      </c>
      <c r="O244">
        <f t="shared" ca="1" si="67"/>
        <v>3.6800000000000068</v>
      </c>
      <c r="P244">
        <f t="shared" ca="1" si="68"/>
        <v>0</v>
      </c>
      <c r="Q244">
        <f t="shared" ca="1" si="72"/>
        <v>1.6548568143204432</v>
      </c>
      <c r="R244">
        <f t="shared" ca="1" si="73"/>
        <v>0.62488974364023764</v>
      </c>
      <c r="S244">
        <f t="shared" ca="1" si="70"/>
        <v>2.6482380790573186</v>
      </c>
      <c r="T244">
        <f t="shared" ca="1" si="71"/>
        <v>72.58950818641766</v>
      </c>
      <c r="U244">
        <f>70</f>
        <v>70</v>
      </c>
      <c r="V244">
        <f>30</f>
        <v>30</v>
      </c>
      <c r="W244">
        <f t="shared" ca="1" si="69"/>
        <v>317.95038393822381</v>
      </c>
      <c r="X244">
        <f t="shared" ca="1" si="79"/>
        <v>313.93452314140916</v>
      </c>
      <c r="Y244">
        <f t="shared" ca="1" si="78"/>
        <v>4.3286154093860887</v>
      </c>
      <c r="Z244">
        <f t="shared" ca="1" si="80"/>
        <v>2.6312329043507008</v>
      </c>
      <c r="AA244">
        <f t="shared" ca="1" si="81"/>
        <v>1.6973825050353879</v>
      </c>
      <c r="AB244">
        <f t="shared" ca="1" si="82"/>
        <v>307.11989999999997</v>
      </c>
    </row>
    <row r="245" spans="1:28" x14ac:dyDescent="0.25">
      <c r="A245" s="21">
        <f t="shared" ca="1" si="62"/>
        <v>46062</v>
      </c>
      <c r="B245" vm="719">
        <f ca="1"/>
        <v>46062</v>
      </c>
      <c r="C245" vm="720">
        <f ca="1"/>
        <v>325.60000000000002</v>
      </c>
      <c r="D245" vm="721">
        <f ca="1"/>
        <v>2674131</v>
      </c>
      <c r="E245">
        <f t="shared" ca="1" si="63"/>
        <v>870697053.60000002</v>
      </c>
      <c r="F245">
        <f ca="1">SUM($E$2:E245)/SUM($D$2:D245)</f>
        <v>306.41367636884041</v>
      </c>
      <c r="G245">
        <f ca="1">_xlfn.STDEV.P($C$2:C245)</f>
        <v>7.5755338150062483</v>
      </c>
      <c r="H245">
        <f t="shared" ca="1" si="64"/>
        <v>313.98921018384664</v>
      </c>
      <c r="I245">
        <f t="shared" ca="1" si="65"/>
        <v>298.83814255383419</v>
      </c>
      <c r="J245">
        <f t="shared" ca="1" si="74"/>
        <v>313.62549999999999</v>
      </c>
      <c r="K245">
        <f t="shared" ca="1" si="75"/>
        <v>7.2718103696831715</v>
      </c>
      <c r="L245">
        <f t="shared" ca="1" si="76"/>
        <v>328.16912073936635</v>
      </c>
      <c r="M245">
        <f t="shared" ca="1" si="77"/>
        <v>299.08187926063363</v>
      </c>
      <c r="N245">
        <f t="shared" ca="1" si="66"/>
        <v>-1.5600000000000023</v>
      </c>
      <c r="O245">
        <f t="shared" ca="1" si="67"/>
        <v>0</v>
      </c>
      <c r="P245">
        <f t="shared" ca="1" si="68"/>
        <v>1.5600000000000023</v>
      </c>
      <c r="Q245">
        <f t="shared" ca="1" si="72"/>
        <v>1.5366527561546974</v>
      </c>
      <c r="R245">
        <f t="shared" ca="1" si="73"/>
        <v>0.69168333338022081</v>
      </c>
      <c r="S245">
        <f t="shared" ca="1" si="70"/>
        <v>2.2216131024079395</v>
      </c>
      <c r="T245">
        <f t="shared" ca="1" si="71"/>
        <v>68.959649460931018</v>
      </c>
      <c r="U245">
        <f>70</f>
        <v>70</v>
      </c>
      <c r="V245">
        <f>30</f>
        <v>30</v>
      </c>
      <c r="W245">
        <f t="shared" ca="1" si="69"/>
        <v>319.12724794772788</v>
      </c>
      <c r="X245">
        <f t="shared" ca="1" si="79"/>
        <v>314.79863253834179</v>
      </c>
      <c r="Y245">
        <f t="shared" ca="1" si="78"/>
        <v>4.5538377934874461</v>
      </c>
      <c r="Z245">
        <f t="shared" ca="1" si="80"/>
        <v>3.0157538821780498</v>
      </c>
      <c r="AA245">
        <f t="shared" ca="1" si="81"/>
        <v>1.5380839113093963</v>
      </c>
      <c r="AB245">
        <f t="shared" ca="1" si="82"/>
        <v>307.34299999999996</v>
      </c>
    </row>
    <row r="246" spans="1:28" x14ac:dyDescent="0.25">
      <c r="A246" s="21">
        <f t="shared" ca="1" si="62"/>
        <v>46062</v>
      </c>
      <c r="B246" vm="722">
        <f ca="1"/>
        <v>46063</v>
      </c>
      <c r="C246" vm="723">
        <f ca="1"/>
        <v>325.97000000000003</v>
      </c>
      <c r="D246" vm="724">
        <f ca="1"/>
        <v>3502928</v>
      </c>
      <c r="E246">
        <f t="shared" ca="1" si="63"/>
        <v>1141849440.1600001</v>
      </c>
      <c r="F246">
        <f ca="1">SUM($E$2:E246)/SUM($D$2:D246)</f>
        <v>306.49532873347664</v>
      </c>
      <c r="G246">
        <f ca="1">_xlfn.STDEV.P($C$2:C246)</f>
        <v>7.6566153297244819</v>
      </c>
      <c r="H246">
        <f t="shared" ca="1" si="64"/>
        <v>314.15194406320114</v>
      </c>
      <c r="I246">
        <f t="shared" ca="1" si="65"/>
        <v>298.83871340375214</v>
      </c>
      <c r="J246">
        <f t="shared" ca="1" si="74"/>
        <v>314.5865</v>
      </c>
      <c r="K246">
        <f t="shared" ca="1" si="75"/>
        <v>7.5788801248844528</v>
      </c>
      <c r="L246">
        <f t="shared" ca="1" si="76"/>
        <v>329.7442602497689</v>
      </c>
      <c r="M246">
        <f t="shared" ca="1" si="77"/>
        <v>299.4287397502311</v>
      </c>
      <c r="N246">
        <f t="shared" ca="1" si="66"/>
        <v>0.37000000000000455</v>
      </c>
      <c r="O246">
        <f t="shared" ca="1" si="67"/>
        <v>0.37000000000000455</v>
      </c>
      <c r="P246">
        <f t="shared" ca="1" si="68"/>
        <v>0</v>
      </c>
      <c r="Q246">
        <f t="shared" ca="1" si="72"/>
        <v>1.4533204164293623</v>
      </c>
      <c r="R246">
        <f t="shared" ca="1" si="73"/>
        <v>0.64227738099591936</v>
      </c>
      <c r="S246">
        <f t="shared" ca="1" si="70"/>
        <v>2.2627613231153094</v>
      </c>
      <c r="T246">
        <f t="shared" ca="1" si="71"/>
        <v>69.351113950155806</v>
      </c>
      <c r="U246">
        <f>70</f>
        <v>70</v>
      </c>
      <c r="V246">
        <f>30</f>
        <v>30</v>
      </c>
      <c r="W246">
        <f t="shared" ca="1" si="69"/>
        <v>320.17997903269281</v>
      </c>
      <c r="X246">
        <f t="shared" ca="1" si="79"/>
        <v>315.62614123920537</v>
      </c>
      <c r="Y246">
        <f t="shared" ca="1" si="78"/>
        <v>4.4582275497664341</v>
      </c>
      <c r="Z246">
        <f t="shared" ca="1" si="80"/>
        <v>3.3042486156957267</v>
      </c>
      <c r="AA246">
        <f t="shared" ca="1" si="81"/>
        <v>1.1539789340707074</v>
      </c>
      <c r="AB246">
        <f t="shared" ca="1" si="82"/>
        <v>307.55299999999994</v>
      </c>
    </row>
    <row r="247" spans="1:28" x14ac:dyDescent="0.25">
      <c r="A247" s="21">
        <f t="shared" ca="1" si="62"/>
        <v>46062</v>
      </c>
      <c r="B247" vm="725">
        <f ca="1"/>
        <v>46064</v>
      </c>
      <c r="C247" vm="726">
        <f ca="1"/>
        <v>323.20999999999998</v>
      </c>
      <c r="D247" vm="727">
        <f ca="1"/>
        <v>4553181</v>
      </c>
      <c r="E247">
        <f t="shared" ca="1" si="63"/>
        <v>1471633631.01</v>
      </c>
      <c r="F247">
        <f ca="1">SUM($E$2:E247)/SUM($D$2:D247)</f>
        <v>306.58555074827308</v>
      </c>
      <c r="G247">
        <f ca="1">_xlfn.STDEV.P($C$2:C247)</f>
        <v>7.710030301495804</v>
      </c>
      <c r="H247">
        <f t="shared" ca="1" si="64"/>
        <v>314.29558104976888</v>
      </c>
      <c r="I247">
        <f t="shared" ca="1" si="65"/>
        <v>298.87552044677727</v>
      </c>
      <c r="J247">
        <f t="shared" ca="1" si="74"/>
        <v>315.27499999999998</v>
      </c>
      <c r="K247">
        <f t="shared" ca="1" si="75"/>
        <v>7.7110539248262997</v>
      </c>
      <c r="L247">
        <f t="shared" ca="1" si="76"/>
        <v>330.69710784965258</v>
      </c>
      <c r="M247">
        <f t="shared" ca="1" si="77"/>
        <v>299.85289215034737</v>
      </c>
      <c r="N247">
        <f t="shared" ca="1" si="66"/>
        <v>-2.7600000000000477</v>
      </c>
      <c r="O247">
        <f t="shared" ca="1" si="67"/>
        <v>0</v>
      </c>
      <c r="P247">
        <f t="shared" ca="1" si="68"/>
        <v>2.7600000000000477</v>
      </c>
      <c r="Q247">
        <f t="shared" ca="1" si="72"/>
        <v>1.3495118152558363</v>
      </c>
      <c r="R247">
        <f t="shared" ca="1" si="73"/>
        <v>0.79354328235335714</v>
      </c>
      <c r="S247">
        <f t="shared" ca="1" si="70"/>
        <v>1.7006152597671562</v>
      </c>
      <c r="T247">
        <f t="shared" ca="1" si="71"/>
        <v>62.971400817522643</v>
      </c>
      <c r="U247">
        <f>70</f>
        <v>70</v>
      </c>
      <c r="V247">
        <f>30</f>
        <v>30</v>
      </c>
      <c r="W247">
        <f t="shared" ca="1" si="69"/>
        <v>320.64613610458622</v>
      </c>
      <c r="X247">
        <f t="shared" ca="1" si="79"/>
        <v>316.18790855481978</v>
      </c>
      <c r="Y247">
        <f t="shared" ca="1" si="78"/>
        <v>5.04009157477401</v>
      </c>
      <c r="Z247">
        <f t="shared" ca="1" si="80"/>
        <v>3.6514172075113835</v>
      </c>
      <c r="AA247">
        <f t="shared" ca="1" si="81"/>
        <v>1.3886743672626265</v>
      </c>
      <c r="AB247">
        <f t="shared" ca="1" si="82"/>
        <v>307.77369999999996</v>
      </c>
    </row>
    <row r="248" spans="1:28" x14ac:dyDescent="0.25">
      <c r="A248" s="21">
        <f t="shared" ca="1" si="62"/>
        <v>46062</v>
      </c>
      <c r="B248" vm="728">
        <f ca="1"/>
        <v>46065</v>
      </c>
      <c r="C248" vm="729">
        <f ca="1"/>
        <v>332.08</v>
      </c>
      <c r="D248" vm="730">
        <f ca="1"/>
        <v>6499731</v>
      </c>
      <c r="E248">
        <f t="shared" ca="1" si="63"/>
        <v>2158430670.48</v>
      </c>
      <c r="F248">
        <f ca="1">SUM($E$2:E248)/SUM($D$2:D248)</f>
        <v>306.78049354796917</v>
      </c>
      <c r="G248">
        <f ca="1">_xlfn.STDEV.P($C$2:C248)</f>
        <v>7.8561878418719111</v>
      </c>
      <c r="H248">
        <f t="shared" ca="1" si="64"/>
        <v>314.6366813898411</v>
      </c>
      <c r="I248">
        <f t="shared" ca="1" si="65"/>
        <v>298.92430570609724</v>
      </c>
      <c r="J248">
        <f t="shared" ca="1" si="74"/>
        <v>316.47250000000003</v>
      </c>
      <c r="K248">
        <f t="shared" ca="1" si="75"/>
        <v>8.3742197594132595</v>
      </c>
      <c r="L248">
        <f t="shared" ca="1" si="76"/>
        <v>333.22093951882653</v>
      </c>
      <c r="M248">
        <f t="shared" ca="1" si="77"/>
        <v>299.72406048117352</v>
      </c>
      <c r="N248">
        <f t="shared" ca="1" si="66"/>
        <v>8.8700000000000045</v>
      </c>
      <c r="O248">
        <f t="shared" ca="1" si="67"/>
        <v>8.8700000000000045</v>
      </c>
      <c r="P248">
        <f t="shared" ca="1" si="68"/>
        <v>0</v>
      </c>
      <c r="Q248">
        <f t="shared" ca="1" si="72"/>
        <v>1.8866895427375625</v>
      </c>
      <c r="R248">
        <f t="shared" ca="1" si="73"/>
        <v>0.73686161932811733</v>
      </c>
      <c r="S248">
        <f t="shared" ca="1" si="70"/>
        <v>2.5604394274977675</v>
      </c>
      <c r="T248">
        <f t="shared" ca="1" si="71"/>
        <v>71.913579198206236</v>
      </c>
      <c r="U248">
        <f>70</f>
        <v>70</v>
      </c>
      <c r="V248">
        <f>30</f>
        <v>30</v>
      </c>
      <c r="W248">
        <f t="shared" ca="1" si="69"/>
        <v>322.40519208849605</v>
      </c>
      <c r="X248">
        <f t="shared" ca="1" si="79"/>
        <v>317.36510051372204</v>
      </c>
      <c r="Y248">
        <f t="shared" ca="1" si="78"/>
        <v>5.0795566476457452</v>
      </c>
      <c r="Z248">
        <f t="shared" ca="1" si="80"/>
        <v>3.9370450955382559</v>
      </c>
      <c r="AA248">
        <f t="shared" ca="1" si="81"/>
        <v>1.1425115521074893</v>
      </c>
      <c r="AB248">
        <f t="shared" ca="1" si="82"/>
        <v>308.07069999999999</v>
      </c>
    </row>
    <row r="249" spans="1:28" x14ac:dyDescent="0.25">
      <c r="A249" s="21">
        <f t="shared" ca="1" si="62"/>
        <v>46062</v>
      </c>
      <c r="B249" vm="731">
        <f ca="1"/>
        <v>46066</v>
      </c>
      <c r="C249" vm="732">
        <f ca="1"/>
        <v>327.58</v>
      </c>
      <c r="D249" vm="733">
        <f ca="1"/>
        <v>3587877</v>
      </c>
      <c r="E249">
        <f t="shared" ca="1" si="63"/>
        <v>1175316747.6599998</v>
      </c>
      <c r="F249">
        <f ca="1">SUM($E$2:E249)/SUM($D$2:D249)</f>
        <v>306.86791691059858</v>
      </c>
      <c r="G249">
        <f ca="1">_xlfn.STDEV.P($C$2:C249)</f>
        <v>7.9459681371606052</v>
      </c>
      <c r="H249">
        <f t="shared" ca="1" si="64"/>
        <v>314.81388504775919</v>
      </c>
      <c r="I249">
        <f t="shared" ca="1" si="65"/>
        <v>298.92194877343798</v>
      </c>
      <c r="J249">
        <f t="shared" ca="1" si="74"/>
        <v>317.4205</v>
      </c>
      <c r="K249">
        <f t="shared" ca="1" si="75"/>
        <v>8.5105640081514107</v>
      </c>
      <c r="L249">
        <f t="shared" ca="1" si="76"/>
        <v>334.44162801630284</v>
      </c>
      <c r="M249">
        <f t="shared" ca="1" si="77"/>
        <v>300.39937198369716</v>
      </c>
      <c r="N249">
        <f t="shared" ca="1" si="66"/>
        <v>-4.5</v>
      </c>
      <c r="O249">
        <f t="shared" ca="1" si="67"/>
        <v>0</v>
      </c>
      <c r="P249">
        <f t="shared" ca="1" si="68"/>
        <v>4.5</v>
      </c>
      <c r="Q249">
        <f t="shared" ca="1" si="72"/>
        <v>1.7519260039705937</v>
      </c>
      <c r="R249">
        <f t="shared" ca="1" si="73"/>
        <v>1.0056572179475374</v>
      </c>
      <c r="S249">
        <f t="shared" ca="1" si="70"/>
        <v>1.7420707301699965</v>
      </c>
      <c r="T249">
        <f t="shared" ca="1" si="71"/>
        <v>63.531210592149662</v>
      </c>
      <c r="U249">
        <f>70</f>
        <v>70</v>
      </c>
      <c r="V249">
        <f>30</f>
        <v>30</v>
      </c>
      <c r="W249">
        <f t="shared" ca="1" si="69"/>
        <v>323.20131638257357</v>
      </c>
      <c r="X249">
        <f t="shared" ca="1" si="79"/>
        <v>318.12175973492782</v>
      </c>
      <c r="Y249">
        <f t="shared" ca="1" si="78"/>
        <v>5.0557807742815157</v>
      </c>
      <c r="Z249">
        <f t="shared" ca="1" si="80"/>
        <v>4.1607922312869086</v>
      </c>
      <c r="AA249">
        <f t="shared" ca="1" si="81"/>
        <v>0.89498854299460717</v>
      </c>
      <c r="AB249">
        <f t="shared" ca="1" si="82"/>
        <v>308.31659999999994</v>
      </c>
    </row>
    <row r="250" spans="1:28" x14ac:dyDescent="0.25">
      <c r="A250" s="21">
        <f t="shared" ca="1" si="62"/>
        <v>46069</v>
      </c>
      <c r="B250" vm="734">
        <f ca="1"/>
        <v>46070</v>
      </c>
      <c r="C250" vm="735">
        <f ca="1"/>
        <v>327.62</v>
      </c>
      <c r="D250" vm="736">
        <f ca="1"/>
        <v>3367458</v>
      </c>
      <c r="E250">
        <f t="shared" ca="1" si="63"/>
        <v>1103246589.96</v>
      </c>
      <c r="F250">
        <f ca="1">SUM($E$2:E250)/SUM($D$2:D250)</f>
        <v>306.94946070692248</v>
      </c>
      <c r="G250">
        <f ca="1">_xlfn.STDEV.P($C$2:C250)</f>
        <v>8.0336104428100459</v>
      </c>
      <c r="H250">
        <f t="shared" ca="1" si="64"/>
        <v>314.98307114973255</v>
      </c>
      <c r="I250">
        <f t="shared" ca="1" si="65"/>
        <v>298.91585026411241</v>
      </c>
      <c r="J250">
        <f t="shared" ca="1" si="74"/>
        <v>318.43</v>
      </c>
      <c r="K250">
        <f t="shared" ca="1" si="75"/>
        <v>8.4604410734839846</v>
      </c>
      <c r="L250">
        <f t="shared" ca="1" si="76"/>
        <v>335.35088214696799</v>
      </c>
      <c r="M250">
        <f t="shared" ca="1" si="77"/>
        <v>301.50911785303202</v>
      </c>
      <c r="N250">
        <f t="shared" ca="1" si="66"/>
        <v>4.0000000000020464E-2</v>
      </c>
      <c r="O250">
        <f t="shared" ca="1" si="67"/>
        <v>4.0000000000020464E-2</v>
      </c>
      <c r="P250">
        <f t="shared" ca="1" si="68"/>
        <v>0</v>
      </c>
      <c r="Q250">
        <f t="shared" ca="1" si="72"/>
        <v>1.629645575115553</v>
      </c>
      <c r="R250">
        <f t="shared" ca="1" si="73"/>
        <v>0.93382455952271326</v>
      </c>
      <c r="S250">
        <f t="shared" ca="1" si="70"/>
        <v>1.7451303443427109</v>
      </c>
      <c r="T250">
        <f t="shared" ca="1" si="71"/>
        <v>63.571857268604916</v>
      </c>
      <c r="U250">
        <f>70</f>
        <v>70</v>
      </c>
      <c r="V250">
        <f>30</f>
        <v>30</v>
      </c>
      <c r="W250">
        <f t="shared" ca="1" si="69"/>
        <v>323.88111386217764</v>
      </c>
      <c r="X250">
        <f t="shared" ca="1" si="79"/>
        <v>318.82533308789613</v>
      </c>
      <c r="Y250">
        <f t="shared" ca="1" si="78"/>
        <v>5.0010756794886788</v>
      </c>
      <c r="Z250">
        <f t="shared" ca="1" si="80"/>
        <v>4.3288489209272631</v>
      </c>
      <c r="AA250">
        <f t="shared" ca="1" si="81"/>
        <v>0.67222675856141567</v>
      </c>
      <c r="AB250">
        <f t="shared" ca="1" si="82"/>
        <v>308.56089999999995</v>
      </c>
    </row>
    <row r="251" spans="1:28" x14ac:dyDescent="0.25">
      <c r="A251" s="21">
        <f t="shared" ca="1" si="62"/>
        <v>46069</v>
      </c>
      <c r="B251" vm="737">
        <f ca="1"/>
        <v>46071</v>
      </c>
      <c r="C251" vm="738">
        <f ca="1"/>
        <v>327.89</v>
      </c>
      <c r="D251" vm="739">
        <f ca="1"/>
        <v>3661833</v>
      </c>
      <c r="E251">
        <f t="shared" ca="1" si="63"/>
        <v>1200678422.3699999</v>
      </c>
      <c r="F251">
        <f ca="1">SUM($E$2:E251)/SUM($D$2:D251)</f>
        <v>307.03855741983062</v>
      </c>
      <c r="G251">
        <f ca="1">_xlfn.STDEV.P($C$2:C251)</f>
        <v>8.1215062350773319</v>
      </c>
      <c r="H251">
        <f t="shared" ca="1" si="64"/>
        <v>315.16006365490796</v>
      </c>
      <c r="I251">
        <f t="shared" ca="1" si="65"/>
        <v>298.91705118475329</v>
      </c>
      <c r="J251">
        <f t="shared" ca="1" si="74"/>
        <v>319.68250000000006</v>
      </c>
      <c r="K251">
        <f t="shared" ca="1" si="75"/>
        <v>7.8642113232569084</v>
      </c>
      <c r="L251">
        <f t="shared" ca="1" si="76"/>
        <v>335.41092264651388</v>
      </c>
      <c r="M251">
        <f t="shared" ca="1" si="77"/>
        <v>303.95407735348624</v>
      </c>
      <c r="N251">
        <f t="shared" ca="1" si="66"/>
        <v>0.26999999999998181</v>
      </c>
      <c r="O251">
        <f t="shared" ca="1" si="67"/>
        <v>0.26999999999998181</v>
      </c>
      <c r="P251">
        <f t="shared" ca="1" si="68"/>
        <v>0</v>
      </c>
      <c r="Q251">
        <f t="shared" ca="1" si="72"/>
        <v>1.5325280340358691</v>
      </c>
      <c r="R251">
        <f t="shared" ca="1" si="73"/>
        <v>0.86712280527109087</v>
      </c>
      <c r="S251">
        <f t="shared" ca="1" si="70"/>
        <v>1.7673713858289668</v>
      </c>
      <c r="T251">
        <f t="shared" ca="1" si="71"/>
        <v>63.864626008610344</v>
      </c>
      <c r="U251">
        <f>70</f>
        <v>70</v>
      </c>
      <c r="V251">
        <f>30</f>
        <v>30</v>
      </c>
      <c r="W251">
        <f t="shared" ca="1" si="69"/>
        <v>324.49786557568876</v>
      </c>
      <c r="X251">
        <f t="shared" ca="1" si="79"/>
        <v>319.49678989620008</v>
      </c>
      <c r="Y251">
        <f t="shared" ca="1" si="78"/>
        <v>4.8390010248277235</v>
      </c>
      <c r="Z251">
        <f t="shared" ca="1" si="80"/>
        <v>4.4308793417073558</v>
      </c>
      <c r="AA251">
        <f t="shared" ca="1" si="81"/>
        <v>0.40812168312036778</v>
      </c>
      <c r="AB251">
        <f t="shared" ca="1" si="82"/>
        <v>308.79649999999992</v>
      </c>
    </row>
    <row r="252" spans="1:28" x14ac:dyDescent="0.25">
      <c r="A252" s="21">
        <f t="shared" ca="1" si="62"/>
        <v>46069</v>
      </c>
      <c r="B252" vm="740">
        <f ca="1"/>
        <v>46072</v>
      </c>
      <c r="C252" vm="741">
        <f ca="1"/>
        <v>327.11</v>
      </c>
      <c r="D252" vm="742">
        <f ca="1"/>
        <v>4032263</v>
      </c>
      <c r="E252">
        <f t="shared" ca="1" si="63"/>
        <v>1318993549.9300001</v>
      </c>
      <c r="F252">
        <f ca="1">SUM($E$2:E252)/SUM($D$2:D252)</f>
        <v>307.13215674927466</v>
      </c>
      <c r="G252">
        <f ca="1">_xlfn.STDEV.P($C$2:C252)</f>
        <v>8.1993945884992527</v>
      </c>
      <c r="H252">
        <f t="shared" ca="1" si="64"/>
        <v>315.33155133777393</v>
      </c>
      <c r="I252">
        <f t="shared" ca="1" si="65"/>
        <v>298.93276216077538</v>
      </c>
      <c r="J252">
        <f t="shared" ca="1" si="74"/>
        <v>320.75349999999997</v>
      </c>
      <c r="K252">
        <f t="shared" ca="1" si="75"/>
        <v>7.2963850277849431</v>
      </c>
      <c r="L252">
        <f t="shared" ca="1" si="76"/>
        <v>335.34627005556985</v>
      </c>
      <c r="M252">
        <f t="shared" ca="1" si="77"/>
        <v>306.1607299444301</v>
      </c>
      <c r="N252">
        <f t="shared" ca="1" si="66"/>
        <v>-0.77999999999997272</v>
      </c>
      <c r="O252">
        <f t="shared" ca="1" si="67"/>
        <v>0</v>
      </c>
      <c r="P252">
        <f t="shared" ca="1" si="68"/>
        <v>0.77999999999997272</v>
      </c>
      <c r="Q252">
        <f t="shared" ca="1" si="72"/>
        <v>1.42306174589045</v>
      </c>
      <c r="R252">
        <f t="shared" ca="1" si="73"/>
        <v>0.86089974775172529</v>
      </c>
      <c r="S252">
        <f t="shared" ca="1" si="70"/>
        <v>1.6529935681905281</v>
      </c>
      <c r="T252">
        <f t="shared" ca="1" si="71"/>
        <v>62.306731083330547</v>
      </c>
      <c r="U252">
        <f>70</f>
        <v>70</v>
      </c>
      <c r="V252">
        <f>30</f>
        <v>30</v>
      </c>
      <c r="W252">
        <f t="shared" ca="1" si="69"/>
        <v>324.89973241019823</v>
      </c>
      <c r="X252">
        <f t="shared" ca="1" si="79"/>
        <v>320.0607313853705</v>
      </c>
      <c r="Y252" t="e">
        <f>#REF!-#REF!</f>
        <v>#REF!</v>
      </c>
      <c r="Z252" t="e">
        <f t="shared" ca="1" si="80"/>
        <v>#REF!</v>
      </c>
      <c r="AA252" t="e">
        <f t="shared" ca="1" si="81"/>
        <v>#REF!</v>
      </c>
      <c r="AB252">
        <f t="shared" ca="1" si="82"/>
        <v>309.0446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6DF5-E015-4031-B2C2-99B82A01DDED}">
  <dimension ref="A1:H61"/>
  <sheetViews>
    <sheetView topLeftCell="A3" workbookViewId="0">
      <selection activeCell="M8" sqref="M8:M9"/>
    </sheetView>
  </sheetViews>
  <sheetFormatPr defaultRowHeight="15" x14ac:dyDescent="0.25"/>
  <cols>
    <col min="1" max="1" width="10.42578125" bestFit="1" customWidth="1"/>
    <col min="2" max="2" width="10" bestFit="1" customWidth="1"/>
    <col min="3" max="3" width="13.5703125" bestFit="1" customWidth="1"/>
    <col min="4" max="4" width="15.5703125" bestFit="1" customWidth="1"/>
    <col min="5" max="5" width="15.7109375" bestFit="1" customWidth="1"/>
    <col min="7" max="7" width="15.5703125" bestFit="1" customWidth="1"/>
    <col min="8" max="8" width="15.7109375" bestFit="1" customWidth="1"/>
  </cols>
  <sheetData>
    <row r="1" spans="1:8" x14ac:dyDescent="0.25">
      <c r="A1" t="s">
        <v>45</v>
      </c>
      <c r="B1" t="s">
        <v>34</v>
      </c>
      <c r="C1" t="s">
        <v>49</v>
      </c>
      <c r="D1" t="s">
        <v>46</v>
      </c>
      <c r="E1" t="s">
        <v>5</v>
      </c>
      <c r="F1" t="s">
        <v>6</v>
      </c>
      <c r="G1" t="s">
        <v>50</v>
      </c>
      <c r="H1" t="s">
        <v>51</v>
      </c>
    </row>
    <row r="2" spans="1:8" x14ac:dyDescent="0.25">
      <c r="A2" s="12">
        <v>45705</v>
      </c>
      <c r="B2">
        <v>303.93</v>
      </c>
    </row>
    <row r="3" spans="1:8" x14ac:dyDescent="0.25">
      <c r="A3" s="12">
        <v>45712</v>
      </c>
      <c r="B3">
        <v>308.16800000000001</v>
      </c>
    </row>
    <row r="4" spans="1:8" x14ac:dyDescent="0.25">
      <c r="A4" s="12">
        <v>45719</v>
      </c>
      <c r="B4">
        <v>309.834</v>
      </c>
    </row>
    <row r="5" spans="1:8" x14ac:dyDescent="0.25">
      <c r="A5" s="12">
        <v>45726</v>
      </c>
      <c r="B5">
        <v>304.14799999999997</v>
      </c>
    </row>
    <row r="6" spans="1:8" x14ac:dyDescent="0.25">
      <c r="A6" s="12">
        <v>45733</v>
      </c>
      <c r="B6">
        <v>305.38600000000002</v>
      </c>
    </row>
    <row r="7" spans="1:8" x14ac:dyDescent="0.25">
      <c r="A7" s="12">
        <v>45740</v>
      </c>
      <c r="B7">
        <v>309.19</v>
      </c>
    </row>
    <row r="8" spans="1:8" x14ac:dyDescent="0.25">
      <c r="A8" s="12">
        <v>45747</v>
      </c>
      <c r="B8">
        <v>311.19200000000001</v>
      </c>
    </row>
    <row r="9" spans="1:8" x14ac:dyDescent="0.25">
      <c r="A9" s="12">
        <v>45754</v>
      </c>
      <c r="B9">
        <v>304.072</v>
      </c>
    </row>
    <row r="10" spans="1:8" x14ac:dyDescent="0.25">
      <c r="A10" s="12">
        <v>45761</v>
      </c>
      <c r="B10">
        <v>312.23750000000001</v>
      </c>
    </row>
    <row r="11" spans="1:8" x14ac:dyDescent="0.25">
      <c r="A11" s="12">
        <v>45768</v>
      </c>
      <c r="B11">
        <v>315.84800000000001</v>
      </c>
    </row>
    <row r="12" spans="1:8" x14ac:dyDescent="0.25">
      <c r="A12" s="12">
        <v>45775</v>
      </c>
      <c r="B12">
        <v>315.31200000000001</v>
      </c>
    </row>
    <row r="13" spans="1:8" x14ac:dyDescent="0.25">
      <c r="A13" s="12">
        <v>45782</v>
      </c>
      <c r="B13">
        <v>315.56200000000001</v>
      </c>
    </row>
    <row r="14" spans="1:8" x14ac:dyDescent="0.25">
      <c r="A14" s="12">
        <v>45789</v>
      </c>
      <c r="B14">
        <v>312.24</v>
      </c>
    </row>
    <row r="15" spans="1:8" x14ac:dyDescent="0.25">
      <c r="A15" s="12">
        <v>45796</v>
      </c>
      <c r="B15">
        <v>317.27</v>
      </c>
    </row>
    <row r="16" spans="1:8" x14ac:dyDescent="0.25">
      <c r="A16" s="12">
        <v>45803</v>
      </c>
      <c r="B16">
        <v>313.375</v>
      </c>
    </row>
    <row r="17" spans="1:2" x14ac:dyDescent="0.25">
      <c r="A17" s="12">
        <v>45810</v>
      </c>
      <c r="B17">
        <v>310.596</v>
      </c>
    </row>
    <row r="18" spans="1:2" x14ac:dyDescent="0.25">
      <c r="A18" s="12">
        <v>45817</v>
      </c>
      <c r="B18">
        <v>302.40000000000003</v>
      </c>
    </row>
    <row r="19" spans="1:2" x14ac:dyDescent="0.25">
      <c r="A19" s="12">
        <v>45824</v>
      </c>
      <c r="B19">
        <v>291.42250000000001</v>
      </c>
    </row>
    <row r="20" spans="1:2" x14ac:dyDescent="0.25">
      <c r="A20" s="12">
        <v>45831</v>
      </c>
      <c r="B20">
        <v>288.74400000000003</v>
      </c>
    </row>
    <row r="21" spans="1:2" x14ac:dyDescent="0.25">
      <c r="A21" s="12">
        <v>45838</v>
      </c>
      <c r="B21">
        <v>294.59249999999997</v>
      </c>
    </row>
    <row r="22" spans="1:2" x14ac:dyDescent="0.25">
      <c r="A22" s="12">
        <v>45845</v>
      </c>
      <c r="B22">
        <v>295.30399999999997</v>
      </c>
    </row>
    <row r="23" spans="1:2" x14ac:dyDescent="0.25">
      <c r="A23" s="12">
        <v>45852</v>
      </c>
      <c r="B23">
        <v>299.56799999999998</v>
      </c>
    </row>
    <row r="24" spans="1:2" x14ac:dyDescent="0.25">
      <c r="A24" s="12">
        <v>45859</v>
      </c>
      <c r="B24">
        <v>297.19600000000003</v>
      </c>
    </row>
    <row r="25" spans="1:2" x14ac:dyDescent="0.25">
      <c r="A25" s="12">
        <v>45866</v>
      </c>
      <c r="B25">
        <v>301.69200000000001</v>
      </c>
    </row>
    <row r="26" spans="1:2" x14ac:dyDescent="0.25">
      <c r="A26" s="12">
        <v>45873</v>
      </c>
      <c r="B26">
        <v>304.80400000000003</v>
      </c>
    </row>
    <row r="27" spans="1:2" x14ac:dyDescent="0.25">
      <c r="A27" s="12">
        <v>45880</v>
      </c>
      <c r="B27">
        <v>305.79000000000002</v>
      </c>
    </row>
    <row r="28" spans="1:2" x14ac:dyDescent="0.25">
      <c r="A28" s="12">
        <v>45887</v>
      </c>
      <c r="B28">
        <v>312</v>
      </c>
    </row>
    <row r="29" spans="1:2" x14ac:dyDescent="0.25">
      <c r="A29" s="12">
        <v>45894</v>
      </c>
      <c r="B29">
        <v>312.714</v>
      </c>
    </row>
    <row r="30" spans="1:2" x14ac:dyDescent="0.25">
      <c r="A30" s="12">
        <v>45901</v>
      </c>
      <c r="B30">
        <v>315.88</v>
      </c>
    </row>
    <row r="31" spans="1:2" x14ac:dyDescent="0.25">
      <c r="A31" s="12">
        <v>45908</v>
      </c>
      <c r="B31">
        <v>309.01799999999997</v>
      </c>
    </row>
    <row r="32" spans="1:2" x14ac:dyDescent="0.25">
      <c r="A32" s="12">
        <v>45915</v>
      </c>
      <c r="B32">
        <v>302.77</v>
      </c>
    </row>
    <row r="33" spans="1:2" x14ac:dyDescent="0.25">
      <c r="A33" s="12">
        <v>45922</v>
      </c>
      <c r="B33">
        <v>303.61</v>
      </c>
    </row>
    <row r="34" spans="1:2" x14ac:dyDescent="0.25">
      <c r="A34" s="12">
        <v>45929</v>
      </c>
      <c r="B34">
        <v>301.65199999999999</v>
      </c>
    </row>
    <row r="35" spans="1:2" x14ac:dyDescent="0.25">
      <c r="A35" s="12">
        <v>45936</v>
      </c>
      <c r="B35">
        <v>295.51600000000002</v>
      </c>
    </row>
    <row r="36" spans="1:2" x14ac:dyDescent="0.25">
      <c r="A36" s="12">
        <v>45943</v>
      </c>
      <c r="B36">
        <v>304.66800000000001</v>
      </c>
    </row>
    <row r="37" spans="1:2" x14ac:dyDescent="0.25">
      <c r="A37" s="12">
        <v>45950</v>
      </c>
      <c r="B37">
        <v>307.62400000000002</v>
      </c>
    </row>
    <row r="38" spans="1:2" x14ac:dyDescent="0.25">
      <c r="A38" s="12">
        <v>45957</v>
      </c>
      <c r="B38">
        <v>303.92200000000003</v>
      </c>
    </row>
    <row r="39" spans="1:2" x14ac:dyDescent="0.25">
      <c r="A39" s="12">
        <v>45964</v>
      </c>
      <c r="B39">
        <v>299.86400000000003</v>
      </c>
    </row>
    <row r="40" spans="1:2" x14ac:dyDescent="0.25">
      <c r="A40" s="12">
        <v>45971</v>
      </c>
      <c r="B40">
        <v>305.49599999999998</v>
      </c>
    </row>
    <row r="41" spans="1:2" x14ac:dyDescent="0.25">
      <c r="A41" s="12">
        <v>45978</v>
      </c>
      <c r="B41">
        <v>305.14800000000002</v>
      </c>
    </row>
    <row r="42" spans="1:2" x14ac:dyDescent="0.25">
      <c r="A42" s="12">
        <v>45985</v>
      </c>
      <c r="B42">
        <v>309.89249999999998</v>
      </c>
    </row>
    <row r="43" spans="1:2" x14ac:dyDescent="0.25">
      <c r="A43" s="12">
        <v>45992</v>
      </c>
      <c r="B43">
        <v>306.35399999999998</v>
      </c>
    </row>
    <row r="44" spans="1:2" x14ac:dyDescent="0.25">
      <c r="A44" s="12">
        <v>45999</v>
      </c>
      <c r="B44">
        <v>311.50799999999998</v>
      </c>
    </row>
    <row r="45" spans="1:2" x14ac:dyDescent="0.25">
      <c r="A45" s="12">
        <v>46006</v>
      </c>
      <c r="B45">
        <v>317.48199999999997</v>
      </c>
    </row>
    <row r="46" spans="1:2" x14ac:dyDescent="0.25">
      <c r="A46" s="12">
        <v>46013</v>
      </c>
      <c r="B46">
        <v>312.76749999999998</v>
      </c>
    </row>
    <row r="47" spans="1:2" x14ac:dyDescent="0.25">
      <c r="A47" s="12">
        <v>46020</v>
      </c>
      <c r="B47">
        <v>306.36249999999995</v>
      </c>
    </row>
    <row r="48" spans="1:2" x14ac:dyDescent="0.25">
      <c r="A48" s="12">
        <v>46027</v>
      </c>
      <c r="B48">
        <v>304.59800000000001</v>
      </c>
    </row>
    <row r="49" spans="1:8" x14ac:dyDescent="0.25">
      <c r="A49" s="12">
        <v>46034</v>
      </c>
      <c r="B49">
        <v>308.07400000000001</v>
      </c>
    </row>
    <row r="50" spans="1:8" x14ac:dyDescent="0.25">
      <c r="A50" s="12">
        <v>46041</v>
      </c>
      <c r="B50">
        <v>305.95249999999999</v>
      </c>
    </row>
    <row r="51" spans="1:8" x14ac:dyDescent="0.25">
      <c r="A51" s="12">
        <v>46048</v>
      </c>
      <c r="B51">
        <v>314.07799999999997</v>
      </c>
    </row>
    <row r="52" spans="1:8" x14ac:dyDescent="0.25">
      <c r="A52" s="12">
        <v>46055</v>
      </c>
      <c r="B52">
        <v>322.46800000000002</v>
      </c>
    </row>
    <row r="53" spans="1:8" x14ac:dyDescent="0.25">
      <c r="A53" s="12">
        <v>46062</v>
      </c>
      <c r="B53">
        <v>326.88799999999998</v>
      </c>
    </row>
    <row r="54" spans="1:8" ht="15.75" thickBot="1" x14ac:dyDescent="0.3">
      <c r="A54" s="12">
        <v>46069</v>
      </c>
      <c r="B54">
        <v>327.54000000000002</v>
      </c>
    </row>
    <row r="55" spans="1:8" ht="15.75" thickBot="1" x14ac:dyDescent="0.3">
      <c r="A55" s="12">
        <v>46076</v>
      </c>
      <c r="C55">
        <f>_xlfn.FORECAST.ETS(Forecast[[#This Row],[Week]],B2:B54,A2:A54,1,1,1)</f>
        <v>317.16587386470667</v>
      </c>
      <c r="D55">
        <f>_xlfn.FORECAST.ETS.CONFINT(Forecast[[#This Row],[Week]],B2:B54,A2:A54,0.95,1,1,1)</f>
        <v>10.231616195099081</v>
      </c>
      <c r="E55">
        <f>Forecast[[#This Row],[XL Forecast]]-Forecast[[#This Row],[CI/PI]]</f>
        <v>306.93425766960758</v>
      </c>
      <c r="F55">
        <f>Forecast[[#This Row],[XL Forecast]]+Forecast[[#This Row],[CI/PI]]</f>
        <v>327.39749005980576</v>
      </c>
      <c r="G55">
        <v>337.15053651647099</v>
      </c>
      <c r="H55" s="29">
        <v>324.02833399999997</v>
      </c>
    </row>
    <row r="56" spans="1:8" ht="15.75" thickBot="1" x14ac:dyDescent="0.3">
      <c r="A56" s="12">
        <v>46083</v>
      </c>
      <c r="C56">
        <f>_xlfn.FORECAST.ETS(Forecast[[#This Row],[Week]],B3:B55,A3:A55,1,1,1)</f>
        <v>308.54332672664862</v>
      </c>
      <c r="D56">
        <f>_xlfn.FORECAST.ETS.CONFINT(Forecast[[#This Row],[Week]],B3:B55,A3:A55,0.95,1,1,1)</f>
        <v>14.852364241493612</v>
      </c>
      <c r="E56">
        <f>Forecast[[#This Row],[XL Forecast]]-Forecast[[#This Row],[CI/PI]]</f>
        <v>293.69096248515501</v>
      </c>
      <c r="F56">
        <f>Forecast[[#This Row],[XL Forecast]]+Forecast[[#This Row],[CI/PI]]</f>
        <v>323.39569096814222</v>
      </c>
      <c r="G56">
        <v>344.56801348024499</v>
      </c>
      <c r="H56" s="30">
        <v>321.640784</v>
      </c>
    </row>
    <row r="57" spans="1:8" ht="15.75" thickBot="1" x14ac:dyDescent="0.3">
      <c r="A57" s="12">
        <v>46090</v>
      </c>
      <c r="C57">
        <f>_xlfn.FORECAST.ETS(Forecast[[#This Row],[Week]],B4:B56,A4:A56,1,1,1)</f>
        <v>314.9286607400694</v>
      </c>
      <c r="D57">
        <f>_xlfn.FORECAST.ETS.CONFINT(Forecast[[#This Row],[Week]],B4:B56,A4:A56,0.95,1,1,1)</f>
        <v>14.794637675841944</v>
      </c>
      <c r="E57">
        <f>Forecast[[#This Row],[XL Forecast]]-Forecast[[#This Row],[CI/PI]]</f>
        <v>300.13402306422745</v>
      </c>
      <c r="F57">
        <f>Forecast[[#This Row],[XL Forecast]]+Forecast[[#This Row],[CI/PI]]</f>
        <v>329.72329841591136</v>
      </c>
      <c r="G57">
        <v>350.85055665835102</v>
      </c>
      <c r="H57" s="29">
        <v>320.85024800000002</v>
      </c>
    </row>
    <row r="58" spans="1:8" ht="15.75" thickBot="1" x14ac:dyDescent="0.3">
      <c r="A58" s="12">
        <v>46097</v>
      </c>
      <c r="C58">
        <f>_xlfn.FORECAST.ETS(Forecast[[#This Row],[Week]],B5:B57,A5:A57,1,1,1)</f>
        <v>331.29230575353495</v>
      </c>
      <c r="D58">
        <f>_xlfn.FORECAST.ETS.CONFINT(Forecast[[#This Row],[Week]],B5:B57,A5:A57,0.95,1,1,1)</f>
        <v>17.978954159105985</v>
      </c>
      <c r="E58">
        <f>Forecast[[#This Row],[XL Forecast]]-Forecast[[#This Row],[CI/PI]]</f>
        <v>313.31335159442898</v>
      </c>
      <c r="F58">
        <f>Forecast[[#This Row],[XL Forecast]]+Forecast[[#This Row],[CI/PI]]</f>
        <v>349.27125991264091</v>
      </c>
      <c r="G58">
        <v>355.43409663188697</v>
      </c>
      <c r="H58" s="30">
        <v>322.43558999999999</v>
      </c>
    </row>
    <row r="59" spans="1:8" ht="15.75" thickBot="1" x14ac:dyDescent="0.3">
      <c r="A59" s="12">
        <v>46104</v>
      </c>
      <c r="C59">
        <f>_xlfn.FORECAST.ETS(Forecast[[#This Row],[Week]],B6:B58,A6:A58,1,1,1)</f>
        <v>322.70794771814673</v>
      </c>
      <c r="D59">
        <f>_xlfn.FORECAST.ETS.CONFINT(Forecast[[#This Row],[Week]],B6:B58,A6:A58,0.95,1,1,1)</f>
        <v>14.410513729795749</v>
      </c>
      <c r="E59">
        <f>Forecast[[#This Row],[XL Forecast]]-Forecast[[#This Row],[CI/PI]]</f>
        <v>308.29743398835097</v>
      </c>
      <c r="F59">
        <f>Forecast[[#This Row],[XL Forecast]]+Forecast[[#This Row],[CI/PI]]</f>
        <v>337.11846144794248</v>
      </c>
      <c r="G59">
        <v>359.07828572812502</v>
      </c>
      <c r="H59" s="29">
        <v>328.478138</v>
      </c>
    </row>
    <row r="60" spans="1:8" ht="15.75" thickBot="1" x14ac:dyDescent="0.3">
      <c r="A60" s="12">
        <v>46111</v>
      </c>
      <c r="C60">
        <f>_xlfn.FORECAST.ETS(Forecast[[#This Row],[Week]],B7:B59,A7:A59,1,1,1)</f>
        <v>344.41762674825691</v>
      </c>
      <c r="D60">
        <f>_xlfn.FORECAST.ETS.CONFINT(Forecast[[#This Row],[Week]],B7:B59,A7:A59,0.95,1,1,1)</f>
        <v>23.386394549744555</v>
      </c>
      <c r="E60">
        <f>Forecast[[#This Row],[XL Forecast]]-Forecast[[#This Row],[CI/PI]]</f>
        <v>321.03123219851233</v>
      </c>
      <c r="F60">
        <f>Forecast[[#This Row],[XL Forecast]]+Forecast[[#This Row],[CI/PI]]</f>
        <v>367.80402129800149</v>
      </c>
      <c r="G60">
        <v>366.697742591637</v>
      </c>
      <c r="H60" s="30">
        <v>328.87377300000003</v>
      </c>
    </row>
    <row r="61" spans="1:8" ht="15.75" thickBot="1" x14ac:dyDescent="0.3">
      <c r="A61" s="12">
        <v>46118</v>
      </c>
      <c r="C61">
        <f>_xlfn.FORECAST.ETS(Forecast[[#This Row],[Week]],B8:B60,A8:A60,1,1,1)</f>
        <v>334.6065340747611</v>
      </c>
      <c r="D61">
        <f>_xlfn.FORECAST.ETS.CONFINT(Forecast[[#This Row],[Week]],B8:B60,A8:A60,0.95,1,1,1)</f>
        <v>14.827114084251644</v>
      </c>
      <c r="E61">
        <f>Forecast[[#This Row],[XL Forecast]]-Forecast[[#This Row],[CI/PI]]</f>
        <v>319.77941999050944</v>
      </c>
      <c r="F61">
        <f>Forecast[[#This Row],[XL Forecast]]+Forecast[[#This Row],[CI/PI]]</f>
        <v>349.43364815901276</v>
      </c>
      <c r="G61">
        <v>365.43092570415303</v>
      </c>
      <c r="H61" s="29">
        <v>331.03150599999998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3E22-B0D4-458D-83F0-0AE87F69690D}">
  <dimension ref="A1:D252"/>
  <sheetViews>
    <sheetView workbookViewId="0">
      <selection sqref="A1:B252"/>
    </sheetView>
  </sheetViews>
  <sheetFormatPr defaultRowHeight="15" x14ac:dyDescent="0.25"/>
  <cols>
    <col min="1" max="1" width="13.140625" style="21" customWidth="1"/>
    <col min="2" max="2" width="10.5703125" bestFit="1" customWidth="1"/>
    <col min="4" max="4" width="10.42578125" style="21" bestFit="1" customWidth="1"/>
  </cols>
  <sheetData>
    <row r="1" spans="1:2" x14ac:dyDescent="0.25">
      <c r="A1" s="20" t="s">
        <v>45</v>
      </c>
      <c r="B1" s="4" t="s">
        <v>43</v>
      </c>
    </row>
    <row r="2" spans="1:2" x14ac:dyDescent="0.25">
      <c r="A2" s="21">
        <v>45705</v>
      </c>
      <c r="B2" vm="2">
        <v>303.05</v>
      </c>
    </row>
    <row r="3" spans="1:2" x14ac:dyDescent="0.25">
      <c r="A3" s="21">
        <v>45705</v>
      </c>
      <c r="B3" vm="5">
        <v>304.81</v>
      </c>
    </row>
    <row r="4" spans="1:2" x14ac:dyDescent="0.25">
      <c r="A4" s="21">
        <v>45712</v>
      </c>
      <c r="B4" vm="8">
        <v>307.57</v>
      </c>
    </row>
    <row r="5" spans="1:2" x14ac:dyDescent="0.25">
      <c r="A5" s="21">
        <v>45712</v>
      </c>
      <c r="B5" vm="11">
        <v>310.72000000000003</v>
      </c>
    </row>
    <row r="6" spans="1:2" x14ac:dyDescent="0.25">
      <c r="A6" s="21">
        <v>45712</v>
      </c>
      <c r="B6" vm="14">
        <v>304.27</v>
      </c>
    </row>
    <row r="7" spans="1:2" x14ac:dyDescent="0.25">
      <c r="A7" s="21">
        <v>45712</v>
      </c>
      <c r="B7" vm="17">
        <v>309.95</v>
      </c>
    </row>
    <row r="8" spans="1:2" x14ac:dyDescent="0.25">
      <c r="A8" s="21">
        <v>45712</v>
      </c>
      <c r="B8" vm="20">
        <v>308.33</v>
      </c>
    </row>
    <row r="9" spans="1:2" x14ac:dyDescent="0.25">
      <c r="A9" s="21">
        <v>45719</v>
      </c>
      <c r="B9" vm="23">
        <v>304.29000000000002</v>
      </c>
    </row>
    <row r="10" spans="1:2" x14ac:dyDescent="0.25">
      <c r="A10" s="21">
        <v>45719</v>
      </c>
      <c r="B10" vm="26">
        <v>305.77</v>
      </c>
    </row>
    <row r="11" spans="1:2" x14ac:dyDescent="0.25">
      <c r="A11" s="21">
        <v>45719</v>
      </c>
      <c r="B11" vm="29">
        <v>307.45</v>
      </c>
    </row>
    <row r="12" spans="1:2" x14ac:dyDescent="0.25">
      <c r="A12" s="21">
        <v>45719</v>
      </c>
      <c r="B12" vm="32">
        <v>310.37</v>
      </c>
    </row>
    <row r="13" spans="1:2" x14ac:dyDescent="0.25">
      <c r="A13" s="21">
        <v>45719</v>
      </c>
      <c r="B13" vm="35">
        <v>321.29000000000002</v>
      </c>
    </row>
    <row r="14" spans="1:2" x14ac:dyDescent="0.25">
      <c r="A14" s="21">
        <v>45726</v>
      </c>
      <c r="B14" vm="38">
        <v>317.25</v>
      </c>
    </row>
    <row r="15" spans="1:2" x14ac:dyDescent="0.25">
      <c r="A15" s="21">
        <v>45726</v>
      </c>
      <c r="B15" vm="41">
        <v>306.76</v>
      </c>
    </row>
    <row r="16" spans="1:2" x14ac:dyDescent="0.25">
      <c r="A16" s="21">
        <v>45726</v>
      </c>
      <c r="B16" vm="44">
        <v>299.39999999999998</v>
      </c>
    </row>
    <row r="17" spans="1:2" x14ac:dyDescent="0.25">
      <c r="A17" s="21">
        <v>45726</v>
      </c>
      <c r="B17" vm="47">
        <v>297.5</v>
      </c>
    </row>
    <row r="18" spans="1:2" x14ac:dyDescent="0.25">
      <c r="A18" s="21">
        <v>45726</v>
      </c>
      <c r="B18" vm="50">
        <v>299.83</v>
      </c>
    </row>
    <row r="19" spans="1:2" x14ac:dyDescent="0.25">
      <c r="A19" s="21">
        <v>45733</v>
      </c>
      <c r="B19" vm="53">
        <v>303.97000000000003</v>
      </c>
    </row>
    <row r="20" spans="1:2" x14ac:dyDescent="0.25">
      <c r="A20" s="21">
        <v>45733</v>
      </c>
      <c r="B20" vm="56">
        <v>303.60000000000002</v>
      </c>
    </row>
    <row r="21" spans="1:2" x14ac:dyDescent="0.25">
      <c r="A21" s="21">
        <v>45733</v>
      </c>
      <c r="B21" vm="59">
        <v>306.92</v>
      </c>
    </row>
    <row r="22" spans="1:2" x14ac:dyDescent="0.25">
      <c r="A22" s="21">
        <v>45733</v>
      </c>
      <c r="B22" vm="62">
        <v>307</v>
      </c>
    </row>
    <row r="23" spans="1:2" x14ac:dyDescent="0.25">
      <c r="A23" s="21">
        <v>45733</v>
      </c>
      <c r="B23" vm="65">
        <v>305.44</v>
      </c>
    </row>
    <row r="24" spans="1:2" x14ac:dyDescent="0.25">
      <c r="A24" s="21">
        <v>45740</v>
      </c>
      <c r="B24" vm="68">
        <v>305.67</v>
      </c>
    </row>
    <row r="25" spans="1:2" x14ac:dyDescent="0.25">
      <c r="A25" s="21">
        <v>45740</v>
      </c>
      <c r="B25" vm="59">
        <v>306.92</v>
      </c>
    </row>
    <row r="26" spans="1:2" x14ac:dyDescent="0.25">
      <c r="A26" s="21">
        <v>45740</v>
      </c>
      <c r="B26" vm="73">
        <v>313.58</v>
      </c>
    </row>
    <row r="27" spans="1:2" x14ac:dyDescent="0.25">
      <c r="A27" s="21">
        <v>45740</v>
      </c>
      <c r="B27" vm="76">
        <v>312.69</v>
      </c>
    </row>
    <row r="28" spans="1:2" x14ac:dyDescent="0.25">
      <c r="A28" s="21">
        <v>45740</v>
      </c>
      <c r="B28" vm="79">
        <v>307.08999999999997</v>
      </c>
    </row>
    <row r="29" spans="1:2" x14ac:dyDescent="0.25">
      <c r="A29" s="21">
        <v>45747</v>
      </c>
      <c r="B29" vm="82">
        <v>312.37</v>
      </c>
    </row>
    <row r="30" spans="1:2" x14ac:dyDescent="0.25">
      <c r="A30" s="21">
        <v>45747</v>
      </c>
      <c r="B30" vm="85">
        <v>313.63</v>
      </c>
    </row>
    <row r="31" spans="1:2" x14ac:dyDescent="0.25">
      <c r="A31" s="21">
        <v>45747</v>
      </c>
      <c r="B31" vm="88">
        <v>311.58</v>
      </c>
    </row>
    <row r="32" spans="1:2" x14ac:dyDescent="0.25">
      <c r="A32" s="21">
        <v>45747</v>
      </c>
      <c r="B32" vm="91">
        <v>318.27</v>
      </c>
    </row>
    <row r="33" spans="1:2" x14ac:dyDescent="0.25">
      <c r="A33" s="21">
        <v>45747</v>
      </c>
      <c r="B33" vm="94">
        <v>300.11</v>
      </c>
    </row>
    <row r="34" spans="1:2" x14ac:dyDescent="0.25">
      <c r="A34" s="21">
        <v>45754</v>
      </c>
      <c r="B34" vm="97">
        <v>299.89</v>
      </c>
    </row>
    <row r="35" spans="1:2" x14ac:dyDescent="0.25">
      <c r="A35" s="21">
        <v>45754</v>
      </c>
      <c r="B35" vm="50">
        <v>299.83</v>
      </c>
    </row>
    <row r="36" spans="1:2" x14ac:dyDescent="0.25">
      <c r="A36" s="21">
        <v>45754</v>
      </c>
      <c r="B36" vm="102">
        <v>303.95999999999998</v>
      </c>
    </row>
    <row r="37" spans="1:2" x14ac:dyDescent="0.25">
      <c r="A37" s="21">
        <v>45754</v>
      </c>
      <c r="B37" vm="105">
        <v>306.77999999999997</v>
      </c>
    </row>
    <row r="38" spans="1:2" x14ac:dyDescent="0.25">
      <c r="A38" s="21">
        <v>45754</v>
      </c>
      <c r="B38" vm="108">
        <v>309.89999999999998</v>
      </c>
    </row>
    <row r="39" spans="1:2" x14ac:dyDescent="0.25">
      <c r="A39" s="21">
        <v>45761</v>
      </c>
      <c r="B39" vm="111">
        <v>316.07</v>
      </c>
    </row>
    <row r="40" spans="1:2" x14ac:dyDescent="0.25">
      <c r="A40" s="21">
        <v>45761</v>
      </c>
      <c r="B40" vm="114">
        <v>312.48</v>
      </c>
    </row>
    <row r="41" spans="1:2" x14ac:dyDescent="0.25">
      <c r="A41" s="21">
        <v>45761</v>
      </c>
      <c r="B41" vm="117">
        <v>309.10000000000002</v>
      </c>
    </row>
    <row r="42" spans="1:2" x14ac:dyDescent="0.25">
      <c r="A42" s="21">
        <v>45761</v>
      </c>
      <c r="B42" vm="120">
        <v>311.3</v>
      </c>
    </row>
    <row r="43" spans="1:2" x14ac:dyDescent="0.25">
      <c r="A43" s="21">
        <v>45768</v>
      </c>
      <c r="B43" vm="123">
        <v>308.72000000000003</v>
      </c>
    </row>
    <row r="44" spans="1:2" x14ac:dyDescent="0.25">
      <c r="A44" s="21">
        <v>45768</v>
      </c>
      <c r="B44" vm="126">
        <v>319.08</v>
      </c>
    </row>
    <row r="45" spans="1:2" x14ac:dyDescent="0.25">
      <c r="A45" s="21">
        <v>45768</v>
      </c>
      <c r="B45" vm="129">
        <v>318.48</v>
      </c>
    </row>
    <row r="46" spans="1:2" x14ac:dyDescent="0.25">
      <c r="A46" s="21">
        <v>45768</v>
      </c>
      <c r="B46" vm="132">
        <v>316.22000000000003</v>
      </c>
    </row>
    <row r="47" spans="1:2" x14ac:dyDescent="0.25">
      <c r="A47" s="21">
        <v>45768</v>
      </c>
      <c r="B47" vm="135">
        <v>316.74</v>
      </c>
    </row>
    <row r="48" spans="1:2" x14ac:dyDescent="0.25">
      <c r="A48" s="21">
        <v>45775</v>
      </c>
      <c r="B48" vm="138">
        <v>316.81</v>
      </c>
    </row>
    <row r="49" spans="1:2" x14ac:dyDescent="0.25">
      <c r="A49" s="21">
        <v>45775</v>
      </c>
      <c r="B49" vm="141">
        <v>314.5</v>
      </c>
    </row>
    <row r="50" spans="1:2" x14ac:dyDescent="0.25">
      <c r="A50" s="21">
        <v>45775</v>
      </c>
      <c r="B50" vm="144">
        <v>319.64999999999998</v>
      </c>
    </row>
    <row r="51" spans="1:2" x14ac:dyDescent="0.25">
      <c r="A51" s="21">
        <v>45775</v>
      </c>
      <c r="B51" vm="147">
        <v>313.64</v>
      </c>
    </row>
    <row r="52" spans="1:2" x14ac:dyDescent="0.25">
      <c r="A52" s="21">
        <v>45775</v>
      </c>
      <c r="B52" vm="150">
        <v>311.95999999999998</v>
      </c>
    </row>
    <row r="53" spans="1:2" x14ac:dyDescent="0.25">
      <c r="A53" s="21">
        <v>45782</v>
      </c>
      <c r="B53" vm="153">
        <v>315.72000000000003</v>
      </c>
    </row>
    <row r="54" spans="1:2" x14ac:dyDescent="0.25">
      <c r="A54" s="21">
        <v>45782</v>
      </c>
      <c r="B54" vm="156">
        <v>316.79000000000002</v>
      </c>
    </row>
    <row r="55" spans="1:2" x14ac:dyDescent="0.25">
      <c r="A55" s="21">
        <v>45782</v>
      </c>
      <c r="B55" vm="159">
        <v>318.13</v>
      </c>
    </row>
    <row r="56" spans="1:2" x14ac:dyDescent="0.25">
      <c r="A56" s="21">
        <v>45782</v>
      </c>
      <c r="B56" vm="162">
        <v>313.49</v>
      </c>
    </row>
    <row r="57" spans="1:2" x14ac:dyDescent="0.25">
      <c r="A57" s="21">
        <v>45782</v>
      </c>
      <c r="B57" vm="165">
        <v>313.68</v>
      </c>
    </row>
    <row r="58" spans="1:2" x14ac:dyDescent="0.25">
      <c r="A58" s="21">
        <v>45789</v>
      </c>
      <c r="B58" vm="168">
        <v>311.92</v>
      </c>
    </row>
    <row r="59" spans="1:2" x14ac:dyDescent="0.25">
      <c r="A59" s="21">
        <v>45789</v>
      </c>
      <c r="B59" vm="171">
        <v>308.69</v>
      </c>
    </row>
    <row r="60" spans="1:2" x14ac:dyDescent="0.25">
      <c r="A60" s="21">
        <v>45789</v>
      </c>
      <c r="B60" vm="174">
        <v>307.5</v>
      </c>
    </row>
    <row r="61" spans="1:2" x14ac:dyDescent="0.25">
      <c r="A61" s="21">
        <v>45789</v>
      </c>
      <c r="B61" vm="177">
        <v>314.48</v>
      </c>
    </row>
    <row r="62" spans="1:2" x14ac:dyDescent="0.25">
      <c r="A62" s="21">
        <v>45789</v>
      </c>
      <c r="B62" vm="180">
        <v>318.61</v>
      </c>
    </row>
    <row r="63" spans="1:2" x14ac:dyDescent="0.25">
      <c r="A63" s="21">
        <v>45796</v>
      </c>
      <c r="B63" vm="183">
        <v>321.23</v>
      </c>
    </row>
    <row r="64" spans="1:2" x14ac:dyDescent="0.25">
      <c r="A64" s="21">
        <v>45796</v>
      </c>
      <c r="B64" vm="186">
        <v>319.8</v>
      </c>
    </row>
    <row r="65" spans="1:2" x14ac:dyDescent="0.25">
      <c r="A65" s="21">
        <v>45796</v>
      </c>
      <c r="B65" vm="189">
        <v>316.44</v>
      </c>
    </row>
    <row r="66" spans="1:2" x14ac:dyDescent="0.25">
      <c r="A66" s="21">
        <v>45796</v>
      </c>
      <c r="B66" vm="192">
        <v>314.31</v>
      </c>
    </row>
    <row r="67" spans="1:2" x14ac:dyDescent="0.25">
      <c r="A67" s="21">
        <v>45796</v>
      </c>
      <c r="B67" vm="195">
        <v>314.57</v>
      </c>
    </row>
    <row r="68" spans="1:2" x14ac:dyDescent="0.25">
      <c r="A68" s="21">
        <v>45803</v>
      </c>
      <c r="B68" vm="198">
        <v>314.95</v>
      </c>
    </row>
    <row r="69" spans="1:2" x14ac:dyDescent="0.25">
      <c r="A69" s="21">
        <v>45803</v>
      </c>
      <c r="B69" vm="201">
        <v>312.83999999999997</v>
      </c>
    </row>
    <row r="70" spans="1:2" x14ac:dyDescent="0.25">
      <c r="A70" s="21">
        <v>45803</v>
      </c>
      <c r="B70" vm="204">
        <v>311.86</v>
      </c>
    </row>
    <row r="71" spans="1:2" x14ac:dyDescent="0.25">
      <c r="A71" s="21">
        <v>45803</v>
      </c>
      <c r="B71" vm="207">
        <v>313.85000000000002</v>
      </c>
    </row>
    <row r="72" spans="1:2" x14ac:dyDescent="0.25">
      <c r="A72" s="21">
        <v>45810</v>
      </c>
      <c r="B72" vm="210">
        <v>312.68</v>
      </c>
    </row>
    <row r="73" spans="1:2" x14ac:dyDescent="0.25">
      <c r="A73" s="21">
        <v>45810</v>
      </c>
      <c r="B73" vm="213">
        <v>312.39</v>
      </c>
    </row>
    <row r="74" spans="1:2" x14ac:dyDescent="0.25">
      <c r="A74" s="21">
        <v>45810</v>
      </c>
      <c r="B74" vm="216">
        <v>311.57</v>
      </c>
    </row>
    <row r="75" spans="1:2" x14ac:dyDescent="0.25">
      <c r="A75" s="21">
        <v>45810</v>
      </c>
      <c r="B75" vm="219">
        <v>308.98</v>
      </c>
    </row>
    <row r="76" spans="1:2" x14ac:dyDescent="0.25">
      <c r="A76" s="21">
        <v>45810</v>
      </c>
      <c r="B76" vm="222">
        <v>307.36</v>
      </c>
    </row>
    <row r="77" spans="1:2" x14ac:dyDescent="0.25">
      <c r="A77" s="21">
        <v>45817</v>
      </c>
      <c r="B77" vm="225">
        <v>304.77999999999997</v>
      </c>
    </row>
    <row r="78" spans="1:2" x14ac:dyDescent="0.25">
      <c r="A78" s="21">
        <v>45817</v>
      </c>
      <c r="B78" vm="228">
        <v>300.43</v>
      </c>
    </row>
    <row r="79" spans="1:2" x14ac:dyDescent="0.25">
      <c r="A79" s="21">
        <v>45817</v>
      </c>
      <c r="B79" vm="231">
        <v>301.72000000000003</v>
      </c>
    </row>
    <row r="80" spans="1:2" x14ac:dyDescent="0.25">
      <c r="A80" s="21">
        <v>45817</v>
      </c>
      <c r="B80" vm="234">
        <v>303.16000000000003</v>
      </c>
    </row>
    <row r="81" spans="1:2" x14ac:dyDescent="0.25">
      <c r="A81" s="21">
        <v>45817</v>
      </c>
      <c r="B81" vm="237">
        <v>301.91000000000003</v>
      </c>
    </row>
    <row r="82" spans="1:2" x14ac:dyDescent="0.25">
      <c r="A82" s="21">
        <v>45824</v>
      </c>
      <c r="B82" vm="240">
        <v>296.29000000000002</v>
      </c>
    </row>
    <row r="83" spans="1:2" x14ac:dyDescent="0.25">
      <c r="A83" s="21">
        <v>45824</v>
      </c>
      <c r="B83" vm="243">
        <v>292.31</v>
      </c>
    </row>
    <row r="84" spans="1:2" x14ac:dyDescent="0.25">
      <c r="A84" s="21">
        <v>45824</v>
      </c>
      <c r="B84" vm="246">
        <v>289.63</v>
      </c>
    </row>
    <row r="85" spans="1:2" x14ac:dyDescent="0.25">
      <c r="A85" s="21">
        <v>45824</v>
      </c>
      <c r="B85" vm="249">
        <v>287.45999999999998</v>
      </c>
    </row>
    <row r="86" spans="1:2" x14ac:dyDescent="0.25">
      <c r="A86" s="21">
        <v>45831</v>
      </c>
      <c r="B86" vm="252">
        <v>289.52</v>
      </c>
    </row>
    <row r="87" spans="1:2" x14ac:dyDescent="0.25">
      <c r="A87" s="21">
        <v>45831</v>
      </c>
      <c r="B87" vm="255">
        <v>291.47000000000003</v>
      </c>
    </row>
    <row r="88" spans="1:2" x14ac:dyDescent="0.25">
      <c r="A88" s="21">
        <v>45831</v>
      </c>
      <c r="B88" vm="258">
        <v>285.55</v>
      </c>
    </row>
    <row r="89" spans="1:2" x14ac:dyDescent="0.25">
      <c r="A89" s="21">
        <v>45831</v>
      </c>
      <c r="B89" vm="261">
        <v>285.63</v>
      </c>
    </row>
    <row r="90" spans="1:2" x14ac:dyDescent="0.25">
      <c r="A90" s="21">
        <v>45831</v>
      </c>
      <c r="B90" vm="264">
        <v>291.55</v>
      </c>
    </row>
    <row r="91" spans="1:2" x14ac:dyDescent="0.25">
      <c r="A91" s="21">
        <v>45838</v>
      </c>
      <c r="B91" vm="267">
        <v>292.17</v>
      </c>
    </row>
    <row r="92" spans="1:2" x14ac:dyDescent="0.25">
      <c r="A92" s="21">
        <v>45838</v>
      </c>
      <c r="B92" vm="270">
        <v>297.49</v>
      </c>
    </row>
    <row r="93" spans="1:2" x14ac:dyDescent="0.25">
      <c r="A93" s="21">
        <v>45838</v>
      </c>
      <c r="B93" vm="273">
        <v>294.63</v>
      </c>
    </row>
    <row r="94" spans="1:2" x14ac:dyDescent="0.25">
      <c r="A94" s="21">
        <v>45838</v>
      </c>
      <c r="B94" vm="276">
        <v>294.08</v>
      </c>
    </row>
    <row r="95" spans="1:2" x14ac:dyDescent="0.25">
      <c r="A95" s="21">
        <v>45845</v>
      </c>
      <c r="B95" vm="279">
        <v>293.52999999999997</v>
      </c>
    </row>
    <row r="96" spans="1:2" x14ac:dyDescent="0.25">
      <c r="A96" s="21">
        <v>45845</v>
      </c>
      <c r="B96" vm="282">
        <v>291.67</v>
      </c>
    </row>
    <row r="97" spans="1:2" x14ac:dyDescent="0.25">
      <c r="A97" s="21">
        <v>45845</v>
      </c>
      <c r="B97" vm="285">
        <v>293.02</v>
      </c>
    </row>
    <row r="98" spans="1:2" x14ac:dyDescent="0.25">
      <c r="A98" s="21">
        <v>45845</v>
      </c>
      <c r="B98" vm="288">
        <v>298.39</v>
      </c>
    </row>
    <row r="99" spans="1:2" x14ac:dyDescent="0.25">
      <c r="A99" s="21">
        <v>45845</v>
      </c>
      <c r="B99" vm="291">
        <v>299.91000000000003</v>
      </c>
    </row>
    <row r="100" spans="1:2" x14ac:dyDescent="0.25">
      <c r="A100" s="21">
        <v>45852</v>
      </c>
      <c r="B100" vm="294">
        <v>301.88</v>
      </c>
    </row>
    <row r="101" spans="1:2" x14ac:dyDescent="0.25">
      <c r="A101" s="21">
        <v>45852</v>
      </c>
      <c r="B101" vm="297">
        <v>299.62</v>
      </c>
    </row>
    <row r="102" spans="1:2" x14ac:dyDescent="0.25">
      <c r="A102" s="21">
        <v>45852</v>
      </c>
      <c r="B102" vm="300">
        <v>298.89999999999998</v>
      </c>
    </row>
    <row r="103" spans="1:2" x14ac:dyDescent="0.25">
      <c r="A103" s="21">
        <v>45852</v>
      </c>
      <c r="B103" vm="303">
        <v>300.37</v>
      </c>
    </row>
    <row r="104" spans="1:2" x14ac:dyDescent="0.25">
      <c r="A104" s="21">
        <v>45852</v>
      </c>
      <c r="B104" vm="306">
        <v>297.07</v>
      </c>
    </row>
    <row r="105" spans="1:2" x14ac:dyDescent="0.25">
      <c r="A105" s="21">
        <v>45859</v>
      </c>
      <c r="B105" vm="309">
        <v>295.74</v>
      </c>
    </row>
    <row r="106" spans="1:2" x14ac:dyDescent="0.25">
      <c r="A106" s="21">
        <v>45859</v>
      </c>
      <c r="B106" vm="312">
        <v>299.17</v>
      </c>
    </row>
    <row r="107" spans="1:2" x14ac:dyDescent="0.25">
      <c r="A107" s="21">
        <v>45859</v>
      </c>
      <c r="B107" vm="315">
        <v>298.12</v>
      </c>
    </row>
    <row r="108" spans="1:2" x14ac:dyDescent="0.25">
      <c r="A108" s="21">
        <v>45859</v>
      </c>
      <c r="B108" vm="318">
        <v>294.48</v>
      </c>
    </row>
    <row r="109" spans="1:2" x14ac:dyDescent="0.25">
      <c r="A109" s="21">
        <v>45859</v>
      </c>
      <c r="B109" vm="321">
        <v>298.47000000000003</v>
      </c>
    </row>
    <row r="110" spans="1:2" x14ac:dyDescent="0.25">
      <c r="A110" s="21">
        <v>45866</v>
      </c>
      <c r="B110" vm="324">
        <v>299.22000000000003</v>
      </c>
    </row>
    <row r="111" spans="1:2" x14ac:dyDescent="0.25">
      <c r="A111" s="21">
        <v>45866</v>
      </c>
      <c r="B111" vm="327">
        <v>302.67</v>
      </c>
    </row>
    <row r="112" spans="1:2" x14ac:dyDescent="0.25">
      <c r="A112" s="21">
        <v>45866</v>
      </c>
      <c r="B112" vm="330">
        <v>303.61</v>
      </c>
    </row>
    <row r="113" spans="1:2" x14ac:dyDescent="0.25">
      <c r="A113" s="21">
        <v>45866</v>
      </c>
      <c r="B113" vm="333">
        <v>300.07</v>
      </c>
    </row>
    <row r="114" spans="1:2" x14ac:dyDescent="0.25">
      <c r="A114" s="21">
        <v>45866</v>
      </c>
      <c r="B114" vm="336">
        <v>302.89</v>
      </c>
    </row>
    <row r="115" spans="1:2" x14ac:dyDescent="0.25">
      <c r="A115" s="21">
        <v>45873</v>
      </c>
      <c r="B115" vm="339">
        <v>304.23</v>
      </c>
    </row>
    <row r="116" spans="1:2" x14ac:dyDescent="0.25">
      <c r="A116" s="21">
        <v>45873</v>
      </c>
      <c r="B116" vm="342">
        <v>298.77</v>
      </c>
    </row>
    <row r="117" spans="1:2" x14ac:dyDescent="0.25">
      <c r="A117" s="21">
        <v>45873</v>
      </c>
      <c r="B117" vm="345">
        <v>307.66000000000003</v>
      </c>
    </row>
    <row r="118" spans="1:2" x14ac:dyDescent="0.25">
      <c r="A118" s="21">
        <v>45873</v>
      </c>
      <c r="B118" vm="348">
        <v>307.91000000000003</v>
      </c>
    </row>
    <row r="119" spans="1:2" x14ac:dyDescent="0.25">
      <c r="A119" s="21">
        <v>45873</v>
      </c>
      <c r="B119" vm="351">
        <v>305.45</v>
      </c>
    </row>
    <row r="120" spans="1:2" x14ac:dyDescent="0.25">
      <c r="A120" s="21">
        <v>45880</v>
      </c>
      <c r="B120" vm="354">
        <v>304.36</v>
      </c>
    </row>
    <row r="121" spans="1:2" x14ac:dyDescent="0.25">
      <c r="A121" s="21">
        <v>45880</v>
      </c>
      <c r="B121" vm="357">
        <v>301.64</v>
      </c>
    </row>
    <row r="122" spans="1:2" x14ac:dyDescent="0.25">
      <c r="A122" s="21">
        <v>45880</v>
      </c>
      <c r="B122" vm="360">
        <v>305.07</v>
      </c>
    </row>
    <row r="123" spans="1:2" x14ac:dyDescent="0.25">
      <c r="A123" s="21">
        <v>45880</v>
      </c>
      <c r="B123" vm="363">
        <v>308.95</v>
      </c>
    </row>
    <row r="124" spans="1:2" x14ac:dyDescent="0.25">
      <c r="A124" s="21">
        <v>45880</v>
      </c>
      <c r="B124" vm="366">
        <v>308.93</v>
      </c>
    </row>
    <row r="125" spans="1:2" x14ac:dyDescent="0.25">
      <c r="A125" s="21">
        <v>45887</v>
      </c>
      <c r="B125" vm="369">
        <v>308.7</v>
      </c>
    </row>
    <row r="126" spans="1:2" x14ac:dyDescent="0.25">
      <c r="A126" s="21">
        <v>45887</v>
      </c>
      <c r="B126" vm="372">
        <v>310.93</v>
      </c>
    </row>
    <row r="127" spans="1:2" x14ac:dyDescent="0.25">
      <c r="A127" s="21">
        <v>45887</v>
      </c>
      <c r="B127" vm="375">
        <v>313.08</v>
      </c>
    </row>
    <row r="128" spans="1:2" x14ac:dyDescent="0.25">
      <c r="A128" s="21">
        <v>45887</v>
      </c>
      <c r="B128" vm="378">
        <v>313.22000000000003</v>
      </c>
    </row>
    <row r="129" spans="1:2" x14ac:dyDescent="0.25">
      <c r="A129" s="21">
        <v>45887</v>
      </c>
      <c r="B129" vm="381">
        <v>314.07</v>
      </c>
    </row>
    <row r="130" spans="1:2" x14ac:dyDescent="0.25">
      <c r="A130" s="21">
        <v>45894</v>
      </c>
      <c r="B130" vm="384">
        <v>313.44</v>
      </c>
    </row>
    <row r="131" spans="1:2" x14ac:dyDescent="0.25">
      <c r="A131" s="21">
        <v>45894</v>
      </c>
      <c r="B131" vm="387">
        <v>312.94</v>
      </c>
    </row>
    <row r="132" spans="1:2" x14ac:dyDescent="0.25">
      <c r="A132" s="21">
        <v>45894</v>
      </c>
      <c r="B132" vm="390">
        <v>311.43</v>
      </c>
    </row>
    <row r="133" spans="1:2" x14ac:dyDescent="0.25">
      <c r="A133" s="21">
        <v>45894</v>
      </c>
      <c r="B133" vm="393">
        <v>312.22000000000003</v>
      </c>
    </row>
    <row r="134" spans="1:2" x14ac:dyDescent="0.25">
      <c r="A134" s="21">
        <v>45894</v>
      </c>
      <c r="B134" vm="396">
        <v>313.54000000000002</v>
      </c>
    </row>
    <row r="135" spans="1:2" x14ac:dyDescent="0.25">
      <c r="A135" s="21">
        <v>45901</v>
      </c>
      <c r="B135" vm="399">
        <v>315.76</v>
      </c>
    </row>
    <row r="136" spans="1:2" x14ac:dyDescent="0.25">
      <c r="A136" s="21">
        <v>45901</v>
      </c>
      <c r="B136" vm="402">
        <v>316.39</v>
      </c>
    </row>
    <row r="137" spans="1:2" x14ac:dyDescent="0.25">
      <c r="A137" s="21">
        <v>45901</v>
      </c>
      <c r="B137" vm="405">
        <v>316.99</v>
      </c>
    </row>
    <row r="138" spans="1:2" x14ac:dyDescent="0.25">
      <c r="A138" s="21">
        <v>45901</v>
      </c>
      <c r="B138" vm="408">
        <v>314.38</v>
      </c>
    </row>
    <row r="139" spans="1:2" x14ac:dyDescent="0.25">
      <c r="A139" s="21">
        <v>45908</v>
      </c>
      <c r="B139" vm="411">
        <v>312.8</v>
      </c>
    </row>
    <row r="140" spans="1:2" x14ac:dyDescent="0.25">
      <c r="A140" s="21">
        <v>45908</v>
      </c>
      <c r="B140" vm="414">
        <v>312.52</v>
      </c>
    </row>
    <row r="141" spans="1:2" x14ac:dyDescent="0.25">
      <c r="A141" s="21">
        <v>45908</v>
      </c>
      <c r="B141" vm="417">
        <v>305.94</v>
      </c>
    </row>
    <row r="142" spans="1:2" x14ac:dyDescent="0.25">
      <c r="A142" s="21">
        <v>45908</v>
      </c>
      <c r="B142" vm="420">
        <v>308.43</v>
      </c>
    </row>
    <row r="143" spans="1:2" x14ac:dyDescent="0.25">
      <c r="A143" s="21">
        <v>45908</v>
      </c>
      <c r="B143" vm="423">
        <v>305.39999999999998</v>
      </c>
    </row>
    <row r="144" spans="1:2" x14ac:dyDescent="0.25">
      <c r="A144" s="21">
        <v>45915</v>
      </c>
      <c r="B144" vm="426">
        <v>302.07</v>
      </c>
    </row>
    <row r="145" spans="1:2" x14ac:dyDescent="0.25">
      <c r="A145" s="21">
        <v>45915</v>
      </c>
      <c r="B145" vm="429">
        <v>303.29000000000002</v>
      </c>
    </row>
    <row r="146" spans="1:2" x14ac:dyDescent="0.25">
      <c r="A146" s="21">
        <v>45915</v>
      </c>
      <c r="B146" vm="432">
        <v>304.97000000000003</v>
      </c>
    </row>
    <row r="147" spans="1:2" x14ac:dyDescent="0.25">
      <c r="A147" s="21">
        <v>45915</v>
      </c>
      <c r="B147" vm="435">
        <v>301.14</v>
      </c>
    </row>
    <row r="148" spans="1:2" x14ac:dyDescent="0.25">
      <c r="A148" s="21">
        <v>45915</v>
      </c>
      <c r="B148" vm="438">
        <v>302.38</v>
      </c>
    </row>
    <row r="149" spans="1:2" x14ac:dyDescent="0.25">
      <c r="A149" s="21">
        <v>45922</v>
      </c>
      <c r="B149" vm="441">
        <v>302.99</v>
      </c>
    </row>
    <row r="150" spans="1:2" x14ac:dyDescent="0.25">
      <c r="A150" s="21">
        <v>45922</v>
      </c>
      <c r="B150" vm="444">
        <v>303.19</v>
      </c>
    </row>
    <row r="151" spans="1:2" x14ac:dyDescent="0.25">
      <c r="A151" s="21">
        <v>45922</v>
      </c>
      <c r="B151" vm="447">
        <v>304.33</v>
      </c>
    </row>
    <row r="152" spans="1:2" x14ac:dyDescent="0.25">
      <c r="A152" s="21">
        <v>45922</v>
      </c>
      <c r="B152" vm="450">
        <v>302.3</v>
      </c>
    </row>
    <row r="153" spans="1:2" x14ac:dyDescent="0.25">
      <c r="A153" s="21">
        <v>45922</v>
      </c>
      <c r="B153" vm="453">
        <v>305.24</v>
      </c>
    </row>
    <row r="154" spans="1:2" x14ac:dyDescent="0.25">
      <c r="A154" s="21">
        <v>45929</v>
      </c>
      <c r="B154" vm="441">
        <v>302.99</v>
      </c>
    </row>
    <row r="155" spans="1:2" x14ac:dyDescent="0.25">
      <c r="A155" s="21">
        <v>45929</v>
      </c>
      <c r="B155" vm="458">
        <v>303.89</v>
      </c>
    </row>
    <row r="156" spans="1:2" x14ac:dyDescent="0.25">
      <c r="A156" s="21">
        <v>45929</v>
      </c>
      <c r="B156" vm="461">
        <v>300.52</v>
      </c>
    </row>
    <row r="157" spans="1:2" x14ac:dyDescent="0.25">
      <c r="A157" s="21">
        <v>45929</v>
      </c>
      <c r="B157" vm="464">
        <v>299.88</v>
      </c>
    </row>
    <row r="158" spans="1:2" x14ac:dyDescent="0.25">
      <c r="A158" s="21">
        <v>45929</v>
      </c>
      <c r="B158" vm="467">
        <v>300.98</v>
      </c>
    </row>
    <row r="159" spans="1:2" x14ac:dyDescent="0.25">
      <c r="A159" s="21">
        <v>45936</v>
      </c>
      <c r="B159" vm="470">
        <v>296.04000000000002</v>
      </c>
    </row>
    <row r="160" spans="1:2" x14ac:dyDescent="0.25">
      <c r="A160" s="21">
        <v>45936</v>
      </c>
      <c r="B160" vm="473">
        <v>296.32</v>
      </c>
    </row>
    <row r="161" spans="1:2" x14ac:dyDescent="0.25">
      <c r="A161" s="21">
        <v>45936</v>
      </c>
      <c r="B161" vm="476">
        <v>294.39999999999998</v>
      </c>
    </row>
    <row r="162" spans="1:2" x14ac:dyDescent="0.25">
      <c r="A162" s="21">
        <v>45936</v>
      </c>
      <c r="B162" vm="479">
        <v>293.81</v>
      </c>
    </row>
    <row r="163" spans="1:2" x14ac:dyDescent="0.25">
      <c r="A163" s="21">
        <v>45936</v>
      </c>
      <c r="B163" vm="482">
        <v>297.01</v>
      </c>
    </row>
    <row r="164" spans="1:2" x14ac:dyDescent="0.25">
      <c r="A164" s="21">
        <v>45943</v>
      </c>
      <c r="B164" vm="94">
        <v>300.11</v>
      </c>
    </row>
    <row r="165" spans="1:2" x14ac:dyDescent="0.25">
      <c r="A165" s="21">
        <v>45943</v>
      </c>
      <c r="B165" vm="487">
        <v>304.56</v>
      </c>
    </row>
    <row r="166" spans="1:2" x14ac:dyDescent="0.25">
      <c r="A166" s="21">
        <v>45943</v>
      </c>
      <c r="B166" vm="490">
        <v>305.25</v>
      </c>
    </row>
    <row r="167" spans="1:2" x14ac:dyDescent="0.25">
      <c r="A167" s="21">
        <v>45943</v>
      </c>
      <c r="B167" vm="493">
        <v>305.33</v>
      </c>
    </row>
    <row r="168" spans="1:2" x14ac:dyDescent="0.25">
      <c r="A168" s="21">
        <v>45943</v>
      </c>
      <c r="B168" vm="496">
        <v>308.08999999999997</v>
      </c>
    </row>
    <row r="169" spans="1:2" x14ac:dyDescent="0.25">
      <c r="A169" s="21">
        <v>45950</v>
      </c>
      <c r="B169" vm="499">
        <v>307.77</v>
      </c>
    </row>
    <row r="170" spans="1:2" x14ac:dyDescent="0.25">
      <c r="A170" s="21">
        <v>45950</v>
      </c>
      <c r="B170" vm="502">
        <v>307.48</v>
      </c>
    </row>
    <row r="171" spans="1:2" x14ac:dyDescent="0.25">
      <c r="A171" s="21">
        <v>45950</v>
      </c>
      <c r="B171" vm="505">
        <v>310.11</v>
      </c>
    </row>
    <row r="172" spans="1:2" x14ac:dyDescent="0.25">
      <c r="A172" s="21">
        <v>45950</v>
      </c>
      <c r="B172" vm="508">
        <v>306.97000000000003</v>
      </c>
    </row>
    <row r="173" spans="1:2" x14ac:dyDescent="0.25">
      <c r="A173" s="21">
        <v>45950</v>
      </c>
      <c r="B173" vm="511">
        <v>305.79000000000002</v>
      </c>
    </row>
    <row r="174" spans="1:2" x14ac:dyDescent="0.25">
      <c r="A174" s="21">
        <v>45957</v>
      </c>
      <c r="B174" vm="514">
        <v>310</v>
      </c>
    </row>
    <row r="175" spans="1:2" x14ac:dyDescent="0.25">
      <c r="A175" s="21">
        <v>45957</v>
      </c>
      <c r="B175" vm="517">
        <v>306.39999999999998</v>
      </c>
    </row>
    <row r="176" spans="1:2" x14ac:dyDescent="0.25">
      <c r="A176" s="21">
        <v>45957</v>
      </c>
      <c r="B176" vm="520">
        <v>302.35000000000002</v>
      </c>
    </row>
    <row r="177" spans="1:2" x14ac:dyDescent="0.25">
      <c r="A177" s="21">
        <v>45957</v>
      </c>
      <c r="B177" vm="523">
        <v>302.43</v>
      </c>
    </row>
    <row r="178" spans="1:2" x14ac:dyDescent="0.25">
      <c r="A178" s="21">
        <v>45957</v>
      </c>
      <c r="B178" vm="526">
        <v>298.43</v>
      </c>
    </row>
    <row r="179" spans="1:2" x14ac:dyDescent="0.25">
      <c r="A179" s="21">
        <v>45964</v>
      </c>
      <c r="B179" vm="529">
        <v>296.37</v>
      </c>
    </row>
    <row r="180" spans="1:2" x14ac:dyDescent="0.25">
      <c r="A180" s="21">
        <v>45964</v>
      </c>
      <c r="B180" vm="532">
        <v>299.20999999999998</v>
      </c>
    </row>
    <row r="181" spans="1:2" x14ac:dyDescent="0.25">
      <c r="A181" s="21">
        <v>45964</v>
      </c>
      <c r="B181" vm="68">
        <v>305.67</v>
      </c>
    </row>
    <row r="182" spans="1:2" x14ac:dyDescent="0.25">
      <c r="A182" s="21">
        <v>45964</v>
      </c>
      <c r="B182" vm="537">
        <v>298.41000000000003</v>
      </c>
    </row>
    <row r="183" spans="1:2" x14ac:dyDescent="0.25">
      <c r="A183" s="21">
        <v>45964</v>
      </c>
      <c r="B183" vm="540">
        <v>299.66000000000003</v>
      </c>
    </row>
    <row r="184" spans="1:2" x14ac:dyDescent="0.25">
      <c r="A184" s="21">
        <v>45971</v>
      </c>
      <c r="B184" vm="543">
        <v>299.10000000000002</v>
      </c>
    </row>
    <row r="185" spans="1:2" x14ac:dyDescent="0.25">
      <c r="A185" s="21">
        <v>45971</v>
      </c>
      <c r="B185" vm="546">
        <v>306.83</v>
      </c>
    </row>
    <row r="186" spans="1:2" x14ac:dyDescent="0.25">
      <c r="A186" s="21">
        <v>45971</v>
      </c>
      <c r="B186" vm="549">
        <v>306.94</v>
      </c>
    </row>
    <row r="187" spans="1:2" x14ac:dyDescent="0.25">
      <c r="A187" s="21">
        <v>45971</v>
      </c>
      <c r="B187" vm="552">
        <v>307.58</v>
      </c>
    </row>
    <row r="188" spans="1:2" x14ac:dyDescent="0.25">
      <c r="A188" s="21">
        <v>45971</v>
      </c>
      <c r="B188" vm="555">
        <v>307.02999999999997</v>
      </c>
    </row>
    <row r="189" spans="1:2" x14ac:dyDescent="0.25">
      <c r="A189" s="21">
        <v>45978</v>
      </c>
      <c r="B189" vm="558">
        <v>304.89999999999998</v>
      </c>
    </row>
    <row r="190" spans="1:2" x14ac:dyDescent="0.25">
      <c r="A190" s="21">
        <v>45978</v>
      </c>
      <c r="B190" vm="561">
        <v>304.58999999999997</v>
      </c>
    </row>
    <row r="191" spans="1:2" x14ac:dyDescent="0.25">
      <c r="A191" s="21">
        <v>45978</v>
      </c>
      <c r="B191" vm="564">
        <v>302.74</v>
      </c>
    </row>
    <row r="192" spans="1:2" x14ac:dyDescent="0.25">
      <c r="A192" s="21">
        <v>45978</v>
      </c>
      <c r="B192" vm="567">
        <v>304.16000000000003</v>
      </c>
    </row>
    <row r="193" spans="1:2" x14ac:dyDescent="0.25">
      <c r="A193" s="21">
        <v>45978</v>
      </c>
      <c r="B193" vm="570">
        <v>309.35000000000002</v>
      </c>
    </row>
    <row r="194" spans="1:2" x14ac:dyDescent="0.25">
      <c r="A194" s="21">
        <v>45985</v>
      </c>
      <c r="B194" vm="558">
        <v>304.89999999999998</v>
      </c>
    </row>
    <row r="195" spans="1:2" x14ac:dyDescent="0.25">
      <c r="A195" s="21">
        <v>45985</v>
      </c>
      <c r="B195" vm="575">
        <v>310.45</v>
      </c>
    </row>
    <row r="196" spans="1:2" x14ac:dyDescent="0.25">
      <c r="A196" s="21">
        <v>45985</v>
      </c>
      <c r="B196" vm="578">
        <v>312.39999999999998</v>
      </c>
    </row>
    <row r="197" spans="1:2" x14ac:dyDescent="0.25">
      <c r="A197" s="21">
        <v>45985</v>
      </c>
      <c r="B197" vm="581">
        <v>311.82</v>
      </c>
    </row>
    <row r="198" spans="1:2" x14ac:dyDescent="0.25">
      <c r="A198" s="21">
        <v>45992</v>
      </c>
      <c r="B198" vm="584">
        <v>303.57</v>
      </c>
    </row>
    <row r="199" spans="1:2" x14ac:dyDescent="0.25">
      <c r="A199" s="21">
        <v>45992</v>
      </c>
      <c r="B199" vm="587">
        <v>300.72000000000003</v>
      </c>
    </row>
    <row r="200" spans="1:2" x14ac:dyDescent="0.25">
      <c r="A200" s="21">
        <v>45992</v>
      </c>
      <c r="B200" vm="590">
        <v>307.70999999999998</v>
      </c>
    </row>
    <row r="201" spans="1:2" x14ac:dyDescent="0.25">
      <c r="A201" s="21">
        <v>45992</v>
      </c>
      <c r="B201" vm="593">
        <v>308.54000000000002</v>
      </c>
    </row>
    <row r="202" spans="1:2" x14ac:dyDescent="0.25">
      <c r="A202" s="21">
        <v>45992</v>
      </c>
      <c r="B202" vm="596">
        <v>311.23</v>
      </c>
    </row>
    <row r="203" spans="1:2" x14ac:dyDescent="0.25">
      <c r="A203" s="21">
        <v>45999</v>
      </c>
      <c r="B203" vm="599">
        <v>309.79000000000002</v>
      </c>
    </row>
    <row r="204" spans="1:2" x14ac:dyDescent="0.25">
      <c r="A204" s="21">
        <v>45999</v>
      </c>
      <c r="B204" vm="602">
        <v>310.79000000000002</v>
      </c>
    </row>
    <row r="205" spans="1:2" x14ac:dyDescent="0.25">
      <c r="A205" s="21">
        <v>45999</v>
      </c>
      <c r="B205" vm="605">
        <v>310.52999999999997</v>
      </c>
    </row>
    <row r="206" spans="1:2" x14ac:dyDescent="0.25">
      <c r="A206" s="21">
        <v>45999</v>
      </c>
      <c r="B206" vm="608">
        <v>309.70999999999998</v>
      </c>
    </row>
    <row r="207" spans="1:2" x14ac:dyDescent="0.25">
      <c r="A207" s="21">
        <v>45999</v>
      </c>
      <c r="B207" vm="611">
        <v>316.72000000000003</v>
      </c>
    </row>
    <row r="208" spans="1:2" x14ac:dyDescent="0.25">
      <c r="A208" s="21">
        <v>46006</v>
      </c>
      <c r="B208" vm="614">
        <v>318.73</v>
      </c>
    </row>
    <row r="209" spans="1:2" x14ac:dyDescent="0.25">
      <c r="A209" s="21">
        <v>46006</v>
      </c>
      <c r="B209" vm="141">
        <v>314.5</v>
      </c>
    </row>
    <row r="210" spans="1:2" x14ac:dyDescent="0.25">
      <c r="A210" s="21">
        <v>46006</v>
      </c>
      <c r="B210" vm="619">
        <v>318.69</v>
      </c>
    </row>
    <row r="211" spans="1:2" x14ac:dyDescent="0.25">
      <c r="A211" s="21">
        <v>46006</v>
      </c>
      <c r="B211" vm="144">
        <v>319.64999999999998</v>
      </c>
    </row>
    <row r="212" spans="1:2" x14ac:dyDescent="0.25">
      <c r="A212" s="21">
        <v>46006</v>
      </c>
      <c r="B212" vm="624">
        <v>315.83999999999997</v>
      </c>
    </row>
    <row r="213" spans="1:2" x14ac:dyDescent="0.25">
      <c r="A213" s="21">
        <v>46013</v>
      </c>
      <c r="B213" vm="132">
        <v>316.22000000000003</v>
      </c>
    </row>
    <row r="214" spans="1:2" x14ac:dyDescent="0.25">
      <c r="A214" s="21">
        <v>46013</v>
      </c>
      <c r="B214" vm="629">
        <v>310.83999999999997</v>
      </c>
    </row>
    <row r="215" spans="1:2" x14ac:dyDescent="0.25">
      <c r="A215" s="21">
        <v>46013</v>
      </c>
      <c r="B215" vm="632">
        <v>313.33</v>
      </c>
    </row>
    <row r="216" spans="1:2" x14ac:dyDescent="0.25">
      <c r="A216" s="21">
        <v>46013</v>
      </c>
      <c r="B216" vm="635">
        <v>310.68</v>
      </c>
    </row>
    <row r="217" spans="1:2" x14ac:dyDescent="0.25">
      <c r="A217" s="21">
        <v>46020</v>
      </c>
      <c r="B217" vm="638">
        <v>308.52999999999997</v>
      </c>
    </row>
    <row r="218" spans="1:2" x14ac:dyDescent="0.25">
      <c r="A218" s="21">
        <v>46020</v>
      </c>
      <c r="B218" vm="641">
        <v>308.02999999999997</v>
      </c>
    </row>
    <row r="219" spans="1:2" x14ac:dyDescent="0.25">
      <c r="A219" s="21">
        <v>46020</v>
      </c>
      <c r="B219" vm="644">
        <v>305.63</v>
      </c>
    </row>
    <row r="220" spans="1:2" x14ac:dyDescent="0.25">
      <c r="A220" s="21">
        <v>46020</v>
      </c>
      <c r="B220" vm="647">
        <v>303.26</v>
      </c>
    </row>
    <row r="221" spans="1:2" x14ac:dyDescent="0.25">
      <c r="A221" s="21">
        <v>46027</v>
      </c>
      <c r="B221" vm="650">
        <v>299.86</v>
      </c>
    </row>
    <row r="222" spans="1:2" x14ac:dyDescent="0.25">
      <c r="A222" s="21">
        <v>46027</v>
      </c>
      <c r="B222" vm="653">
        <v>302.77</v>
      </c>
    </row>
    <row r="223" spans="1:2" x14ac:dyDescent="0.25">
      <c r="A223" s="21">
        <v>46027</v>
      </c>
      <c r="B223" vm="567">
        <v>304.16000000000003</v>
      </c>
    </row>
    <row r="224" spans="1:2" x14ac:dyDescent="0.25">
      <c r="A224" s="21">
        <v>46027</v>
      </c>
      <c r="B224" vm="658">
        <v>308.88</v>
      </c>
    </row>
    <row r="225" spans="1:2" x14ac:dyDescent="0.25">
      <c r="A225" s="21">
        <v>46027</v>
      </c>
      <c r="B225" vm="661">
        <v>307.32</v>
      </c>
    </row>
    <row r="226" spans="1:2" x14ac:dyDescent="0.25">
      <c r="A226" s="21">
        <v>46034</v>
      </c>
      <c r="B226" vm="664">
        <v>306.75</v>
      </c>
    </row>
    <row r="227" spans="1:2" x14ac:dyDescent="0.25">
      <c r="A227" s="21">
        <v>46034</v>
      </c>
      <c r="B227" vm="667">
        <v>309.44</v>
      </c>
    </row>
    <row r="228" spans="1:2" x14ac:dyDescent="0.25">
      <c r="A228" s="21">
        <v>46034</v>
      </c>
      <c r="B228" vm="670">
        <v>308.13</v>
      </c>
    </row>
    <row r="229" spans="1:2" x14ac:dyDescent="0.25">
      <c r="A229" s="21">
        <v>46034</v>
      </c>
      <c r="B229" vm="673">
        <v>308.62</v>
      </c>
    </row>
    <row r="230" spans="1:2" x14ac:dyDescent="0.25">
      <c r="A230" s="21">
        <v>46034</v>
      </c>
      <c r="B230" vm="676">
        <v>307.43</v>
      </c>
    </row>
    <row r="231" spans="1:2" x14ac:dyDescent="0.25">
      <c r="A231" s="21">
        <v>46041</v>
      </c>
      <c r="B231" vm="679">
        <v>302.83999999999997</v>
      </c>
    </row>
    <row r="232" spans="1:2" x14ac:dyDescent="0.25">
      <c r="A232" s="21">
        <v>46041</v>
      </c>
      <c r="B232" vm="682">
        <v>305.69</v>
      </c>
    </row>
    <row r="233" spans="1:2" x14ac:dyDescent="0.25">
      <c r="A233" s="21">
        <v>46041</v>
      </c>
      <c r="B233" vm="685">
        <v>306.02999999999997</v>
      </c>
    </row>
    <row r="234" spans="1:2" x14ac:dyDescent="0.25">
      <c r="A234" s="21">
        <v>46041</v>
      </c>
      <c r="B234" vm="688">
        <v>309.25</v>
      </c>
    </row>
    <row r="235" spans="1:2" x14ac:dyDescent="0.25">
      <c r="A235" s="21">
        <v>46048</v>
      </c>
      <c r="B235" vm="691">
        <v>312.95</v>
      </c>
    </row>
    <row r="236" spans="1:2" x14ac:dyDescent="0.25">
      <c r="A236" s="21">
        <v>46048</v>
      </c>
      <c r="B236" vm="694">
        <v>314.13</v>
      </c>
    </row>
    <row r="237" spans="1:2" x14ac:dyDescent="0.25">
      <c r="A237" s="21">
        <v>46048</v>
      </c>
      <c r="B237" vm="411">
        <v>312.8</v>
      </c>
    </row>
    <row r="238" spans="1:2" x14ac:dyDescent="0.25">
      <c r="A238" s="21">
        <v>46048</v>
      </c>
      <c r="B238" vm="699">
        <v>315.51</v>
      </c>
    </row>
    <row r="239" spans="1:2" x14ac:dyDescent="0.25">
      <c r="A239" s="21">
        <v>46048</v>
      </c>
      <c r="B239" vm="702">
        <v>315</v>
      </c>
    </row>
    <row r="240" spans="1:2" x14ac:dyDescent="0.25">
      <c r="A240" s="21">
        <v>46055</v>
      </c>
      <c r="B240" vm="705">
        <v>318.52999999999997</v>
      </c>
    </row>
    <row r="241" spans="1:2" x14ac:dyDescent="0.25">
      <c r="A241" s="21">
        <v>46055</v>
      </c>
      <c r="B241" vm="708">
        <v>319.48</v>
      </c>
    </row>
    <row r="242" spans="1:2" x14ac:dyDescent="0.25">
      <c r="A242" s="21">
        <v>46055</v>
      </c>
      <c r="B242" vm="711">
        <v>323.69</v>
      </c>
    </row>
    <row r="243" spans="1:2" x14ac:dyDescent="0.25">
      <c r="A243" s="21">
        <v>46055</v>
      </c>
      <c r="B243" vm="714">
        <v>323.48</v>
      </c>
    </row>
    <row r="244" spans="1:2" x14ac:dyDescent="0.25">
      <c r="A244" s="21">
        <v>46055</v>
      </c>
      <c r="B244" vm="717">
        <v>327.16000000000003</v>
      </c>
    </row>
    <row r="245" spans="1:2" x14ac:dyDescent="0.25">
      <c r="A245" s="21">
        <v>46062</v>
      </c>
      <c r="B245" vm="720">
        <v>325.60000000000002</v>
      </c>
    </row>
    <row r="246" spans="1:2" x14ac:dyDescent="0.25">
      <c r="A246" s="21">
        <v>46062</v>
      </c>
      <c r="B246" vm="723">
        <v>325.97000000000003</v>
      </c>
    </row>
    <row r="247" spans="1:2" x14ac:dyDescent="0.25">
      <c r="A247" s="21">
        <v>46062</v>
      </c>
      <c r="B247" vm="726">
        <v>323.20999999999998</v>
      </c>
    </row>
    <row r="248" spans="1:2" x14ac:dyDescent="0.25">
      <c r="A248" s="21">
        <v>46062</v>
      </c>
      <c r="B248" vm="729">
        <v>332.08</v>
      </c>
    </row>
    <row r="249" spans="1:2" x14ac:dyDescent="0.25">
      <c r="A249" s="21">
        <v>46062</v>
      </c>
      <c r="B249" vm="732">
        <v>327.58</v>
      </c>
    </row>
    <row r="250" spans="1:2" x14ac:dyDescent="0.25">
      <c r="A250" s="21">
        <v>46069</v>
      </c>
      <c r="B250" vm="735">
        <v>327.62</v>
      </c>
    </row>
    <row r="251" spans="1:2" x14ac:dyDescent="0.25">
      <c r="A251" s="21">
        <v>46069</v>
      </c>
      <c r="B251" vm="738">
        <v>327.89</v>
      </c>
    </row>
    <row r="252" spans="1:2" x14ac:dyDescent="0.25">
      <c r="A252" s="21">
        <v>46069</v>
      </c>
      <c r="B252" vm="741">
        <v>327.11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81" workbookViewId="0">
      <selection activeCell="P14" sqref="P14"/>
    </sheetView>
  </sheetViews>
  <sheetFormatPr defaultRowHeight="15" x14ac:dyDescent="0.25"/>
  <cols>
    <col min="1" max="16384" width="9.140625" style="22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D8E3-A8DD-464A-9CD1-A23C46ED77E6}">
  <dimension ref="A1:B1000"/>
  <sheetViews>
    <sheetView workbookViewId="0">
      <selection activeCell="B1" activeCellId="1" sqref="A1:A1048576 B1:B1048576"/>
    </sheetView>
  </sheetViews>
  <sheetFormatPr defaultRowHeight="15" x14ac:dyDescent="0.25"/>
  <cols>
    <col min="1" max="1" width="10.42578125" style="21" bestFit="1" customWidth="1"/>
    <col min="2" max="2" width="11.85546875" customWidth="1"/>
  </cols>
  <sheetData>
    <row r="1" spans="1:2" ht="30.75" thickBot="1" x14ac:dyDescent="0.3">
      <c r="A1" s="26" t="s">
        <v>47</v>
      </c>
      <c r="B1" s="23" t="s">
        <v>48</v>
      </c>
    </row>
    <row r="2" spans="1:2" ht="15.75" thickBot="1" x14ac:dyDescent="0.3">
      <c r="A2" s="27">
        <v>36843</v>
      </c>
      <c r="B2" s="24">
        <v>0.22</v>
      </c>
    </row>
    <row r="3" spans="1:2" ht="15.75" thickBot="1" x14ac:dyDescent="0.3">
      <c r="A3" s="27">
        <v>37208</v>
      </c>
      <c r="B3" s="24">
        <v>0.23</v>
      </c>
    </row>
    <row r="4" spans="1:2" ht="15.75" thickBot="1" x14ac:dyDescent="0.3">
      <c r="A4" s="27">
        <v>37573</v>
      </c>
      <c r="B4" s="24">
        <v>0.24</v>
      </c>
    </row>
    <row r="5" spans="1:2" ht="15.75" thickBot="1" x14ac:dyDescent="0.3">
      <c r="A5" s="27">
        <v>37937</v>
      </c>
      <c r="B5" s="24">
        <v>0.4</v>
      </c>
    </row>
    <row r="6" spans="1:2" ht="15.75" thickBot="1" x14ac:dyDescent="0.3">
      <c r="A6" s="27">
        <v>38301</v>
      </c>
      <c r="B6" s="24">
        <v>0.55000000000000004</v>
      </c>
    </row>
    <row r="7" spans="1:2" ht="15.75" thickBot="1" x14ac:dyDescent="0.3">
      <c r="A7" s="27">
        <v>38666</v>
      </c>
      <c r="B7" s="24">
        <v>0.67</v>
      </c>
    </row>
    <row r="8" spans="1:2" ht="15.75" thickBot="1" x14ac:dyDescent="0.3">
      <c r="A8" s="27">
        <v>39034</v>
      </c>
      <c r="B8" s="24">
        <v>1</v>
      </c>
    </row>
    <row r="9" spans="1:2" ht="15.75" thickBot="1" x14ac:dyDescent="0.3">
      <c r="A9" s="27">
        <v>39399</v>
      </c>
      <c r="B9" s="24">
        <v>1.5</v>
      </c>
    </row>
    <row r="10" spans="1:2" ht="15.75" thickBot="1" x14ac:dyDescent="0.3">
      <c r="A10" s="27">
        <v>39506</v>
      </c>
      <c r="B10" s="24">
        <v>0.38</v>
      </c>
    </row>
    <row r="11" spans="1:2" ht="15.75" thickBot="1" x14ac:dyDescent="0.3">
      <c r="A11" s="27">
        <v>39604</v>
      </c>
      <c r="B11" s="24">
        <v>0.38</v>
      </c>
    </row>
    <row r="12" spans="1:2" ht="15.75" thickBot="1" x14ac:dyDescent="0.3">
      <c r="A12" s="27">
        <v>39688</v>
      </c>
      <c r="B12" s="24">
        <v>0.38</v>
      </c>
    </row>
    <row r="13" spans="1:2" ht="15.75" thickBot="1" x14ac:dyDescent="0.3">
      <c r="A13" s="27">
        <v>39778</v>
      </c>
      <c r="B13" s="24">
        <v>0.5</v>
      </c>
    </row>
    <row r="14" spans="1:2" ht="15.75" thickBot="1" x14ac:dyDescent="0.3">
      <c r="A14" s="27">
        <v>39870</v>
      </c>
      <c r="B14" s="24">
        <v>0.5</v>
      </c>
    </row>
    <row r="15" spans="1:2" ht="15.75" thickBot="1" x14ac:dyDescent="0.3">
      <c r="A15" s="27">
        <v>39968</v>
      </c>
      <c r="B15" s="24">
        <v>0.5</v>
      </c>
    </row>
    <row r="16" spans="1:2" ht="15.75" thickBot="1" x14ac:dyDescent="0.3">
      <c r="A16" s="27">
        <v>40053</v>
      </c>
      <c r="B16" s="24">
        <v>0.5</v>
      </c>
    </row>
    <row r="17" spans="1:2" ht="15.75" thickBot="1" x14ac:dyDescent="0.3">
      <c r="A17" s="27">
        <v>40144</v>
      </c>
      <c r="B17" s="24">
        <v>0.55000000000000004</v>
      </c>
    </row>
    <row r="18" spans="1:2" ht="15.75" thickBot="1" x14ac:dyDescent="0.3">
      <c r="A18" s="27">
        <v>40234</v>
      </c>
      <c r="B18" s="24">
        <v>0.55000000000000004</v>
      </c>
    </row>
    <row r="19" spans="1:2" ht="15.75" thickBot="1" x14ac:dyDescent="0.3">
      <c r="A19" s="27">
        <v>40325</v>
      </c>
      <c r="B19" s="24">
        <v>0.55000000000000004</v>
      </c>
    </row>
    <row r="20" spans="1:2" ht="15.75" thickBot="1" x14ac:dyDescent="0.3">
      <c r="A20" s="27">
        <v>40420</v>
      </c>
      <c r="B20" s="24">
        <v>0.55000000000000004</v>
      </c>
    </row>
    <row r="21" spans="1:2" ht="15.75" thickBot="1" x14ac:dyDescent="0.3">
      <c r="A21" s="27">
        <v>40511</v>
      </c>
      <c r="B21" s="24">
        <v>0.61</v>
      </c>
    </row>
    <row r="22" spans="1:2" ht="15.75" thickBot="1" x14ac:dyDescent="0.3">
      <c r="A22" s="27">
        <v>40599</v>
      </c>
      <c r="B22" s="24">
        <v>0.61</v>
      </c>
    </row>
    <row r="23" spans="1:2" ht="15.75" thickBot="1" x14ac:dyDescent="0.3">
      <c r="A23" s="27">
        <v>40690</v>
      </c>
      <c r="B23" s="24">
        <v>0.61</v>
      </c>
    </row>
    <row r="24" spans="1:2" ht="15.75" thickBot="1" x14ac:dyDescent="0.3">
      <c r="A24" s="27">
        <v>40785</v>
      </c>
      <c r="B24" s="24">
        <v>0.61</v>
      </c>
    </row>
    <row r="25" spans="1:2" ht="15.75" thickBot="1" x14ac:dyDescent="0.3">
      <c r="A25" s="27">
        <v>40876</v>
      </c>
      <c r="B25" s="24">
        <v>0.7</v>
      </c>
    </row>
    <row r="26" spans="1:2" ht="15.75" thickBot="1" x14ac:dyDescent="0.3">
      <c r="A26" s="27">
        <v>40967</v>
      </c>
      <c r="B26" s="24">
        <v>0.7</v>
      </c>
    </row>
    <row r="27" spans="1:2" ht="15.75" thickBot="1" x14ac:dyDescent="0.3">
      <c r="A27" s="27">
        <v>41060</v>
      </c>
      <c r="B27" s="24">
        <v>0.7</v>
      </c>
    </row>
    <row r="28" spans="1:2" ht="15.75" thickBot="1" x14ac:dyDescent="0.3">
      <c r="A28" s="27">
        <v>41151</v>
      </c>
      <c r="B28" s="24">
        <v>0.7</v>
      </c>
    </row>
    <row r="29" spans="1:2" ht="15.75" thickBot="1" x14ac:dyDescent="0.3">
      <c r="A29" s="27">
        <v>41242</v>
      </c>
      <c r="B29" s="24">
        <v>0.77</v>
      </c>
    </row>
    <row r="30" spans="1:2" ht="15.75" thickBot="1" x14ac:dyDescent="0.3">
      <c r="A30" s="27">
        <v>41332</v>
      </c>
      <c r="B30" s="24">
        <v>0.77</v>
      </c>
    </row>
    <row r="31" spans="1:2" ht="15.75" thickBot="1" x14ac:dyDescent="0.3">
      <c r="A31" s="27">
        <v>41424</v>
      </c>
      <c r="B31" s="24">
        <v>0.77</v>
      </c>
    </row>
    <row r="32" spans="1:2" ht="15.75" thickBot="1" x14ac:dyDescent="0.3">
      <c r="A32" s="27">
        <v>41515</v>
      </c>
      <c r="B32" s="24">
        <v>0.77</v>
      </c>
    </row>
    <row r="33" spans="1:2" ht="15.75" thickBot="1" x14ac:dyDescent="0.3">
      <c r="A33" s="27">
        <v>41605</v>
      </c>
      <c r="B33" s="24">
        <v>0.81</v>
      </c>
    </row>
    <row r="34" spans="1:2" ht="15.75" thickBot="1" x14ac:dyDescent="0.3">
      <c r="A34" s="27">
        <v>41697</v>
      </c>
      <c r="B34" s="24">
        <v>0.81</v>
      </c>
    </row>
    <row r="35" spans="1:2" ht="15.75" thickBot="1" x14ac:dyDescent="0.3">
      <c r="A35" s="27">
        <v>41788</v>
      </c>
      <c r="B35" s="24">
        <v>0.81</v>
      </c>
    </row>
    <row r="36" spans="1:2" ht="15.75" thickBot="1" x14ac:dyDescent="0.3">
      <c r="A36" s="27">
        <v>41879</v>
      </c>
      <c r="B36" s="24">
        <v>0.81</v>
      </c>
    </row>
    <row r="37" spans="1:2" ht="15.75" thickBot="1" x14ac:dyDescent="0.3">
      <c r="A37" s="27">
        <v>41969</v>
      </c>
      <c r="B37" s="24">
        <v>0.85</v>
      </c>
    </row>
    <row r="38" spans="1:2" ht="15.75" thickBot="1" x14ac:dyDescent="0.3">
      <c r="A38" s="27">
        <v>42061</v>
      </c>
      <c r="B38" s="24">
        <v>0.85</v>
      </c>
    </row>
    <row r="39" spans="1:2" ht="15.75" thickBot="1" x14ac:dyDescent="0.3">
      <c r="A39" s="27">
        <v>42152</v>
      </c>
      <c r="B39" s="24">
        <v>0.85</v>
      </c>
    </row>
    <row r="40" spans="1:2" ht="15.75" thickBot="1" x14ac:dyDescent="0.3">
      <c r="A40" s="27">
        <v>42244</v>
      </c>
      <c r="B40" s="24">
        <v>0.85</v>
      </c>
    </row>
    <row r="41" spans="1:2" ht="15.75" thickBot="1" x14ac:dyDescent="0.3">
      <c r="A41" s="27">
        <v>42335</v>
      </c>
      <c r="B41" s="24">
        <v>0.89</v>
      </c>
    </row>
    <row r="42" spans="1:2" ht="15.75" thickBot="1" x14ac:dyDescent="0.3">
      <c r="A42" s="27">
        <v>42426</v>
      </c>
      <c r="B42" s="24">
        <v>0.89</v>
      </c>
    </row>
    <row r="43" spans="1:2" ht="15.75" thickBot="1" x14ac:dyDescent="0.3">
      <c r="A43" s="27">
        <v>42523</v>
      </c>
      <c r="B43" s="24">
        <v>0.89</v>
      </c>
    </row>
    <row r="44" spans="1:2" ht="15.75" thickBot="1" x14ac:dyDescent="0.3">
      <c r="A44" s="27">
        <v>42612</v>
      </c>
      <c r="B44" s="24">
        <v>0.89</v>
      </c>
    </row>
    <row r="45" spans="1:2" ht="15.75" thickBot="1" x14ac:dyDescent="0.3">
      <c r="A45" s="27">
        <v>42703</v>
      </c>
      <c r="B45" s="24">
        <v>0.94</v>
      </c>
    </row>
    <row r="46" spans="1:2" ht="15.75" thickBot="1" x14ac:dyDescent="0.3">
      <c r="A46" s="27">
        <v>42793</v>
      </c>
      <c r="B46" s="24">
        <v>0.94</v>
      </c>
    </row>
    <row r="47" spans="1:2" ht="15.75" thickBot="1" x14ac:dyDescent="0.3">
      <c r="A47" s="27">
        <v>42887</v>
      </c>
      <c r="B47" s="24">
        <v>0.94</v>
      </c>
    </row>
    <row r="48" spans="1:2" ht="15.75" thickBot="1" x14ac:dyDescent="0.3">
      <c r="A48" s="27">
        <v>42977</v>
      </c>
      <c r="B48" s="24">
        <v>0.94</v>
      </c>
    </row>
    <row r="49" spans="1:2" ht="15.75" thickBot="1" x14ac:dyDescent="0.3">
      <c r="A49" s="27">
        <v>43069</v>
      </c>
      <c r="B49" s="24">
        <v>1.01</v>
      </c>
    </row>
    <row r="50" spans="1:2" ht="15.75" thickBot="1" x14ac:dyDescent="0.3">
      <c r="A50" s="27">
        <v>43159</v>
      </c>
      <c r="B50" s="24">
        <v>1.01</v>
      </c>
    </row>
    <row r="51" spans="1:2" ht="15.75" thickBot="1" x14ac:dyDescent="0.3">
      <c r="A51" s="27">
        <v>43252</v>
      </c>
      <c r="B51" s="24">
        <v>1.01</v>
      </c>
    </row>
    <row r="52" spans="1:2" ht="15.75" thickBot="1" x14ac:dyDescent="0.3">
      <c r="A52" s="27">
        <v>43343</v>
      </c>
      <c r="B52" s="24">
        <v>1.01</v>
      </c>
    </row>
    <row r="53" spans="1:2" ht="15.75" thickBot="1" x14ac:dyDescent="0.3">
      <c r="A53" s="27">
        <v>43434</v>
      </c>
      <c r="B53" s="24">
        <v>1.1599999999999999</v>
      </c>
    </row>
    <row r="54" spans="1:2" ht="15.75" thickBot="1" x14ac:dyDescent="0.3">
      <c r="A54" s="27">
        <v>43524</v>
      </c>
      <c r="B54" s="24">
        <v>1.1599999999999999</v>
      </c>
    </row>
    <row r="55" spans="1:2" ht="15.75" thickBot="1" x14ac:dyDescent="0.3">
      <c r="A55" s="27">
        <v>43616</v>
      </c>
      <c r="B55" s="24">
        <v>1.1599999999999999</v>
      </c>
    </row>
    <row r="56" spans="1:2" ht="15.75" thickBot="1" x14ac:dyDescent="0.3">
      <c r="A56" s="27">
        <v>43707</v>
      </c>
      <c r="B56" s="24">
        <v>1.1599999999999999</v>
      </c>
    </row>
    <row r="57" spans="1:2" ht="15.75" thickBot="1" x14ac:dyDescent="0.3">
      <c r="A57" s="27">
        <v>43798</v>
      </c>
      <c r="B57" s="24">
        <v>1.25</v>
      </c>
    </row>
    <row r="58" spans="1:2" ht="15.75" thickBot="1" x14ac:dyDescent="0.3">
      <c r="A58" s="27">
        <v>43889</v>
      </c>
      <c r="B58" s="24">
        <v>1.25</v>
      </c>
    </row>
    <row r="59" spans="1:2" ht="15.75" thickBot="1" x14ac:dyDescent="0.3">
      <c r="A59" s="27">
        <v>43980</v>
      </c>
      <c r="B59" s="24">
        <v>1.25</v>
      </c>
    </row>
    <row r="60" spans="1:2" ht="15.75" thickBot="1" x14ac:dyDescent="0.3">
      <c r="A60" s="27">
        <v>44074</v>
      </c>
      <c r="B60" s="24">
        <v>1.25</v>
      </c>
    </row>
    <row r="61" spans="1:2" ht="15.75" thickBot="1" x14ac:dyDescent="0.3">
      <c r="A61" s="27">
        <v>44165</v>
      </c>
      <c r="B61" s="24">
        <v>1.29</v>
      </c>
    </row>
    <row r="62" spans="1:2" ht="15.75" thickBot="1" x14ac:dyDescent="0.3">
      <c r="A62" s="27">
        <v>44253</v>
      </c>
      <c r="B62" s="24">
        <v>1.29</v>
      </c>
    </row>
    <row r="63" spans="1:2" ht="15.75" thickBot="1" x14ac:dyDescent="0.3">
      <c r="A63" s="27">
        <v>44344</v>
      </c>
      <c r="B63" s="24">
        <v>1.29</v>
      </c>
    </row>
    <row r="64" spans="1:2" ht="15.75" thickBot="1" x14ac:dyDescent="0.3">
      <c r="A64" s="27">
        <v>44439</v>
      </c>
      <c r="B64" s="24">
        <v>1.29</v>
      </c>
    </row>
    <row r="65" spans="1:2" ht="15.75" thickBot="1" x14ac:dyDescent="0.3">
      <c r="A65" s="27">
        <v>44530</v>
      </c>
      <c r="B65" s="24">
        <v>1.38</v>
      </c>
    </row>
    <row r="66" spans="1:2" ht="15.75" thickBot="1" x14ac:dyDescent="0.3">
      <c r="A66" s="27">
        <v>44620</v>
      </c>
      <c r="B66" s="24">
        <v>1.38</v>
      </c>
    </row>
    <row r="67" spans="1:2" ht="15.75" thickBot="1" x14ac:dyDescent="0.3">
      <c r="A67" s="27">
        <v>44715</v>
      </c>
      <c r="B67" s="24">
        <v>1.38</v>
      </c>
    </row>
    <row r="68" spans="1:2" ht="15.75" thickBot="1" x14ac:dyDescent="0.3">
      <c r="A68" s="27">
        <v>44804</v>
      </c>
      <c r="B68" s="24">
        <v>1.38</v>
      </c>
    </row>
    <row r="69" spans="1:2" ht="15.75" thickBot="1" x14ac:dyDescent="0.3">
      <c r="A69" s="27">
        <v>44895</v>
      </c>
      <c r="B69" s="24">
        <v>1.52</v>
      </c>
    </row>
    <row r="70" spans="1:2" ht="15.75" thickBot="1" x14ac:dyDescent="0.3">
      <c r="A70" s="27">
        <v>44985</v>
      </c>
      <c r="B70" s="24">
        <v>1.52</v>
      </c>
    </row>
    <row r="71" spans="1:2" ht="15.75" thickBot="1" x14ac:dyDescent="0.3">
      <c r="A71" s="27">
        <v>45079</v>
      </c>
      <c r="B71" s="24">
        <v>1.52</v>
      </c>
    </row>
    <row r="72" spans="1:2" ht="15.75" thickBot="1" x14ac:dyDescent="0.3">
      <c r="A72" s="27">
        <v>45169</v>
      </c>
      <c r="B72" s="24">
        <v>1.52</v>
      </c>
    </row>
    <row r="73" spans="1:2" ht="15.75" thickBot="1" x14ac:dyDescent="0.3">
      <c r="A73" s="27">
        <v>45260</v>
      </c>
      <c r="B73" s="24">
        <v>1.67</v>
      </c>
    </row>
    <row r="74" spans="1:2" ht="15.75" thickBot="1" x14ac:dyDescent="0.3">
      <c r="A74" s="27">
        <v>45351</v>
      </c>
      <c r="B74" s="24">
        <v>1.67</v>
      </c>
    </row>
    <row r="75" spans="1:2" ht="15.75" thickBot="1" x14ac:dyDescent="0.3">
      <c r="A75" s="27">
        <v>45446</v>
      </c>
      <c r="B75" s="24">
        <v>1.67</v>
      </c>
    </row>
    <row r="76" spans="1:2" ht="15.75" thickBot="1" x14ac:dyDescent="0.3">
      <c r="A76" s="27">
        <v>45538</v>
      </c>
      <c r="B76" s="24">
        <v>1.67</v>
      </c>
    </row>
    <row r="77" spans="1:2" ht="15.75" thickBot="1" x14ac:dyDescent="0.3">
      <c r="A77" s="27">
        <v>45628</v>
      </c>
      <c r="B77" s="24">
        <v>1.77</v>
      </c>
    </row>
    <row r="78" spans="1:2" ht="15.75" thickBot="1" x14ac:dyDescent="0.3">
      <c r="A78" s="27">
        <v>45719</v>
      </c>
      <c r="B78" s="24">
        <v>1.77</v>
      </c>
    </row>
    <row r="79" spans="1:2" ht="15.75" thickBot="1" x14ac:dyDescent="0.3">
      <c r="A79" s="27">
        <v>45810</v>
      </c>
      <c r="B79" s="24">
        <v>1.77</v>
      </c>
    </row>
    <row r="80" spans="1:2" ht="15.75" thickBot="1" x14ac:dyDescent="0.3">
      <c r="A80" s="27">
        <v>45902</v>
      </c>
      <c r="B80" s="24">
        <v>1.77</v>
      </c>
    </row>
    <row r="81" spans="1:2" ht="15.75" thickBot="1" x14ac:dyDescent="0.3">
      <c r="A81" s="27">
        <v>45992</v>
      </c>
      <c r="B81" s="24">
        <v>1.86</v>
      </c>
    </row>
    <row r="82" spans="1:2" ht="15.75" thickBot="1" x14ac:dyDescent="0.3">
      <c r="A82" s="28"/>
      <c r="B82" s="25"/>
    </row>
    <row r="83" spans="1:2" ht="15.75" thickBot="1" x14ac:dyDescent="0.3">
      <c r="A83" s="28"/>
      <c r="B83" s="25"/>
    </row>
    <row r="84" spans="1:2" ht="15.75" thickBot="1" x14ac:dyDescent="0.3">
      <c r="A84" s="28"/>
      <c r="B84" s="25"/>
    </row>
    <row r="85" spans="1:2" ht="15.75" thickBot="1" x14ac:dyDescent="0.3">
      <c r="A85" s="28"/>
      <c r="B85" s="25"/>
    </row>
    <row r="86" spans="1:2" ht="15.75" thickBot="1" x14ac:dyDescent="0.3">
      <c r="A86" s="28"/>
      <c r="B86" s="25"/>
    </row>
    <row r="87" spans="1:2" ht="15.75" thickBot="1" x14ac:dyDescent="0.3">
      <c r="A87" s="28"/>
      <c r="B87" s="25"/>
    </row>
    <row r="88" spans="1:2" ht="15.75" thickBot="1" x14ac:dyDescent="0.3">
      <c r="A88" s="28"/>
      <c r="B88" s="25"/>
    </row>
    <row r="89" spans="1:2" ht="15.75" thickBot="1" x14ac:dyDescent="0.3">
      <c r="A89" s="28"/>
      <c r="B89" s="25"/>
    </row>
    <row r="90" spans="1:2" ht="15.75" thickBot="1" x14ac:dyDescent="0.3">
      <c r="A90" s="28"/>
      <c r="B90" s="25"/>
    </row>
    <row r="91" spans="1:2" ht="15.75" thickBot="1" x14ac:dyDescent="0.3">
      <c r="A91" s="28"/>
      <c r="B91" s="25"/>
    </row>
    <row r="92" spans="1:2" ht="15.75" thickBot="1" x14ac:dyDescent="0.3">
      <c r="A92" s="28"/>
      <c r="B92" s="25"/>
    </row>
    <row r="93" spans="1:2" ht="15.75" thickBot="1" x14ac:dyDescent="0.3">
      <c r="A93" s="28"/>
      <c r="B93" s="25"/>
    </row>
    <row r="94" spans="1:2" ht="15.75" thickBot="1" x14ac:dyDescent="0.3">
      <c r="A94" s="28"/>
      <c r="B94" s="25"/>
    </row>
    <row r="95" spans="1:2" ht="15.75" thickBot="1" x14ac:dyDescent="0.3">
      <c r="A95" s="28"/>
      <c r="B95" s="25"/>
    </row>
    <row r="96" spans="1:2" ht="15.75" thickBot="1" x14ac:dyDescent="0.3">
      <c r="A96" s="28"/>
      <c r="B96" s="25"/>
    </row>
    <row r="97" spans="1:2" ht="15.75" thickBot="1" x14ac:dyDescent="0.3">
      <c r="A97" s="28"/>
      <c r="B97" s="25"/>
    </row>
    <row r="98" spans="1:2" ht="15.75" thickBot="1" x14ac:dyDescent="0.3">
      <c r="A98" s="28"/>
      <c r="B98" s="25"/>
    </row>
    <row r="99" spans="1:2" ht="15.75" thickBot="1" x14ac:dyDescent="0.3">
      <c r="A99" s="28"/>
      <c r="B99" s="25"/>
    </row>
    <row r="100" spans="1:2" ht="15.75" thickBot="1" x14ac:dyDescent="0.3">
      <c r="A100" s="28"/>
      <c r="B100" s="25"/>
    </row>
    <row r="101" spans="1:2" ht="15.75" thickBot="1" x14ac:dyDescent="0.3">
      <c r="A101" s="28"/>
      <c r="B101" s="25"/>
    </row>
    <row r="102" spans="1:2" ht="15.75" thickBot="1" x14ac:dyDescent="0.3">
      <c r="A102" s="28"/>
      <c r="B102" s="25"/>
    </row>
    <row r="103" spans="1:2" ht="15.75" thickBot="1" x14ac:dyDescent="0.3">
      <c r="A103" s="28"/>
      <c r="B103" s="25"/>
    </row>
    <row r="104" spans="1:2" ht="15.75" thickBot="1" x14ac:dyDescent="0.3">
      <c r="A104" s="28"/>
      <c r="B104" s="25"/>
    </row>
    <row r="105" spans="1:2" ht="15.75" thickBot="1" x14ac:dyDescent="0.3">
      <c r="A105" s="28"/>
      <c r="B105" s="25"/>
    </row>
    <row r="106" spans="1:2" ht="15.75" thickBot="1" x14ac:dyDescent="0.3">
      <c r="A106" s="28"/>
      <c r="B106" s="25"/>
    </row>
    <row r="107" spans="1:2" ht="15.75" thickBot="1" x14ac:dyDescent="0.3">
      <c r="A107" s="28"/>
      <c r="B107" s="25"/>
    </row>
    <row r="108" spans="1:2" ht="15.75" thickBot="1" x14ac:dyDescent="0.3">
      <c r="A108" s="28"/>
      <c r="B108" s="25"/>
    </row>
    <row r="109" spans="1:2" ht="15.75" thickBot="1" x14ac:dyDescent="0.3">
      <c r="A109" s="28"/>
      <c r="B109" s="25"/>
    </row>
    <row r="110" spans="1:2" ht="15.75" thickBot="1" x14ac:dyDescent="0.3">
      <c r="A110" s="28"/>
      <c r="B110" s="25"/>
    </row>
    <row r="111" spans="1:2" ht="15.75" thickBot="1" x14ac:dyDescent="0.3">
      <c r="A111" s="28"/>
      <c r="B111" s="25"/>
    </row>
    <row r="112" spans="1:2" ht="15.75" thickBot="1" x14ac:dyDescent="0.3">
      <c r="A112" s="28"/>
      <c r="B112" s="25"/>
    </row>
    <row r="113" spans="1:2" ht="15.75" thickBot="1" x14ac:dyDescent="0.3">
      <c r="A113" s="28"/>
      <c r="B113" s="25"/>
    </row>
    <row r="114" spans="1:2" ht="15.75" thickBot="1" x14ac:dyDescent="0.3">
      <c r="A114" s="28"/>
      <c r="B114" s="25"/>
    </row>
    <row r="115" spans="1:2" ht="15.75" thickBot="1" x14ac:dyDescent="0.3">
      <c r="A115" s="28"/>
      <c r="B115" s="25"/>
    </row>
    <row r="116" spans="1:2" ht="15.75" thickBot="1" x14ac:dyDescent="0.3">
      <c r="A116" s="28"/>
      <c r="B116" s="25"/>
    </row>
    <row r="117" spans="1:2" ht="15.75" thickBot="1" x14ac:dyDescent="0.3">
      <c r="A117" s="28"/>
      <c r="B117" s="25"/>
    </row>
    <row r="118" spans="1:2" ht="15.75" thickBot="1" x14ac:dyDescent="0.3">
      <c r="A118" s="28"/>
      <c r="B118" s="25"/>
    </row>
    <row r="119" spans="1:2" ht="15.75" thickBot="1" x14ac:dyDescent="0.3">
      <c r="A119" s="28"/>
      <c r="B119" s="25"/>
    </row>
    <row r="120" spans="1:2" ht="15.75" thickBot="1" x14ac:dyDescent="0.3">
      <c r="A120" s="28"/>
      <c r="B120" s="25"/>
    </row>
    <row r="121" spans="1:2" ht="15.75" thickBot="1" x14ac:dyDescent="0.3">
      <c r="A121" s="28"/>
      <c r="B121" s="25"/>
    </row>
    <row r="122" spans="1:2" ht="15.75" thickBot="1" x14ac:dyDescent="0.3">
      <c r="A122" s="28"/>
      <c r="B122" s="25"/>
    </row>
    <row r="123" spans="1:2" ht="15.75" thickBot="1" x14ac:dyDescent="0.3">
      <c r="A123" s="28"/>
      <c r="B123" s="25"/>
    </row>
    <row r="124" spans="1:2" ht="15.75" thickBot="1" x14ac:dyDescent="0.3">
      <c r="A124" s="28"/>
      <c r="B124" s="25"/>
    </row>
    <row r="125" spans="1:2" ht="15.75" thickBot="1" x14ac:dyDescent="0.3">
      <c r="A125" s="28"/>
      <c r="B125" s="25"/>
    </row>
    <row r="126" spans="1:2" ht="15.75" thickBot="1" x14ac:dyDescent="0.3">
      <c r="A126" s="28"/>
      <c r="B126" s="25"/>
    </row>
    <row r="127" spans="1:2" ht="15.75" thickBot="1" x14ac:dyDescent="0.3">
      <c r="A127" s="28"/>
      <c r="B127" s="25"/>
    </row>
    <row r="128" spans="1:2" ht="15.75" thickBot="1" x14ac:dyDescent="0.3">
      <c r="A128" s="28"/>
      <c r="B128" s="25"/>
    </row>
    <row r="129" spans="1:2" ht="15.75" thickBot="1" x14ac:dyDescent="0.3">
      <c r="A129" s="28"/>
      <c r="B129" s="25"/>
    </row>
    <row r="130" spans="1:2" ht="15.75" thickBot="1" x14ac:dyDescent="0.3">
      <c r="A130" s="28"/>
      <c r="B130" s="25"/>
    </row>
    <row r="131" spans="1:2" ht="15.75" thickBot="1" x14ac:dyDescent="0.3">
      <c r="A131" s="28"/>
      <c r="B131" s="25"/>
    </row>
    <row r="132" spans="1:2" ht="15.75" thickBot="1" x14ac:dyDescent="0.3">
      <c r="A132" s="28"/>
      <c r="B132" s="25"/>
    </row>
    <row r="133" spans="1:2" ht="15.75" thickBot="1" x14ac:dyDescent="0.3">
      <c r="A133" s="28"/>
      <c r="B133" s="25"/>
    </row>
    <row r="134" spans="1:2" ht="15.75" thickBot="1" x14ac:dyDescent="0.3">
      <c r="A134" s="28"/>
      <c r="B134" s="25"/>
    </row>
    <row r="135" spans="1:2" ht="15.75" thickBot="1" x14ac:dyDescent="0.3">
      <c r="A135" s="28"/>
      <c r="B135" s="25"/>
    </row>
    <row r="136" spans="1:2" ht="15.75" thickBot="1" x14ac:dyDescent="0.3">
      <c r="A136" s="28"/>
      <c r="B136" s="25"/>
    </row>
    <row r="137" spans="1:2" ht="15.75" thickBot="1" x14ac:dyDescent="0.3">
      <c r="A137" s="28"/>
      <c r="B137" s="25"/>
    </row>
    <row r="138" spans="1:2" ht="15.75" thickBot="1" x14ac:dyDescent="0.3">
      <c r="A138" s="28"/>
      <c r="B138" s="25"/>
    </row>
    <row r="139" spans="1:2" ht="15.75" thickBot="1" x14ac:dyDescent="0.3">
      <c r="A139" s="28"/>
      <c r="B139" s="25"/>
    </row>
    <row r="140" spans="1:2" ht="15.75" thickBot="1" x14ac:dyDescent="0.3">
      <c r="A140" s="28"/>
      <c r="B140" s="25"/>
    </row>
    <row r="141" spans="1:2" ht="15.75" thickBot="1" x14ac:dyDescent="0.3">
      <c r="A141" s="28"/>
      <c r="B141" s="25"/>
    </row>
    <row r="142" spans="1:2" ht="15.75" thickBot="1" x14ac:dyDescent="0.3">
      <c r="A142" s="28"/>
      <c r="B142" s="25"/>
    </row>
    <row r="143" spans="1:2" ht="15.75" thickBot="1" x14ac:dyDescent="0.3">
      <c r="A143" s="28"/>
      <c r="B143" s="25"/>
    </row>
    <row r="144" spans="1:2" ht="15.75" thickBot="1" x14ac:dyDescent="0.3">
      <c r="A144" s="28"/>
      <c r="B144" s="25"/>
    </row>
    <row r="145" spans="1:2" ht="15.75" thickBot="1" x14ac:dyDescent="0.3">
      <c r="A145" s="28"/>
      <c r="B145" s="25"/>
    </row>
    <row r="146" spans="1:2" ht="15.75" thickBot="1" x14ac:dyDescent="0.3">
      <c r="A146" s="28"/>
      <c r="B146" s="25"/>
    </row>
    <row r="147" spans="1:2" ht="15.75" thickBot="1" x14ac:dyDescent="0.3">
      <c r="A147" s="28"/>
      <c r="B147" s="25"/>
    </row>
    <row r="148" spans="1:2" ht="15.75" thickBot="1" x14ac:dyDescent="0.3">
      <c r="A148" s="28"/>
      <c r="B148" s="25"/>
    </row>
    <row r="149" spans="1:2" ht="15.75" thickBot="1" x14ac:dyDescent="0.3">
      <c r="A149" s="28"/>
      <c r="B149" s="25"/>
    </row>
    <row r="150" spans="1:2" ht="15.75" thickBot="1" x14ac:dyDescent="0.3">
      <c r="A150" s="28"/>
      <c r="B150" s="25"/>
    </row>
    <row r="151" spans="1:2" ht="15.75" thickBot="1" x14ac:dyDescent="0.3">
      <c r="A151" s="28"/>
      <c r="B151" s="25"/>
    </row>
    <row r="152" spans="1:2" ht="15.75" thickBot="1" x14ac:dyDescent="0.3">
      <c r="A152" s="28"/>
      <c r="B152" s="25"/>
    </row>
    <row r="153" spans="1:2" ht="15.75" thickBot="1" x14ac:dyDescent="0.3">
      <c r="A153" s="28"/>
      <c r="B153" s="25"/>
    </row>
    <row r="154" spans="1:2" ht="15.75" thickBot="1" x14ac:dyDescent="0.3">
      <c r="A154" s="28"/>
      <c r="B154" s="25"/>
    </row>
    <row r="155" spans="1:2" ht="15.75" thickBot="1" x14ac:dyDescent="0.3">
      <c r="A155" s="28"/>
      <c r="B155" s="25"/>
    </row>
    <row r="156" spans="1:2" ht="15.75" thickBot="1" x14ac:dyDescent="0.3">
      <c r="A156" s="28"/>
      <c r="B156" s="25"/>
    </row>
    <row r="157" spans="1:2" ht="15.75" thickBot="1" x14ac:dyDescent="0.3">
      <c r="A157" s="28"/>
      <c r="B157" s="25"/>
    </row>
    <row r="158" spans="1:2" ht="15.75" thickBot="1" x14ac:dyDescent="0.3">
      <c r="A158" s="28"/>
      <c r="B158" s="25"/>
    </row>
    <row r="159" spans="1:2" ht="15.75" thickBot="1" x14ac:dyDescent="0.3">
      <c r="A159" s="28"/>
      <c r="B159" s="25"/>
    </row>
    <row r="160" spans="1:2" ht="15.75" thickBot="1" x14ac:dyDescent="0.3">
      <c r="A160" s="28"/>
      <c r="B160" s="25"/>
    </row>
    <row r="161" spans="1:2" ht="15.75" thickBot="1" x14ac:dyDescent="0.3">
      <c r="A161" s="28"/>
      <c r="B161" s="25"/>
    </row>
    <row r="162" spans="1:2" ht="15.75" thickBot="1" x14ac:dyDescent="0.3">
      <c r="A162" s="28"/>
      <c r="B162" s="25"/>
    </row>
    <row r="163" spans="1:2" ht="15.75" thickBot="1" x14ac:dyDescent="0.3">
      <c r="A163" s="28"/>
      <c r="B163" s="25"/>
    </row>
    <row r="164" spans="1:2" ht="15.75" thickBot="1" x14ac:dyDescent="0.3">
      <c r="A164" s="28"/>
      <c r="B164" s="25"/>
    </row>
    <row r="165" spans="1:2" ht="15.75" thickBot="1" x14ac:dyDescent="0.3">
      <c r="A165" s="28"/>
      <c r="B165" s="25"/>
    </row>
    <row r="166" spans="1:2" ht="15.75" thickBot="1" x14ac:dyDescent="0.3">
      <c r="A166" s="28"/>
      <c r="B166" s="25"/>
    </row>
    <row r="167" spans="1:2" ht="15.75" thickBot="1" x14ac:dyDescent="0.3">
      <c r="A167" s="28"/>
      <c r="B167" s="25"/>
    </row>
    <row r="168" spans="1:2" ht="15.75" thickBot="1" x14ac:dyDescent="0.3">
      <c r="A168" s="28"/>
      <c r="B168" s="25"/>
    </row>
    <row r="169" spans="1:2" ht="15.75" thickBot="1" x14ac:dyDescent="0.3">
      <c r="A169" s="28"/>
      <c r="B169" s="25"/>
    </row>
    <row r="170" spans="1:2" ht="15.75" thickBot="1" x14ac:dyDescent="0.3">
      <c r="A170" s="28"/>
      <c r="B170" s="25"/>
    </row>
    <row r="171" spans="1:2" ht="15.75" thickBot="1" x14ac:dyDescent="0.3">
      <c r="A171" s="28"/>
      <c r="B171" s="25"/>
    </row>
    <row r="172" spans="1:2" ht="15.75" thickBot="1" x14ac:dyDescent="0.3">
      <c r="A172" s="28"/>
      <c r="B172" s="25"/>
    </row>
    <row r="173" spans="1:2" ht="15.75" thickBot="1" x14ac:dyDescent="0.3">
      <c r="A173" s="28"/>
      <c r="B173" s="25"/>
    </row>
    <row r="174" spans="1:2" ht="15.75" thickBot="1" x14ac:dyDescent="0.3">
      <c r="A174" s="28"/>
      <c r="B174" s="25"/>
    </row>
    <row r="175" spans="1:2" ht="15.75" thickBot="1" x14ac:dyDescent="0.3">
      <c r="A175" s="28"/>
      <c r="B175" s="25"/>
    </row>
    <row r="176" spans="1:2" ht="15.75" thickBot="1" x14ac:dyDescent="0.3">
      <c r="A176" s="28"/>
      <c r="B176" s="25"/>
    </row>
    <row r="177" spans="1:2" ht="15.75" thickBot="1" x14ac:dyDescent="0.3">
      <c r="A177" s="28"/>
      <c r="B177" s="25"/>
    </row>
    <row r="178" spans="1:2" ht="15.75" thickBot="1" x14ac:dyDescent="0.3">
      <c r="A178" s="28"/>
      <c r="B178" s="25"/>
    </row>
    <row r="179" spans="1:2" ht="15.75" thickBot="1" x14ac:dyDescent="0.3">
      <c r="A179" s="28"/>
      <c r="B179" s="25"/>
    </row>
    <row r="180" spans="1:2" ht="15.75" thickBot="1" x14ac:dyDescent="0.3">
      <c r="A180" s="28"/>
      <c r="B180" s="25"/>
    </row>
    <row r="181" spans="1:2" ht="15.75" thickBot="1" x14ac:dyDescent="0.3">
      <c r="A181" s="28"/>
      <c r="B181" s="25"/>
    </row>
    <row r="182" spans="1:2" ht="15.75" thickBot="1" x14ac:dyDescent="0.3">
      <c r="A182" s="28"/>
      <c r="B182" s="25"/>
    </row>
    <row r="183" spans="1:2" ht="15.75" thickBot="1" x14ac:dyDescent="0.3">
      <c r="A183" s="28"/>
      <c r="B183" s="25"/>
    </row>
    <row r="184" spans="1:2" ht="15.75" thickBot="1" x14ac:dyDescent="0.3">
      <c r="A184" s="28"/>
      <c r="B184" s="25"/>
    </row>
    <row r="185" spans="1:2" ht="15.75" thickBot="1" x14ac:dyDescent="0.3">
      <c r="A185" s="28"/>
      <c r="B185" s="25"/>
    </row>
    <row r="186" spans="1:2" ht="15.75" thickBot="1" x14ac:dyDescent="0.3">
      <c r="A186" s="28"/>
      <c r="B186" s="25"/>
    </row>
    <row r="187" spans="1:2" ht="15.75" thickBot="1" x14ac:dyDescent="0.3">
      <c r="A187" s="28"/>
      <c r="B187" s="25"/>
    </row>
    <row r="188" spans="1:2" ht="15.75" thickBot="1" x14ac:dyDescent="0.3">
      <c r="A188" s="28"/>
      <c r="B188" s="25"/>
    </row>
    <row r="189" spans="1:2" ht="15.75" thickBot="1" x14ac:dyDescent="0.3">
      <c r="A189" s="28"/>
      <c r="B189" s="25"/>
    </row>
    <row r="190" spans="1:2" ht="15.75" thickBot="1" x14ac:dyDescent="0.3">
      <c r="A190" s="28"/>
      <c r="B190" s="25"/>
    </row>
    <row r="191" spans="1:2" ht="15.75" thickBot="1" x14ac:dyDescent="0.3">
      <c r="A191" s="28"/>
      <c r="B191" s="25"/>
    </row>
    <row r="192" spans="1:2" ht="15.75" thickBot="1" x14ac:dyDescent="0.3">
      <c r="A192" s="28"/>
      <c r="B192" s="25"/>
    </row>
    <row r="193" spans="1:2" ht="15.75" thickBot="1" x14ac:dyDescent="0.3">
      <c r="A193" s="28"/>
      <c r="B193" s="25"/>
    </row>
    <row r="194" spans="1:2" ht="15.75" thickBot="1" x14ac:dyDescent="0.3">
      <c r="A194" s="28"/>
      <c r="B194" s="25"/>
    </row>
    <row r="195" spans="1:2" ht="15.75" thickBot="1" x14ac:dyDescent="0.3">
      <c r="A195" s="28"/>
      <c r="B195" s="25"/>
    </row>
    <row r="196" spans="1:2" ht="15.75" thickBot="1" x14ac:dyDescent="0.3">
      <c r="A196" s="28"/>
      <c r="B196" s="25"/>
    </row>
    <row r="197" spans="1:2" ht="15.75" thickBot="1" x14ac:dyDescent="0.3">
      <c r="A197" s="28"/>
      <c r="B197" s="25"/>
    </row>
    <row r="198" spans="1:2" ht="15.75" thickBot="1" x14ac:dyDescent="0.3">
      <c r="A198" s="28"/>
      <c r="B198" s="25"/>
    </row>
    <row r="199" spans="1:2" ht="15.75" thickBot="1" x14ac:dyDescent="0.3">
      <c r="A199" s="28"/>
      <c r="B199" s="25"/>
    </row>
    <row r="200" spans="1:2" ht="15.75" thickBot="1" x14ac:dyDescent="0.3">
      <c r="A200" s="28"/>
      <c r="B200" s="25"/>
    </row>
    <row r="201" spans="1:2" ht="15.75" thickBot="1" x14ac:dyDescent="0.3">
      <c r="A201" s="28"/>
      <c r="B201" s="25"/>
    </row>
    <row r="202" spans="1:2" ht="15.75" thickBot="1" x14ac:dyDescent="0.3">
      <c r="A202" s="28"/>
      <c r="B202" s="25"/>
    </row>
    <row r="203" spans="1:2" ht="15.75" thickBot="1" x14ac:dyDescent="0.3">
      <c r="A203" s="28"/>
      <c r="B203" s="25"/>
    </row>
    <row r="204" spans="1:2" ht="15.75" thickBot="1" x14ac:dyDescent="0.3">
      <c r="A204" s="28"/>
      <c r="B204" s="25"/>
    </row>
    <row r="205" spans="1:2" ht="15.75" thickBot="1" x14ac:dyDescent="0.3">
      <c r="A205" s="28"/>
      <c r="B205" s="25"/>
    </row>
    <row r="206" spans="1:2" ht="15.75" thickBot="1" x14ac:dyDescent="0.3">
      <c r="A206" s="28"/>
      <c r="B206" s="25"/>
    </row>
    <row r="207" spans="1:2" ht="15.75" thickBot="1" x14ac:dyDescent="0.3">
      <c r="A207" s="28"/>
      <c r="B207" s="25"/>
    </row>
    <row r="208" spans="1:2" ht="15.75" thickBot="1" x14ac:dyDescent="0.3">
      <c r="A208" s="28"/>
      <c r="B208" s="25"/>
    </row>
    <row r="209" spans="1:2" ht="15.75" thickBot="1" x14ac:dyDescent="0.3">
      <c r="A209" s="28"/>
      <c r="B209" s="25"/>
    </row>
    <row r="210" spans="1:2" ht="15.75" thickBot="1" x14ac:dyDescent="0.3">
      <c r="A210" s="28"/>
      <c r="B210" s="25"/>
    </row>
    <row r="211" spans="1:2" ht="15.75" thickBot="1" x14ac:dyDescent="0.3">
      <c r="A211" s="28"/>
      <c r="B211" s="25"/>
    </row>
    <row r="212" spans="1:2" ht="15.75" thickBot="1" x14ac:dyDescent="0.3">
      <c r="A212" s="28"/>
      <c r="B212" s="25"/>
    </row>
    <row r="213" spans="1:2" ht="15.75" thickBot="1" x14ac:dyDescent="0.3">
      <c r="A213" s="28"/>
      <c r="B213" s="25"/>
    </row>
    <row r="214" spans="1:2" ht="15.75" thickBot="1" x14ac:dyDescent="0.3">
      <c r="A214" s="28"/>
      <c r="B214" s="25"/>
    </row>
    <row r="215" spans="1:2" ht="15.75" thickBot="1" x14ac:dyDescent="0.3">
      <c r="A215" s="28"/>
      <c r="B215" s="25"/>
    </row>
    <row r="216" spans="1:2" ht="15.75" thickBot="1" x14ac:dyDescent="0.3">
      <c r="A216" s="28"/>
      <c r="B216" s="25"/>
    </row>
    <row r="217" spans="1:2" ht="15.75" thickBot="1" x14ac:dyDescent="0.3">
      <c r="A217" s="28"/>
      <c r="B217" s="25"/>
    </row>
    <row r="218" spans="1:2" ht="15.75" thickBot="1" x14ac:dyDescent="0.3">
      <c r="A218" s="28"/>
      <c r="B218" s="25"/>
    </row>
    <row r="219" spans="1:2" ht="15.75" thickBot="1" x14ac:dyDescent="0.3">
      <c r="A219" s="28"/>
      <c r="B219" s="25"/>
    </row>
    <row r="220" spans="1:2" ht="15.75" thickBot="1" x14ac:dyDescent="0.3">
      <c r="A220" s="28"/>
      <c r="B220" s="25"/>
    </row>
    <row r="221" spans="1:2" ht="15.75" thickBot="1" x14ac:dyDescent="0.3">
      <c r="A221" s="28"/>
      <c r="B221" s="25"/>
    </row>
    <row r="222" spans="1:2" ht="15.75" thickBot="1" x14ac:dyDescent="0.3">
      <c r="A222" s="28"/>
      <c r="B222" s="25"/>
    </row>
    <row r="223" spans="1:2" ht="15.75" thickBot="1" x14ac:dyDescent="0.3">
      <c r="A223" s="28"/>
      <c r="B223" s="25"/>
    </row>
    <row r="224" spans="1:2" ht="15.75" thickBot="1" x14ac:dyDescent="0.3">
      <c r="A224" s="28"/>
      <c r="B224" s="25"/>
    </row>
    <row r="225" spans="1:2" ht="15.75" thickBot="1" x14ac:dyDescent="0.3">
      <c r="A225" s="28"/>
      <c r="B225" s="25"/>
    </row>
    <row r="226" spans="1:2" ht="15.75" thickBot="1" x14ac:dyDescent="0.3">
      <c r="A226" s="28"/>
      <c r="B226" s="25"/>
    </row>
    <row r="227" spans="1:2" ht="15.75" thickBot="1" x14ac:dyDescent="0.3">
      <c r="A227" s="28"/>
      <c r="B227" s="25"/>
    </row>
    <row r="228" spans="1:2" ht="15.75" thickBot="1" x14ac:dyDescent="0.3">
      <c r="A228" s="28"/>
      <c r="B228" s="25"/>
    </row>
    <row r="229" spans="1:2" ht="15.75" thickBot="1" x14ac:dyDescent="0.3">
      <c r="A229" s="28"/>
      <c r="B229" s="25"/>
    </row>
    <row r="230" spans="1:2" ht="15.75" thickBot="1" x14ac:dyDescent="0.3">
      <c r="A230" s="28"/>
      <c r="B230" s="25"/>
    </row>
    <row r="231" spans="1:2" ht="15.75" thickBot="1" x14ac:dyDescent="0.3">
      <c r="A231" s="28"/>
      <c r="B231" s="25"/>
    </row>
    <row r="232" spans="1:2" ht="15.75" thickBot="1" x14ac:dyDescent="0.3">
      <c r="A232" s="28"/>
      <c r="B232" s="25"/>
    </row>
    <row r="233" spans="1:2" ht="15.75" thickBot="1" x14ac:dyDescent="0.3">
      <c r="A233" s="28"/>
      <c r="B233" s="25"/>
    </row>
    <row r="234" spans="1:2" ht="15.75" thickBot="1" x14ac:dyDescent="0.3">
      <c r="A234" s="28"/>
      <c r="B234" s="25"/>
    </row>
    <row r="235" spans="1:2" ht="15.75" thickBot="1" x14ac:dyDescent="0.3">
      <c r="A235" s="28"/>
      <c r="B235" s="25"/>
    </row>
    <row r="236" spans="1:2" ht="15.75" thickBot="1" x14ac:dyDescent="0.3">
      <c r="A236" s="28"/>
      <c r="B236" s="25"/>
    </row>
    <row r="237" spans="1:2" ht="15.75" thickBot="1" x14ac:dyDescent="0.3">
      <c r="A237" s="28"/>
      <c r="B237" s="25"/>
    </row>
    <row r="238" spans="1:2" ht="15.75" thickBot="1" x14ac:dyDescent="0.3">
      <c r="A238" s="28"/>
      <c r="B238" s="25"/>
    </row>
    <row r="239" spans="1:2" ht="15.75" thickBot="1" x14ac:dyDescent="0.3">
      <c r="A239" s="28"/>
      <c r="B239" s="25"/>
    </row>
    <row r="240" spans="1:2" ht="15.75" thickBot="1" x14ac:dyDescent="0.3">
      <c r="A240" s="28"/>
      <c r="B240" s="25"/>
    </row>
    <row r="241" spans="1:2" ht="15.75" thickBot="1" x14ac:dyDescent="0.3">
      <c r="A241" s="28"/>
      <c r="B241" s="25"/>
    </row>
    <row r="242" spans="1:2" ht="15.75" thickBot="1" x14ac:dyDescent="0.3">
      <c r="A242" s="28"/>
      <c r="B242" s="25"/>
    </row>
    <row r="243" spans="1:2" ht="15.75" thickBot="1" x14ac:dyDescent="0.3">
      <c r="A243" s="28"/>
      <c r="B243" s="25"/>
    </row>
    <row r="244" spans="1:2" ht="15.75" thickBot="1" x14ac:dyDescent="0.3">
      <c r="A244" s="28"/>
      <c r="B244" s="25"/>
    </row>
    <row r="245" spans="1:2" ht="15.75" thickBot="1" x14ac:dyDescent="0.3">
      <c r="A245" s="28"/>
      <c r="B245" s="25"/>
    </row>
    <row r="246" spans="1:2" ht="15.75" thickBot="1" x14ac:dyDescent="0.3">
      <c r="A246" s="28"/>
      <c r="B246" s="25"/>
    </row>
    <row r="247" spans="1:2" ht="15.75" thickBot="1" x14ac:dyDescent="0.3">
      <c r="A247" s="28"/>
      <c r="B247" s="25"/>
    </row>
    <row r="248" spans="1:2" ht="15.75" thickBot="1" x14ac:dyDescent="0.3">
      <c r="A248" s="28"/>
      <c r="B248" s="25"/>
    </row>
    <row r="249" spans="1:2" ht="15.75" thickBot="1" x14ac:dyDescent="0.3">
      <c r="A249" s="28"/>
      <c r="B249" s="25"/>
    </row>
    <row r="250" spans="1:2" ht="15.75" thickBot="1" x14ac:dyDescent="0.3">
      <c r="A250" s="28"/>
      <c r="B250" s="25"/>
    </row>
    <row r="251" spans="1:2" ht="15.75" thickBot="1" x14ac:dyDescent="0.3">
      <c r="A251" s="28"/>
      <c r="B251" s="25"/>
    </row>
    <row r="252" spans="1:2" ht="15.75" thickBot="1" x14ac:dyDescent="0.3">
      <c r="A252" s="28"/>
      <c r="B252" s="25"/>
    </row>
    <row r="253" spans="1:2" ht="15.75" thickBot="1" x14ac:dyDescent="0.3">
      <c r="A253" s="28"/>
      <c r="B253" s="25"/>
    </row>
    <row r="254" spans="1:2" ht="15.75" thickBot="1" x14ac:dyDescent="0.3">
      <c r="A254" s="28"/>
      <c r="B254" s="25"/>
    </row>
    <row r="255" spans="1:2" ht="15.75" thickBot="1" x14ac:dyDescent="0.3">
      <c r="A255" s="28"/>
      <c r="B255" s="25"/>
    </row>
    <row r="256" spans="1:2" ht="15.75" thickBot="1" x14ac:dyDescent="0.3">
      <c r="A256" s="28"/>
      <c r="B256" s="25"/>
    </row>
    <row r="257" spans="1:2" ht="15.75" thickBot="1" x14ac:dyDescent="0.3">
      <c r="A257" s="28"/>
      <c r="B257" s="25"/>
    </row>
    <row r="258" spans="1:2" ht="15.75" thickBot="1" x14ac:dyDescent="0.3">
      <c r="A258" s="28"/>
      <c r="B258" s="25"/>
    </row>
    <row r="259" spans="1:2" ht="15.75" thickBot="1" x14ac:dyDescent="0.3">
      <c r="A259" s="28"/>
      <c r="B259" s="25"/>
    </row>
    <row r="260" spans="1:2" ht="15.75" thickBot="1" x14ac:dyDescent="0.3">
      <c r="A260" s="28"/>
      <c r="B260" s="25"/>
    </row>
    <row r="261" spans="1:2" ht="15.75" thickBot="1" x14ac:dyDescent="0.3">
      <c r="A261" s="28"/>
      <c r="B261" s="25"/>
    </row>
    <row r="262" spans="1:2" ht="15.75" thickBot="1" x14ac:dyDescent="0.3">
      <c r="A262" s="28"/>
      <c r="B262" s="25"/>
    </row>
    <row r="263" spans="1:2" ht="15.75" thickBot="1" x14ac:dyDescent="0.3">
      <c r="A263" s="28"/>
      <c r="B263" s="25"/>
    </row>
    <row r="264" spans="1:2" ht="15.75" thickBot="1" x14ac:dyDescent="0.3">
      <c r="A264" s="28"/>
      <c r="B264" s="25"/>
    </row>
    <row r="265" spans="1:2" ht="15.75" thickBot="1" x14ac:dyDescent="0.3">
      <c r="A265" s="28"/>
      <c r="B265" s="25"/>
    </row>
    <row r="266" spans="1:2" ht="15.75" thickBot="1" x14ac:dyDescent="0.3">
      <c r="A266" s="28"/>
      <c r="B266" s="25"/>
    </row>
    <row r="267" spans="1:2" ht="15.75" thickBot="1" x14ac:dyDescent="0.3">
      <c r="A267" s="28"/>
      <c r="B267" s="25"/>
    </row>
    <row r="268" spans="1:2" ht="15.75" thickBot="1" x14ac:dyDescent="0.3">
      <c r="A268" s="28"/>
      <c r="B268" s="25"/>
    </row>
    <row r="269" spans="1:2" ht="15.75" thickBot="1" x14ac:dyDescent="0.3">
      <c r="A269" s="28"/>
      <c r="B269" s="25"/>
    </row>
    <row r="270" spans="1:2" ht="15.75" thickBot="1" x14ac:dyDescent="0.3">
      <c r="A270" s="28"/>
      <c r="B270" s="25"/>
    </row>
    <row r="271" spans="1:2" ht="15.75" thickBot="1" x14ac:dyDescent="0.3">
      <c r="A271" s="28"/>
      <c r="B271" s="25"/>
    </row>
    <row r="272" spans="1:2" ht="15.75" thickBot="1" x14ac:dyDescent="0.3">
      <c r="A272" s="28"/>
      <c r="B272" s="25"/>
    </row>
    <row r="273" spans="1:2" ht="15.75" thickBot="1" x14ac:dyDescent="0.3">
      <c r="A273" s="28"/>
      <c r="B273" s="25"/>
    </row>
    <row r="274" spans="1:2" ht="15.75" thickBot="1" x14ac:dyDescent="0.3">
      <c r="A274" s="28"/>
      <c r="B274" s="25"/>
    </row>
    <row r="275" spans="1:2" ht="15.75" thickBot="1" x14ac:dyDescent="0.3">
      <c r="A275" s="28"/>
      <c r="B275" s="25"/>
    </row>
    <row r="276" spans="1:2" ht="15.75" thickBot="1" x14ac:dyDescent="0.3">
      <c r="A276" s="28"/>
      <c r="B276" s="25"/>
    </row>
    <row r="277" spans="1:2" ht="15.75" thickBot="1" x14ac:dyDescent="0.3">
      <c r="A277" s="28"/>
      <c r="B277" s="25"/>
    </row>
    <row r="278" spans="1:2" ht="15.75" thickBot="1" x14ac:dyDescent="0.3">
      <c r="A278" s="28"/>
      <c r="B278" s="25"/>
    </row>
    <row r="279" spans="1:2" ht="15.75" thickBot="1" x14ac:dyDescent="0.3">
      <c r="A279" s="28"/>
      <c r="B279" s="25"/>
    </row>
    <row r="280" spans="1:2" ht="15.75" thickBot="1" x14ac:dyDescent="0.3">
      <c r="A280" s="28"/>
      <c r="B280" s="25"/>
    </row>
    <row r="281" spans="1:2" ht="15.75" thickBot="1" x14ac:dyDescent="0.3">
      <c r="A281" s="28"/>
      <c r="B281" s="25"/>
    </row>
    <row r="282" spans="1:2" ht="15.75" thickBot="1" x14ac:dyDescent="0.3">
      <c r="A282" s="28"/>
      <c r="B282" s="25"/>
    </row>
    <row r="283" spans="1:2" ht="15.75" thickBot="1" x14ac:dyDescent="0.3">
      <c r="A283" s="28"/>
      <c r="B283" s="25"/>
    </row>
    <row r="284" spans="1:2" ht="15.75" thickBot="1" x14ac:dyDescent="0.3">
      <c r="A284" s="28"/>
      <c r="B284" s="25"/>
    </row>
    <row r="285" spans="1:2" ht="15.75" thickBot="1" x14ac:dyDescent="0.3">
      <c r="A285" s="28"/>
      <c r="B285" s="25"/>
    </row>
    <row r="286" spans="1:2" ht="15.75" thickBot="1" x14ac:dyDescent="0.3">
      <c r="A286" s="28"/>
      <c r="B286" s="25"/>
    </row>
    <row r="287" spans="1:2" ht="15.75" thickBot="1" x14ac:dyDescent="0.3">
      <c r="A287" s="28"/>
      <c r="B287" s="25"/>
    </row>
    <row r="288" spans="1:2" ht="15.75" thickBot="1" x14ac:dyDescent="0.3">
      <c r="A288" s="28"/>
      <c r="B288" s="25"/>
    </row>
    <row r="289" spans="1:2" ht="15.75" thickBot="1" x14ac:dyDescent="0.3">
      <c r="A289" s="28"/>
      <c r="B289" s="25"/>
    </row>
    <row r="290" spans="1:2" ht="15.75" thickBot="1" x14ac:dyDescent="0.3">
      <c r="A290" s="28"/>
      <c r="B290" s="25"/>
    </row>
    <row r="291" spans="1:2" ht="15.75" thickBot="1" x14ac:dyDescent="0.3">
      <c r="A291" s="28"/>
      <c r="B291" s="25"/>
    </row>
    <row r="292" spans="1:2" ht="15.75" thickBot="1" x14ac:dyDescent="0.3">
      <c r="A292" s="28"/>
      <c r="B292" s="25"/>
    </row>
    <row r="293" spans="1:2" ht="15.75" thickBot="1" x14ac:dyDescent="0.3">
      <c r="A293" s="28"/>
      <c r="B293" s="25"/>
    </row>
    <row r="294" spans="1:2" ht="15.75" thickBot="1" x14ac:dyDescent="0.3">
      <c r="A294" s="28"/>
      <c r="B294" s="25"/>
    </row>
    <row r="295" spans="1:2" ht="15.75" thickBot="1" x14ac:dyDescent="0.3">
      <c r="A295" s="28"/>
      <c r="B295" s="25"/>
    </row>
    <row r="296" spans="1:2" ht="15.75" thickBot="1" x14ac:dyDescent="0.3">
      <c r="A296" s="28"/>
      <c r="B296" s="25"/>
    </row>
    <row r="297" spans="1:2" ht="15.75" thickBot="1" x14ac:dyDescent="0.3">
      <c r="A297" s="28"/>
      <c r="B297" s="25"/>
    </row>
    <row r="298" spans="1:2" ht="15.75" thickBot="1" x14ac:dyDescent="0.3">
      <c r="A298" s="28"/>
      <c r="B298" s="25"/>
    </row>
    <row r="299" spans="1:2" ht="15.75" thickBot="1" x14ac:dyDescent="0.3">
      <c r="A299" s="28"/>
      <c r="B299" s="25"/>
    </row>
    <row r="300" spans="1:2" ht="15.75" thickBot="1" x14ac:dyDescent="0.3">
      <c r="A300" s="28"/>
      <c r="B300" s="25"/>
    </row>
    <row r="301" spans="1:2" ht="15.75" thickBot="1" x14ac:dyDescent="0.3">
      <c r="A301" s="28"/>
      <c r="B301" s="25"/>
    </row>
    <row r="302" spans="1:2" ht="15.75" thickBot="1" x14ac:dyDescent="0.3">
      <c r="A302" s="28"/>
      <c r="B302" s="25"/>
    </row>
    <row r="303" spans="1:2" ht="15.75" thickBot="1" x14ac:dyDescent="0.3">
      <c r="A303" s="28"/>
      <c r="B303" s="25"/>
    </row>
    <row r="304" spans="1:2" ht="15.75" thickBot="1" x14ac:dyDescent="0.3">
      <c r="A304" s="28"/>
      <c r="B304" s="25"/>
    </row>
    <row r="305" spans="1:2" ht="15.75" thickBot="1" x14ac:dyDescent="0.3">
      <c r="A305" s="28"/>
      <c r="B305" s="25"/>
    </row>
    <row r="306" spans="1:2" ht="15.75" thickBot="1" x14ac:dyDescent="0.3">
      <c r="A306" s="28"/>
      <c r="B306" s="25"/>
    </row>
    <row r="307" spans="1:2" ht="15.75" thickBot="1" x14ac:dyDescent="0.3">
      <c r="A307" s="28"/>
      <c r="B307" s="25"/>
    </row>
    <row r="308" spans="1:2" ht="15.75" thickBot="1" x14ac:dyDescent="0.3">
      <c r="A308" s="28"/>
      <c r="B308" s="25"/>
    </row>
    <row r="309" spans="1:2" ht="15.75" thickBot="1" x14ac:dyDescent="0.3">
      <c r="A309" s="28"/>
      <c r="B309" s="25"/>
    </row>
    <row r="310" spans="1:2" ht="15.75" thickBot="1" x14ac:dyDescent="0.3">
      <c r="A310" s="28"/>
      <c r="B310" s="25"/>
    </row>
    <row r="311" spans="1:2" ht="15.75" thickBot="1" x14ac:dyDescent="0.3">
      <c r="A311" s="28"/>
      <c r="B311" s="25"/>
    </row>
    <row r="312" spans="1:2" ht="15.75" thickBot="1" x14ac:dyDescent="0.3">
      <c r="A312" s="28"/>
      <c r="B312" s="25"/>
    </row>
    <row r="313" spans="1:2" ht="15.75" thickBot="1" x14ac:dyDescent="0.3">
      <c r="A313" s="28"/>
      <c r="B313" s="25"/>
    </row>
    <row r="314" spans="1:2" ht="15.75" thickBot="1" x14ac:dyDescent="0.3">
      <c r="A314" s="28"/>
      <c r="B314" s="25"/>
    </row>
    <row r="315" spans="1:2" ht="15.75" thickBot="1" x14ac:dyDescent="0.3">
      <c r="A315" s="28"/>
      <c r="B315" s="25"/>
    </row>
    <row r="316" spans="1:2" ht="15.75" thickBot="1" x14ac:dyDescent="0.3">
      <c r="A316" s="28"/>
      <c r="B316" s="25"/>
    </row>
    <row r="317" spans="1:2" ht="15.75" thickBot="1" x14ac:dyDescent="0.3">
      <c r="A317" s="28"/>
      <c r="B317" s="25"/>
    </row>
    <row r="318" spans="1:2" ht="15.75" thickBot="1" x14ac:dyDescent="0.3">
      <c r="A318" s="28"/>
      <c r="B318" s="25"/>
    </row>
    <row r="319" spans="1:2" ht="15.75" thickBot="1" x14ac:dyDescent="0.3">
      <c r="A319" s="28"/>
      <c r="B319" s="25"/>
    </row>
    <row r="320" spans="1:2" ht="15.75" thickBot="1" x14ac:dyDescent="0.3">
      <c r="A320" s="28"/>
      <c r="B320" s="25"/>
    </row>
    <row r="321" spans="1:2" ht="15.75" thickBot="1" x14ac:dyDescent="0.3">
      <c r="A321" s="28"/>
      <c r="B321" s="25"/>
    </row>
    <row r="322" spans="1:2" ht="15.75" thickBot="1" x14ac:dyDescent="0.3">
      <c r="A322" s="28"/>
      <c r="B322" s="25"/>
    </row>
    <row r="323" spans="1:2" ht="15.75" thickBot="1" x14ac:dyDescent="0.3">
      <c r="A323" s="28"/>
      <c r="B323" s="25"/>
    </row>
    <row r="324" spans="1:2" ht="15.75" thickBot="1" x14ac:dyDescent="0.3">
      <c r="A324" s="28"/>
      <c r="B324" s="25"/>
    </row>
    <row r="325" spans="1:2" ht="15.75" thickBot="1" x14ac:dyDescent="0.3">
      <c r="A325" s="28"/>
      <c r="B325" s="25"/>
    </row>
    <row r="326" spans="1:2" ht="15.75" thickBot="1" x14ac:dyDescent="0.3">
      <c r="A326" s="28"/>
      <c r="B326" s="25"/>
    </row>
    <row r="327" spans="1:2" ht="15.75" thickBot="1" x14ac:dyDescent="0.3">
      <c r="A327" s="28"/>
      <c r="B327" s="25"/>
    </row>
    <row r="328" spans="1:2" ht="15.75" thickBot="1" x14ac:dyDescent="0.3">
      <c r="A328" s="28"/>
      <c r="B328" s="25"/>
    </row>
    <row r="329" spans="1:2" ht="15.75" thickBot="1" x14ac:dyDescent="0.3">
      <c r="A329" s="28"/>
      <c r="B329" s="25"/>
    </row>
    <row r="330" spans="1:2" ht="15.75" thickBot="1" x14ac:dyDescent="0.3">
      <c r="A330" s="28"/>
      <c r="B330" s="25"/>
    </row>
    <row r="331" spans="1:2" ht="15.75" thickBot="1" x14ac:dyDescent="0.3">
      <c r="A331" s="28"/>
      <c r="B331" s="25"/>
    </row>
    <row r="332" spans="1:2" ht="15.75" thickBot="1" x14ac:dyDescent="0.3">
      <c r="A332" s="28"/>
      <c r="B332" s="25"/>
    </row>
    <row r="333" spans="1:2" ht="15.75" thickBot="1" x14ac:dyDescent="0.3">
      <c r="A333" s="28"/>
      <c r="B333" s="25"/>
    </row>
    <row r="334" spans="1:2" ht="15.75" thickBot="1" x14ac:dyDescent="0.3">
      <c r="A334" s="28"/>
      <c r="B334" s="25"/>
    </row>
    <row r="335" spans="1:2" ht="15.75" thickBot="1" x14ac:dyDescent="0.3">
      <c r="A335" s="28"/>
      <c r="B335" s="25"/>
    </row>
    <row r="336" spans="1:2" ht="15.75" thickBot="1" x14ac:dyDescent="0.3">
      <c r="A336" s="28"/>
      <c r="B336" s="25"/>
    </row>
    <row r="337" spans="1:2" ht="15.75" thickBot="1" x14ac:dyDescent="0.3">
      <c r="A337" s="28"/>
      <c r="B337" s="25"/>
    </row>
    <row r="338" spans="1:2" ht="15.75" thickBot="1" x14ac:dyDescent="0.3">
      <c r="A338" s="28"/>
      <c r="B338" s="25"/>
    </row>
    <row r="339" spans="1:2" ht="15.75" thickBot="1" x14ac:dyDescent="0.3">
      <c r="A339" s="28"/>
      <c r="B339" s="25"/>
    </row>
    <row r="340" spans="1:2" ht="15.75" thickBot="1" x14ac:dyDescent="0.3">
      <c r="A340" s="28"/>
      <c r="B340" s="25"/>
    </row>
    <row r="341" spans="1:2" ht="15.75" thickBot="1" x14ac:dyDescent="0.3">
      <c r="A341" s="28"/>
      <c r="B341" s="25"/>
    </row>
    <row r="342" spans="1:2" ht="15.75" thickBot="1" x14ac:dyDescent="0.3">
      <c r="A342" s="28"/>
      <c r="B342" s="25"/>
    </row>
    <row r="343" spans="1:2" ht="15.75" thickBot="1" x14ac:dyDescent="0.3">
      <c r="A343" s="28"/>
      <c r="B343" s="25"/>
    </row>
    <row r="344" spans="1:2" ht="15.75" thickBot="1" x14ac:dyDescent="0.3">
      <c r="A344" s="28"/>
      <c r="B344" s="25"/>
    </row>
    <row r="345" spans="1:2" ht="15.75" thickBot="1" x14ac:dyDescent="0.3">
      <c r="A345" s="28"/>
      <c r="B345" s="25"/>
    </row>
    <row r="346" spans="1:2" ht="15.75" thickBot="1" x14ac:dyDescent="0.3">
      <c r="A346" s="28"/>
      <c r="B346" s="25"/>
    </row>
    <row r="347" spans="1:2" ht="15.75" thickBot="1" x14ac:dyDescent="0.3">
      <c r="A347" s="28"/>
      <c r="B347" s="25"/>
    </row>
    <row r="348" spans="1:2" ht="15.75" thickBot="1" x14ac:dyDescent="0.3">
      <c r="A348" s="28"/>
      <c r="B348" s="25"/>
    </row>
    <row r="349" spans="1:2" ht="15.75" thickBot="1" x14ac:dyDescent="0.3">
      <c r="A349" s="28"/>
      <c r="B349" s="25"/>
    </row>
    <row r="350" spans="1:2" ht="15.75" thickBot="1" x14ac:dyDescent="0.3">
      <c r="A350" s="28"/>
      <c r="B350" s="25"/>
    </row>
    <row r="351" spans="1:2" ht="15.75" thickBot="1" x14ac:dyDescent="0.3">
      <c r="A351" s="28"/>
      <c r="B351" s="25"/>
    </row>
    <row r="352" spans="1:2" ht="15.75" thickBot="1" x14ac:dyDescent="0.3">
      <c r="A352" s="28"/>
      <c r="B352" s="25"/>
    </row>
    <row r="353" spans="1:2" ht="15.75" thickBot="1" x14ac:dyDescent="0.3">
      <c r="A353" s="28"/>
      <c r="B353" s="25"/>
    </row>
    <row r="354" spans="1:2" ht="15.75" thickBot="1" x14ac:dyDescent="0.3">
      <c r="A354" s="28"/>
      <c r="B354" s="25"/>
    </row>
    <row r="355" spans="1:2" ht="15.75" thickBot="1" x14ac:dyDescent="0.3">
      <c r="A355" s="28"/>
      <c r="B355" s="25"/>
    </row>
    <row r="356" spans="1:2" ht="15.75" thickBot="1" x14ac:dyDescent="0.3">
      <c r="A356" s="28"/>
      <c r="B356" s="25"/>
    </row>
    <row r="357" spans="1:2" ht="15.75" thickBot="1" x14ac:dyDescent="0.3">
      <c r="A357" s="28"/>
      <c r="B357" s="25"/>
    </row>
    <row r="358" spans="1:2" ht="15.75" thickBot="1" x14ac:dyDescent="0.3">
      <c r="A358" s="28"/>
      <c r="B358" s="25"/>
    </row>
    <row r="359" spans="1:2" ht="15.75" thickBot="1" x14ac:dyDescent="0.3">
      <c r="A359" s="28"/>
      <c r="B359" s="25"/>
    </row>
    <row r="360" spans="1:2" ht="15.75" thickBot="1" x14ac:dyDescent="0.3">
      <c r="A360" s="28"/>
      <c r="B360" s="25"/>
    </row>
    <row r="361" spans="1:2" ht="15.75" thickBot="1" x14ac:dyDescent="0.3">
      <c r="A361" s="28"/>
      <c r="B361" s="25"/>
    </row>
    <row r="362" spans="1:2" ht="15.75" thickBot="1" x14ac:dyDescent="0.3">
      <c r="A362" s="28"/>
      <c r="B362" s="25"/>
    </row>
    <row r="363" spans="1:2" ht="15.75" thickBot="1" x14ac:dyDescent="0.3">
      <c r="A363" s="28"/>
      <c r="B363" s="25"/>
    </row>
    <row r="364" spans="1:2" ht="15.75" thickBot="1" x14ac:dyDescent="0.3">
      <c r="A364" s="28"/>
      <c r="B364" s="25"/>
    </row>
    <row r="365" spans="1:2" ht="15.75" thickBot="1" x14ac:dyDescent="0.3">
      <c r="A365" s="28"/>
      <c r="B365" s="25"/>
    </row>
    <row r="366" spans="1:2" ht="15.75" thickBot="1" x14ac:dyDescent="0.3">
      <c r="A366" s="28"/>
      <c r="B366" s="25"/>
    </row>
    <row r="367" spans="1:2" ht="15.75" thickBot="1" x14ac:dyDescent="0.3">
      <c r="A367" s="28"/>
      <c r="B367" s="25"/>
    </row>
    <row r="368" spans="1:2" ht="15.75" thickBot="1" x14ac:dyDescent="0.3">
      <c r="A368" s="28"/>
      <c r="B368" s="25"/>
    </row>
    <row r="369" spans="1:2" ht="15.75" thickBot="1" x14ac:dyDescent="0.3">
      <c r="A369" s="28"/>
      <c r="B369" s="25"/>
    </row>
    <row r="370" spans="1:2" ht="15.75" thickBot="1" x14ac:dyDescent="0.3">
      <c r="A370" s="28"/>
      <c r="B370" s="25"/>
    </row>
    <row r="371" spans="1:2" ht="15.75" thickBot="1" x14ac:dyDescent="0.3">
      <c r="A371" s="28"/>
      <c r="B371" s="25"/>
    </row>
    <row r="372" spans="1:2" ht="15.75" thickBot="1" x14ac:dyDescent="0.3">
      <c r="A372" s="28"/>
      <c r="B372" s="25"/>
    </row>
    <row r="373" spans="1:2" ht="15.75" thickBot="1" x14ac:dyDescent="0.3">
      <c r="A373" s="28"/>
      <c r="B373" s="25"/>
    </row>
    <row r="374" spans="1:2" ht="15.75" thickBot="1" x14ac:dyDescent="0.3">
      <c r="A374" s="28"/>
      <c r="B374" s="25"/>
    </row>
    <row r="375" spans="1:2" ht="15.75" thickBot="1" x14ac:dyDescent="0.3">
      <c r="A375" s="28"/>
      <c r="B375" s="25"/>
    </row>
    <row r="376" spans="1:2" ht="15.75" thickBot="1" x14ac:dyDescent="0.3">
      <c r="A376" s="28"/>
      <c r="B376" s="25"/>
    </row>
    <row r="377" spans="1:2" ht="15.75" thickBot="1" x14ac:dyDescent="0.3">
      <c r="A377" s="28"/>
      <c r="B377" s="25"/>
    </row>
    <row r="378" spans="1:2" ht="15.75" thickBot="1" x14ac:dyDescent="0.3">
      <c r="A378" s="28"/>
      <c r="B378" s="25"/>
    </row>
    <row r="379" spans="1:2" ht="15.75" thickBot="1" x14ac:dyDescent="0.3">
      <c r="A379" s="28"/>
      <c r="B379" s="25"/>
    </row>
    <row r="380" spans="1:2" ht="15.75" thickBot="1" x14ac:dyDescent="0.3">
      <c r="A380" s="28"/>
      <c r="B380" s="25"/>
    </row>
    <row r="381" spans="1:2" ht="15.75" thickBot="1" x14ac:dyDescent="0.3">
      <c r="A381" s="28"/>
      <c r="B381" s="25"/>
    </row>
    <row r="382" spans="1:2" ht="15.75" thickBot="1" x14ac:dyDescent="0.3">
      <c r="A382" s="28"/>
      <c r="B382" s="25"/>
    </row>
    <row r="383" spans="1:2" ht="15.75" thickBot="1" x14ac:dyDescent="0.3">
      <c r="A383" s="28"/>
      <c r="B383" s="25"/>
    </row>
    <row r="384" spans="1:2" ht="15.75" thickBot="1" x14ac:dyDescent="0.3">
      <c r="A384" s="28"/>
      <c r="B384" s="25"/>
    </row>
    <row r="385" spans="1:2" ht="15.75" thickBot="1" x14ac:dyDescent="0.3">
      <c r="A385" s="28"/>
      <c r="B385" s="25"/>
    </row>
    <row r="386" spans="1:2" ht="15.75" thickBot="1" x14ac:dyDescent="0.3">
      <c r="A386" s="28"/>
      <c r="B386" s="25"/>
    </row>
    <row r="387" spans="1:2" ht="15.75" thickBot="1" x14ac:dyDescent="0.3">
      <c r="A387" s="28"/>
      <c r="B387" s="25"/>
    </row>
    <row r="388" spans="1:2" ht="15.75" thickBot="1" x14ac:dyDescent="0.3">
      <c r="A388" s="28"/>
      <c r="B388" s="25"/>
    </row>
    <row r="389" spans="1:2" ht="15.75" thickBot="1" x14ac:dyDescent="0.3">
      <c r="A389" s="28"/>
      <c r="B389" s="25"/>
    </row>
    <row r="390" spans="1:2" ht="15.75" thickBot="1" x14ac:dyDescent="0.3">
      <c r="A390" s="28"/>
      <c r="B390" s="25"/>
    </row>
    <row r="391" spans="1:2" ht="15.75" thickBot="1" x14ac:dyDescent="0.3">
      <c r="A391" s="28"/>
      <c r="B391" s="25"/>
    </row>
    <row r="392" spans="1:2" ht="15.75" thickBot="1" x14ac:dyDescent="0.3">
      <c r="A392" s="28"/>
      <c r="B392" s="25"/>
    </row>
    <row r="393" spans="1:2" ht="15.75" thickBot="1" x14ac:dyDescent="0.3">
      <c r="A393" s="28"/>
      <c r="B393" s="25"/>
    </row>
    <row r="394" spans="1:2" ht="15.75" thickBot="1" x14ac:dyDescent="0.3">
      <c r="A394" s="28"/>
      <c r="B394" s="25"/>
    </row>
    <row r="395" spans="1:2" ht="15.75" thickBot="1" x14ac:dyDescent="0.3">
      <c r="A395" s="28"/>
      <c r="B395" s="25"/>
    </row>
    <row r="396" spans="1:2" ht="15.75" thickBot="1" x14ac:dyDescent="0.3">
      <c r="A396" s="28"/>
      <c r="B396" s="25"/>
    </row>
    <row r="397" spans="1:2" ht="15.75" thickBot="1" x14ac:dyDescent="0.3">
      <c r="A397" s="28"/>
      <c r="B397" s="25"/>
    </row>
    <row r="398" spans="1:2" ht="15.75" thickBot="1" x14ac:dyDescent="0.3">
      <c r="A398" s="28"/>
      <c r="B398" s="25"/>
    </row>
    <row r="399" spans="1:2" ht="15.75" thickBot="1" x14ac:dyDescent="0.3">
      <c r="A399" s="28"/>
      <c r="B399" s="25"/>
    </row>
    <row r="400" spans="1:2" ht="15.75" thickBot="1" x14ac:dyDescent="0.3">
      <c r="A400" s="28"/>
      <c r="B400" s="25"/>
    </row>
    <row r="401" spans="1:2" ht="15.75" thickBot="1" x14ac:dyDescent="0.3">
      <c r="A401" s="28"/>
      <c r="B401" s="25"/>
    </row>
    <row r="402" spans="1:2" ht="15.75" thickBot="1" x14ac:dyDescent="0.3">
      <c r="A402" s="28"/>
      <c r="B402" s="25"/>
    </row>
    <row r="403" spans="1:2" ht="15.75" thickBot="1" x14ac:dyDescent="0.3">
      <c r="A403" s="28"/>
      <c r="B403" s="25"/>
    </row>
    <row r="404" spans="1:2" ht="15.75" thickBot="1" x14ac:dyDescent="0.3">
      <c r="A404" s="28"/>
      <c r="B404" s="25"/>
    </row>
    <row r="405" spans="1:2" ht="15.75" thickBot="1" x14ac:dyDescent="0.3">
      <c r="A405" s="28"/>
      <c r="B405" s="25"/>
    </row>
    <row r="406" spans="1:2" ht="15.75" thickBot="1" x14ac:dyDescent="0.3">
      <c r="A406" s="28"/>
      <c r="B406" s="25"/>
    </row>
    <row r="407" spans="1:2" ht="15.75" thickBot="1" x14ac:dyDescent="0.3">
      <c r="A407" s="28"/>
      <c r="B407" s="25"/>
    </row>
    <row r="408" spans="1:2" ht="15.75" thickBot="1" x14ac:dyDescent="0.3">
      <c r="A408" s="28"/>
      <c r="B408" s="25"/>
    </row>
    <row r="409" spans="1:2" ht="15.75" thickBot="1" x14ac:dyDescent="0.3">
      <c r="A409" s="28"/>
      <c r="B409" s="25"/>
    </row>
    <row r="410" spans="1:2" ht="15.75" thickBot="1" x14ac:dyDescent="0.3">
      <c r="A410" s="28"/>
      <c r="B410" s="25"/>
    </row>
    <row r="411" spans="1:2" ht="15.75" thickBot="1" x14ac:dyDescent="0.3">
      <c r="A411" s="28"/>
      <c r="B411" s="25"/>
    </row>
    <row r="412" spans="1:2" ht="15.75" thickBot="1" x14ac:dyDescent="0.3">
      <c r="A412" s="28"/>
      <c r="B412" s="25"/>
    </row>
    <row r="413" spans="1:2" ht="15.75" thickBot="1" x14ac:dyDescent="0.3">
      <c r="A413" s="28"/>
      <c r="B413" s="25"/>
    </row>
    <row r="414" spans="1:2" ht="15.75" thickBot="1" x14ac:dyDescent="0.3">
      <c r="A414" s="28"/>
      <c r="B414" s="25"/>
    </row>
    <row r="415" spans="1:2" ht="15.75" thickBot="1" x14ac:dyDescent="0.3">
      <c r="A415" s="28"/>
      <c r="B415" s="25"/>
    </row>
    <row r="416" spans="1:2" ht="15.75" thickBot="1" x14ac:dyDescent="0.3">
      <c r="A416" s="28"/>
      <c r="B416" s="25"/>
    </row>
    <row r="417" spans="1:2" ht="15.75" thickBot="1" x14ac:dyDescent="0.3">
      <c r="A417" s="28"/>
      <c r="B417" s="25"/>
    </row>
    <row r="418" spans="1:2" ht="15.75" thickBot="1" x14ac:dyDescent="0.3">
      <c r="A418" s="28"/>
      <c r="B418" s="25"/>
    </row>
    <row r="419" spans="1:2" ht="15.75" thickBot="1" x14ac:dyDescent="0.3">
      <c r="A419" s="28"/>
      <c r="B419" s="25"/>
    </row>
    <row r="420" spans="1:2" ht="15.75" thickBot="1" x14ac:dyDescent="0.3">
      <c r="A420" s="28"/>
      <c r="B420" s="25"/>
    </row>
    <row r="421" spans="1:2" ht="15.75" thickBot="1" x14ac:dyDescent="0.3">
      <c r="A421" s="28"/>
      <c r="B421" s="25"/>
    </row>
    <row r="422" spans="1:2" ht="15.75" thickBot="1" x14ac:dyDescent="0.3">
      <c r="A422" s="28"/>
      <c r="B422" s="25"/>
    </row>
    <row r="423" spans="1:2" ht="15.75" thickBot="1" x14ac:dyDescent="0.3">
      <c r="A423" s="28"/>
      <c r="B423" s="25"/>
    </row>
    <row r="424" spans="1:2" ht="15.75" thickBot="1" x14ac:dyDescent="0.3">
      <c r="A424" s="28"/>
      <c r="B424" s="25"/>
    </row>
    <row r="425" spans="1:2" ht="15.75" thickBot="1" x14ac:dyDescent="0.3">
      <c r="A425" s="28"/>
      <c r="B425" s="25"/>
    </row>
    <row r="426" spans="1:2" ht="15.75" thickBot="1" x14ac:dyDescent="0.3">
      <c r="A426" s="28"/>
      <c r="B426" s="25"/>
    </row>
    <row r="427" spans="1:2" ht="15.75" thickBot="1" x14ac:dyDescent="0.3">
      <c r="A427" s="28"/>
      <c r="B427" s="25"/>
    </row>
    <row r="428" spans="1:2" ht="15.75" thickBot="1" x14ac:dyDescent="0.3">
      <c r="A428" s="28"/>
      <c r="B428" s="25"/>
    </row>
    <row r="429" spans="1:2" ht="15.75" thickBot="1" x14ac:dyDescent="0.3">
      <c r="A429" s="28"/>
      <c r="B429" s="25"/>
    </row>
    <row r="430" spans="1:2" ht="15.75" thickBot="1" x14ac:dyDescent="0.3">
      <c r="A430" s="28"/>
      <c r="B430" s="25"/>
    </row>
    <row r="431" spans="1:2" ht="15.75" thickBot="1" x14ac:dyDescent="0.3">
      <c r="A431" s="28"/>
      <c r="B431" s="25"/>
    </row>
    <row r="432" spans="1:2" ht="15.75" thickBot="1" x14ac:dyDescent="0.3">
      <c r="A432" s="28"/>
      <c r="B432" s="25"/>
    </row>
    <row r="433" spans="1:2" ht="15.75" thickBot="1" x14ac:dyDescent="0.3">
      <c r="A433" s="28"/>
      <c r="B433" s="25"/>
    </row>
    <row r="434" spans="1:2" ht="15.75" thickBot="1" x14ac:dyDescent="0.3">
      <c r="A434" s="28"/>
      <c r="B434" s="25"/>
    </row>
    <row r="435" spans="1:2" ht="15.75" thickBot="1" x14ac:dyDescent="0.3">
      <c r="A435" s="28"/>
      <c r="B435" s="25"/>
    </row>
    <row r="436" spans="1:2" ht="15.75" thickBot="1" x14ac:dyDescent="0.3">
      <c r="A436" s="28"/>
      <c r="B436" s="25"/>
    </row>
    <row r="437" spans="1:2" ht="15.75" thickBot="1" x14ac:dyDescent="0.3">
      <c r="A437" s="28"/>
      <c r="B437" s="25"/>
    </row>
    <row r="438" spans="1:2" ht="15.75" thickBot="1" x14ac:dyDescent="0.3">
      <c r="A438" s="28"/>
      <c r="B438" s="25"/>
    </row>
    <row r="439" spans="1:2" ht="15.75" thickBot="1" x14ac:dyDescent="0.3">
      <c r="A439" s="28"/>
      <c r="B439" s="25"/>
    </row>
    <row r="440" spans="1:2" ht="15.75" thickBot="1" x14ac:dyDescent="0.3">
      <c r="A440" s="28"/>
      <c r="B440" s="25"/>
    </row>
    <row r="441" spans="1:2" ht="15.75" thickBot="1" x14ac:dyDescent="0.3">
      <c r="A441" s="28"/>
      <c r="B441" s="25"/>
    </row>
    <row r="442" spans="1:2" ht="15.75" thickBot="1" x14ac:dyDescent="0.3">
      <c r="A442" s="28"/>
      <c r="B442" s="25"/>
    </row>
    <row r="443" spans="1:2" ht="15.75" thickBot="1" x14ac:dyDescent="0.3">
      <c r="A443" s="28"/>
      <c r="B443" s="25"/>
    </row>
    <row r="444" spans="1:2" ht="15.75" thickBot="1" x14ac:dyDescent="0.3">
      <c r="A444" s="28"/>
      <c r="B444" s="25"/>
    </row>
    <row r="445" spans="1:2" ht="15.75" thickBot="1" x14ac:dyDescent="0.3">
      <c r="A445" s="28"/>
      <c r="B445" s="25"/>
    </row>
    <row r="446" spans="1:2" ht="15.75" thickBot="1" x14ac:dyDescent="0.3">
      <c r="A446" s="28"/>
      <c r="B446" s="25"/>
    </row>
    <row r="447" spans="1:2" ht="15.75" thickBot="1" x14ac:dyDescent="0.3">
      <c r="A447" s="28"/>
      <c r="B447" s="25"/>
    </row>
    <row r="448" spans="1:2" ht="15.75" thickBot="1" x14ac:dyDescent="0.3">
      <c r="A448" s="28"/>
      <c r="B448" s="25"/>
    </row>
    <row r="449" spans="1:2" ht="15.75" thickBot="1" x14ac:dyDescent="0.3">
      <c r="A449" s="28"/>
      <c r="B449" s="25"/>
    </row>
    <row r="450" spans="1:2" ht="15.75" thickBot="1" x14ac:dyDescent="0.3">
      <c r="A450" s="28"/>
      <c r="B450" s="25"/>
    </row>
    <row r="451" spans="1:2" ht="15.75" thickBot="1" x14ac:dyDescent="0.3">
      <c r="A451" s="28"/>
      <c r="B451" s="25"/>
    </row>
    <row r="452" spans="1:2" ht="15.75" thickBot="1" x14ac:dyDescent="0.3">
      <c r="A452" s="28"/>
      <c r="B452" s="25"/>
    </row>
    <row r="453" spans="1:2" ht="15.75" thickBot="1" x14ac:dyDescent="0.3">
      <c r="A453" s="28"/>
      <c r="B453" s="25"/>
    </row>
    <row r="454" spans="1:2" ht="15.75" thickBot="1" x14ac:dyDescent="0.3">
      <c r="A454" s="28"/>
      <c r="B454" s="25"/>
    </row>
    <row r="455" spans="1:2" ht="15.75" thickBot="1" x14ac:dyDescent="0.3">
      <c r="A455" s="28"/>
      <c r="B455" s="25"/>
    </row>
    <row r="456" spans="1:2" ht="15.75" thickBot="1" x14ac:dyDescent="0.3">
      <c r="A456" s="28"/>
      <c r="B456" s="25"/>
    </row>
    <row r="457" spans="1:2" ht="15.75" thickBot="1" x14ac:dyDescent="0.3">
      <c r="A457" s="28"/>
      <c r="B457" s="25"/>
    </row>
    <row r="458" spans="1:2" ht="15.75" thickBot="1" x14ac:dyDescent="0.3">
      <c r="A458" s="28"/>
      <c r="B458" s="25"/>
    </row>
    <row r="459" spans="1:2" ht="15.75" thickBot="1" x14ac:dyDescent="0.3">
      <c r="A459" s="28"/>
      <c r="B459" s="25"/>
    </row>
    <row r="460" spans="1:2" ht="15.75" thickBot="1" x14ac:dyDescent="0.3">
      <c r="A460" s="28"/>
      <c r="B460" s="25"/>
    </row>
    <row r="461" spans="1:2" ht="15.75" thickBot="1" x14ac:dyDescent="0.3">
      <c r="A461" s="28"/>
      <c r="B461" s="25"/>
    </row>
    <row r="462" spans="1:2" ht="15.75" thickBot="1" x14ac:dyDescent="0.3">
      <c r="A462" s="28"/>
      <c r="B462" s="25"/>
    </row>
    <row r="463" spans="1:2" ht="15.75" thickBot="1" x14ac:dyDescent="0.3">
      <c r="A463" s="28"/>
      <c r="B463" s="25"/>
    </row>
    <row r="464" spans="1:2" ht="15.75" thickBot="1" x14ac:dyDescent="0.3">
      <c r="A464" s="28"/>
      <c r="B464" s="25"/>
    </row>
    <row r="465" spans="1:2" ht="15.75" thickBot="1" x14ac:dyDescent="0.3">
      <c r="A465" s="28"/>
      <c r="B465" s="25"/>
    </row>
    <row r="466" spans="1:2" ht="15.75" thickBot="1" x14ac:dyDescent="0.3">
      <c r="A466" s="28"/>
      <c r="B466" s="25"/>
    </row>
    <row r="467" spans="1:2" ht="15.75" thickBot="1" x14ac:dyDescent="0.3">
      <c r="A467" s="28"/>
      <c r="B467" s="25"/>
    </row>
    <row r="468" spans="1:2" ht="15.75" thickBot="1" x14ac:dyDescent="0.3">
      <c r="A468" s="28"/>
      <c r="B468" s="25"/>
    </row>
    <row r="469" spans="1:2" ht="15.75" thickBot="1" x14ac:dyDescent="0.3">
      <c r="A469" s="28"/>
      <c r="B469" s="25"/>
    </row>
    <row r="470" spans="1:2" ht="15.75" thickBot="1" x14ac:dyDescent="0.3">
      <c r="A470" s="28"/>
      <c r="B470" s="25"/>
    </row>
    <row r="471" spans="1:2" ht="15.75" thickBot="1" x14ac:dyDescent="0.3">
      <c r="A471" s="28"/>
      <c r="B471" s="25"/>
    </row>
    <row r="472" spans="1:2" ht="15.75" thickBot="1" x14ac:dyDescent="0.3">
      <c r="A472" s="28"/>
      <c r="B472" s="25"/>
    </row>
    <row r="473" spans="1:2" ht="15.75" thickBot="1" x14ac:dyDescent="0.3">
      <c r="A473" s="28"/>
      <c r="B473" s="25"/>
    </row>
    <row r="474" spans="1:2" ht="15.75" thickBot="1" x14ac:dyDescent="0.3">
      <c r="A474" s="28"/>
      <c r="B474" s="25"/>
    </row>
    <row r="475" spans="1:2" ht="15.75" thickBot="1" x14ac:dyDescent="0.3">
      <c r="A475" s="28"/>
      <c r="B475" s="25"/>
    </row>
    <row r="476" spans="1:2" ht="15.75" thickBot="1" x14ac:dyDescent="0.3">
      <c r="A476" s="28"/>
      <c r="B476" s="25"/>
    </row>
    <row r="477" spans="1:2" ht="15.75" thickBot="1" x14ac:dyDescent="0.3">
      <c r="A477" s="28"/>
      <c r="B477" s="25"/>
    </row>
    <row r="478" spans="1:2" ht="15.75" thickBot="1" x14ac:dyDescent="0.3">
      <c r="A478" s="28"/>
      <c r="B478" s="25"/>
    </row>
    <row r="479" spans="1:2" ht="15.75" thickBot="1" x14ac:dyDescent="0.3">
      <c r="A479" s="28"/>
      <c r="B479" s="25"/>
    </row>
    <row r="480" spans="1:2" ht="15.75" thickBot="1" x14ac:dyDescent="0.3">
      <c r="A480" s="28"/>
      <c r="B480" s="25"/>
    </row>
    <row r="481" spans="1:2" ht="15.75" thickBot="1" x14ac:dyDescent="0.3">
      <c r="A481" s="28"/>
      <c r="B481" s="25"/>
    </row>
    <row r="482" spans="1:2" ht="15.75" thickBot="1" x14ac:dyDescent="0.3">
      <c r="A482" s="28"/>
      <c r="B482" s="25"/>
    </row>
    <row r="483" spans="1:2" ht="15.75" thickBot="1" x14ac:dyDescent="0.3">
      <c r="A483" s="28"/>
      <c r="B483" s="25"/>
    </row>
    <row r="484" spans="1:2" ht="15.75" thickBot="1" x14ac:dyDescent="0.3">
      <c r="A484" s="28"/>
      <c r="B484" s="25"/>
    </row>
    <row r="485" spans="1:2" ht="15.75" thickBot="1" x14ac:dyDescent="0.3">
      <c r="A485" s="28"/>
      <c r="B485" s="25"/>
    </row>
    <row r="486" spans="1:2" ht="15.75" thickBot="1" x14ac:dyDescent="0.3">
      <c r="A486" s="28"/>
      <c r="B486" s="25"/>
    </row>
    <row r="487" spans="1:2" ht="15.75" thickBot="1" x14ac:dyDescent="0.3">
      <c r="A487" s="28"/>
      <c r="B487" s="25"/>
    </row>
    <row r="488" spans="1:2" ht="15.75" thickBot="1" x14ac:dyDescent="0.3">
      <c r="A488" s="28"/>
      <c r="B488" s="25"/>
    </row>
    <row r="489" spans="1:2" ht="15.75" thickBot="1" x14ac:dyDescent="0.3">
      <c r="A489" s="28"/>
      <c r="B489" s="25"/>
    </row>
    <row r="490" spans="1:2" ht="15.75" thickBot="1" x14ac:dyDescent="0.3">
      <c r="A490" s="28"/>
      <c r="B490" s="25"/>
    </row>
    <row r="491" spans="1:2" ht="15.75" thickBot="1" x14ac:dyDescent="0.3">
      <c r="A491" s="28"/>
      <c r="B491" s="25"/>
    </row>
    <row r="492" spans="1:2" ht="15.75" thickBot="1" x14ac:dyDescent="0.3">
      <c r="A492" s="28"/>
      <c r="B492" s="25"/>
    </row>
    <row r="493" spans="1:2" ht="15.75" thickBot="1" x14ac:dyDescent="0.3">
      <c r="A493" s="28"/>
      <c r="B493" s="25"/>
    </row>
    <row r="494" spans="1:2" ht="15.75" thickBot="1" x14ac:dyDescent="0.3">
      <c r="A494" s="28"/>
      <c r="B494" s="25"/>
    </row>
    <row r="495" spans="1:2" ht="15.75" thickBot="1" x14ac:dyDescent="0.3">
      <c r="A495" s="28"/>
      <c r="B495" s="25"/>
    </row>
    <row r="496" spans="1:2" ht="15.75" thickBot="1" x14ac:dyDescent="0.3">
      <c r="A496" s="28"/>
      <c r="B496" s="25"/>
    </row>
    <row r="497" spans="1:2" ht="15.75" thickBot="1" x14ac:dyDescent="0.3">
      <c r="A497" s="28"/>
      <c r="B497" s="25"/>
    </row>
    <row r="498" spans="1:2" ht="15.75" thickBot="1" x14ac:dyDescent="0.3">
      <c r="A498" s="28"/>
      <c r="B498" s="25"/>
    </row>
    <row r="499" spans="1:2" ht="15.75" thickBot="1" x14ac:dyDescent="0.3">
      <c r="A499" s="28"/>
      <c r="B499" s="25"/>
    </row>
    <row r="500" spans="1:2" ht="15.75" thickBot="1" x14ac:dyDescent="0.3">
      <c r="A500" s="28"/>
      <c r="B500" s="25"/>
    </row>
    <row r="501" spans="1:2" ht="15.75" thickBot="1" x14ac:dyDescent="0.3">
      <c r="A501" s="28"/>
      <c r="B501" s="25"/>
    </row>
    <row r="502" spans="1:2" ht="15.75" thickBot="1" x14ac:dyDescent="0.3">
      <c r="A502" s="28"/>
      <c r="B502" s="25"/>
    </row>
    <row r="503" spans="1:2" ht="15.75" thickBot="1" x14ac:dyDescent="0.3">
      <c r="A503" s="28"/>
      <c r="B503" s="25"/>
    </row>
    <row r="504" spans="1:2" ht="15.75" thickBot="1" x14ac:dyDescent="0.3">
      <c r="A504" s="28"/>
      <c r="B504" s="25"/>
    </row>
    <row r="505" spans="1:2" ht="15.75" thickBot="1" x14ac:dyDescent="0.3">
      <c r="A505" s="28"/>
      <c r="B505" s="25"/>
    </row>
    <row r="506" spans="1:2" ht="15.75" thickBot="1" x14ac:dyDescent="0.3">
      <c r="A506" s="28"/>
      <c r="B506" s="25"/>
    </row>
    <row r="507" spans="1:2" ht="15.75" thickBot="1" x14ac:dyDescent="0.3">
      <c r="A507" s="28"/>
      <c r="B507" s="25"/>
    </row>
    <row r="508" spans="1:2" ht="15.75" thickBot="1" x14ac:dyDescent="0.3">
      <c r="A508" s="28"/>
      <c r="B508" s="25"/>
    </row>
    <row r="509" spans="1:2" ht="15.75" thickBot="1" x14ac:dyDescent="0.3">
      <c r="A509" s="28"/>
      <c r="B509" s="25"/>
    </row>
    <row r="510" spans="1:2" ht="15.75" thickBot="1" x14ac:dyDescent="0.3">
      <c r="A510" s="28"/>
      <c r="B510" s="25"/>
    </row>
    <row r="511" spans="1:2" ht="15.75" thickBot="1" x14ac:dyDescent="0.3">
      <c r="A511" s="28"/>
      <c r="B511" s="25"/>
    </row>
    <row r="512" spans="1:2" ht="15.75" thickBot="1" x14ac:dyDescent="0.3">
      <c r="A512" s="28"/>
      <c r="B512" s="25"/>
    </row>
    <row r="513" spans="1:2" ht="15.75" thickBot="1" x14ac:dyDescent="0.3">
      <c r="A513" s="28"/>
      <c r="B513" s="25"/>
    </row>
    <row r="514" spans="1:2" ht="15.75" thickBot="1" x14ac:dyDescent="0.3">
      <c r="A514" s="28"/>
      <c r="B514" s="25"/>
    </row>
    <row r="515" spans="1:2" ht="15.75" thickBot="1" x14ac:dyDescent="0.3">
      <c r="A515" s="28"/>
      <c r="B515" s="25"/>
    </row>
    <row r="516" spans="1:2" ht="15.75" thickBot="1" x14ac:dyDescent="0.3">
      <c r="A516" s="28"/>
      <c r="B516" s="25"/>
    </row>
    <row r="517" spans="1:2" ht="15.75" thickBot="1" x14ac:dyDescent="0.3">
      <c r="A517" s="28"/>
      <c r="B517" s="25"/>
    </row>
    <row r="518" spans="1:2" ht="15.75" thickBot="1" x14ac:dyDescent="0.3">
      <c r="A518" s="28"/>
      <c r="B518" s="25"/>
    </row>
    <row r="519" spans="1:2" ht="15.75" thickBot="1" x14ac:dyDescent="0.3">
      <c r="A519" s="28"/>
      <c r="B519" s="25"/>
    </row>
    <row r="520" spans="1:2" ht="15.75" thickBot="1" x14ac:dyDescent="0.3">
      <c r="A520" s="28"/>
      <c r="B520" s="25"/>
    </row>
    <row r="521" spans="1:2" ht="15.75" thickBot="1" x14ac:dyDescent="0.3">
      <c r="A521" s="28"/>
      <c r="B521" s="25"/>
    </row>
    <row r="522" spans="1:2" ht="15.75" thickBot="1" x14ac:dyDescent="0.3">
      <c r="A522" s="28"/>
      <c r="B522" s="25"/>
    </row>
    <row r="523" spans="1:2" ht="15.75" thickBot="1" x14ac:dyDescent="0.3">
      <c r="A523" s="28"/>
      <c r="B523" s="25"/>
    </row>
    <row r="524" spans="1:2" ht="15.75" thickBot="1" x14ac:dyDescent="0.3">
      <c r="A524" s="28"/>
      <c r="B524" s="25"/>
    </row>
    <row r="525" spans="1:2" ht="15.75" thickBot="1" x14ac:dyDescent="0.3">
      <c r="A525" s="28"/>
      <c r="B525" s="25"/>
    </row>
    <row r="526" spans="1:2" ht="15.75" thickBot="1" x14ac:dyDescent="0.3">
      <c r="A526" s="28"/>
      <c r="B526" s="25"/>
    </row>
    <row r="527" spans="1:2" ht="15.75" thickBot="1" x14ac:dyDescent="0.3">
      <c r="A527" s="28"/>
      <c r="B527" s="25"/>
    </row>
    <row r="528" spans="1:2" ht="15.75" thickBot="1" x14ac:dyDescent="0.3">
      <c r="A528" s="28"/>
      <c r="B528" s="25"/>
    </row>
    <row r="529" spans="1:2" ht="15.75" thickBot="1" x14ac:dyDescent="0.3">
      <c r="A529" s="28"/>
      <c r="B529" s="25"/>
    </row>
    <row r="530" spans="1:2" ht="15.75" thickBot="1" x14ac:dyDescent="0.3">
      <c r="A530" s="28"/>
      <c r="B530" s="25"/>
    </row>
    <row r="531" spans="1:2" ht="15.75" thickBot="1" x14ac:dyDescent="0.3">
      <c r="A531" s="28"/>
      <c r="B531" s="25"/>
    </row>
    <row r="532" spans="1:2" ht="15.75" thickBot="1" x14ac:dyDescent="0.3">
      <c r="A532" s="28"/>
      <c r="B532" s="25"/>
    </row>
    <row r="533" spans="1:2" ht="15.75" thickBot="1" x14ac:dyDescent="0.3">
      <c r="A533" s="28"/>
      <c r="B533" s="25"/>
    </row>
    <row r="534" spans="1:2" ht="15.75" thickBot="1" x14ac:dyDescent="0.3">
      <c r="A534" s="28"/>
      <c r="B534" s="25"/>
    </row>
    <row r="535" spans="1:2" ht="15.75" thickBot="1" x14ac:dyDescent="0.3">
      <c r="A535" s="28"/>
      <c r="B535" s="25"/>
    </row>
    <row r="536" spans="1:2" ht="15.75" thickBot="1" x14ac:dyDescent="0.3">
      <c r="A536" s="28"/>
      <c r="B536" s="25"/>
    </row>
    <row r="537" spans="1:2" ht="15.75" thickBot="1" x14ac:dyDescent="0.3">
      <c r="A537" s="28"/>
      <c r="B537" s="25"/>
    </row>
    <row r="538" spans="1:2" ht="15.75" thickBot="1" x14ac:dyDescent="0.3">
      <c r="A538" s="28"/>
      <c r="B538" s="25"/>
    </row>
    <row r="539" spans="1:2" ht="15.75" thickBot="1" x14ac:dyDescent="0.3">
      <c r="A539" s="28"/>
      <c r="B539" s="25"/>
    </row>
    <row r="540" spans="1:2" ht="15.75" thickBot="1" x14ac:dyDescent="0.3">
      <c r="A540" s="28"/>
      <c r="B540" s="25"/>
    </row>
    <row r="541" spans="1:2" ht="15.75" thickBot="1" x14ac:dyDescent="0.3">
      <c r="A541" s="28"/>
      <c r="B541" s="25"/>
    </row>
    <row r="542" spans="1:2" ht="15.75" thickBot="1" x14ac:dyDescent="0.3">
      <c r="A542" s="28"/>
      <c r="B542" s="25"/>
    </row>
    <row r="543" spans="1:2" ht="15.75" thickBot="1" x14ac:dyDescent="0.3">
      <c r="A543" s="28"/>
      <c r="B543" s="25"/>
    </row>
    <row r="544" spans="1:2" ht="15.75" thickBot="1" x14ac:dyDescent="0.3">
      <c r="A544" s="28"/>
      <c r="B544" s="25"/>
    </row>
    <row r="545" spans="1:2" ht="15.75" thickBot="1" x14ac:dyDescent="0.3">
      <c r="A545" s="28"/>
      <c r="B545" s="25"/>
    </row>
    <row r="546" spans="1:2" ht="15.75" thickBot="1" x14ac:dyDescent="0.3">
      <c r="A546" s="28"/>
      <c r="B546" s="25"/>
    </row>
    <row r="547" spans="1:2" ht="15.75" thickBot="1" x14ac:dyDescent="0.3">
      <c r="A547" s="28"/>
      <c r="B547" s="25"/>
    </row>
    <row r="548" spans="1:2" ht="15.75" thickBot="1" x14ac:dyDescent="0.3">
      <c r="A548" s="28"/>
      <c r="B548" s="25"/>
    </row>
    <row r="549" spans="1:2" ht="15.75" thickBot="1" x14ac:dyDescent="0.3">
      <c r="A549" s="28"/>
      <c r="B549" s="25"/>
    </row>
    <row r="550" spans="1:2" ht="15.75" thickBot="1" x14ac:dyDescent="0.3">
      <c r="A550" s="28"/>
      <c r="B550" s="25"/>
    </row>
    <row r="551" spans="1:2" ht="15.75" thickBot="1" x14ac:dyDescent="0.3">
      <c r="A551" s="28"/>
      <c r="B551" s="25"/>
    </row>
    <row r="552" spans="1:2" ht="15.75" thickBot="1" x14ac:dyDescent="0.3">
      <c r="A552" s="28"/>
      <c r="B552" s="25"/>
    </row>
    <row r="553" spans="1:2" ht="15.75" thickBot="1" x14ac:dyDescent="0.3">
      <c r="A553" s="28"/>
      <c r="B553" s="25"/>
    </row>
    <row r="554" spans="1:2" ht="15.75" thickBot="1" x14ac:dyDescent="0.3">
      <c r="A554" s="28"/>
      <c r="B554" s="25"/>
    </row>
    <row r="555" spans="1:2" ht="15.75" thickBot="1" x14ac:dyDescent="0.3">
      <c r="A555" s="28"/>
      <c r="B555" s="25"/>
    </row>
    <row r="556" spans="1:2" ht="15.75" thickBot="1" x14ac:dyDescent="0.3">
      <c r="A556" s="28"/>
      <c r="B556" s="25"/>
    </row>
    <row r="557" spans="1:2" ht="15.75" thickBot="1" x14ac:dyDescent="0.3">
      <c r="A557" s="28"/>
      <c r="B557" s="25"/>
    </row>
    <row r="558" spans="1:2" ht="15.75" thickBot="1" x14ac:dyDescent="0.3">
      <c r="A558" s="28"/>
      <c r="B558" s="25"/>
    </row>
    <row r="559" spans="1:2" ht="15.75" thickBot="1" x14ac:dyDescent="0.3">
      <c r="A559" s="28"/>
      <c r="B559" s="25"/>
    </row>
    <row r="560" spans="1:2" ht="15.75" thickBot="1" x14ac:dyDescent="0.3">
      <c r="A560" s="28"/>
      <c r="B560" s="25"/>
    </row>
    <row r="561" spans="1:2" ht="15.75" thickBot="1" x14ac:dyDescent="0.3">
      <c r="A561" s="28"/>
      <c r="B561" s="25"/>
    </row>
    <row r="562" spans="1:2" ht="15.75" thickBot="1" x14ac:dyDescent="0.3">
      <c r="A562" s="28"/>
      <c r="B562" s="25"/>
    </row>
    <row r="563" spans="1:2" ht="15.75" thickBot="1" x14ac:dyDescent="0.3">
      <c r="A563" s="28"/>
      <c r="B563" s="25"/>
    </row>
    <row r="564" spans="1:2" ht="15.75" thickBot="1" x14ac:dyDescent="0.3">
      <c r="A564" s="28"/>
      <c r="B564" s="25"/>
    </row>
    <row r="565" spans="1:2" ht="15.75" thickBot="1" x14ac:dyDescent="0.3">
      <c r="A565" s="28"/>
      <c r="B565" s="25"/>
    </row>
    <row r="566" spans="1:2" ht="15.75" thickBot="1" x14ac:dyDescent="0.3">
      <c r="A566" s="28"/>
      <c r="B566" s="25"/>
    </row>
    <row r="567" spans="1:2" ht="15.75" thickBot="1" x14ac:dyDescent="0.3">
      <c r="A567" s="28"/>
      <c r="B567" s="25"/>
    </row>
    <row r="568" spans="1:2" ht="15.75" thickBot="1" x14ac:dyDescent="0.3">
      <c r="A568" s="28"/>
      <c r="B568" s="25"/>
    </row>
    <row r="569" spans="1:2" ht="15.75" thickBot="1" x14ac:dyDescent="0.3">
      <c r="A569" s="28"/>
      <c r="B569" s="25"/>
    </row>
    <row r="570" spans="1:2" ht="15.75" thickBot="1" x14ac:dyDescent="0.3">
      <c r="A570" s="28"/>
      <c r="B570" s="25"/>
    </row>
    <row r="571" spans="1:2" ht="15.75" thickBot="1" x14ac:dyDescent="0.3">
      <c r="A571" s="28"/>
      <c r="B571" s="25"/>
    </row>
    <row r="572" spans="1:2" ht="15.75" thickBot="1" x14ac:dyDescent="0.3">
      <c r="A572" s="28"/>
      <c r="B572" s="25"/>
    </row>
    <row r="573" spans="1:2" ht="15.75" thickBot="1" x14ac:dyDescent="0.3">
      <c r="A573" s="28"/>
      <c r="B573" s="25"/>
    </row>
    <row r="574" spans="1:2" ht="15.75" thickBot="1" x14ac:dyDescent="0.3">
      <c r="A574" s="28"/>
      <c r="B574" s="25"/>
    </row>
    <row r="575" spans="1:2" ht="15.75" thickBot="1" x14ac:dyDescent="0.3">
      <c r="A575" s="28"/>
      <c r="B575" s="25"/>
    </row>
    <row r="576" spans="1:2" ht="15.75" thickBot="1" x14ac:dyDescent="0.3">
      <c r="A576" s="28"/>
      <c r="B576" s="25"/>
    </row>
    <row r="577" spans="1:2" ht="15.75" thickBot="1" x14ac:dyDescent="0.3">
      <c r="A577" s="28"/>
      <c r="B577" s="25"/>
    </row>
    <row r="578" spans="1:2" ht="15.75" thickBot="1" x14ac:dyDescent="0.3">
      <c r="A578" s="28"/>
      <c r="B578" s="25"/>
    </row>
    <row r="579" spans="1:2" ht="15.75" thickBot="1" x14ac:dyDescent="0.3">
      <c r="A579" s="28"/>
      <c r="B579" s="25"/>
    </row>
    <row r="580" spans="1:2" ht="15.75" thickBot="1" x14ac:dyDescent="0.3">
      <c r="A580" s="28"/>
      <c r="B580" s="25"/>
    </row>
    <row r="581" spans="1:2" ht="15.75" thickBot="1" x14ac:dyDescent="0.3">
      <c r="A581" s="28"/>
      <c r="B581" s="25"/>
    </row>
    <row r="582" spans="1:2" ht="15.75" thickBot="1" x14ac:dyDescent="0.3">
      <c r="A582" s="28"/>
      <c r="B582" s="25"/>
    </row>
    <row r="583" spans="1:2" ht="15.75" thickBot="1" x14ac:dyDescent="0.3">
      <c r="A583" s="28"/>
      <c r="B583" s="25"/>
    </row>
    <row r="584" spans="1:2" ht="15.75" thickBot="1" x14ac:dyDescent="0.3">
      <c r="A584" s="28"/>
      <c r="B584" s="25"/>
    </row>
    <row r="585" spans="1:2" ht="15.75" thickBot="1" x14ac:dyDescent="0.3">
      <c r="A585" s="28"/>
      <c r="B585" s="25"/>
    </row>
    <row r="586" spans="1:2" ht="15.75" thickBot="1" x14ac:dyDescent="0.3">
      <c r="A586" s="28"/>
      <c r="B586" s="25"/>
    </row>
    <row r="587" spans="1:2" ht="15.75" thickBot="1" x14ac:dyDescent="0.3">
      <c r="A587" s="28"/>
      <c r="B587" s="25"/>
    </row>
    <row r="588" spans="1:2" ht="15.75" thickBot="1" x14ac:dyDescent="0.3">
      <c r="A588" s="28"/>
      <c r="B588" s="25"/>
    </row>
    <row r="589" spans="1:2" ht="15.75" thickBot="1" x14ac:dyDescent="0.3">
      <c r="A589" s="28"/>
      <c r="B589" s="25"/>
    </row>
    <row r="590" spans="1:2" ht="15.75" thickBot="1" x14ac:dyDescent="0.3">
      <c r="A590" s="28"/>
      <c r="B590" s="25"/>
    </row>
    <row r="591" spans="1:2" ht="15.75" thickBot="1" x14ac:dyDescent="0.3">
      <c r="A591" s="28"/>
      <c r="B591" s="25"/>
    </row>
    <row r="592" spans="1:2" ht="15.75" thickBot="1" x14ac:dyDescent="0.3">
      <c r="A592" s="28"/>
      <c r="B592" s="25"/>
    </row>
    <row r="593" spans="1:2" ht="15.75" thickBot="1" x14ac:dyDescent="0.3">
      <c r="A593" s="28"/>
      <c r="B593" s="25"/>
    </row>
    <row r="594" spans="1:2" ht="15.75" thickBot="1" x14ac:dyDescent="0.3">
      <c r="A594" s="28"/>
      <c r="B594" s="25"/>
    </row>
    <row r="595" spans="1:2" ht="15.75" thickBot="1" x14ac:dyDescent="0.3">
      <c r="A595" s="28"/>
      <c r="B595" s="25"/>
    </row>
    <row r="596" spans="1:2" ht="15.75" thickBot="1" x14ac:dyDescent="0.3">
      <c r="A596" s="28"/>
      <c r="B596" s="25"/>
    </row>
    <row r="597" spans="1:2" ht="15.75" thickBot="1" x14ac:dyDescent="0.3">
      <c r="A597" s="28"/>
      <c r="B597" s="25"/>
    </row>
    <row r="598" spans="1:2" ht="15.75" thickBot="1" x14ac:dyDescent="0.3">
      <c r="A598" s="28"/>
      <c r="B598" s="25"/>
    </row>
    <row r="599" spans="1:2" ht="15.75" thickBot="1" x14ac:dyDescent="0.3">
      <c r="A599" s="28"/>
      <c r="B599" s="25"/>
    </row>
    <row r="600" spans="1:2" ht="15.75" thickBot="1" x14ac:dyDescent="0.3">
      <c r="A600" s="28"/>
      <c r="B600" s="25"/>
    </row>
    <row r="601" spans="1:2" ht="15.75" thickBot="1" x14ac:dyDescent="0.3">
      <c r="A601" s="28"/>
      <c r="B601" s="25"/>
    </row>
    <row r="602" spans="1:2" ht="15.75" thickBot="1" x14ac:dyDescent="0.3">
      <c r="A602" s="28"/>
      <c r="B602" s="25"/>
    </row>
    <row r="603" spans="1:2" ht="15.75" thickBot="1" x14ac:dyDescent="0.3">
      <c r="A603" s="28"/>
      <c r="B603" s="25"/>
    </row>
    <row r="604" spans="1:2" ht="15.75" thickBot="1" x14ac:dyDescent="0.3">
      <c r="A604" s="28"/>
      <c r="B604" s="25"/>
    </row>
    <row r="605" spans="1:2" ht="15.75" thickBot="1" x14ac:dyDescent="0.3">
      <c r="A605" s="28"/>
      <c r="B605" s="25"/>
    </row>
    <row r="606" spans="1:2" ht="15.75" thickBot="1" x14ac:dyDescent="0.3">
      <c r="A606" s="28"/>
      <c r="B606" s="25"/>
    </row>
    <row r="607" spans="1:2" ht="15.75" thickBot="1" x14ac:dyDescent="0.3">
      <c r="A607" s="28"/>
      <c r="B607" s="25"/>
    </row>
    <row r="608" spans="1:2" ht="15.75" thickBot="1" x14ac:dyDescent="0.3">
      <c r="A608" s="28"/>
      <c r="B608" s="25"/>
    </row>
    <row r="609" spans="1:2" ht="15.75" thickBot="1" x14ac:dyDescent="0.3">
      <c r="A609" s="28"/>
      <c r="B609" s="25"/>
    </row>
    <row r="610" spans="1:2" ht="15.75" thickBot="1" x14ac:dyDescent="0.3">
      <c r="A610" s="28"/>
      <c r="B610" s="25"/>
    </row>
    <row r="611" spans="1:2" ht="15.75" thickBot="1" x14ac:dyDescent="0.3">
      <c r="A611" s="28"/>
      <c r="B611" s="25"/>
    </row>
    <row r="612" spans="1:2" ht="15.75" thickBot="1" x14ac:dyDescent="0.3">
      <c r="A612" s="28"/>
      <c r="B612" s="25"/>
    </row>
    <row r="613" spans="1:2" ht="15.75" thickBot="1" x14ac:dyDescent="0.3">
      <c r="A613" s="28"/>
      <c r="B613" s="25"/>
    </row>
    <row r="614" spans="1:2" ht="15.75" thickBot="1" x14ac:dyDescent="0.3">
      <c r="A614" s="28"/>
      <c r="B614" s="25"/>
    </row>
    <row r="615" spans="1:2" ht="15.75" thickBot="1" x14ac:dyDescent="0.3">
      <c r="A615" s="28"/>
      <c r="B615" s="25"/>
    </row>
    <row r="616" spans="1:2" ht="15.75" thickBot="1" x14ac:dyDescent="0.3">
      <c r="A616" s="28"/>
      <c r="B616" s="25"/>
    </row>
    <row r="617" spans="1:2" ht="15.75" thickBot="1" x14ac:dyDescent="0.3">
      <c r="A617" s="28"/>
      <c r="B617" s="25"/>
    </row>
    <row r="618" spans="1:2" ht="15.75" thickBot="1" x14ac:dyDescent="0.3">
      <c r="A618" s="28"/>
      <c r="B618" s="25"/>
    </row>
    <row r="619" spans="1:2" ht="15.75" thickBot="1" x14ac:dyDescent="0.3">
      <c r="A619" s="28"/>
      <c r="B619" s="25"/>
    </row>
    <row r="620" spans="1:2" ht="15.75" thickBot="1" x14ac:dyDescent="0.3">
      <c r="A620" s="28"/>
      <c r="B620" s="25"/>
    </row>
    <row r="621" spans="1:2" ht="15.75" thickBot="1" x14ac:dyDescent="0.3">
      <c r="A621" s="28"/>
      <c r="B621" s="25"/>
    </row>
    <row r="622" spans="1:2" ht="15.75" thickBot="1" x14ac:dyDescent="0.3">
      <c r="A622" s="28"/>
      <c r="B622" s="25"/>
    </row>
    <row r="623" spans="1:2" ht="15.75" thickBot="1" x14ac:dyDescent="0.3">
      <c r="A623" s="28"/>
      <c r="B623" s="25"/>
    </row>
    <row r="624" spans="1:2" ht="15.75" thickBot="1" x14ac:dyDescent="0.3">
      <c r="A624" s="28"/>
      <c r="B624" s="25"/>
    </row>
    <row r="625" spans="1:2" ht="15.75" thickBot="1" x14ac:dyDescent="0.3">
      <c r="A625" s="28"/>
      <c r="B625" s="25"/>
    </row>
    <row r="626" spans="1:2" ht="15.75" thickBot="1" x14ac:dyDescent="0.3">
      <c r="A626" s="28"/>
      <c r="B626" s="25"/>
    </row>
    <row r="627" spans="1:2" ht="15.75" thickBot="1" x14ac:dyDescent="0.3">
      <c r="A627" s="28"/>
      <c r="B627" s="25"/>
    </row>
    <row r="628" spans="1:2" ht="15.75" thickBot="1" x14ac:dyDescent="0.3">
      <c r="A628" s="28"/>
      <c r="B628" s="25"/>
    </row>
    <row r="629" spans="1:2" ht="15.75" thickBot="1" x14ac:dyDescent="0.3">
      <c r="A629" s="28"/>
      <c r="B629" s="25"/>
    </row>
    <row r="630" spans="1:2" ht="15.75" thickBot="1" x14ac:dyDescent="0.3">
      <c r="A630" s="28"/>
      <c r="B630" s="25"/>
    </row>
    <row r="631" spans="1:2" ht="15.75" thickBot="1" x14ac:dyDescent="0.3">
      <c r="A631" s="28"/>
      <c r="B631" s="25"/>
    </row>
    <row r="632" spans="1:2" ht="15.75" thickBot="1" x14ac:dyDescent="0.3">
      <c r="A632" s="28"/>
      <c r="B632" s="25"/>
    </row>
    <row r="633" spans="1:2" ht="15.75" thickBot="1" x14ac:dyDescent="0.3">
      <c r="A633" s="28"/>
      <c r="B633" s="25"/>
    </row>
    <row r="634" spans="1:2" ht="15.75" thickBot="1" x14ac:dyDescent="0.3">
      <c r="A634" s="28"/>
      <c r="B634" s="25"/>
    </row>
    <row r="635" spans="1:2" ht="15.75" thickBot="1" x14ac:dyDescent="0.3">
      <c r="A635" s="28"/>
      <c r="B635" s="25"/>
    </row>
    <row r="636" spans="1:2" ht="15.75" thickBot="1" x14ac:dyDescent="0.3">
      <c r="A636" s="28"/>
      <c r="B636" s="25"/>
    </row>
    <row r="637" spans="1:2" ht="15.75" thickBot="1" x14ac:dyDescent="0.3">
      <c r="A637" s="28"/>
      <c r="B637" s="25"/>
    </row>
    <row r="638" spans="1:2" ht="15.75" thickBot="1" x14ac:dyDescent="0.3">
      <c r="A638" s="28"/>
      <c r="B638" s="25"/>
    </row>
    <row r="639" spans="1:2" ht="15.75" thickBot="1" x14ac:dyDescent="0.3">
      <c r="A639" s="28"/>
      <c r="B639" s="25"/>
    </row>
    <row r="640" spans="1:2" ht="15.75" thickBot="1" x14ac:dyDescent="0.3">
      <c r="A640" s="28"/>
      <c r="B640" s="25"/>
    </row>
    <row r="641" spans="1:2" ht="15.75" thickBot="1" x14ac:dyDescent="0.3">
      <c r="A641" s="28"/>
      <c r="B641" s="25"/>
    </row>
    <row r="642" spans="1:2" ht="15.75" thickBot="1" x14ac:dyDescent="0.3">
      <c r="A642" s="28"/>
      <c r="B642" s="25"/>
    </row>
    <row r="643" spans="1:2" ht="15.75" thickBot="1" x14ac:dyDescent="0.3">
      <c r="A643" s="28"/>
      <c r="B643" s="25"/>
    </row>
    <row r="644" spans="1:2" ht="15.75" thickBot="1" x14ac:dyDescent="0.3">
      <c r="A644" s="28"/>
      <c r="B644" s="25"/>
    </row>
    <row r="645" spans="1:2" ht="15.75" thickBot="1" x14ac:dyDescent="0.3">
      <c r="A645" s="28"/>
      <c r="B645" s="25"/>
    </row>
    <row r="646" spans="1:2" ht="15.75" thickBot="1" x14ac:dyDescent="0.3">
      <c r="A646" s="28"/>
      <c r="B646" s="25"/>
    </row>
    <row r="647" spans="1:2" ht="15.75" thickBot="1" x14ac:dyDescent="0.3">
      <c r="A647" s="28"/>
      <c r="B647" s="25"/>
    </row>
    <row r="648" spans="1:2" ht="15.75" thickBot="1" x14ac:dyDescent="0.3">
      <c r="A648" s="28"/>
      <c r="B648" s="25"/>
    </row>
    <row r="649" spans="1:2" ht="15.75" thickBot="1" x14ac:dyDescent="0.3">
      <c r="A649" s="28"/>
      <c r="B649" s="25"/>
    </row>
    <row r="650" spans="1:2" ht="15.75" thickBot="1" x14ac:dyDescent="0.3">
      <c r="A650" s="28"/>
      <c r="B650" s="25"/>
    </row>
    <row r="651" spans="1:2" ht="15.75" thickBot="1" x14ac:dyDescent="0.3">
      <c r="A651" s="28"/>
      <c r="B651" s="25"/>
    </row>
    <row r="652" spans="1:2" ht="15.75" thickBot="1" x14ac:dyDescent="0.3">
      <c r="A652" s="28"/>
      <c r="B652" s="25"/>
    </row>
    <row r="653" spans="1:2" ht="15.75" thickBot="1" x14ac:dyDescent="0.3">
      <c r="A653" s="28"/>
      <c r="B653" s="25"/>
    </row>
    <row r="654" spans="1:2" ht="15.75" thickBot="1" x14ac:dyDescent="0.3">
      <c r="A654" s="28"/>
      <c r="B654" s="25"/>
    </row>
    <row r="655" spans="1:2" ht="15.75" thickBot="1" x14ac:dyDescent="0.3">
      <c r="A655" s="28"/>
      <c r="B655" s="25"/>
    </row>
    <row r="656" spans="1:2" ht="15.75" thickBot="1" x14ac:dyDescent="0.3">
      <c r="A656" s="28"/>
      <c r="B656" s="25"/>
    </row>
    <row r="657" spans="1:2" ht="15.75" thickBot="1" x14ac:dyDescent="0.3">
      <c r="A657" s="28"/>
      <c r="B657" s="25"/>
    </row>
    <row r="658" spans="1:2" ht="15.75" thickBot="1" x14ac:dyDescent="0.3">
      <c r="A658" s="28"/>
      <c r="B658" s="25"/>
    </row>
    <row r="659" spans="1:2" ht="15.75" thickBot="1" x14ac:dyDescent="0.3">
      <c r="A659" s="28"/>
      <c r="B659" s="25"/>
    </row>
    <row r="660" spans="1:2" ht="15.75" thickBot="1" x14ac:dyDescent="0.3">
      <c r="A660" s="28"/>
      <c r="B660" s="25"/>
    </row>
    <row r="661" spans="1:2" ht="15.75" thickBot="1" x14ac:dyDescent="0.3">
      <c r="A661" s="28"/>
      <c r="B661" s="25"/>
    </row>
    <row r="662" spans="1:2" ht="15.75" thickBot="1" x14ac:dyDescent="0.3">
      <c r="A662" s="28"/>
      <c r="B662" s="25"/>
    </row>
    <row r="663" spans="1:2" ht="15.75" thickBot="1" x14ac:dyDescent="0.3">
      <c r="A663" s="28"/>
      <c r="B663" s="25"/>
    </row>
    <row r="664" spans="1:2" ht="15.75" thickBot="1" x14ac:dyDescent="0.3">
      <c r="A664" s="28"/>
      <c r="B664" s="25"/>
    </row>
    <row r="665" spans="1:2" ht="15.75" thickBot="1" x14ac:dyDescent="0.3">
      <c r="A665" s="28"/>
      <c r="B665" s="25"/>
    </row>
    <row r="666" spans="1:2" ht="15.75" thickBot="1" x14ac:dyDescent="0.3">
      <c r="A666" s="28"/>
      <c r="B666" s="25"/>
    </row>
    <row r="667" spans="1:2" ht="15.75" thickBot="1" x14ac:dyDescent="0.3">
      <c r="A667" s="28"/>
      <c r="B667" s="25"/>
    </row>
    <row r="668" spans="1:2" ht="15.75" thickBot="1" x14ac:dyDescent="0.3">
      <c r="A668" s="28"/>
      <c r="B668" s="25"/>
    </row>
    <row r="669" spans="1:2" ht="15.75" thickBot="1" x14ac:dyDescent="0.3">
      <c r="A669" s="28"/>
      <c r="B669" s="25"/>
    </row>
    <row r="670" spans="1:2" ht="15.75" thickBot="1" x14ac:dyDescent="0.3">
      <c r="A670" s="28"/>
      <c r="B670" s="25"/>
    </row>
    <row r="671" spans="1:2" ht="15.75" thickBot="1" x14ac:dyDescent="0.3">
      <c r="A671" s="28"/>
      <c r="B671" s="25"/>
    </row>
    <row r="672" spans="1:2" ht="15.75" thickBot="1" x14ac:dyDescent="0.3">
      <c r="A672" s="28"/>
      <c r="B672" s="25"/>
    </row>
    <row r="673" spans="1:2" ht="15.75" thickBot="1" x14ac:dyDescent="0.3">
      <c r="A673" s="28"/>
      <c r="B673" s="25"/>
    </row>
    <row r="674" spans="1:2" ht="15.75" thickBot="1" x14ac:dyDescent="0.3">
      <c r="A674" s="28"/>
      <c r="B674" s="25"/>
    </row>
    <row r="675" spans="1:2" ht="15.75" thickBot="1" x14ac:dyDescent="0.3">
      <c r="A675" s="28"/>
      <c r="B675" s="25"/>
    </row>
    <row r="676" spans="1:2" ht="15.75" thickBot="1" x14ac:dyDescent="0.3">
      <c r="A676" s="28"/>
      <c r="B676" s="25"/>
    </row>
    <row r="677" spans="1:2" ht="15.75" thickBot="1" x14ac:dyDescent="0.3">
      <c r="A677" s="28"/>
      <c r="B677" s="25"/>
    </row>
    <row r="678" spans="1:2" ht="15.75" thickBot="1" x14ac:dyDescent="0.3">
      <c r="A678" s="28"/>
      <c r="B678" s="25"/>
    </row>
    <row r="679" spans="1:2" ht="15.75" thickBot="1" x14ac:dyDescent="0.3">
      <c r="A679" s="28"/>
      <c r="B679" s="25"/>
    </row>
    <row r="680" spans="1:2" ht="15.75" thickBot="1" x14ac:dyDescent="0.3">
      <c r="A680" s="28"/>
      <c r="B680" s="25"/>
    </row>
    <row r="681" spans="1:2" ht="15.75" thickBot="1" x14ac:dyDescent="0.3">
      <c r="A681" s="28"/>
      <c r="B681" s="25"/>
    </row>
    <row r="682" spans="1:2" ht="15.75" thickBot="1" x14ac:dyDescent="0.3">
      <c r="A682" s="28"/>
      <c r="B682" s="25"/>
    </row>
    <row r="683" spans="1:2" ht="15.75" thickBot="1" x14ac:dyDescent="0.3">
      <c r="A683" s="28"/>
      <c r="B683" s="25"/>
    </row>
    <row r="684" spans="1:2" ht="15.75" thickBot="1" x14ac:dyDescent="0.3">
      <c r="A684" s="28"/>
      <c r="B684" s="25"/>
    </row>
    <row r="685" spans="1:2" ht="15.75" thickBot="1" x14ac:dyDescent="0.3">
      <c r="A685" s="28"/>
      <c r="B685" s="25"/>
    </row>
    <row r="686" spans="1:2" ht="15.75" thickBot="1" x14ac:dyDescent="0.3">
      <c r="A686" s="28"/>
      <c r="B686" s="25"/>
    </row>
    <row r="687" spans="1:2" ht="15.75" thickBot="1" x14ac:dyDescent="0.3">
      <c r="A687" s="28"/>
      <c r="B687" s="25"/>
    </row>
    <row r="688" spans="1:2" ht="15.75" thickBot="1" x14ac:dyDescent="0.3">
      <c r="A688" s="28"/>
      <c r="B688" s="25"/>
    </row>
    <row r="689" spans="1:2" ht="15.75" thickBot="1" x14ac:dyDescent="0.3">
      <c r="A689" s="28"/>
      <c r="B689" s="25"/>
    </row>
    <row r="690" spans="1:2" ht="15.75" thickBot="1" x14ac:dyDescent="0.3">
      <c r="A690" s="28"/>
      <c r="B690" s="25"/>
    </row>
    <row r="691" spans="1:2" ht="15.75" thickBot="1" x14ac:dyDescent="0.3">
      <c r="A691" s="28"/>
      <c r="B691" s="25"/>
    </row>
    <row r="692" spans="1:2" ht="15.75" thickBot="1" x14ac:dyDescent="0.3">
      <c r="A692" s="28"/>
      <c r="B692" s="25"/>
    </row>
    <row r="693" spans="1:2" ht="15.75" thickBot="1" x14ac:dyDescent="0.3">
      <c r="A693" s="28"/>
      <c r="B693" s="25"/>
    </row>
    <row r="694" spans="1:2" ht="15.75" thickBot="1" x14ac:dyDescent="0.3">
      <c r="A694" s="28"/>
      <c r="B694" s="25"/>
    </row>
    <row r="695" spans="1:2" ht="15.75" thickBot="1" x14ac:dyDescent="0.3">
      <c r="A695" s="28"/>
      <c r="B695" s="25"/>
    </row>
    <row r="696" spans="1:2" ht="15.75" thickBot="1" x14ac:dyDescent="0.3">
      <c r="A696" s="28"/>
      <c r="B696" s="25"/>
    </row>
    <row r="697" spans="1:2" ht="15.75" thickBot="1" x14ac:dyDescent="0.3">
      <c r="A697" s="28"/>
      <c r="B697" s="25"/>
    </row>
    <row r="698" spans="1:2" ht="15.75" thickBot="1" x14ac:dyDescent="0.3">
      <c r="A698" s="28"/>
      <c r="B698" s="25"/>
    </row>
    <row r="699" spans="1:2" ht="15.75" thickBot="1" x14ac:dyDescent="0.3">
      <c r="A699" s="28"/>
      <c r="B699" s="25"/>
    </row>
    <row r="700" spans="1:2" ht="15.75" thickBot="1" x14ac:dyDescent="0.3">
      <c r="A700" s="28"/>
      <c r="B700" s="25"/>
    </row>
    <row r="701" spans="1:2" ht="15.75" thickBot="1" x14ac:dyDescent="0.3">
      <c r="A701" s="28"/>
      <c r="B701" s="25"/>
    </row>
    <row r="702" spans="1:2" ht="15.75" thickBot="1" x14ac:dyDescent="0.3">
      <c r="A702" s="28"/>
      <c r="B702" s="25"/>
    </row>
    <row r="703" spans="1:2" ht="15.75" thickBot="1" x14ac:dyDescent="0.3">
      <c r="A703" s="28"/>
      <c r="B703" s="25"/>
    </row>
    <row r="704" spans="1:2" ht="15.75" thickBot="1" x14ac:dyDescent="0.3">
      <c r="A704" s="28"/>
      <c r="B704" s="25"/>
    </row>
    <row r="705" spans="1:2" ht="15.75" thickBot="1" x14ac:dyDescent="0.3">
      <c r="A705" s="28"/>
      <c r="B705" s="25"/>
    </row>
    <row r="706" spans="1:2" ht="15.75" thickBot="1" x14ac:dyDescent="0.3">
      <c r="A706" s="28"/>
      <c r="B706" s="25"/>
    </row>
    <row r="707" spans="1:2" ht="15.75" thickBot="1" x14ac:dyDescent="0.3">
      <c r="A707" s="28"/>
      <c r="B707" s="25"/>
    </row>
    <row r="708" spans="1:2" ht="15.75" thickBot="1" x14ac:dyDescent="0.3">
      <c r="A708" s="28"/>
      <c r="B708" s="25"/>
    </row>
    <row r="709" spans="1:2" ht="15.75" thickBot="1" x14ac:dyDescent="0.3">
      <c r="A709" s="28"/>
      <c r="B709" s="25"/>
    </row>
    <row r="710" spans="1:2" ht="15.75" thickBot="1" x14ac:dyDescent="0.3">
      <c r="A710" s="28"/>
      <c r="B710" s="25"/>
    </row>
    <row r="711" spans="1:2" ht="15.75" thickBot="1" x14ac:dyDescent="0.3">
      <c r="A711" s="28"/>
      <c r="B711" s="25"/>
    </row>
    <row r="712" spans="1:2" ht="15.75" thickBot="1" x14ac:dyDescent="0.3">
      <c r="A712" s="28"/>
      <c r="B712" s="25"/>
    </row>
    <row r="713" spans="1:2" ht="15.75" thickBot="1" x14ac:dyDescent="0.3">
      <c r="A713" s="28"/>
      <c r="B713" s="25"/>
    </row>
    <row r="714" spans="1:2" ht="15.75" thickBot="1" x14ac:dyDescent="0.3">
      <c r="A714" s="28"/>
      <c r="B714" s="25"/>
    </row>
    <row r="715" spans="1:2" ht="15.75" thickBot="1" x14ac:dyDescent="0.3">
      <c r="A715" s="28"/>
      <c r="B715" s="25"/>
    </row>
    <row r="716" spans="1:2" ht="15.75" thickBot="1" x14ac:dyDescent="0.3">
      <c r="A716" s="28"/>
      <c r="B716" s="25"/>
    </row>
    <row r="717" spans="1:2" ht="15.75" thickBot="1" x14ac:dyDescent="0.3">
      <c r="A717" s="28"/>
      <c r="B717" s="25"/>
    </row>
    <row r="718" spans="1:2" ht="15.75" thickBot="1" x14ac:dyDescent="0.3">
      <c r="A718" s="28"/>
      <c r="B718" s="25"/>
    </row>
    <row r="719" spans="1:2" ht="15.75" thickBot="1" x14ac:dyDescent="0.3">
      <c r="A719" s="28"/>
      <c r="B719" s="25"/>
    </row>
    <row r="720" spans="1:2" ht="15.75" thickBot="1" x14ac:dyDescent="0.3">
      <c r="A720" s="28"/>
      <c r="B720" s="25"/>
    </row>
    <row r="721" spans="1:2" ht="15.75" thickBot="1" x14ac:dyDescent="0.3">
      <c r="A721" s="28"/>
      <c r="B721" s="25"/>
    </row>
    <row r="722" spans="1:2" ht="15.75" thickBot="1" x14ac:dyDescent="0.3">
      <c r="A722" s="28"/>
      <c r="B722" s="25"/>
    </row>
    <row r="723" spans="1:2" ht="15.75" thickBot="1" x14ac:dyDescent="0.3">
      <c r="A723" s="28"/>
      <c r="B723" s="25"/>
    </row>
    <row r="724" spans="1:2" ht="15.75" thickBot="1" x14ac:dyDescent="0.3">
      <c r="A724" s="28"/>
      <c r="B724" s="25"/>
    </row>
    <row r="725" spans="1:2" ht="15.75" thickBot="1" x14ac:dyDescent="0.3">
      <c r="A725" s="28"/>
      <c r="B725" s="25"/>
    </row>
    <row r="726" spans="1:2" ht="15.75" thickBot="1" x14ac:dyDescent="0.3">
      <c r="A726" s="28"/>
      <c r="B726" s="25"/>
    </row>
    <row r="727" spans="1:2" ht="15.75" thickBot="1" x14ac:dyDescent="0.3">
      <c r="A727" s="28"/>
      <c r="B727" s="25"/>
    </row>
    <row r="728" spans="1:2" ht="15.75" thickBot="1" x14ac:dyDescent="0.3">
      <c r="A728" s="28"/>
      <c r="B728" s="25"/>
    </row>
    <row r="729" spans="1:2" ht="15.75" thickBot="1" x14ac:dyDescent="0.3">
      <c r="A729" s="28"/>
      <c r="B729" s="25"/>
    </row>
    <row r="730" spans="1:2" ht="15.75" thickBot="1" x14ac:dyDescent="0.3">
      <c r="A730" s="28"/>
      <c r="B730" s="25"/>
    </row>
    <row r="731" spans="1:2" ht="15.75" thickBot="1" x14ac:dyDescent="0.3">
      <c r="A731" s="28"/>
      <c r="B731" s="25"/>
    </row>
    <row r="732" spans="1:2" ht="15.75" thickBot="1" x14ac:dyDescent="0.3">
      <c r="A732" s="28"/>
      <c r="B732" s="25"/>
    </row>
    <row r="733" spans="1:2" ht="15.75" thickBot="1" x14ac:dyDescent="0.3">
      <c r="A733" s="28"/>
      <c r="B733" s="25"/>
    </row>
    <row r="734" spans="1:2" ht="15.75" thickBot="1" x14ac:dyDescent="0.3">
      <c r="A734" s="28"/>
      <c r="B734" s="25"/>
    </row>
    <row r="735" spans="1:2" ht="15.75" thickBot="1" x14ac:dyDescent="0.3">
      <c r="A735" s="28"/>
      <c r="B735" s="25"/>
    </row>
    <row r="736" spans="1:2" ht="15.75" thickBot="1" x14ac:dyDescent="0.3">
      <c r="A736" s="28"/>
      <c r="B736" s="25"/>
    </row>
    <row r="737" spans="1:2" ht="15.75" thickBot="1" x14ac:dyDescent="0.3">
      <c r="A737" s="28"/>
      <c r="B737" s="25"/>
    </row>
    <row r="738" spans="1:2" ht="15.75" thickBot="1" x14ac:dyDescent="0.3">
      <c r="A738" s="28"/>
      <c r="B738" s="25"/>
    </row>
    <row r="739" spans="1:2" ht="15.75" thickBot="1" x14ac:dyDescent="0.3">
      <c r="A739" s="28"/>
      <c r="B739" s="25"/>
    </row>
    <row r="740" spans="1:2" ht="15.75" thickBot="1" x14ac:dyDescent="0.3">
      <c r="A740" s="28"/>
      <c r="B740" s="25"/>
    </row>
    <row r="741" spans="1:2" ht="15.75" thickBot="1" x14ac:dyDescent="0.3">
      <c r="A741" s="28"/>
      <c r="B741" s="25"/>
    </row>
    <row r="742" spans="1:2" ht="15.75" thickBot="1" x14ac:dyDescent="0.3">
      <c r="A742" s="28"/>
      <c r="B742" s="25"/>
    </row>
    <row r="743" spans="1:2" ht="15.75" thickBot="1" x14ac:dyDescent="0.3">
      <c r="A743" s="28"/>
      <c r="B743" s="25"/>
    </row>
    <row r="744" spans="1:2" ht="15.75" thickBot="1" x14ac:dyDescent="0.3">
      <c r="A744" s="28"/>
      <c r="B744" s="25"/>
    </row>
    <row r="745" spans="1:2" ht="15.75" thickBot="1" x14ac:dyDescent="0.3">
      <c r="A745" s="28"/>
      <c r="B745" s="25"/>
    </row>
    <row r="746" spans="1:2" ht="15.75" thickBot="1" x14ac:dyDescent="0.3">
      <c r="A746" s="28"/>
      <c r="B746" s="25"/>
    </row>
    <row r="747" spans="1:2" ht="15.75" thickBot="1" x14ac:dyDescent="0.3">
      <c r="A747" s="28"/>
      <c r="B747" s="25"/>
    </row>
    <row r="748" spans="1:2" ht="15.75" thickBot="1" x14ac:dyDescent="0.3">
      <c r="A748" s="28"/>
      <c r="B748" s="25"/>
    </row>
    <row r="749" spans="1:2" ht="15.75" thickBot="1" x14ac:dyDescent="0.3">
      <c r="A749" s="28"/>
      <c r="B749" s="25"/>
    </row>
    <row r="750" spans="1:2" ht="15.75" thickBot="1" x14ac:dyDescent="0.3">
      <c r="A750" s="28"/>
      <c r="B750" s="25"/>
    </row>
    <row r="751" spans="1:2" ht="15.75" thickBot="1" x14ac:dyDescent="0.3">
      <c r="A751" s="28"/>
      <c r="B751" s="25"/>
    </row>
    <row r="752" spans="1:2" ht="15.75" thickBot="1" x14ac:dyDescent="0.3">
      <c r="A752" s="28"/>
      <c r="B752" s="25"/>
    </row>
    <row r="753" spans="1:2" ht="15.75" thickBot="1" x14ac:dyDescent="0.3">
      <c r="A753" s="28"/>
      <c r="B753" s="25"/>
    </row>
    <row r="754" spans="1:2" ht="15.75" thickBot="1" x14ac:dyDescent="0.3">
      <c r="A754" s="28"/>
      <c r="B754" s="25"/>
    </row>
    <row r="755" spans="1:2" ht="15.75" thickBot="1" x14ac:dyDescent="0.3">
      <c r="A755" s="28"/>
      <c r="B755" s="25"/>
    </row>
    <row r="756" spans="1:2" ht="15.75" thickBot="1" x14ac:dyDescent="0.3">
      <c r="A756" s="28"/>
      <c r="B756" s="25"/>
    </row>
    <row r="757" spans="1:2" ht="15.75" thickBot="1" x14ac:dyDescent="0.3">
      <c r="A757" s="28"/>
      <c r="B757" s="25"/>
    </row>
    <row r="758" spans="1:2" ht="15.75" thickBot="1" x14ac:dyDescent="0.3">
      <c r="A758" s="28"/>
      <c r="B758" s="25"/>
    </row>
    <row r="759" spans="1:2" ht="15.75" thickBot="1" x14ac:dyDescent="0.3">
      <c r="A759" s="28"/>
      <c r="B759" s="25"/>
    </row>
    <row r="760" spans="1:2" ht="15.75" thickBot="1" x14ac:dyDescent="0.3">
      <c r="A760" s="28"/>
      <c r="B760" s="25"/>
    </row>
    <row r="761" spans="1:2" ht="15.75" thickBot="1" x14ac:dyDescent="0.3">
      <c r="A761" s="28"/>
      <c r="B761" s="25"/>
    </row>
    <row r="762" spans="1:2" ht="15.75" thickBot="1" x14ac:dyDescent="0.3">
      <c r="A762" s="28"/>
      <c r="B762" s="25"/>
    </row>
    <row r="763" spans="1:2" ht="15.75" thickBot="1" x14ac:dyDescent="0.3">
      <c r="A763" s="28"/>
      <c r="B763" s="25"/>
    </row>
    <row r="764" spans="1:2" ht="15.75" thickBot="1" x14ac:dyDescent="0.3">
      <c r="A764" s="28"/>
      <c r="B764" s="25"/>
    </row>
    <row r="765" spans="1:2" ht="15.75" thickBot="1" x14ac:dyDescent="0.3">
      <c r="A765" s="28"/>
      <c r="B765" s="25"/>
    </row>
    <row r="766" spans="1:2" ht="15.75" thickBot="1" x14ac:dyDescent="0.3">
      <c r="A766" s="28"/>
      <c r="B766" s="25"/>
    </row>
    <row r="767" spans="1:2" ht="15.75" thickBot="1" x14ac:dyDescent="0.3">
      <c r="A767" s="28"/>
      <c r="B767" s="25"/>
    </row>
    <row r="768" spans="1:2" ht="15.75" thickBot="1" x14ac:dyDescent="0.3">
      <c r="A768" s="28"/>
      <c r="B768" s="25"/>
    </row>
    <row r="769" spans="1:2" ht="15.75" thickBot="1" x14ac:dyDescent="0.3">
      <c r="A769" s="28"/>
      <c r="B769" s="25"/>
    </row>
    <row r="770" spans="1:2" ht="15.75" thickBot="1" x14ac:dyDescent="0.3">
      <c r="A770" s="28"/>
      <c r="B770" s="25"/>
    </row>
    <row r="771" spans="1:2" ht="15.75" thickBot="1" x14ac:dyDescent="0.3">
      <c r="A771" s="28"/>
      <c r="B771" s="25"/>
    </row>
    <row r="772" spans="1:2" ht="15.75" thickBot="1" x14ac:dyDescent="0.3">
      <c r="A772" s="28"/>
      <c r="B772" s="25"/>
    </row>
    <row r="773" spans="1:2" ht="15.75" thickBot="1" x14ac:dyDescent="0.3">
      <c r="A773" s="28"/>
      <c r="B773" s="25"/>
    </row>
    <row r="774" spans="1:2" ht="15.75" thickBot="1" x14ac:dyDescent="0.3">
      <c r="A774" s="28"/>
      <c r="B774" s="25"/>
    </row>
    <row r="775" spans="1:2" ht="15.75" thickBot="1" x14ac:dyDescent="0.3">
      <c r="A775" s="28"/>
      <c r="B775" s="25"/>
    </row>
    <row r="776" spans="1:2" ht="15.75" thickBot="1" x14ac:dyDescent="0.3">
      <c r="A776" s="28"/>
      <c r="B776" s="25"/>
    </row>
    <row r="777" spans="1:2" ht="15.75" thickBot="1" x14ac:dyDescent="0.3">
      <c r="A777" s="28"/>
      <c r="B777" s="25"/>
    </row>
    <row r="778" spans="1:2" ht="15.75" thickBot="1" x14ac:dyDescent="0.3">
      <c r="A778" s="28"/>
      <c r="B778" s="25"/>
    </row>
    <row r="779" spans="1:2" ht="15.75" thickBot="1" x14ac:dyDescent="0.3">
      <c r="A779" s="28"/>
      <c r="B779" s="25"/>
    </row>
    <row r="780" spans="1:2" ht="15.75" thickBot="1" x14ac:dyDescent="0.3">
      <c r="A780" s="28"/>
      <c r="B780" s="25"/>
    </row>
    <row r="781" spans="1:2" ht="15.75" thickBot="1" x14ac:dyDescent="0.3">
      <c r="A781" s="28"/>
      <c r="B781" s="25"/>
    </row>
    <row r="782" spans="1:2" ht="15.75" thickBot="1" x14ac:dyDescent="0.3">
      <c r="A782" s="28"/>
      <c r="B782" s="25"/>
    </row>
    <row r="783" spans="1:2" ht="15.75" thickBot="1" x14ac:dyDescent="0.3">
      <c r="A783" s="28"/>
      <c r="B783" s="25"/>
    </row>
    <row r="784" spans="1:2" ht="15.75" thickBot="1" x14ac:dyDescent="0.3">
      <c r="A784" s="28"/>
      <c r="B784" s="25"/>
    </row>
    <row r="785" spans="1:2" ht="15.75" thickBot="1" x14ac:dyDescent="0.3">
      <c r="A785" s="28"/>
      <c r="B785" s="25"/>
    </row>
    <row r="786" spans="1:2" ht="15.75" thickBot="1" x14ac:dyDescent="0.3">
      <c r="A786" s="28"/>
      <c r="B786" s="25"/>
    </row>
    <row r="787" spans="1:2" ht="15.75" thickBot="1" x14ac:dyDescent="0.3">
      <c r="A787" s="28"/>
      <c r="B787" s="25"/>
    </row>
    <row r="788" spans="1:2" ht="15.75" thickBot="1" x14ac:dyDescent="0.3">
      <c r="A788" s="28"/>
      <c r="B788" s="25"/>
    </row>
    <row r="789" spans="1:2" ht="15.75" thickBot="1" x14ac:dyDescent="0.3">
      <c r="A789" s="28"/>
      <c r="B789" s="25"/>
    </row>
    <row r="790" spans="1:2" ht="15.75" thickBot="1" x14ac:dyDescent="0.3">
      <c r="A790" s="28"/>
      <c r="B790" s="25"/>
    </row>
    <row r="791" spans="1:2" ht="15.75" thickBot="1" x14ac:dyDescent="0.3">
      <c r="A791" s="28"/>
      <c r="B791" s="25"/>
    </row>
    <row r="792" spans="1:2" ht="15.75" thickBot="1" x14ac:dyDescent="0.3">
      <c r="A792" s="28"/>
      <c r="B792" s="25"/>
    </row>
    <row r="793" spans="1:2" ht="15.75" thickBot="1" x14ac:dyDescent="0.3">
      <c r="A793" s="28"/>
      <c r="B793" s="25"/>
    </row>
    <row r="794" spans="1:2" ht="15.75" thickBot="1" x14ac:dyDescent="0.3">
      <c r="A794" s="28"/>
      <c r="B794" s="25"/>
    </row>
    <row r="795" spans="1:2" ht="15.75" thickBot="1" x14ac:dyDescent="0.3">
      <c r="A795" s="28"/>
      <c r="B795" s="25"/>
    </row>
    <row r="796" spans="1:2" ht="15.75" thickBot="1" x14ac:dyDescent="0.3">
      <c r="A796" s="28"/>
      <c r="B796" s="25"/>
    </row>
    <row r="797" spans="1:2" ht="15.75" thickBot="1" x14ac:dyDescent="0.3">
      <c r="A797" s="28"/>
      <c r="B797" s="25"/>
    </row>
    <row r="798" spans="1:2" ht="15.75" thickBot="1" x14ac:dyDescent="0.3">
      <c r="A798" s="28"/>
      <c r="B798" s="25"/>
    </row>
    <row r="799" spans="1:2" ht="15.75" thickBot="1" x14ac:dyDescent="0.3">
      <c r="A799" s="28"/>
      <c r="B799" s="25"/>
    </row>
    <row r="800" spans="1:2" ht="15.75" thickBot="1" x14ac:dyDescent="0.3">
      <c r="A800" s="28"/>
      <c r="B800" s="25"/>
    </row>
    <row r="801" spans="1:2" ht="15.75" thickBot="1" x14ac:dyDescent="0.3">
      <c r="A801" s="28"/>
      <c r="B801" s="25"/>
    </row>
    <row r="802" spans="1:2" ht="15.75" thickBot="1" x14ac:dyDescent="0.3">
      <c r="A802" s="28"/>
      <c r="B802" s="25"/>
    </row>
    <row r="803" spans="1:2" ht="15.75" thickBot="1" x14ac:dyDescent="0.3">
      <c r="A803" s="28"/>
      <c r="B803" s="25"/>
    </row>
    <row r="804" spans="1:2" ht="15.75" thickBot="1" x14ac:dyDescent="0.3">
      <c r="A804" s="28"/>
      <c r="B804" s="25"/>
    </row>
    <row r="805" spans="1:2" ht="15.75" thickBot="1" x14ac:dyDescent="0.3">
      <c r="A805" s="28"/>
      <c r="B805" s="25"/>
    </row>
    <row r="806" spans="1:2" ht="15.75" thickBot="1" x14ac:dyDescent="0.3">
      <c r="A806" s="28"/>
      <c r="B806" s="25"/>
    </row>
    <row r="807" spans="1:2" ht="15.75" thickBot="1" x14ac:dyDescent="0.3">
      <c r="A807" s="28"/>
      <c r="B807" s="25"/>
    </row>
    <row r="808" spans="1:2" ht="15.75" thickBot="1" x14ac:dyDescent="0.3">
      <c r="A808" s="28"/>
      <c r="B808" s="25"/>
    </row>
    <row r="809" spans="1:2" ht="15.75" thickBot="1" x14ac:dyDescent="0.3">
      <c r="A809" s="28"/>
      <c r="B809" s="25"/>
    </row>
    <row r="810" spans="1:2" ht="15.75" thickBot="1" x14ac:dyDescent="0.3">
      <c r="A810" s="28"/>
      <c r="B810" s="25"/>
    </row>
    <row r="811" spans="1:2" ht="15.75" thickBot="1" x14ac:dyDescent="0.3">
      <c r="A811" s="28"/>
      <c r="B811" s="25"/>
    </row>
    <row r="812" spans="1:2" ht="15.75" thickBot="1" x14ac:dyDescent="0.3">
      <c r="A812" s="28"/>
      <c r="B812" s="25"/>
    </row>
    <row r="813" spans="1:2" ht="15.75" thickBot="1" x14ac:dyDescent="0.3">
      <c r="A813" s="28"/>
      <c r="B813" s="25"/>
    </row>
    <row r="814" spans="1:2" ht="15.75" thickBot="1" x14ac:dyDescent="0.3">
      <c r="A814" s="28"/>
      <c r="B814" s="25"/>
    </row>
    <row r="815" spans="1:2" ht="15.75" thickBot="1" x14ac:dyDescent="0.3">
      <c r="A815" s="28"/>
      <c r="B815" s="25"/>
    </row>
    <row r="816" spans="1:2" ht="15.75" thickBot="1" x14ac:dyDescent="0.3">
      <c r="A816" s="28"/>
      <c r="B816" s="25"/>
    </row>
    <row r="817" spans="1:2" ht="15.75" thickBot="1" x14ac:dyDescent="0.3">
      <c r="A817" s="28"/>
      <c r="B817" s="25"/>
    </row>
    <row r="818" spans="1:2" ht="15.75" thickBot="1" x14ac:dyDescent="0.3">
      <c r="A818" s="28"/>
      <c r="B818" s="25"/>
    </row>
    <row r="819" spans="1:2" ht="15.75" thickBot="1" x14ac:dyDescent="0.3">
      <c r="A819" s="28"/>
      <c r="B819" s="25"/>
    </row>
    <row r="820" spans="1:2" ht="15.75" thickBot="1" x14ac:dyDescent="0.3">
      <c r="A820" s="28"/>
      <c r="B820" s="25"/>
    </row>
    <row r="821" spans="1:2" ht="15.75" thickBot="1" x14ac:dyDescent="0.3">
      <c r="A821" s="28"/>
      <c r="B821" s="25"/>
    </row>
    <row r="822" spans="1:2" ht="15.75" thickBot="1" x14ac:dyDescent="0.3">
      <c r="A822" s="28"/>
      <c r="B822" s="25"/>
    </row>
    <row r="823" spans="1:2" ht="15.75" thickBot="1" x14ac:dyDescent="0.3">
      <c r="A823" s="28"/>
      <c r="B823" s="25"/>
    </row>
    <row r="824" spans="1:2" ht="15.75" thickBot="1" x14ac:dyDescent="0.3">
      <c r="A824" s="28"/>
      <c r="B824" s="25"/>
    </row>
    <row r="825" spans="1:2" ht="15.75" thickBot="1" x14ac:dyDescent="0.3">
      <c r="A825" s="28"/>
      <c r="B825" s="25"/>
    </row>
    <row r="826" spans="1:2" ht="15.75" thickBot="1" x14ac:dyDescent="0.3">
      <c r="A826" s="28"/>
      <c r="B826" s="25"/>
    </row>
    <row r="827" spans="1:2" ht="15.75" thickBot="1" x14ac:dyDescent="0.3">
      <c r="A827" s="28"/>
      <c r="B827" s="25"/>
    </row>
    <row r="828" spans="1:2" ht="15.75" thickBot="1" x14ac:dyDescent="0.3">
      <c r="A828" s="28"/>
      <c r="B828" s="25"/>
    </row>
    <row r="829" spans="1:2" ht="15.75" thickBot="1" x14ac:dyDescent="0.3">
      <c r="A829" s="28"/>
      <c r="B829" s="25"/>
    </row>
    <row r="830" spans="1:2" ht="15.75" thickBot="1" x14ac:dyDescent="0.3">
      <c r="A830" s="28"/>
      <c r="B830" s="25"/>
    </row>
    <row r="831" spans="1:2" ht="15.75" thickBot="1" x14ac:dyDescent="0.3">
      <c r="A831" s="28"/>
      <c r="B831" s="25"/>
    </row>
    <row r="832" spans="1:2" ht="15.75" thickBot="1" x14ac:dyDescent="0.3">
      <c r="A832" s="28"/>
      <c r="B832" s="25"/>
    </row>
    <row r="833" spans="1:2" ht="15.75" thickBot="1" x14ac:dyDescent="0.3">
      <c r="A833" s="28"/>
      <c r="B833" s="25"/>
    </row>
    <row r="834" spans="1:2" ht="15.75" thickBot="1" x14ac:dyDescent="0.3">
      <c r="A834" s="28"/>
      <c r="B834" s="25"/>
    </row>
    <row r="835" spans="1:2" ht="15.75" thickBot="1" x14ac:dyDescent="0.3">
      <c r="A835" s="28"/>
      <c r="B835" s="25"/>
    </row>
    <row r="836" spans="1:2" ht="15.75" thickBot="1" x14ac:dyDescent="0.3">
      <c r="A836" s="28"/>
      <c r="B836" s="25"/>
    </row>
    <row r="837" spans="1:2" ht="15.75" thickBot="1" x14ac:dyDescent="0.3">
      <c r="A837" s="28"/>
      <c r="B837" s="25"/>
    </row>
    <row r="838" spans="1:2" ht="15.75" thickBot="1" x14ac:dyDescent="0.3">
      <c r="A838" s="28"/>
      <c r="B838" s="25"/>
    </row>
    <row r="839" spans="1:2" ht="15.75" thickBot="1" x14ac:dyDescent="0.3">
      <c r="A839" s="28"/>
      <c r="B839" s="25"/>
    </row>
    <row r="840" spans="1:2" ht="15.75" thickBot="1" x14ac:dyDescent="0.3">
      <c r="A840" s="28"/>
      <c r="B840" s="25"/>
    </row>
    <row r="841" spans="1:2" ht="15.75" thickBot="1" x14ac:dyDescent="0.3">
      <c r="A841" s="28"/>
      <c r="B841" s="25"/>
    </row>
    <row r="842" spans="1:2" ht="15.75" thickBot="1" x14ac:dyDescent="0.3">
      <c r="A842" s="28"/>
      <c r="B842" s="25"/>
    </row>
    <row r="843" spans="1:2" ht="15.75" thickBot="1" x14ac:dyDescent="0.3">
      <c r="A843" s="28"/>
      <c r="B843" s="25"/>
    </row>
    <row r="844" spans="1:2" ht="15.75" thickBot="1" x14ac:dyDescent="0.3">
      <c r="A844" s="28"/>
      <c r="B844" s="25"/>
    </row>
    <row r="845" spans="1:2" ht="15.75" thickBot="1" x14ac:dyDescent="0.3">
      <c r="A845" s="28"/>
      <c r="B845" s="25"/>
    </row>
    <row r="846" spans="1:2" ht="15.75" thickBot="1" x14ac:dyDescent="0.3">
      <c r="A846" s="28"/>
      <c r="B846" s="25"/>
    </row>
    <row r="847" spans="1:2" ht="15.75" thickBot="1" x14ac:dyDescent="0.3">
      <c r="A847" s="28"/>
      <c r="B847" s="25"/>
    </row>
    <row r="848" spans="1:2" ht="15.75" thickBot="1" x14ac:dyDescent="0.3">
      <c r="A848" s="28"/>
      <c r="B848" s="25"/>
    </row>
    <row r="849" spans="1:2" ht="15.75" thickBot="1" x14ac:dyDescent="0.3">
      <c r="A849" s="28"/>
      <c r="B849" s="25"/>
    </row>
    <row r="850" spans="1:2" ht="15.75" thickBot="1" x14ac:dyDescent="0.3">
      <c r="A850" s="28"/>
      <c r="B850" s="25"/>
    </row>
    <row r="851" spans="1:2" ht="15.75" thickBot="1" x14ac:dyDescent="0.3">
      <c r="A851" s="28"/>
      <c r="B851" s="25"/>
    </row>
    <row r="852" spans="1:2" ht="15.75" thickBot="1" x14ac:dyDescent="0.3">
      <c r="A852" s="28"/>
      <c r="B852" s="25"/>
    </row>
    <row r="853" spans="1:2" ht="15.75" thickBot="1" x14ac:dyDescent="0.3">
      <c r="A853" s="28"/>
      <c r="B853" s="25"/>
    </row>
    <row r="854" spans="1:2" ht="15.75" thickBot="1" x14ac:dyDescent="0.3">
      <c r="A854" s="28"/>
      <c r="B854" s="25"/>
    </row>
    <row r="855" spans="1:2" ht="15.75" thickBot="1" x14ac:dyDescent="0.3">
      <c r="A855" s="28"/>
      <c r="B855" s="25"/>
    </row>
    <row r="856" spans="1:2" ht="15.75" thickBot="1" x14ac:dyDescent="0.3">
      <c r="A856" s="28"/>
      <c r="B856" s="25"/>
    </row>
    <row r="857" spans="1:2" ht="15.75" thickBot="1" x14ac:dyDescent="0.3">
      <c r="A857" s="28"/>
      <c r="B857" s="25"/>
    </row>
    <row r="858" spans="1:2" ht="15.75" thickBot="1" x14ac:dyDescent="0.3">
      <c r="A858" s="28"/>
      <c r="B858" s="25"/>
    </row>
    <row r="859" spans="1:2" ht="15.75" thickBot="1" x14ac:dyDescent="0.3">
      <c r="A859" s="28"/>
      <c r="B859" s="25"/>
    </row>
    <row r="860" spans="1:2" ht="15.75" thickBot="1" x14ac:dyDescent="0.3">
      <c r="A860" s="28"/>
      <c r="B860" s="25"/>
    </row>
    <row r="861" spans="1:2" ht="15.75" thickBot="1" x14ac:dyDescent="0.3">
      <c r="A861" s="28"/>
      <c r="B861" s="25"/>
    </row>
    <row r="862" spans="1:2" ht="15.75" thickBot="1" x14ac:dyDescent="0.3">
      <c r="A862" s="28"/>
      <c r="B862" s="25"/>
    </row>
    <row r="863" spans="1:2" ht="15.75" thickBot="1" x14ac:dyDescent="0.3">
      <c r="A863" s="28"/>
      <c r="B863" s="25"/>
    </row>
    <row r="864" spans="1:2" ht="15.75" thickBot="1" x14ac:dyDescent="0.3">
      <c r="A864" s="28"/>
      <c r="B864" s="25"/>
    </row>
    <row r="865" spans="1:2" ht="15.75" thickBot="1" x14ac:dyDescent="0.3">
      <c r="A865" s="28"/>
      <c r="B865" s="25"/>
    </row>
    <row r="866" spans="1:2" ht="15.75" thickBot="1" x14ac:dyDescent="0.3">
      <c r="A866" s="28"/>
      <c r="B866" s="25"/>
    </row>
    <row r="867" spans="1:2" ht="15.75" thickBot="1" x14ac:dyDescent="0.3">
      <c r="A867" s="28"/>
      <c r="B867" s="25"/>
    </row>
    <row r="868" spans="1:2" ht="15.75" thickBot="1" x14ac:dyDescent="0.3">
      <c r="A868" s="28"/>
      <c r="B868" s="25"/>
    </row>
    <row r="869" spans="1:2" ht="15.75" thickBot="1" x14ac:dyDescent="0.3">
      <c r="A869" s="28"/>
      <c r="B869" s="25"/>
    </row>
    <row r="870" spans="1:2" ht="15.75" thickBot="1" x14ac:dyDescent="0.3">
      <c r="A870" s="28"/>
      <c r="B870" s="25"/>
    </row>
    <row r="871" spans="1:2" ht="15.75" thickBot="1" x14ac:dyDescent="0.3">
      <c r="A871" s="28"/>
      <c r="B871" s="25"/>
    </row>
    <row r="872" spans="1:2" ht="15.75" thickBot="1" x14ac:dyDescent="0.3">
      <c r="A872" s="28"/>
      <c r="B872" s="25"/>
    </row>
    <row r="873" spans="1:2" ht="15.75" thickBot="1" x14ac:dyDescent="0.3">
      <c r="A873" s="28"/>
      <c r="B873" s="25"/>
    </row>
    <row r="874" spans="1:2" ht="15.75" thickBot="1" x14ac:dyDescent="0.3">
      <c r="A874" s="28"/>
      <c r="B874" s="25"/>
    </row>
    <row r="875" spans="1:2" ht="15.75" thickBot="1" x14ac:dyDescent="0.3">
      <c r="A875" s="28"/>
      <c r="B875" s="25"/>
    </row>
    <row r="876" spans="1:2" ht="15.75" thickBot="1" x14ac:dyDescent="0.3">
      <c r="A876" s="28"/>
      <c r="B876" s="25"/>
    </row>
    <row r="877" spans="1:2" ht="15.75" thickBot="1" x14ac:dyDescent="0.3">
      <c r="A877" s="28"/>
      <c r="B877" s="25"/>
    </row>
    <row r="878" spans="1:2" ht="15.75" thickBot="1" x14ac:dyDescent="0.3">
      <c r="A878" s="28"/>
      <c r="B878" s="25"/>
    </row>
    <row r="879" spans="1:2" ht="15.75" thickBot="1" x14ac:dyDescent="0.3">
      <c r="A879" s="28"/>
      <c r="B879" s="25"/>
    </row>
    <row r="880" spans="1:2" ht="15.75" thickBot="1" x14ac:dyDescent="0.3">
      <c r="A880" s="28"/>
      <c r="B880" s="25"/>
    </row>
    <row r="881" spans="1:2" ht="15.75" thickBot="1" x14ac:dyDescent="0.3">
      <c r="A881" s="28"/>
      <c r="B881" s="25"/>
    </row>
    <row r="882" spans="1:2" ht="15.75" thickBot="1" x14ac:dyDescent="0.3">
      <c r="A882" s="28"/>
      <c r="B882" s="25"/>
    </row>
    <row r="883" spans="1:2" ht="15.75" thickBot="1" x14ac:dyDescent="0.3">
      <c r="A883" s="28"/>
      <c r="B883" s="25"/>
    </row>
    <row r="884" spans="1:2" ht="15.75" thickBot="1" x14ac:dyDescent="0.3">
      <c r="A884" s="28"/>
      <c r="B884" s="25"/>
    </row>
    <row r="885" spans="1:2" ht="15.75" thickBot="1" x14ac:dyDescent="0.3">
      <c r="A885" s="28"/>
      <c r="B885" s="25"/>
    </row>
    <row r="886" spans="1:2" ht="15.75" thickBot="1" x14ac:dyDescent="0.3">
      <c r="A886" s="28"/>
      <c r="B886" s="25"/>
    </row>
    <row r="887" spans="1:2" ht="15.75" thickBot="1" x14ac:dyDescent="0.3">
      <c r="A887" s="28"/>
      <c r="B887" s="25"/>
    </row>
    <row r="888" spans="1:2" ht="15.75" thickBot="1" x14ac:dyDescent="0.3">
      <c r="A888" s="28"/>
      <c r="B888" s="25"/>
    </row>
    <row r="889" spans="1:2" ht="15.75" thickBot="1" x14ac:dyDescent="0.3">
      <c r="A889" s="28"/>
      <c r="B889" s="25"/>
    </row>
    <row r="890" spans="1:2" ht="15.75" thickBot="1" x14ac:dyDescent="0.3">
      <c r="A890" s="28"/>
      <c r="B890" s="25"/>
    </row>
    <row r="891" spans="1:2" ht="15.75" thickBot="1" x14ac:dyDescent="0.3">
      <c r="A891" s="28"/>
      <c r="B891" s="25"/>
    </row>
    <row r="892" spans="1:2" ht="15.75" thickBot="1" x14ac:dyDescent="0.3">
      <c r="A892" s="28"/>
      <c r="B892" s="25"/>
    </row>
    <row r="893" spans="1:2" ht="15.75" thickBot="1" x14ac:dyDescent="0.3">
      <c r="A893" s="28"/>
      <c r="B893" s="25"/>
    </row>
    <row r="894" spans="1:2" ht="15.75" thickBot="1" x14ac:dyDescent="0.3">
      <c r="A894" s="28"/>
      <c r="B894" s="25"/>
    </row>
    <row r="895" spans="1:2" ht="15.75" thickBot="1" x14ac:dyDescent="0.3">
      <c r="A895" s="28"/>
      <c r="B895" s="25"/>
    </row>
    <row r="896" spans="1:2" ht="15.75" thickBot="1" x14ac:dyDescent="0.3">
      <c r="A896" s="28"/>
      <c r="B896" s="25"/>
    </row>
    <row r="897" spans="1:2" ht="15.75" thickBot="1" x14ac:dyDescent="0.3">
      <c r="A897" s="28"/>
      <c r="B897" s="25"/>
    </row>
    <row r="898" spans="1:2" ht="15.75" thickBot="1" x14ac:dyDescent="0.3">
      <c r="A898" s="28"/>
      <c r="B898" s="25"/>
    </row>
    <row r="899" spans="1:2" ht="15.75" thickBot="1" x14ac:dyDescent="0.3">
      <c r="A899" s="28"/>
      <c r="B899" s="25"/>
    </row>
    <row r="900" spans="1:2" ht="15.75" thickBot="1" x14ac:dyDescent="0.3">
      <c r="A900" s="28"/>
      <c r="B900" s="25"/>
    </row>
    <row r="901" spans="1:2" ht="15.75" thickBot="1" x14ac:dyDescent="0.3">
      <c r="A901" s="28"/>
      <c r="B901" s="25"/>
    </row>
    <row r="902" spans="1:2" ht="15.75" thickBot="1" x14ac:dyDescent="0.3">
      <c r="A902" s="28"/>
      <c r="B902" s="25"/>
    </row>
    <row r="903" spans="1:2" ht="15.75" thickBot="1" x14ac:dyDescent="0.3">
      <c r="A903" s="28"/>
      <c r="B903" s="25"/>
    </row>
    <row r="904" spans="1:2" ht="15.75" thickBot="1" x14ac:dyDescent="0.3">
      <c r="A904" s="28"/>
      <c r="B904" s="25"/>
    </row>
    <row r="905" spans="1:2" ht="15.75" thickBot="1" x14ac:dyDescent="0.3">
      <c r="A905" s="28"/>
      <c r="B905" s="25"/>
    </row>
    <row r="906" spans="1:2" ht="15.75" thickBot="1" x14ac:dyDescent="0.3">
      <c r="A906" s="28"/>
      <c r="B906" s="25"/>
    </row>
    <row r="907" spans="1:2" ht="15.75" thickBot="1" x14ac:dyDescent="0.3">
      <c r="A907" s="28"/>
      <c r="B907" s="25"/>
    </row>
    <row r="908" spans="1:2" ht="15.75" thickBot="1" x14ac:dyDescent="0.3">
      <c r="A908" s="28"/>
      <c r="B908" s="25"/>
    </row>
    <row r="909" spans="1:2" ht="15.75" thickBot="1" x14ac:dyDescent="0.3">
      <c r="A909" s="28"/>
      <c r="B909" s="25"/>
    </row>
    <row r="910" spans="1:2" ht="15.75" thickBot="1" x14ac:dyDescent="0.3">
      <c r="A910" s="28"/>
      <c r="B910" s="25"/>
    </row>
    <row r="911" spans="1:2" ht="15.75" thickBot="1" x14ac:dyDescent="0.3">
      <c r="A911" s="28"/>
      <c r="B911" s="25"/>
    </row>
    <row r="912" spans="1:2" ht="15.75" thickBot="1" x14ac:dyDescent="0.3">
      <c r="A912" s="28"/>
      <c r="B912" s="25"/>
    </row>
    <row r="913" spans="1:2" ht="15.75" thickBot="1" x14ac:dyDescent="0.3">
      <c r="A913" s="28"/>
      <c r="B913" s="25"/>
    </row>
    <row r="914" spans="1:2" ht="15.75" thickBot="1" x14ac:dyDescent="0.3">
      <c r="A914" s="28"/>
      <c r="B914" s="25"/>
    </row>
    <row r="915" spans="1:2" ht="15.75" thickBot="1" x14ac:dyDescent="0.3">
      <c r="A915" s="28"/>
      <c r="B915" s="25"/>
    </row>
    <row r="916" spans="1:2" ht="15.75" thickBot="1" x14ac:dyDescent="0.3">
      <c r="A916" s="28"/>
      <c r="B916" s="25"/>
    </row>
    <row r="917" spans="1:2" ht="15.75" thickBot="1" x14ac:dyDescent="0.3">
      <c r="A917" s="28"/>
      <c r="B917" s="25"/>
    </row>
    <row r="918" spans="1:2" ht="15.75" thickBot="1" x14ac:dyDescent="0.3">
      <c r="A918" s="28"/>
      <c r="B918" s="25"/>
    </row>
    <row r="919" spans="1:2" ht="15.75" thickBot="1" x14ac:dyDescent="0.3">
      <c r="A919" s="28"/>
      <c r="B919" s="25"/>
    </row>
    <row r="920" spans="1:2" ht="15.75" thickBot="1" x14ac:dyDescent="0.3">
      <c r="A920" s="28"/>
      <c r="B920" s="25"/>
    </row>
    <row r="921" spans="1:2" ht="15.75" thickBot="1" x14ac:dyDescent="0.3">
      <c r="A921" s="28"/>
      <c r="B921" s="25"/>
    </row>
    <row r="922" spans="1:2" ht="15.75" thickBot="1" x14ac:dyDescent="0.3">
      <c r="A922" s="28"/>
      <c r="B922" s="25"/>
    </row>
    <row r="923" spans="1:2" ht="15.75" thickBot="1" x14ac:dyDescent="0.3">
      <c r="A923" s="28"/>
      <c r="B923" s="25"/>
    </row>
    <row r="924" spans="1:2" ht="15.75" thickBot="1" x14ac:dyDescent="0.3">
      <c r="A924" s="28"/>
      <c r="B924" s="25"/>
    </row>
    <row r="925" spans="1:2" ht="15.75" thickBot="1" x14ac:dyDescent="0.3">
      <c r="A925" s="28"/>
      <c r="B925" s="25"/>
    </row>
    <row r="926" spans="1:2" ht="15.75" thickBot="1" x14ac:dyDescent="0.3">
      <c r="A926" s="28"/>
      <c r="B926" s="25"/>
    </row>
    <row r="927" spans="1:2" ht="15.75" thickBot="1" x14ac:dyDescent="0.3">
      <c r="A927" s="28"/>
      <c r="B927" s="25"/>
    </row>
    <row r="928" spans="1:2" ht="15.75" thickBot="1" x14ac:dyDescent="0.3">
      <c r="A928" s="28"/>
      <c r="B928" s="25"/>
    </row>
    <row r="929" spans="1:2" ht="15.75" thickBot="1" x14ac:dyDescent="0.3">
      <c r="A929" s="28"/>
      <c r="B929" s="25"/>
    </row>
    <row r="930" spans="1:2" ht="15.75" thickBot="1" x14ac:dyDescent="0.3">
      <c r="A930" s="28"/>
      <c r="B930" s="25"/>
    </row>
    <row r="931" spans="1:2" ht="15.75" thickBot="1" x14ac:dyDescent="0.3">
      <c r="A931" s="28"/>
      <c r="B931" s="25"/>
    </row>
    <row r="932" spans="1:2" ht="15.75" thickBot="1" x14ac:dyDescent="0.3">
      <c r="A932" s="28"/>
      <c r="B932" s="25"/>
    </row>
    <row r="933" spans="1:2" ht="15.75" thickBot="1" x14ac:dyDescent="0.3">
      <c r="A933" s="28"/>
      <c r="B933" s="25"/>
    </row>
    <row r="934" spans="1:2" ht="15.75" thickBot="1" x14ac:dyDescent="0.3">
      <c r="A934" s="28"/>
      <c r="B934" s="25"/>
    </row>
    <row r="935" spans="1:2" ht="15.75" thickBot="1" x14ac:dyDescent="0.3">
      <c r="A935" s="28"/>
      <c r="B935" s="25"/>
    </row>
    <row r="936" spans="1:2" ht="15.75" thickBot="1" x14ac:dyDescent="0.3">
      <c r="A936" s="28"/>
      <c r="B936" s="25"/>
    </row>
    <row r="937" spans="1:2" ht="15.75" thickBot="1" x14ac:dyDescent="0.3">
      <c r="A937" s="28"/>
      <c r="B937" s="25"/>
    </row>
    <row r="938" spans="1:2" ht="15.75" thickBot="1" x14ac:dyDescent="0.3">
      <c r="A938" s="28"/>
      <c r="B938" s="25"/>
    </row>
    <row r="939" spans="1:2" ht="15.75" thickBot="1" x14ac:dyDescent="0.3">
      <c r="A939" s="28"/>
      <c r="B939" s="25"/>
    </row>
    <row r="940" spans="1:2" ht="15.75" thickBot="1" x14ac:dyDescent="0.3">
      <c r="A940" s="28"/>
      <c r="B940" s="25"/>
    </row>
    <row r="941" spans="1:2" ht="15.75" thickBot="1" x14ac:dyDescent="0.3">
      <c r="A941" s="28"/>
      <c r="B941" s="25"/>
    </row>
    <row r="942" spans="1:2" ht="15.75" thickBot="1" x14ac:dyDescent="0.3">
      <c r="A942" s="28"/>
      <c r="B942" s="25"/>
    </row>
    <row r="943" spans="1:2" ht="15.75" thickBot="1" x14ac:dyDescent="0.3">
      <c r="A943" s="28"/>
      <c r="B943" s="25"/>
    </row>
    <row r="944" spans="1:2" ht="15.75" thickBot="1" x14ac:dyDescent="0.3">
      <c r="A944" s="28"/>
      <c r="B944" s="25"/>
    </row>
    <row r="945" spans="1:2" ht="15.75" thickBot="1" x14ac:dyDescent="0.3">
      <c r="A945" s="28"/>
      <c r="B945" s="25"/>
    </row>
    <row r="946" spans="1:2" ht="15.75" thickBot="1" x14ac:dyDescent="0.3">
      <c r="A946" s="28"/>
      <c r="B946" s="25"/>
    </row>
    <row r="947" spans="1:2" ht="15.75" thickBot="1" x14ac:dyDescent="0.3">
      <c r="A947" s="28"/>
      <c r="B947" s="25"/>
    </row>
    <row r="948" spans="1:2" ht="15.75" thickBot="1" x14ac:dyDescent="0.3">
      <c r="A948" s="28"/>
      <c r="B948" s="25"/>
    </row>
    <row r="949" spans="1:2" ht="15.75" thickBot="1" x14ac:dyDescent="0.3">
      <c r="A949" s="28"/>
      <c r="B949" s="25"/>
    </row>
    <row r="950" spans="1:2" ht="15.75" thickBot="1" x14ac:dyDescent="0.3">
      <c r="A950" s="28"/>
      <c r="B950" s="25"/>
    </row>
    <row r="951" spans="1:2" ht="15.75" thickBot="1" x14ac:dyDescent="0.3">
      <c r="A951" s="28"/>
      <c r="B951" s="25"/>
    </row>
    <row r="952" spans="1:2" ht="15.75" thickBot="1" x14ac:dyDescent="0.3">
      <c r="A952" s="28"/>
      <c r="B952" s="25"/>
    </row>
    <row r="953" spans="1:2" ht="15.75" thickBot="1" x14ac:dyDescent="0.3">
      <c r="A953" s="28"/>
      <c r="B953" s="25"/>
    </row>
    <row r="954" spans="1:2" ht="15.75" thickBot="1" x14ac:dyDescent="0.3">
      <c r="A954" s="28"/>
      <c r="B954" s="25"/>
    </row>
    <row r="955" spans="1:2" ht="15.75" thickBot="1" x14ac:dyDescent="0.3">
      <c r="A955" s="28"/>
      <c r="B955" s="25"/>
    </row>
    <row r="956" spans="1:2" ht="15.75" thickBot="1" x14ac:dyDescent="0.3">
      <c r="A956" s="28"/>
      <c r="B956" s="25"/>
    </row>
    <row r="957" spans="1:2" ht="15.75" thickBot="1" x14ac:dyDescent="0.3">
      <c r="A957" s="28"/>
      <c r="B957" s="25"/>
    </row>
    <row r="958" spans="1:2" ht="15.75" thickBot="1" x14ac:dyDescent="0.3">
      <c r="A958" s="28"/>
      <c r="B958" s="25"/>
    </row>
    <row r="959" spans="1:2" ht="15.75" thickBot="1" x14ac:dyDescent="0.3">
      <c r="A959" s="28"/>
      <c r="B959" s="25"/>
    </row>
    <row r="960" spans="1:2" ht="15.75" thickBot="1" x14ac:dyDescent="0.3">
      <c r="A960" s="28"/>
      <c r="B960" s="25"/>
    </row>
    <row r="961" spans="1:2" ht="15.75" thickBot="1" x14ac:dyDescent="0.3">
      <c r="A961" s="28"/>
      <c r="B961" s="25"/>
    </row>
    <row r="962" spans="1:2" ht="15.75" thickBot="1" x14ac:dyDescent="0.3">
      <c r="A962" s="28"/>
      <c r="B962" s="25"/>
    </row>
    <row r="963" spans="1:2" ht="15.75" thickBot="1" x14ac:dyDescent="0.3">
      <c r="A963" s="28"/>
      <c r="B963" s="25"/>
    </row>
    <row r="964" spans="1:2" ht="15.75" thickBot="1" x14ac:dyDescent="0.3">
      <c r="A964" s="28"/>
      <c r="B964" s="25"/>
    </row>
    <row r="965" spans="1:2" ht="15.75" thickBot="1" x14ac:dyDescent="0.3">
      <c r="A965" s="28"/>
      <c r="B965" s="25"/>
    </row>
    <row r="966" spans="1:2" ht="15.75" thickBot="1" x14ac:dyDescent="0.3">
      <c r="A966" s="28"/>
      <c r="B966" s="25"/>
    </row>
    <row r="967" spans="1:2" ht="15.75" thickBot="1" x14ac:dyDescent="0.3">
      <c r="A967" s="28"/>
      <c r="B967" s="25"/>
    </row>
    <row r="968" spans="1:2" ht="15.75" thickBot="1" x14ac:dyDescent="0.3">
      <c r="A968" s="28"/>
      <c r="B968" s="25"/>
    </row>
    <row r="969" spans="1:2" ht="15.75" thickBot="1" x14ac:dyDescent="0.3">
      <c r="A969" s="28"/>
      <c r="B969" s="25"/>
    </row>
    <row r="970" spans="1:2" ht="15.75" thickBot="1" x14ac:dyDescent="0.3">
      <c r="A970" s="28"/>
      <c r="B970" s="25"/>
    </row>
    <row r="971" spans="1:2" ht="15.75" thickBot="1" x14ac:dyDescent="0.3">
      <c r="A971" s="28"/>
      <c r="B971" s="25"/>
    </row>
    <row r="972" spans="1:2" ht="15.75" thickBot="1" x14ac:dyDescent="0.3">
      <c r="A972" s="28"/>
      <c r="B972" s="25"/>
    </row>
    <row r="973" spans="1:2" ht="15.75" thickBot="1" x14ac:dyDescent="0.3">
      <c r="A973" s="28"/>
      <c r="B973" s="25"/>
    </row>
    <row r="974" spans="1:2" ht="15.75" thickBot="1" x14ac:dyDescent="0.3">
      <c r="A974" s="28"/>
      <c r="B974" s="25"/>
    </row>
    <row r="975" spans="1:2" ht="15.75" thickBot="1" x14ac:dyDescent="0.3">
      <c r="A975" s="28"/>
      <c r="B975" s="25"/>
    </row>
    <row r="976" spans="1:2" ht="15.75" thickBot="1" x14ac:dyDescent="0.3">
      <c r="A976" s="28"/>
      <c r="B976" s="25"/>
    </row>
    <row r="977" spans="1:2" ht="15.75" thickBot="1" x14ac:dyDescent="0.3">
      <c r="A977" s="28"/>
      <c r="B977" s="25"/>
    </row>
    <row r="978" spans="1:2" ht="15.75" thickBot="1" x14ac:dyDescent="0.3">
      <c r="A978" s="28"/>
      <c r="B978" s="25"/>
    </row>
    <row r="979" spans="1:2" ht="15.75" thickBot="1" x14ac:dyDescent="0.3">
      <c r="A979" s="28"/>
      <c r="B979" s="25"/>
    </row>
    <row r="980" spans="1:2" ht="15.75" thickBot="1" x14ac:dyDescent="0.3">
      <c r="A980" s="28"/>
      <c r="B980" s="25"/>
    </row>
    <row r="981" spans="1:2" ht="15.75" thickBot="1" x14ac:dyDescent="0.3">
      <c r="A981" s="28"/>
      <c r="B981" s="25"/>
    </row>
    <row r="982" spans="1:2" ht="15.75" thickBot="1" x14ac:dyDescent="0.3">
      <c r="A982" s="28"/>
      <c r="B982" s="25"/>
    </row>
    <row r="983" spans="1:2" ht="15.75" thickBot="1" x14ac:dyDescent="0.3">
      <c r="A983" s="28"/>
      <c r="B983" s="25"/>
    </row>
    <row r="984" spans="1:2" ht="15.75" thickBot="1" x14ac:dyDescent="0.3">
      <c r="A984" s="28"/>
      <c r="B984" s="25"/>
    </row>
    <row r="985" spans="1:2" ht="15.75" thickBot="1" x14ac:dyDescent="0.3">
      <c r="A985" s="28"/>
      <c r="B985" s="25"/>
    </row>
    <row r="986" spans="1:2" ht="15.75" thickBot="1" x14ac:dyDescent="0.3">
      <c r="A986" s="28"/>
      <c r="B986" s="25"/>
    </row>
    <row r="987" spans="1:2" ht="15.75" thickBot="1" x14ac:dyDescent="0.3">
      <c r="A987" s="28"/>
      <c r="B987" s="25"/>
    </row>
    <row r="988" spans="1:2" ht="15.75" thickBot="1" x14ac:dyDescent="0.3">
      <c r="A988" s="28"/>
      <c r="B988" s="25"/>
    </row>
    <row r="989" spans="1:2" ht="15.75" thickBot="1" x14ac:dyDescent="0.3">
      <c r="A989" s="28"/>
      <c r="B989" s="25"/>
    </row>
    <row r="990" spans="1:2" ht="15.75" thickBot="1" x14ac:dyDescent="0.3">
      <c r="A990" s="28"/>
      <c r="B990" s="25"/>
    </row>
    <row r="991" spans="1:2" ht="15.75" thickBot="1" x14ac:dyDescent="0.3">
      <c r="A991" s="28"/>
      <c r="B991" s="25"/>
    </row>
    <row r="992" spans="1:2" ht="15.75" thickBot="1" x14ac:dyDescent="0.3">
      <c r="A992" s="28"/>
      <c r="B992" s="25"/>
    </row>
    <row r="993" spans="1:2" ht="15.75" thickBot="1" x14ac:dyDescent="0.3">
      <c r="A993" s="28"/>
      <c r="B993" s="25"/>
    </row>
    <row r="994" spans="1:2" ht="15.75" thickBot="1" x14ac:dyDescent="0.3">
      <c r="A994" s="28"/>
      <c r="B994" s="25"/>
    </row>
    <row r="995" spans="1:2" ht="15.75" thickBot="1" x14ac:dyDescent="0.3">
      <c r="A995" s="28"/>
      <c r="B995" s="25"/>
    </row>
    <row r="996" spans="1:2" ht="15.75" thickBot="1" x14ac:dyDescent="0.3">
      <c r="A996" s="28"/>
      <c r="B996" s="25"/>
    </row>
    <row r="997" spans="1:2" ht="15.75" thickBot="1" x14ac:dyDescent="0.3">
      <c r="A997" s="28"/>
      <c r="B997" s="25"/>
    </row>
    <row r="998" spans="1:2" ht="15.75" thickBot="1" x14ac:dyDescent="0.3">
      <c r="A998" s="28"/>
      <c r="B998" s="25"/>
    </row>
    <row r="999" spans="1:2" ht="15.75" thickBot="1" x14ac:dyDescent="0.3">
      <c r="A999" s="28"/>
      <c r="B999" s="25"/>
    </row>
    <row r="1000" spans="1:2" ht="15.75" thickBot="1" x14ac:dyDescent="0.3">
      <c r="A1000" s="28"/>
      <c r="B1000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</vt:lpstr>
      <vt:lpstr>Weekly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2026-02-21T01:21:30Z</dcterms:modified>
</cp:coreProperties>
</file>