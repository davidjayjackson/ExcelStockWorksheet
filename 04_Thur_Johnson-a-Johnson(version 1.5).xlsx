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3F1F3F28-CC2F-4EC5-9C6D-2F9AE1EA517C}" xr6:coauthVersionLast="47" xr6:coauthVersionMax="47" xr10:uidLastSave="{00000000-0000-0000-0000-000000000000}"/>
  <bookViews>
    <workbookView xWindow="-120" yWindow="-120" windowWidth="20730" windowHeight="11040" activeTab="3" xr2:uid="{524EF1C0-3CB0-4C8D-8FCB-814655134A30}"/>
  </bookViews>
  <sheets>
    <sheet name="JNJ" sheetId="14" r:id="rId1"/>
    <sheet name="Weekly" sheetId="28" r:id="rId2"/>
    <sheet name="Sheet4" sheetId="27" r:id="rId3"/>
    <sheet name="Dashboard" sheetId="10" r:id="rId4"/>
    <sheet name="Dividends" sheetId="3" r:id="rId5"/>
  </sheets>
  <definedNames>
    <definedName name="ExternalData_1" localSheetId="1" hidden="1">Weekly!$A$1:$B$120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6" i="28" l="1"/>
  <c r="G107" i="28"/>
  <c r="G108" i="28"/>
  <c r="G109" i="28"/>
  <c r="G110" i="28"/>
  <c r="G111" i="28"/>
  <c r="G112" i="28"/>
  <c r="G113" i="28"/>
  <c r="G114" i="28"/>
  <c r="G115" i="28"/>
  <c r="G116" i="28"/>
  <c r="G117" i="28"/>
  <c r="G118" i="28"/>
  <c r="G119" i="28"/>
  <c r="G120" i="28"/>
  <c r="F106" i="28"/>
  <c r="F107" i="28"/>
  <c r="F108" i="28"/>
  <c r="F109" i="28"/>
  <c r="F110" i="28"/>
  <c r="F111" i="28"/>
  <c r="F112" i="28"/>
  <c r="F113" i="28"/>
  <c r="F114" i="28"/>
  <c r="F115" i="28"/>
  <c r="F116" i="28"/>
  <c r="F117" i="28"/>
  <c r="F118" i="28"/>
  <c r="F119" i="28"/>
  <c r="F120" i="28"/>
  <c r="E108" i="28"/>
  <c r="E116" i="28"/>
  <c r="E118" i="28"/>
  <c r="E113" i="28"/>
  <c r="E109" i="28"/>
  <c r="E117" i="28"/>
  <c r="E120" i="28"/>
  <c r="E107" i="28"/>
  <c r="E110" i="28"/>
  <c r="E111" i="28"/>
  <c r="E119" i="28"/>
  <c r="E112" i="28"/>
  <c r="E115" i="28"/>
  <c r="E114" i="28"/>
  <c r="E106" i="28"/>
  <c r="D107" i="28"/>
  <c r="D115" i="28"/>
  <c r="D117" i="28"/>
  <c r="D118" i="28"/>
  <c r="D111" i="28"/>
  <c r="D113" i="28"/>
  <c r="D108" i="28"/>
  <c r="D116" i="28"/>
  <c r="D109" i="28"/>
  <c r="D110" i="28"/>
  <c r="D119" i="28"/>
  <c r="D120" i="28"/>
  <c r="D112" i="28"/>
  <c r="D114" i="28"/>
  <c r="D106" i="28"/>
  <c r="B1" i="14" a="1"/>
  <c r="B1" i="14" l="1"/>
  <c r="M6" i="14"/>
  <c r="M5" i="14"/>
  <c r="M4" i="14"/>
  <c r="M3" i="14"/>
  <c r="M2" i="14"/>
  <c r="F523" i="14"/>
  <c r="G523" i="14"/>
  <c r="I523" i="14"/>
  <c r="H523" i="14"/>
  <c r="E523" i="14"/>
  <c r="A523" i="14"/>
  <c r="A5" i="14"/>
  <c r="A13" i="14"/>
  <c r="A21" i="14"/>
  <c r="A29" i="14"/>
  <c r="A37" i="14"/>
  <c r="A45" i="14"/>
  <c r="A53" i="14"/>
  <c r="A61" i="14"/>
  <c r="A69" i="14"/>
  <c r="A77" i="14"/>
  <c r="A85" i="14"/>
  <c r="A93" i="14"/>
  <c r="A101" i="14"/>
  <c r="A109" i="14"/>
  <c r="A117" i="14"/>
  <c r="A125" i="14"/>
  <c r="A133" i="14"/>
  <c r="A141" i="14"/>
  <c r="A149" i="14"/>
  <c r="A157" i="14"/>
  <c r="A165" i="14"/>
  <c r="A173" i="14"/>
  <c r="A181" i="14"/>
  <c r="A189" i="14"/>
  <c r="A197" i="14"/>
  <c r="A205" i="14"/>
  <c r="A213" i="14"/>
  <c r="A221" i="14"/>
  <c r="A229" i="14"/>
  <c r="A237" i="14"/>
  <c r="A245" i="14"/>
  <c r="A253" i="14"/>
  <c r="A261" i="14"/>
  <c r="A269" i="14"/>
  <c r="A277" i="14"/>
  <c r="A285" i="14"/>
  <c r="A293" i="14"/>
  <c r="A301" i="14"/>
  <c r="A309" i="14"/>
  <c r="A317" i="14"/>
  <c r="A325" i="14"/>
  <c r="A333" i="14"/>
  <c r="A341" i="14"/>
  <c r="A349" i="14"/>
  <c r="A357" i="14"/>
  <c r="A365" i="14"/>
  <c r="A373" i="14"/>
  <c r="A381" i="14"/>
  <c r="A389" i="14"/>
  <c r="A397" i="14"/>
  <c r="A405" i="14"/>
  <c r="A413" i="14"/>
  <c r="A421" i="14"/>
  <c r="A429" i="14"/>
  <c r="A437" i="14"/>
  <c r="A445" i="14"/>
  <c r="A453" i="14"/>
  <c r="A461" i="14"/>
  <c r="A469" i="14"/>
  <c r="A477" i="14"/>
  <c r="A485" i="14"/>
  <c r="A493" i="14"/>
  <c r="A501" i="14"/>
  <c r="A509" i="14"/>
  <c r="A517" i="14"/>
  <c r="A6" i="14"/>
  <c r="A14" i="14"/>
  <c r="A22" i="14"/>
  <c r="A30" i="14"/>
  <c r="A38" i="14"/>
  <c r="A46" i="14"/>
  <c r="A54" i="14"/>
  <c r="A62" i="14"/>
  <c r="A70" i="14"/>
  <c r="A78" i="14"/>
  <c r="A86" i="14"/>
  <c r="A94" i="14"/>
  <c r="A102" i="14"/>
  <c r="A110" i="14"/>
  <c r="A118" i="14"/>
  <c r="A126" i="14"/>
  <c r="A134" i="14"/>
  <c r="A142" i="14"/>
  <c r="A150" i="14"/>
  <c r="A158" i="14"/>
  <c r="A7" i="14"/>
  <c r="A15" i="14"/>
  <c r="A23" i="14"/>
  <c r="A31" i="14"/>
  <c r="A39" i="14"/>
  <c r="A47" i="14"/>
  <c r="A55" i="14"/>
  <c r="A63" i="14"/>
  <c r="A9" i="14"/>
  <c r="A17" i="14"/>
  <c r="A25" i="14"/>
  <c r="A33" i="14"/>
  <c r="A41" i="14"/>
  <c r="A49" i="14"/>
  <c r="A57" i="14"/>
  <c r="A65" i="14"/>
  <c r="A73" i="14"/>
  <c r="A81" i="14"/>
  <c r="A89" i="14"/>
  <c r="A97" i="14"/>
  <c r="A105" i="14"/>
  <c r="A113" i="14"/>
  <c r="A121" i="14"/>
  <c r="A129" i="14"/>
  <c r="A137" i="14"/>
  <c r="A145" i="14"/>
  <c r="A153" i="14"/>
  <c r="A161" i="14"/>
  <c r="A169" i="14"/>
  <c r="A177" i="14"/>
  <c r="A185" i="14"/>
  <c r="A193" i="14"/>
  <c r="A201" i="14"/>
  <c r="A209" i="14"/>
  <c r="A217" i="14"/>
  <c r="A225" i="14"/>
  <c r="A233" i="14"/>
  <c r="A241" i="14"/>
  <c r="A249" i="14"/>
  <c r="A257" i="14"/>
  <c r="A265" i="14"/>
  <c r="A273" i="14"/>
  <c r="A281" i="14"/>
  <c r="A289" i="14"/>
  <c r="A297" i="14"/>
  <c r="A305" i="14"/>
  <c r="A313" i="14"/>
  <c r="A321" i="14"/>
  <c r="A329" i="14"/>
  <c r="A337" i="14"/>
  <c r="A345" i="14"/>
  <c r="A353" i="14"/>
  <c r="A361" i="14"/>
  <c r="A369" i="14"/>
  <c r="A377" i="14"/>
  <c r="A385" i="14"/>
  <c r="A393" i="14"/>
  <c r="A401" i="14"/>
  <c r="A409" i="14"/>
  <c r="A417" i="14"/>
  <c r="A425" i="14"/>
  <c r="A433" i="14"/>
  <c r="A441" i="14"/>
  <c r="A449" i="14"/>
  <c r="A457" i="14"/>
  <c r="A465" i="14"/>
  <c r="A473" i="14"/>
  <c r="A481" i="14"/>
  <c r="A489" i="14"/>
  <c r="A497" i="14"/>
  <c r="A505" i="14"/>
  <c r="A513" i="14"/>
  <c r="A521" i="14"/>
  <c r="A10" i="14"/>
  <c r="A18" i="14"/>
  <c r="A26" i="14"/>
  <c r="A34" i="14"/>
  <c r="A42" i="14"/>
  <c r="A50" i="14"/>
  <c r="A58" i="14"/>
  <c r="A66" i="14"/>
  <c r="A74" i="14"/>
  <c r="A82" i="14"/>
  <c r="A90" i="14"/>
  <c r="A98" i="14"/>
  <c r="A106" i="14"/>
  <c r="A114" i="14"/>
  <c r="A122" i="14"/>
  <c r="A130" i="14"/>
  <c r="A138" i="14"/>
  <c r="A146" i="14"/>
  <c r="A154" i="14"/>
  <c r="A162" i="14"/>
  <c r="A3" i="14"/>
  <c r="A24" i="14"/>
  <c r="A44" i="14"/>
  <c r="A67" i="14"/>
  <c r="A83" i="14"/>
  <c r="A99" i="14"/>
  <c r="A115" i="14"/>
  <c r="A131" i="14"/>
  <c r="A147" i="14"/>
  <c r="A163" i="14"/>
  <c r="A174" i="14"/>
  <c r="A184" i="14"/>
  <c r="A195" i="14"/>
  <c r="A206" i="14"/>
  <c r="A216" i="14"/>
  <c r="A227" i="14"/>
  <c r="A238" i="14"/>
  <c r="A248" i="14"/>
  <c r="A259" i="14"/>
  <c r="A270" i="14"/>
  <c r="A280" i="14"/>
  <c r="A291" i="14"/>
  <c r="A302" i="14"/>
  <c r="A312" i="14"/>
  <c r="A323" i="14"/>
  <c r="A334" i="14"/>
  <c r="A344" i="14"/>
  <c r="A355" i="14"/>
  <c r="A366" i="14"/>
  <c r="A376" i="14"/>
  <c r="A387" i="14"/>
  <c r="A398" i="14"/>
  <c r="A408" i="14"/>
  <c r="A419" i="14"/>
  <c r="A430" i="14"/>
  <c r="A440" i="14"/>
  <c r="A451" i="14"/>
  <c r="A462" i="14"/>
  <c r="A472" i="14"/>
  <c r="A483" i="14"/>
  <c r="A494" i="14"/>
  <c r="A504" i="14"/>
  <c r="A515" i="14"/>
  <c r="A4" i="14"/>
  <c r="A27" i="14"/>
  <c r="A48" i="14"/>
  <c r="A84" i="14"/>
  <c r="A68" i="14"/>
  <c r="A8" i="14"/>
  <c r="A28" i="14"/>
  <c r="A51" i="14"/>
  <c r="A71" i="14"/>
  <c r="A87" i="14"/>
  <c r="A103" i="14"/>
  <c r="A119" i="14"/>
  <c r="A135" i="14"/>
  <c r="A151" i="14"/>
  <c r="A166" i="14"/>
  <c r="A176" i="14"/>
  <c r="A187" i="14"/>
  <c r="A198" i="14"/>
  <c r="A208" i="14"/>
  <c r="A219" i="14"/>
  <c r="A230" i="14"/>
  <c r="A240" i="14"/>
  <c r="A251" i="14"/>
  <c r="A262" i="14"/>
  <c r="A272" i="14"/>
  <c r="A283" i="14"/>
  <c r="A294" i="14"/>
  <c r="A304" i="14"/>
  <c r="A315" i="14"/>
  <c r="A326" i="14"/>
  <c r="A336" i="14"/>
  <c r="A347" i="14"/>
  <c r="A358" i="14"/>
  <c r="A368" i="14"/>
  <c r="A379" i="14"/>
  <c r="A390" i="14"/>
  <c r="A400" i="14"/>
  <c r="A411" i="14"/>
  <c r="A422" i="14"/>
  <c r="A432" i="14"/>
  <c r="A443" i="14"/>
  <c r="A454" i="14"/>
  <c r="A464" i="14"/>
  <c r="A475" i="14"/>
  <c r="A486" i="14"/>
  <c r="A496" i="14"/>
  <c r="A507" i="14"/>
  <c r="A518" i="14"/>
  <c r="A32" i="14"/>
  <c r="A52" i="14"/>
  <c r="A72" i="14"/>
  <c r="A88" i="14"/>
  <c r="A104" i="14"/>
  <c r="A120" i="14"/>
  <c r="A136" i="14"/>
  <c r="A152" i="14"/>
  <c r="A167" i="14"/>
  <c r="A178" i="14"/>
  <c r="A188" i="14"/>
  <c r="A199" i="14"/>
  <c r="A210" i="14"/>
  <c r="A220" i="14"/>
  <c r="A231" i="14"/>
  <c r="A242" i="14"/>
  <c r="A252" i="14"/>
  <c r="A263" i="14"/>
  <c r="A274" i="14"/>
  <c r="A284" i="14"/>
  <c r="A295" i="14"/>
  <c r="A306" i="14"/>
  <c r="A327" i="14"/>
  <c r="A338" i="14"/>
  <c r="A348" i="14"/>
  <c r="A359" i="14"/>
  <c r="A370" i="14"/>
  <c r="A380" i="14"/>
  <c r="A391" i="14"/>
  <c r="A402" i="14"/>
  <c r="A412" i="14"/>
  <c r="A423" i="14"/>
  <c r="A434" i="14"/>
  <c r="A455" i="14"/>
  <c r="A466" i="14"/>
  <c r="A476" i="14"/>
  <c r="A487" i="14"/>
  <c r="A498" i="14"/>
  <c r="A508" i="14"/>
  <c r="A12" i="14"/>
  <c r="A75" i="14"/>
  <c r="A107" i="14"/>
  <c r="A139" i="14"/>
  <c r="A168" i="14"/>
  <c r="A179" i="14"/>
  <c r="A190" i="14"/>
  <c r="A200" i="14"/>
  <c r="A211" i="14"/>
  <c r="A222" i="14"/>
  <c r="A232" i="14"/>
  <c r="A243" i="14"/>
  <c r="A254" i="14"/>
  <c r="A275" i="14"/>
  <c r="A286" i="14"/>
  <c r="A307" i="14"/>
  <c r="A328" i="14"/>
  <c r="A350" i="14"/>
  <c r="A360" i="14"/>
  <c r="A382" i="14"/>
  <c r="A403" i="14"/>
  <c r="A424" i="14"/>
  <c r="A456" i="14"/>
  <c r="A478" i="14"/>
  <c r="A499" i="14"/>
  <c r="A520" i="14"/>
  <c r="A436" i="14"/>
  <c r="A479" i="14"/>
  <c r="A511" i="14"/>
  <c r="A480" i="14"/>
  <c r="A512" i="14"/>
  <c r="A43" i="14"/>
  <c r="A236" i="14"/>
  <c r="A311" i="14"/>
  <c r="A375" i="14"/>
  <c r="A450" i="14"/>
  <c r="A116" i="14"/>
  <c r="A164" i="14"/>
  <c r="A175" i="14"/>
  <c r="A196" i="14"/>
  <c r="A250" i="14"/>
  <c r="A314" i="14"/>
  <c r="A367" i="14"/>
  <c r="A410" i="14"/>
  <c r="A463" i="14"/>
  <c r="A495" i="14"/>
  <c r="A11" i="14"/>
  <c r="A316" i="14"/>
  <c r="A444" i="14"/>
  <c r="A519" i="14"/>
  <c r="A35" i="14"/>
  <c r="A56" i="14"/>
  <c r="A91" i="14"/>
  <c r="A123" i="14"/>
  <c r="A155" i="14"/>
  <c r="A264" i="14"/>
  <c r="A296" i="14"/>
  <c r="A318" i="14"/>
  <c r="A339" i="14"/>
  <c r="A371" i="14"/>
  <c r="A392" i="14"/>
  <c r="A414" i="14"/>
  <c r="A435" i="14"/>
  <c r="A446" i="14"/>
  <c r="A467" i="14"/>
  <c r="A488" i="14"/>
  <c r="A510" i="14"/>
  <c r="A426" i="14"/>
  <c r="A458" i="14"/>
  <c r="A490" i="14"/>
  <c r="A522" i="14"/>
  <c r="A459" i="14"/>
  <c r="A20" i="14"/>
  <c r="A112" i="14"/>
  <c r="A144" i="14"/>
  <c r="A172" i="14"/>
  <c r="A194" i="14"/>
  <c r="A215" i="14"/>
  <c r="A247" i="14"/>
  <c r="A268" i="14"/>
  <c r="A290" i="14"/>
  <c r="A332" i="14"/>
  <c r="A354" i="14"/>
  <c r="A396" i="14"/>
  <c r="A418" i="14"/>
  <c r="A439" i="14"/>
  <c r="A471" i="14"/>
  <c r="A492" i="14"/>
  <c r="A514" i="14"/>
  <c r="A132" i="14"/>
  <c r="A207" i="14"/>
  <c r="A271" i="14"/>
  <c r="A303" i="14"/>
  <c r="A324" i="14"/>
  <c r="A356" i="14"/>
  <c r="A399" i="14"/>
  <c r="A420" i="14"/>
  <c r="A452" i="14"/>
  <c r="A484" i="14"/>
  <c r="A516" i="14"/>
  <c r="A228" i="14"/>
  <c r="A16" i="14"/>
  <c r="A36" i="14"/>
  <c r="A59" i="14"/>
  <c r="A76" i="14"/>
  <c r="A92" i="14"/>
  <c r="A108" i="14"/>
  <c r="A124" i="14"/>
  <c r="A140" i="14"/>
  <c r="A156" i="14"/>
  <c r="A170" i="14"/>
  <c r="A180" i="14"/>
  <c r="A191" i="14"/>
  <c r="A202" i="14"/>
  <c r="A212" i="14"/>
  <c r="A223" i="14"/>
  <c r="A234" i="14"/>
  <c r="A244" i="14"/>
  <c r="A255" i="14"/>
  <c r="A266" i="14"/>
  <c r="A276" i="14"/>
  <c r="A287" i="14"/>
  <c r="A298" i="14"/>
  <c r="A308" i="14"/>
  <c r="A319" i="14"/>
  <c r="A330" i="14"/>
  <c r="A340" i="14"/>
  <c r="A351" i="14"/>
  <c r="A362" i="14"/>
  <c r="A372" i="14"/>
  <c r="A383" i="14"/>
  <c r="A394" i="14"/>
  <c r="A404" i="14"/>
  <c r="A415" i="14"/>
  <c r="A447" i="14"/>
  <c r="A468" i="14"/>
  <c r="A500" i="14"/>
  <c r="A491" i="14"/>
  <c r="A80" i="14"/>
  <c r="A300" i="14"/>
  <c r="A386" i="14"/>
  <c r="A482" i="14"/>
  <c r="A148" i="14"/>
  <c r="A186" i="14"/>
  <c r="A239" i="14"/>
  <c r="A282" i="14"/>
  <c r="A335" i="14"/>
  <c r="A378" i="14"/>
  <c r="A442" i="14"/>
  <c r="A506" i="14"/>
  <c r="A19" i="14"/>
  <c r="A40" i="14"/>
  <c r="A60" i="14"/>
  <c r="A79" i="14"/>
  <c r="A95" i="14"/>
  <c r="A111" i="14"/>
  <c r="A127" i="14"/>
  <c r="A143" i="14"/>
  <c r="A159" i="14"/>
  <c r="A171" i="14"/>
  <c r="A182" i="14"/>
  <c r="A192" i="14"/>
  <c r="A203" i="14"/>
  <c r="A214" i="14"/>
  <c r="A224" i="14"/>
  <c r="A235" i="14"/>
  <c r="A246" i="14"/>
  <c r="A256" i="14"/>
  <c r="A267" i="14"/>
  <c r="A278" i="14"/>
  <c r="A288" i="14"/>
  <c r="A299" i="14"/>
  <c r="A310" i="14"/>
  <c r="A320" i="14"/>
  <c r="A331" i="14"/>
  <c r="A342" i="14"/>
  <c r="A352" i="14"/>
  <c r="A363" i="14"/>
  <c r="A374" i="14"/>
  <c r="A384" i="14"/>
  <c r="A395" i="14"/>
  <c r="A406" i="14"/>
  <c r="A416" i="14"/>
  <c r="A427" i="14"/>
  <c r="A438" i="14"/>
  <c r="A448" i="14"/>
  <c r="A470" i="14"/>
  <c r="A502" i="14"/>
  <c r="A64" i="14"/>
  <c r="A96" i="14"/>
  <c r="A128" i="14"/>
  <c r="A160" i="14"/>
  <c r="A183" i="14"/>
  <c r="A204" i="14"/>
  <c r="A226" i="14"/>
  <c r="A258" i="14"/>
  <c r="A279" i="14"/>
  <c r="A322" i="14"/>
  <c r="A343" i="14"/>
  <c r="A364" i="14"/>
  <c r="A407" i="14"/>
  <c r="A428" i="14"/>
  <c r="A460" i="14"/>
  <c r="A503" i="14"/>
  <c r="A100" i="14"/>
  <c r="A218" i="14"/>
  <c r="A260" i="14"/>
  <c r="A292" i="14"/>
  <c r="A346" i="14"/>
  <c r="A388" i="14"/>
  <c r="A431" i="14"/>
  <c r="A474" i="14"/>
  <c r="A2" i="14"/>
  <c r="I22" i="14"/>
  <c r="I24" i="14"/>
  <c r="I26" i="14"/>
  <c r="I34" i="14"/>
  <c r="I42" i="14"/>
  <c r="I50" i="14"/>
  <c r="I58" i="14"/>
  <c r="I66" i="14"/>
  <c r="I74" i="14"/>
  <c r="I82" i="14"/>
  <c r="I90" i="14"/>
  <c r="I98" i="14"/>
  <c r="I106" i="14"/>
  <c r="I114" i="14"/>
  <c r="I122" i="14"/>
  <c r="I130" i="14"/>
  <c r="I138" i="14"/>
  <c r="I146" i="14"/>
  <c r="I154" i="14"/>
  <c r="I162" i="14"/>
  <c r="I170" i="14"/>
  <c r="I178" i="14"/>
  <c r="I186" i="14"/>
  <c r="I194" i="14"/>
  <c r="I202" i="14"/>
  <c r="I210" i="14"/>
  <c r="I218" i="14"/>
  <c r="I226" i="14"/>
  <c r="I234" i="14"/>
  <c r="I242" i="14"/>
  <c r="I250" i="14"/>
  <c r="I258" i="14"/>
  <c r="I266" i="14"/>
  <c r="I274" i="14"/>
  <c r="I282" i="14"/>
  <c r="I290" i="14"/>
  <c r="I298" i="14"/>
  <c r="I306" i="14"/>
  <c r="I314" i="14"/>
  <c r="I322" i="14"/>
  <c r="I330" i="14"/>
  <c r="I338" i="14"/>
  <c r="I346" i="14"/>
  <c r="I354" i="14"/>
  <c r="I362" i="14"/>
  <c r="I370" i="14"/>
  <c r="I378" i="14"/>
  <c r="I386" i="14"/>
  <c r="I394" i="14"/>
  <c r="I402" i="14"/>
  <c r="I410" i="14"/>
  <c r="I418" i="14"/>
  <c r="I426" i="14"/>
  <c r="I434" i="14"/>
  <c r="I442" i="14"/>
  <c r="I450" i="14"/>
  <c r="I458" i="14"/>
  <c r="I466" i="14"/>
  <c r="I474" i="14"/>
  <c r="I482" i="14"/>
  <c r="I490" i="14"/>
  <c r="I498" i="14"/>
  <c r="I506" i="14"/>
  <c r="I514" i="14"/>
  <c r="I522" i="14"/>
  <c r="I36" i="14"/>
  <c r="I44" i="14"/>
  <c r="I52" i="14"/>
  <c r="I68" i="14"/>
  <c r="I84" i="14"/>
  <c r="I100" i="14"/>
  <c r="I116" i="14"/>
  <c r="I132" i="14"/>
  <c r="I148" i="14"/>
  <c r="I164" i="14"/>
  <c r="I180" i="14"/>
  <c r="I188" i="14"/>
  <c r="I204" i="14"/>
  <c r="I220" i="14"/>
  <c r="I244" i="14"/>
  <c r="I260" i="14"/>
  <c r="I276" i="14"/>
  <c r="I292" i="14"/>
  <c r="I308" i="14"/>
  <c r="I27" i="14"/>
  <c r="I35" i="14"/>
  <c r="I43" i="14"/>
  <c r="I51" i="14"/>
  <c r="I59" i="14"/>
  <c r="I67" i="14"/>
  <c r="I75" i="14"/>
  <c r="I83" i="14"/>
  <c r="I91" i="14"/>
  <c r="I99" i="14"/>
  <c r="I107" i="14"/>
  <c r="I115" i="14"/>
  <c r="I123" i="14"/>
  <c r="I131" i="14"/>
  <c r="I139" i="14"/>
  <c r="I147" i="14"/>
  <c r="I155" i="14"/>
  <c r="I163" i="14"/>
  <c r="I171" i="14"/>
  <c r="I179" i="14"/>
  <c r="I187" i="14"/>
  <c r="I195" i="14"/>
  <c r="I203" i="14"/>
  <c r="I211" i="14"/>
  <c r="I219" i="14"/>
  <c r="I227" i="14"/>
  <c r="I235" i="14"/>
  <c r="I243" i="14"/>
  <c r="I251" i="14"/>
  <c r="I259" i="14"/>
  <c r="I267" i="14"/>
  <c r="I275" i="14"/>
  <c r="I283" i="14"/>
  <c r="I291" i="14"/>
  <c r="I299" i="14"/>
  <c r="I307" i="14"/>
  <c r="I315" i="14"/>
  <c r="I323" i="14"/>
  <c r="I331" i="14"/>
  <c r="I339" i="14"/>
  <c r="I347" i="14"/>
  <c r="I355" i="14"/>
  <c r="I363" i="14"/>
  <c r="I371" i="14"/>
  <c r="I379" i="14"/>
  <c r="I387" i="14"/>
  <c r="I395" i="14"/>
  <c r="I403" i="14"/>
  <c r="I411" i="14"/>
  <c r="I419" i="14"/>
  <c r="I427" i="14"/>
  <c r="I435" i="14"/>
  <c r="I443" i="14"/>
  <c r="I451" i="14"/>
  <c r="I459" i="14"/>
  <c r="I467" i="14"/>
  <c r="I475" i="14"/>
  <c r="I483" i="14"/>
  <c r="I491" i="14"/>
  <c r="I499" i="14"/>
  <c r="I507" i="14"/>
  <c r="I515" i="14"/>
  <c r="I28" i="14"/>
  <c r="I60" i="14"/>
  <c r="I76" i="14"/>
  <c r="I92" i="14"/>
  <c r="I108" i="14"/>
  <c r="I124" i="14"/>
  <c r="I140" i="14"/>
  <c r="I156" i="14"/>
  <c r="I172" i="14"/>
  <c r="I196" i="14"/>
  <c r="I212" i="14"/>
  <c r="I228" i="14"/>
  <c r="I236" i="14"/>
  <c r="I252" i="14"/>
  <c r="I268" i="14"/>
  <c r="I284" i="14"/>
  <c r="I300" i="14"/>
  <c r="I316" i="14"/>
  <c r="I29" i="14"/>
  <c r="I37" i="14"/>
  <c r="I45" i="14"/>
  <c r="I53" i="14"/>
  <c r="I61" i="14"/>
  <c r="I69" i="14"/>
  <c r="I77" i="14"/>
  <c r="I85" i="14"/>
  <c r="I93" i="14"/>
  <c r="I101" i="14"/>
  <c r="I109" i="14"/>
  <c r="I117" i="14"/>
  <c r="I125" i="14"/>
  <c r="I133" i="14"/>
  <c r="I141" i="14"/>
  <c r="I149" i="14"/>
  <c r="I157" i="14"/>
  <c r="I165" i="14"/>
  <c r="I173" i="14"/>
  <c r="I181" i="14"/>
  <c r="I189" i="14"/>
  <c r="I197" i="14"/>
  <c r="I205" i="14"/>
  <c r="I213" i="14"/>
  <c r="I221" i="14"/>
  <c r="I229" i="14"/>
  <c r="I237" i="14"/>
  <c r="I245" i="14"/>
  <c r="I253" i="14"/>
  <c r="I261" i="14"/>
  <c r="I269" i="14"/>
  <c r="I277" i="14"/>
  <c r="I285" i="14"/>
  <c r="I293" i="14"/>
  <c r="I301" i="14"/>
  <c r="I309" i="14"/>
  <c r="I317" i="14"/>
  <c r="I325" i="14"/>
  <c r="I333" i="14"/>
  <c r="I341" i="14"/>
  <c r="I349" i="14"/>
  <c r="I357" i="14"/>
  <c r="I365" i="14"/>
  <c r="I373" i="14"/>
  <c r="I381" i="14"/>
  <c r="I389" i="14"/>
  <c r="I397" i="14"/>
  <c r="I405" i="14"/>
  <c r="I413" i="14"/>
  <c r="I421" i="14"/>
  <c r="I429" i="14"/>
  <c r="I437" i="14"/>
  <c r="I445" i="14"/>
  <c r="I453" i="14"/>
  <c r="I461" i="14"/>
  <c r="I469" i="14"/>
  <c r="I477" i="14"/>
  <c r="I485" i="14"/>
  <c r="I493" i="14"/>
  <c r="I501" i="14"/>
  <c r="I509" i="14"/>
  <c r="I517" i="14"/>
  <c r="I30" i="14"/>
  <c r="I38" i="14"/>
  <c r="I46" i="14"/>
  <c r="I54" i="14"/>
  <c r="I62" i="14"/>
  <c r="I70" i="14"/>
  <c r="I78" i="14"/>
  <c r="I86" i="14"/>
  <c r="I94" i="14"/>
  <c r="I102" i="14"/>
  <c r="I110" i="14"/>
  <c r="I118" i="14"/>
  <c r="I126" i="14"/>
  <c r="I134" i="14"/>
  <c r="I142" i="14"/>
  <c r="I150" i="14"/>
  <c r="I158" i="14"/>
  <c r="I166" i="14"/>
  <c r="I174" i="14"/>
  <c r="I182" i="14"/>
  <c r="I190" i="14"/>
  <c r="I198" i="14"/>
  <c r="I206" i="14"/>
  <c r="I152" i="14"/>
  <c r="I337" i="14"/>
  <c r="I376" i="14"/>
  <c r="I401" i="14"/>
  <c r="I440" i="14"/>
  <c r="I465" i="14"/>
  <c r="I492" i="14"/>
  <c r="I518" i="14"/>
  <c r="I48" i="14"/>
  <c r="I199" i="14"/>
  <c r="I280" i="14"/>
  <c r="I340" i="14"/>
  <c r="I404" i="14"/>
  <c r="I455" i="14"/>
  <c r="I505" i="14"/>
  <c r="I49" i="14"/>
  <c r="I72" i="14"/>
  <c r="I113" i="14"/>
  <c r="I159" i="14"/>
  <c r="I177" i="14"/>
  <c r="I249" i="14"/>
  <c r="I281" i="14"/>
  <c r="I342" i="14"/>
  <c r="I392" i="14"/>
  <c r="I444" i="14"/>
  <c r="I495" i="14"/>
  <c r="I484" i="14"/>
  <c r="I32" i="14"/>
  <c r="I55" i="14"/>
  <c r="I73" i="14"/>
  <c r="I96" i="14"/>
  <c r="I119" i="14"/>
  <c r="I137" i="14"/>
  <c r="I160" i="14"/>
  <c r="I183" i="14"/>
  <c r="I201" i="14"/>
  <c r="I222" i="14"/>
  <c r="I238" i="14"/>
  <c r="I254" i="14"/>
  <c r="I270" i="14"/>
  <c r="I286" i="14"/>
  <c r="I302" i="14"/>
  <c r="I318" i="14"/>
  <c r="I329" i="14"/>
  <c r="I343" i="14"/>
  <c r="I356" i="14"/>
  <c r="I368" i="14"/>
  <c r="I382" i="14"/>
  <c r="I393" i="14"/>
  <c r="I407" i="14"/>
  <c r="I420" i="14"/>
  <c r="I432" i="14"/>
  <c r="I446" i="14"/>
  <c r="I510" i="14"/>
  <c r="I33" i="14"/>
  <c r="I56" i="14"/>
  <c r="I79" i="14"/>
  <c r="I97" i="14"/>
  <c r="I120" i="14"/>
  <c r="I143" i="14"/>
  <c r="I161" i="14"/>
  <c r="I184" i="14"/>
  <c r="I207" i="14"/>
  <c r="I223" i="14"/>
  <c r="I239" i="14"/>
  <c r="I255" i="14"/>
  <c r="I271" i="14"/>
  <c r="I287" i="14"/>
  <c r="I303" i="14"/>
  <c r="I319" i="14"/>
  <c r="I332" i="14"/>
  <c r="I344" i="14"/>
  <c r="I358" i="14"/>
  <c r="I369" i="14"/>
  <c r="I383" i="14"/>
  <c r="I396" i="14"/>
  <c r="I408" i="14"/>
  <c r="I422" i="14"/>
  <c r="I433" i="14"/>
  <c r="I447" i="14"/>
  <c r="I460" i="14"/>
  <c r="I472" i="14"/>
  <c r="I486" i="14"/>
  <c r="I497" i="14"/>
  <c r="I511" i="14"/>
  <c r="I372" i="14"/>
  <c r="I145" i="14"/>
  <c r="I209" i="14"/>
  <c r="I257" i="14"/>
  <c r="I289" i="14"/>
  <c r="I321" i="14"/>
  <c r="I348" i="14"/>
  <c r="I374" i="14"/>
  <c r="I399" i="14"/>
  <c r="I424" i="14"/>
  <c r="I449" i="14"/>
  <c r="I476" i="14"/>
  <c r="I502" i="14"/>
  <c r="I89" i="14"/>
  <c r="I176" i="14"/>
  <c r="I232" i="14"/>
  <c r="I296" i="14"/>
  <c r="I327" i="14"/>
  <c r="I377" i="14"/>
  <c r="I430" i="14"/>
  <c r="I494" i="14"/>
  <c r="I519" i="14"/>
  <c r="I31" i="14"/>
  <c r="I95" i="14"/>
  <c r="I136" i="14"/>
  <c r="I200" i="14"/>
  <c r="I265" i="14"/>
  <c r="I328" i="14"/>
  <c r="I380" i="14"/>
  <c r="I431" i="14"/>
  <c r="I481" i="14"/>
  <c r="I508" i="14"/>
  <c r="I471" i="14"/>
  <c r="I39" i="14"/>
  <c r="I57" i="14"/>
  <c r="I80" i="14"/>
  <c r="I103" i="14"/>
  <c r="I121" i="14"/>
  <c r="I144" i="14"/>
  <c r="I167" i="14"/>
  <c r="I185" i="14"/>
  <c r="I208" i="14"/>
  <c r="I224" i="14"/>
  <c r="I240" i="14"/>
  <c r="I256" i="14"/>
  <c r="I272" i="14"/>
  <c r="I288" i="14"/>
  <c r="I304" i="14"/>
  <c r="I320" i="14"/>
  <c r="I334" i="14"/>
  <c r="I345" i="14"/>
  <c r="I359" i="14"/>
  <c r="I384" i="14"/>
  <c r="I398" i="14"/>
  <c r="I409" i="14"/>
  <c r="I423" i="14"/>
  <c r="I436" i="14"/>
  <c r="I448" i="14"/>
  <c r="I462" i="14"/>
  <c r="I473" i="14"/>
  <c r="I487" i="14"/>
  <c r="I500" i="14"/>
  <c r="I512" i="14"/>
  <c r="I40" i="14"/>
  <c r="I63" i="14"/>
  <c r="I81" i="14"/>
  <c r="I104" i="14"/>
  <c r="I127" i="14"/>
  <c r="I168" i="14"/>
  <c r="I191" i="14"/>
  <c r="I225" i="14"/>
  <c r="I241" i="14"/>
  <c r="I273" i="14"/>
  <c r="I305" i="14"/>
  <c r="I335" i="14"/>
  <c r="I360" i="14"/>
  <c r="I385" i="14"/>
  <c r="I412" i="14"/>
  <c r="I438" i="14"/>
  <c r="I463" i="14"/>
  <c r="I488" i="14"/>
  <c r="I513" i="14"/>
  <c r="I135" i="14"/>
  <c r="I264" i="14"/>
  <c r="I352" i="14"/>
  <c r="I416" i="14"/>
  <c r="I468" i="14"/>
  <c r="I217" i="14"/>
  <c r="I297" i="14"/>
  <c r="I367" i="14"/>
  <c r="I417" i="14"/>
  <c r="I456" i="14"/>
  <c r="I457" i="14"/>
  <c r="I521" i="14"/>
  <c r="I41" i="14"/>
  <c r="I64" i="14"/>
  <c r="I87" i="14"/>
  <c r="I105" i="14"/>
  <c r="I128" i="14"/>
  <c r="I151" i="14"/>
  <c r="I169" i="14"/>
  <c r="I192" i="14"/>
  <c r="I214" i="14"/>
  <c r="I230" i="14"/>
  <c r="I246" i="14"/>
  <c r="I262" i="14"/>
  <c r="I278" i="14"/>
  <c r="I294" i="14"/>
  <c r="I310" i="14"/>
  <c r="I324" i="14"/>
  <c r="I336" i="14"/>
  <c r="I350" i="14"/>
  <c r="I361" i="14"/>
  <c r="I375" i="14"/>
  <c r="I388" i="14"/>
  <c r="I400" i="14"/>
  <c r="I414" i="14"/>
  <c r="I425" i="14"/>
  <c r="I439" i="14"/>
  <c r="I452" i="14"/>
  <c r="I464" i="14"/>
  <c r="I478" i="14"/>
  <c r="I489" i="14"/>
  <c r="I503" i="14"/>
  <c r="I516" i="14"/>
  <c r="I23" i="14"/>
  <c r="I47" i="14"/>
  <c r="I65" i="14"/>
  <c r="I88" i="14"/>
  <c r="I111" i="14"/>
  <c r="I129" i="14"/>
  <c r="I175" i="14"/>
  <c r="I193" i="14"/>
  <c r="I215" i="14"/>
  <c r="I231" i="14"/>
  <c r="I247" i="14"/>
  <c r="I263" i="14"/>
  <c r="I279" i="14"/>
  <c r="I295" i="14"/>
  <c r="I311" i="14"/>
  <c r="I326" i="14"/>
  <c r="I351" i="14"/>
  <c r="I364" i="14"/>
  <c r="I390" i="14"/>
  <c r="I415" i="14"/>
  <c r="I428" i="14"/>
  <c r="I454" i="14"/>
  <c r="I479" i="14"/>
  <c r="I504" i="14"/>
  <c r="I25" i="14"/>
  <c r="I71" i="14"/>
  <c r="I112" i="14"/>
  <c r="I153" i="14"/>
  <c r="I216" i="14"/>
  <c r="I248" i="14"/>
  <c r="I312" i="14"/>
  <c r="I366" i="14"/>
  <c r="I391" i="14"/>
  <c r="I441" i="14"/>
  <c r="I480" i="14"/>
  <c r="I233" i="14"/>
  <c r="I313" i="14"/>
  <c r="I353" i="14"/>
  <c r="I406" i="14"/>
  <c r="I470" i="14"/>
  <c r="I520" i="14"/>
  <c r="I496" i="14"/>
  <c r="I21" i="14"/>
  <c r="H102" i="14"/>
  <c r="H110" i="14"/>
  <c r="H118" i="14"/>
  <c r="H126" i="14"/>
  <c r="H134" i="14"/>
  <c r="H142" i="14"/>
  <c r="H150" i="14"/>
  <c r="H158" i="14"/>
  <c r="H166" i="14"/>
  <c r="H174" i="14"/>
  <c r="H182" i="14"/>
  <c r="H190" i="14"/>
  <c r="H198" i="14"/>
  <c r="H206" i="14"/>
  <c r="H214" i="14"/>
  <c r="H222" i="14"/>
  <c r="H230" i="14"/>
  <c r="H238" i="14"/>
  <c r="H246" i="14"/>
  <c r="H254" i="14"/>
  <c r="H270" i="14"/>
  <c r="H278" i="14"/>
  <c r="H302" i="14"/>
  <c r="H326" i="14"/>
  <c r="H350" i="14"/>
  <c r="H390" i="14"/>
  <c r="H414" i="14"/>
  <c r="H438" i="14"/>
  <c r="H470" i="14"/>
  <c r="H502" i="14"/>
  <c r="H323" i="14"/>
  <c r="H411" i="14"/>
  <c r="H499" i="14"/>
  <c r="H103" i="14"/>
  <c r="H111" i="14"/>
  <c r="H119" i="14"/>
  <c r="H127" i="14"/>
  <c r="H135" i="14"/>
  <c r="H143" i="14"/>
  <c r="H151" i="14"/>
  <c r="H159" i="14"/>
  <c r="H167" i="14"/>
  <c r="H175" i="14"/>
  <c r="H183" i="14"/>
  <c r="H191" i="14"/>
  <c r="H199" i="14"/>
  <c r="H207" i="14"/>
  <c r="H215" i="14"/>
  <c r="H223" i="14"/>
  <c r="H231" i="14"/>
  <c r="H239" i="14"/>
  <c r="H247" i="14"/>
  <c r="H255" i="14"/>
  <c r="H263" i="14"/>
  <c r="H271" i="14"/>
  <c r="H279" i="14"/>
  <c r="H287" i="14"/>
  <c r="H295" i="14"/>
  <c r="H303" i="14"/>
  <c r="H311" i="14"/>
  <c r="H319" i="14"/>
  <c r="H327" i="14"/>
  <c r="H335" i="14"/>
  <c r="H343" i="14"/>
  <c r="H351" i="14"/>
  <c r="H359" i="14"/>
  <c r="H367" i="14"/>
  <c r="H375" i="14"/>
  <c r="H383" i="14"/>
  <c r="H391" i="14"/>
  <c r="H399" i="14"/>
  <c r="H407" i="14"/>
  <c r="H415" i="14"/>
  <c r="H423" i="14"/>
  <c r="H431" i="14"/>
  <c r="H439" i="14"/>
  <c r="H447" i="14"/>
  <c r="H455" i="14"/>
  <c r="H463" i="14"/>
  <c r="H471" i="14"/>
  <c r="H479" i="14"/>
  <c r="H487" i="14"/>
  <c r="H495" i="14"/>
  <c r="H503" i="14"/>
  <c r="H511" i="14"/>
  <c r="H519" i="14"/>
  <c r="H384" i="14"/>
  <c r="H400" i="14"/>
  <c r="H416" i="14"/>
  <c r="H424" i="14"/>
  <c r="H440" i="14"/>
  <c r="H448" i="14"/>
  <c r="H464" i="14"/>
  <c r="H472" i="14"/>
  <c r="H488" i="14"/>
  <c r="H504" i="14"/>
  <c r="H512" i="14"/>
  <c r="H289" i="14"/>
  <c r="H321" i="14"/>
  <c r="H329" i="14"/>
  <c r="H345" i="14"/>
  <c r="H361" i="14"/>
  <c r="H377" i="14"/>
  <c r="H393" i="14"/>
  <c r="H409" i="14"/>
  <c r="H433" i="14"/>
  <c r="H449" i="14"/>
  <c r="H465" i="14"/>
  <c r="H489" i="14"/>
  <c r="H497" i="14"/>
  <c r="H521" i="14"/>
  <c r="H331" i="14"/>
  <c r="H363" i="14"/>
  <c r="H395" i="14"/>
  <c r="H451" i="14"/>
  <c r="H491" i="14"/>
  <c r="H116" i="14"/>
  <c r="H104" i="14"/>
  <c r="H112" i="14"/>
  <c r="H120" i="14"/>
  <c r="H128" i="14"/>
  <c r="H136" i="14"/>
  <c r="H144" i="14"/>
  <c r="H152" i="14"/>
  <c r="H160" i="14"/>
  <c r="H168" i="14"/>
  <c r="H176" i="14"/>
  <c r="H184" i="14"/>
  <c r="H192" i="14"/>
  <c r="H200" i="14"/>
  <c r="H208" i="14"/>
  <c r="H216" i="14"/>
  <c r="H224" i="14"/>
  <c r="H232" i="14"/>
  <c r="H240" i="14"/>
  <c r="H248" i="14"/>
  <c r="H256" i="14"/>
  <c r="H264" i="14"/>
  <c r="H272" i="14"/>
  <c r="H280" i="14"/>
  <c r="H288" i="14"/>
  <c r="H296" i="14"/>
  <c r="H304" i="14"/>
  <c r="H312" i="14"/>
  <c r="H320" i="14"/>
  <c r="H328" i="14"/>
  <c r="H336" i="14"/>
  <c r="H344" i="14"/>
  <c r="H352" i="14"/>
  <c r="H360" i="14"/>
  <c r="H368" i="14"/>
  <c r="H376" i="14"/>
  <c r="H392" i="14"/>
  <c r="H408" i="14"/>
  <c r="H432" i="14"/>
  <c r="H456" i="14"/>
  <c r="H480" i="14"/>
  <c r="H496" i="14"/>
  <c r="H520" i="14"/>
  <c r="H305" i="14"/>
  <c r="H337" i="14"/>
  <c r="H369" i="14"/>
  <c r="H401" i="14"/>
  <c r="H417" i="14"/>
  <c r="H441" i="14"/>
  <c r="H457" i="14"/>
  <c r="H481" i="14"/>
  <c r="H505" i="14"/>
  <c r="H315" i="14"/>
  <c r="H371" i="14"/>
  <c r="H427" i="14"/>
  <c r="H467" i="14"/>
  <c r="H515" i="14"/>
  <c r="H105" i="14"/>
  <c r="H113" i="14"/>
  <c r="H121" i="14"/>
  <c r="H129" i="14"/>
  <c r="H137" i="14"/>
  <c r="H145" i="14"/>
  <c r="H153" i="14"/>
  <c r="H161" i="14"/>
  <c r="H169" i="14"/>
  <c r="H177" i="14"/>
  <c r="H185" i="14"/>
  <c r="H193" i="14"/>
  <c r="H201" i="14"/>
  <c r="H209" i="14"/>
  <c r="H217" i="14"/>
  <c r="H225" i="14"/>
  <c r="H233" i="14"/>
  <c r="H241" i="14"/>
  <c r="H249" i="14"/>
  <c r="H257" i="14"/>
  <c r="H265" i="14"/>
  <c r="H273" i="14"/>
  <c r="H281" i="14"/>
  <c r="H297" i="14"/>
  <c r="H313" i="14"/>
  <c r="H353" i="14"/>
  <c r="H385" i="14"/>
  <c r="H425" i="14"/>
  <c r="H473" i="14"/>
  <c r="H513" i="14"/>
  <c r="H347" i="14"/>
  <c r="H435" i="14"/>
  <c r="H106" i="14"/>
  <c r="H114" i="14"/>
  <c r="H122" i="14"/>
  <c r="H130" i="14"/>
  <c r="H138" i="14"/>
  <c r="H146" i="14"/>
  <c r="H154" i="14"/>
  <c r="H162" i="14"/>
  <c r="H170" i="14"/>
  <c r="H178" i="14"/>
  <c r="H186" i="14"/>
  <c r="H194" i="14"/>
  <c r="H202" i="14"/>
  <c r="H210" i="14"/>
  <c r="H218" i="14"/>
  <c r="H226" i="14"/>
  <c r="H234" i="14"/>
  <c r="H242" i="14"/>
  <c r="H250" i="14"/>
  <c r="H258" i="14"/>
  <c r="H266" i="14"/>
  <c r="H274" i="14"/>
  <c r="H282" i="14"/>
  <c r="H290" i="14"/>
  <c r="H298" i="14"/>
  <c r="H306" i="14"/>
  <c r="H314" i="14"/>
  <c r="H322" i="14"/>
  <c r="H330" i="14"/>
  <c r="H338" i="14"/>
  <c r="H346" i="14"/>
  <c r="H354" i="14"/>
  <c r="H362" i="14"/>
  <c r="H370" i="14"/>
  <c r="H378" i="14"/>
  <c r="H386" i="14"/>
  <c r="H394" i="14"/>
  <c r="H402" i="14"/>
  <c r="H410" i="14"/>
  <c r="H418" i="14"/>
  <c r="H426" i="14"/>
  <c r="H434" i="14"/>
  <c r="H442" i="14"/>
  <c r="H450" i="14"/>
  <c r="H458" i="14"/>
  <c r="H466" i="14"/>
  <c r="H474" i="14"/>
  <c r="H482" i="14"/>
  <c r="H490" i="14"/>
  <c r="H498" i="14"/>
  <c r="H506" i="14"/>
  <c r="H514" i="14"/>
  <c r="H522" i="14"/>
  <c r="H107" i="14"/>
  <c r="H115" i="14"/>
  <c r="H123" i="14"/>
  <c r="H131" i="14"/>
  <c r="H139" i="14"/>
  <c r="H147" i="14"/>
  <c r="H155" i="14"/>
  <c r="H163" i="14"/>
  <c r="H171" i="14"/>
  <c r="H179" i="14"/>
  <c r="H187" i="14"/>
  <c r="H195" i="14"/>
  <c r="H203" i="14"/>
  <c r="H211" i="14"/>
  <c r="H219" i="14"/>
  <c r="H227" i="14"/>
  <c r="H235" i="14"/>
  <c r="H243" i="14"/>
  <c r="H251" i="14"/>
  <c r="H259" i="14"/>
  <c r="H267" i="14"/>
  <c r="H275" i="14"/>
  <c r="H283" i="14"/>
  <c r="H291" i="14"/>
  <c r="H307" i="14"/>
  <c r="H339" i="14"/>
  <c r="H355" i="14"/>
  <c r="H387" i="14"/>
  <c r="H403" i="14"/>
  <c r="H443" i="14"/>
  <c r="H483" i="14"/>
  <c r="H108" i="14"/>
  <c r="H109" i="14"/>
  <c r="H117" i="14"/>
  <c r="H125" i="14"/>
  <c r="H133" i="14"/>
  <c r="H141" i="14"/>
  <c r="H149" i="14"/>
  <c r="H157" i="14"/>
  <c r="H165" i="14"/>
  <c r="H173" i="14"/>
  <c r="H181" i="14"/>
  <c r="H189" i="14"/>
  <c r="H197" i="14"/>
  <c r="H205" i="14"/>
  <c r="H213" i="14"/>
  <c r="H221" i="14"/>
  <c r="H229" i="14"/>
  <c r="H237" i="14"/>
  <c r="H245" i="14"/>
  <c r="H253" i="14"/>
  <c r="H261" i="14"/>
  <c r="H269" i="14"/>
  <c r="H277" i="14"/>
  <c r="H285" i="14"/>
  <c r="H293" i="14"/>
  <c r="H301" i="14"/>
  <c r="H309" i="14"/>
  <c r="H317" i="14"/>
  <c r="H325" i="14"/>
  <c r="H333" i="14"/>
  <c r="H341" i="14"/>
  <c r="H349" i="14"/>
  <c r="H357" i="14"/>
  <c r="H365" i="14"/>
  <c r="H373" i="14"/>
  <c r="H381" i="14"/>
  <c r="H389" i="14"/>
  <c r="H397" i="14"/>
  <c r="H405" i="14"/>
  <c r="H413" i="14"/>
  <c r="H421" i="14"/>
  <c r="H429" i="14"/>
  <c r="H437" i="14"/>
  <c r="H445" i="14"/>
  <c r="H453" i="14"/>
  <c r="H461" i="14"/>
  <c r="H469" i="14"/>
  <c r="H477" i="14"/>
  <c r="H485" i="14"/>
  <c r="H493" i="14"/>
  <c r="H501" i="14"/>
  <c r="H509" i="14"/>
  <c r="H517" i="14"/>
  <c r="H262" i="14"/>
  <c r="H286" i="14"/>
  <c r="H294" i="14"/>
  <c r="H310" i="14"/>
  <c r="H318" i="14"/>
  <c r="H334" i="14"/>
  <c r="H342" i="14"/>
  <c r="H358" i="14"/>
  <c r="H366" i="14"/>
  <c r="H374" i="14"/>
  <c r="H382" i="14"/>
  <c r="H398" i="14"/>
  <c r="H406" i="14"/>
  <c r="H422" i="14"/>
  <c r="H430" i="14"/>
  <c r="H446" i="14"/>
  <c r="H454" i="14"/>
  <c r="H462" i="14"/>
  <c r="H478" i="14"/>
  <c r="H486" i="14"/>
  <c r="H494" i="14"/>
  <c r="H510" i="14"/>
  <c r="H518" i="14"/>
  <c r="H299" i="14"/>
  <c r="H379" i="14"/>
  <c r="H419" i="14"/>
  <c r="H459" i="14"/>
  <c r="H475" i="14"/>
  <c r="H507" i="14"/>
  <c r="H124" i="14"/>
  <c r="H156" i="14"/>
  <c r="H172" i="14"/>
  <c r="H132" i="14"/>
  <c r="H212" i="14"/>
  <c r="H276" i="14"/>
  <c r="H340" i="14"/>
  <c r="H404" i="14"/>
  <c r="H468" i="14"/>
  <c r="H140" i="14"/>
  <c r="H220" i="14"/>
  <c r="H284" i="14"/>
  <c r="H348" i="14"/>
  <c r="H412" i="14"/>
  <c r="H476" i="14"/>
  <c r="H148" i="14"/>
  <c r="H228" i="14"/>
  <c r="H292" i="14"/>
  <c r="H356" i="14"/>
  <c r="H420" i="14"/>
  <c r="H484" i="14"/>
  <c r="H164" i="14"/>
  <c r="H236" i="14"/>
  <c r="H300" i="14"/>
  <c r="H364" i="14"/>
  <c r="H428" i="14"/>
  <c r="H492" i="14"/>
  <c r="H180" i="14"/>
  <c r="H308" i="14"/>
  <c r="H372" i="14"/>
  <c r="H436" i="14"/>
  <c r="H500" i="14"/>
  <c r="H188" i="14"/>
  <c r="H316" i="14"/>
  <c r="H444" i="14"/>
  <c r="H196" i="14"/>
  <c r="H324" i="14"/>
  <c r="H452" i="14"/>
  <c r="H204" i="14"/>
  <c r="H332" i="14"/>
  <c r="H396" i="14"/>
  <c r="H244" i="14"/>
  <c r="H252" i="14"/>
  <c r="H380" i="14"/>
  <c r="H508" i="14"/>
  <c r="H260" i="14"/>
  <c r="H388" i="14"/>
  <c r="H516" i="14"/>
  <c r="H268" i="14"/>
  <c r="H460" i="14"/>
  <c r="H101" i="14"/>
  <c r="G52" i="14"/>
  <c r="G60" i="14"/>
  <c r="G68" i="14"/>
  <c r="G76" i="14"/>
  <c r="G84" i="14"/>
  <c r="G92" i="14"/>
  <c r="G100" i="14"/>
  <c r="G108" i="14"/>
  <c r="G116" i="14"/>
  <c r="G124" i="14"/>
  <c r="G132" i="14"/>
  <c r="G140" i="14"/>
  <c r="G148" i="14"/>
  <c r="G156" i="14"/>
  <c r="G164" i="14"/>
  <c r="G172" i="14"/>
  <c r="G180" i="14"/>
  <c r="G188" i="14"/>
  <c r="G196" i="14"/>
  <c r="G204" i="14"/>
  <c r="G212" i="14"/>
  <c r="G220" i="14"/>
  <c r="G228" i="14"/>
  <c r="G236" i="14"/>
  <c r="G244" i="14"/>
  <c r="G252" i="14"/>
  <c r="G260" i="14"/>
  <c r="G268" i="14"/>
  <c r="G276" i="14"/>
  <c r="G284" i="14"/>
  <c r="G292" i="14"/>
  <c r="G300" i="14"/>
  <c r="G308" i="14"/>
  <c r="G316" i="14"/>
  <c r="G324" i="14"/>
  <c r="G332" i="14"/>
  <c r="G340" i="14"/>
  <c r="G348" i="14"/>
  <c r="G356" i="14"/>
  <c r="G364" i="14"/>
  <c r="G372" i="14"/>
  <c r="G380" i="14"/>
  <c r="G388" i="14"/>
  <c r="G396" i="14"/>
  <c r="G404" i="14"/>
  <c r="G412" i="14"/>
  <c r="G420" i="14"/>
  <c r="G428" i="14"/>
  <c r="G436" i="14"/>
  <c r="G444" i="14"/>
  <c r="G452" i="14"/>
  <c r="G460" i="14"/>
  <c r="G468" i="14"/>
  <c r="G476" i="14"/>
  <c r="G484" i="14"/>
  <c r="G492" i="14"/>
  <c r="G500" i="14"/>
  <c r="G508" i="14"/>
  <c r="G516" i="14"/>
  <c r="G53" i="14"/>
  <c r="G61" i="14"/>
  <c r="G69" i="14"/>
  <c r="G77" i="14"/>
  <c r="G85" i="14"/>
  <c r="G93" i="14"/>
  <c r="G101" i="14"/>
  <c r="G109" i="14"/>
  <c r="G117" i="14"/>
  <c r="G125" i="14"/>
  <c r="G133" i="14"/>
  <c r="G141" i="14"/>
  <c r="G149" i="14"/>
  <c r="G157" i="14"/>
  <c r="G165" i="14"/>
  <c r="G173" i="14"/>
  <c r="G181" i="14"/>
  <c r="G189" i="14"/>
  <c r="G197" i="14"/>
  <c r="G205" i="14"/>
  <c r="G213" i="14"/>
  <c r="G221" i="14"/>
  <c r="G229" i="14"/>
  <c r="G237" i="14"/>
  <c r="G245" i="14"/>
  <c r="G253" i="14"/>
  <c r="G261" i="14"/>
  <c r="G269" i="14"/>
  <c r="G277" i="14"/>
  <c r="G285" i="14"/>
  <c r="G293" i="14"/>
  <c r="G301" i="14"/>
  <c r="G309" i="14"/>
  <c r="G317" i="14"/>
  <c r="G325" i="14"/>
  <c r="G333" i="14"/>
  <c r="G341" i="14"/>
  <c r="G349" i="14"/>
  <c r="G357" i="14"/>
  <c r="G365" i="14"/>
  <c r="G373" i="14"/>
  <c r="G381" i="14"/>
  <c r="G389" i="14"/>
  <c r="G397" i="14"/>
  <c r="G405" i="14"/>
  <c r="G413" i="14"/>
  <c r="G421" i="14"/>
  <c r="G429" i="14"/>
  <c r="G437" i="14"/>
  <c r="G445" i="14"/>
  <c r="G453" i="14"/>
  <c r="G461" i="14"/>
  <c r="G469" i="14"/>
  <c r="G477" i="14"/>
  <c r="G485" i="14"/>
  <c r="G493" i="14"/>
  <c r="G501" i="14"/>
  <c r="G509" i="14"/>
  <c r="G517" i="14"/>
  <c r="G366" i="14"/>
  <c r="G390" i="14"/>
  <c r="G406" i="14"/>
  <c r="G422" i="14"/>
  <c r="G438" i="14"/>
  <c r="G454" i="14"/>
  <c r="G462" i="14"/>
  <c r="G478" i="14"/>
  <c r="G494" i="14"/>
  <c r="G510" i="14"/>
  <c r="G518" i="14"/>
  <c r="G282" i="14"/>
  <c r="G362" i="14"/>
  <c r="G402" i="14"/>
  <c r="G434" i="14"/>
  <c r="G474" i="14"/>
  <c r="G514" i="14"/>
  <c r="G54" i="14"/>
  <c r="G62" i="14"/>
  <c r="G70" i="14"/>
  <c r="G78" i="14"/>
  <c r="G86" i="14"/>
  <c r="G94" i="14"/>
  <c r="G102" i="14"/>
  <c r="G110" i="14"/>
  <c r="G118" i="14"/>
  <c r="G126" i="14"/>
  <c r="G134" i="14"/>
  <c r="G142" i="14"/>
  <c r="G150" i="14"/>
  <c r="G158" i="14"/>
  <c r="G166" i="14"/>
  <c r="G174" i="14"/>
  <c r="G182" i="14"/>
  <c r="G190" i="14"/>
  <c r="G198" i="14"/>
  <c r="G206" i="14"/>
  <c r="G214" i="14"/>
  <c r="G222" i="14"/>
  <c r="G230" i="14"/>
  <c r="G238" i="14"/>
  <c r="G246" i="14"/>
  <c r="G254" i="14"/>
  <c r="G262" i="14"/>
  <c r="G270" i="14"/>
  <c r="G278" i="14"/>
  <c r="G286" i="14"/>
  <c r="G294" i="14"/>
  <c r="G302" i="14"/>
  <c r="G310" i="14"/>
  <c r="G318" i="14"/>
  <c r="G326" i="14"/>
  <c r="G334" i="14"/>
  <c r="G342" i="14"/>
  <c r="G350" i="14"/>
  <c r="G358" i="14"/>
  <c r="G374" i="14"/>
  <c r="G382" i="14"/>
  <c r="G398" i="14"/>
  <c r="G414" i="14"/>
  <c r="G430" i="14"/>
  <c r="G446" i="14"/>
  <c r="G470" i="14"/>
  <c r="G486" i="14"/>
  <c r="G502" i="14"/>
  <c r="G274" i="14"/>
  <c r="G378" i="14"/>
  <c r="G442" i="14"/>
  <c r="G498" i="14"/>
  <c r="G515" i="14"/>
  <c r="G55" i="14"/>
  <c r="G63" i="14"/>
  <c r="G71" i="14"/>
  <c r="G79" i="14"/>
  <c r="G87" i="14"/>
  <c r="G95" i="14"/>
  <c r="G103" i="14"/>
  <c r="G111" i="14"/>
  <c r="G119" i="14"/>
  <c r="G127" i="14"/>
  <c r="G135" i="14"/>
  <c r="G143" i="14"/>
  <c r="G151" i="14"/>
  <c r="G159" i="14"/>
  <c r="G167" i="14"/>
  <c r="G175" i="14"/>
  <c r="G183" i="14"/>
  <c r="G191" i="14"/>
  <c r="G199" i="14"/>
  <c r="G207" i="14"/>
  <c r="G215" i="14"/>
  <c r="G223" i="14"/>
  <c r="G231" i="14"/>
  <c r="G239" i="14"/>
  <c r="G247" i="14"/>
  <c r="G255" i="14"/>
  <c r="G263" i="14"/>
  <c r="G271" i="14"/>
  <c r="G279" i="14"/>
  <c r="G287" i="14"/>
  <c r="G295" i="14"/>
  <c r="G303" i="14"/>
  <c r="G311" i="14"/>
  <c r="G319" i="14"/>
  <c r="G327" i="14"/>
  <c r="G335" i="14"/>
  <c r="G343" i="14"/>
  <c r="G351" i="14"/>
  <c r="G359" i="14"/>
  <c r="G367" i="14"/>
  <c r="G375" i="14"/>
  <c r="G383" i="14"/>
  <c r="G391" i="14"/>
  <c r="G399" i="14"/>
  <c r="G407" i="14"/>
  <c r="G415" i="14"/>
  <c r="G423" i="14"/>
  <c r="G431" i="14"/>
  <c r="G439" i="14"/>
  <c r="G447" i="14"/>
  <c r="G455" i="14"/>
  <c r="G463" i="14"/>
  <c r="G471" i="14"/>
  <c r="G479" i="14"/>
  <c r="G487" i="14"/>
  <c r="G495" i="14"/>
  <c r="G503" i="14"/>
  <c r="G511" i="14"/>
  <c r="G519" i="14"/>
  <c r="G74" i="14"/>
  <c r="G82" i="14"/>
  <c r="G106" i="14"/>
  <c r="G130" i="14"/>
  <c r="G154" i="14"/>
  <c r="G178" i="14"/>
  <c r="G202" i="14"/>
  <c r="G226" i="14"/>
  <c r="G250" i="14"/>
  <c r="G290" i="14"/>
  <c r="G330" i="14"/>
  <c r="G354" i="14"/>
  <c r="G394" i="14"/>
  <c r="G426" i="14"/>
  <c r="G466" i="14"/>
  <c r="G506" i="14"/>
  <c r="G56" i="14"/>
  <c r="G64" i="14"/>
  <c r="G72" i="14"/>
  <c r="G80" i="14"/>
  <c r="G88" i="14"/>
  <c r="G96" i="14"/>
  <c r="G104" i="14"/>
  <c r="G112" i="14"/>
  <c r="G120" i="14"/>
  <c r="G128" i="14"/>
  <c r="G136" i="14"/>
  <c r="G144" i="14"/>
  <c r="G152" i="14"/>
  <c r="G160" i="14"/>
  <c r="G168" i="14"/>
  <c r="G176" i="14"/>
  <c r="G184" i="14"/>
  <c r="G192" i="14"/>
  <c r="G200" i="14"/>
  <c r="G208" i="14"/>
  <c r="G216" i="14"/>
  <c r="G224" i="14"/>
  <c r="G232" i="14"/>
  <c r="G240" i="14"/>
  <c r="G248" i="14"/>
  <c r="G256" i="14"/>
  <c r="G264" i="14"/>
  <c r="G272" i="14"/>
  <c r="G280" i="14"/>
  <c r="G288" i="14"/>
  <c r="G296" i="14"/>
  <c r="G304" i="14"/>
  <c r="G312" i="14"/>
  <c r="G320" i="14"/>
  <c r="G328" i="14"/>
  <c r="G336" i="14"/>
  <c r="G344" i="14"/>
  <c r="G352" i="14"/>
  <c r="G360" i="14"/>
  <c r="G368" i="14"/>
  <c r="G376" i="14"/>
  <c r="G384" i="14"/>
  <c r="G392" i="14"/>
  <c r="G400" i="14"/>
  <c r="G408" i="14"/>
  <c r="G416" i="14"/>
  <c r="G424" i="14"/>
  <c r="G432" i="14"/>
  <c r="G440" i="14"/>
  <c r="G448" i="14"/>
  <c r="G456" i="14"/>
  <c r="G464" i="14"/>
  <c r="G472" i="14"/>
  <c r="G480" i="14"/>
  <c r="G488" i="14"/>
  <c r="G496" i="14"/>
  <c r="G504" i="14"/>
  <c r="G512" i="14"/>
  <c r="G520" i="14"/>
  <c r="G58" i="14"/>
  <c r="G90" i="14"/>
  <c r="G114" i="14"/>
  <c r="G138" i="14"/>
  <c r="G162" i="14"/>
  <c r="G186" i="14"/>
  <c r="G210" i="14"/>
  <c r="G234" i="14"/>
  <c r="G258" i="14"/>
  <c r="G306" i="14"/>
  <c r="G322" i="14"/>
  <c r="G346" i="14"/>
  <c r="G370" i="14"/>
  <c r="G410" i="14"/>
  <c r="G458" i="14"/>
  <c r="G482" i="14"/>
  <c r="G522" i="14"/>
  <c r="G57" i="14"/>
  <c r="G65" i="14"/>
  <c r="G73" i="14"/>
  <c r="G81" i="14"/>
  <c r="G89" i="14"/>
  <c r="G97" i="14"/>
  <c r="G105" i="14"/>
  <c r="G113" i="14"/>
  <c r="G121" i="14"/>
  <c r="G129" i="14"/>
  <c r="G137" i="14"/>
  <c r="G145" i="14"/>
  <c r="G153" i="14"/>
  <c r="G161" i="14"/>
  <c r="G169" i="14"/>
  <c r="G177" i="14"/>
  <c r="G185" i="14"/>
  <c r="G193" i="14"/>
  <c r="G201" i="14"/>
  <c r="G209" i="14"/>
  <c r="G217" i="14"/>
  <c r="G225" i="14"/>
  <c r="G233" i="14"/>
  <c r="G241" i="14"/>
  <c r="G249" i="14"/>
  <c r="G257" i="14"/>
  <c r="G265" i="14"/>
  <c r="G273" i="14"/>
  <c r="G281" i="14"/>
  <c r="G289" i="14"/>
  <c r="G297" i="14"/>
  <c r="G305" i="14"/>
  <c r="G313" i="14"/>
  <c r="G321" i="14"/>
  <c r="G329" i="14"/>
  <c r="G337" i="14"/>
  <c r="G345" i="14"/>
  <c r="G353" i="14"/>
  <c r="G361" i="14"/>
  <c r="G369" i="14"/>
  <c r="G377" i="14"/>
  <c r="G385" i="14"/>
  <c r="G393" i="14"/>
  <c r="G401" i="14"/>
  <c r="G409" i="14"/>
  <c r="G417" i="14"/>
  <c r="G425" i="14"/>
  <c r="G433" i="14"/>
  <c r="G441" i="14"/>
  <c r="G449" i="14"/>
  <c r="G457" i="14"/>
  <c r="G465" i="14"/>
  <c r="G473" i="14"/>
  <c r="G481" i="14"/>
  <c r="G489" i="14"/>
  <c r="G497" i="14"/>
  <c r="G505" i="14"/>
  <c r="G513" i="14"/>
  <c r="G521" i="14"/>
  <c r="G66" i="14"/>
  <c r="G98" i="14"/>
  <c r="G122" i="14"/>
  <c r="G146" i="14"/>
  <c r="G170" i="14"/>
  <c r="G194" i="14"/>
  <c r="G218" i="14"/>
  <c r="G242" i="14"/>
  <c r="G266" i="14"/>
  <c r="G298" i="14"/>
  <c r="G314" i="14"/>
  <c r="G338" i="14"/>
  <c r="G386" i="14"/>
  <c r="G418" i="14"/>
  <c r="G450" i="14"/>
  <c r="G490" i="14"/>
  <c r="G499" i="14"/>
  <c r="G59" i="14"/>
  <c r="G67" i="14"/>
  <c r="G75" i="14"/>
  <c r="G83" i="14"/>
  <c r="G91" i="14"/>
  <c r="G99" i="14"/>
  <c r="G107" i="14"/>
  <c r="G115" i="14"/>
  <c r="G123" i="14"/>
  <c r="G131" i="14"/>
  <c r="G139" i="14"/>
  <c r="G147" i="14"/>
  <c r="G155" i="14"/>
  <c r="G163" i="14"/>
  <c r="G171" i="14"/>
  <c r="G179" i="14"/>
  <c r="G187" i="14"/>
  <c r="G195" i="14"/>
  <c r="G203" i="14"/>
  <c r="G211" i="14"/>
  <c r="G219" i="14"/>
  <c r="G227" i="14"/>
  <c r="G235" i="14"/>
  <c r="G243" i="14"/>
  <c r="G251" i="14"/>
  <c r="G259" i="14"/>
  <c r="G267" i="14"/>
  <c r="G275" i="14"/>
  <c r="G283" i="14"/>
  <c r="G291" i="14"/>
  <c r="G299" i="14"/>
  <c r="G307" i="14"/>
  <c r="G315" i="14"/>
  <c r="G323" i="14"/>
  <c r="G331" i="14"/>
  <c r="G339" i="14"/>
  <c r="G347" i="14"/>
  <c r="G355" i="14"/>
  <c r="G363" i="14"/>
  <c r="G371" i="14"/>
  <c r="G379" i="14"/>
  <c r="G387" i="14"/>
  <c r="G395" i="14"/>
  <c r="G403" i="14"/>
  <c r="G411" i="14"/>
  <c r="G419" i="14"/>
  <c r="G427" i="14"/>
  <c r="G435" i="14"/>
  <c r="G443" i="14"/>
  <c r="G451" i="14"/>
  <c r="G459" i="14"/>
  <c r="G467" i="14"/>
  <c r="G475" i="14"/>
  <c r="G483" i="14"/>
  <c r="G491" i="14"/>
  <c r="G507" i="14"/>
  <c r="G51" i="14"/>
  <c r="F22" i="14"/>
  <c r="F30" i="14"/>
  <c r="F38" i="14"/>
  <c r="F46" i="14"/>
  <c r="F54" i="14"/>
  <c r="F62" i="14"/>
  <c r="F70" i="14"/>
  <c r="F78" i="14"/>
  <c r="F86" i="14"/>
  <c r="F94" i="14"/>
  <c r="F102" i="14"/>
  <c r="F110" i="14"/>
  <c r="F118" i="14"/>
  <c r="F126" i="14"/>
  <c r="F134" i="14"/>
  <c r="F142" i="14"/>
  <c r="F150" i="14"/>
  <c r="F158" i="14"/>
  <c r="F166" i="14"/>
  <c r="F174" i="14"/>
  <c r="F182" i="14"/>
  <c r="F190" i="14"/>
  <c r="F198" i="14"/>
  <c r="F206" i="14"/>
  <c r="F214" i="14"/>
  <c r="F222" i="14"/>
  <c r="F230" i="14"/>
  <c r="F238" i="14"/>
  <c r="F246" i="14"/>
  <c r="F254" i="14"/>
  <c r="F262" i="14"/>
  <c r="F270" i="14"/>
  <c r="F278" i="14"/>
  <c r="F286" i="14"/>
  <c r="F294" i="14"/>
  <c r="F302" i="14"/>
  <c r="F310" i="14"/>
  <c r="F318" i="14"/>
  <c r="F326" i="14"/>
  <c r="F334" i="14"/>
  <c r="F342" i="14"/>
  <c r="F350" i="14"/>
  <c r="F358" i="14"/>
  <c r="F366" i="14"/>
  <c r="F374" i="14"/>
  <c r="F382" i="14"/>
  <c r="F390" i="14"/>
  <c r="F23" i="14"/>
  <c r="F31" i="14"/>
  <c r="F39" i="14"/>
  <c r="F47" i="14"/>
  <c r="F55" i="14"/>
  <c r="F63" i="14"/>
  <c r="F71" i="14"/>
  <c r="F79" i="14"/>
  <c r="F87" i="14"/>
  <c r="F95" i="14"/>
  <c r="F103" i="14"/>
  <c r="F111" i="14"/>
  <c r="F119" i="14"/>
  <c r="F127" i="14"/>
  <c r="F135" i="14"/>
  <c r="F143" i="14"/>
  <c r="F151" i="14"/>
  <c r="F159" i="14"/>
  <c r="F167" i="14"/>
  <c r="F175" i="14"/>
  <c r="F183" i="14"/>
  <c r="F191" i="14"/>
  <c r="F199" i="14"/>
  <c r="F207" i="14"/>
  <c r="F215" i="14"/>
  <c r="F223" i="14"/>
  <c r="F231" i="14"/>
  <c r="F239" i="14"/>
  <c r="F247" i="14"/>
  <c r="F255" i="14"/>
  <c r="F263" i="14"/>
  <c r="F271" i="14"/>
  <c r="F279" i="14"/>
  <c r="F287" i="14"/>
  <c r="F295" i="14"/>
  <c r="F303" i="14"/>
  <c r="F311" i="14"/>
  <c r="F319" i="14"/>
  <c r="F327" i="14"/>
  <c r="F335" i="14"/>
  <c r="F343" i="14"/>
  <c r="F351" i="14"/>
  <c r="F359" i="14"/>
  <c r="F367" i="14"/>
  <c r="F375" i="14"/>
  <c r="F383" i="14"/>
  <c r="F391" i="14"/>
  <c r="F399" i="14"/>
  <c r="F407" i="14"/>
  <c r="F415" i="14"/>
  <c r="F423" i="14"/>
  <c r="F431" i="14"/>
  <c r="F439" i="14"/>
  <c r="F447" i="14"/>
  <c r="F455" i="14"/>
  <c r="F463" i="14"/>
  <c r="F471" i="14"/>
  <c r="F479" i="14"/>
  <c r="F487" i="14"/>
  <c r="F495" i="14"/>
  <c r="F503" i="14"/>
  <c r="F511" i="14"/>
  <c r="F519" i="14"/>
  <c r="F224" i="14"/>
  <c r="F264" i="14"/>
  <c r="F288" i="14"/>
  <c r="F304" i="14"/>
  <c r="F320" i="14"/>
  <c r="F336" i="14"/>
  <c r="F352" i="14"/>
  <c r="F368" i="14"/>
  <c r="F384" i="14"/>
  <c r="F392" i="14"/>
  <c r="F408" i="14"/>
  <c r="F424" i="14"/>
  <c r="F432" i="14"/>
  <c r="F456" i="14"/>
  <c r="F472" i="14"/>
  <c r="F488" i="14"/>
  <c r="F504" i="14"/>
  <c r="F520" i="14"/>
  <c r="F24" i="14"/>
  <c r="F32" i="14"/>
  <c r="F40" i="14"/>
  <c r="F48" i="14"/>
  <c r="F56" i="14"/>
  <c r="F64" i="14"/>
  <c r="F72" i="14"/>
  <c r="F80" i="14"/>
  <c r="F88" i="14"/>
  <c r="F96" i="14"/>
  <c r="F104" i="14"/>
  <c r="F112" i="14"/>
  <c r="F120" i="14"/>
  <c r="F128" i="14"/>
  <c r="F136" i="14"/>
  <c r="F144" i="14"/>
  <c r="F152" i="14"/>
  <c r="F160" i="14"/>
  <c r="F168" i="14"/>
  <c r="F176" i="14"/>
  <c r="F184" i="14"/>
  <c r="F192" i="14"/>
  <c r="F200" i="14"/>
  <c r="F208" i="14"/>
  <c r="F216" i="14"/>
  <c r="F232" i="14"/>
  <c r="F240" i="14"/>
  <c r="F248" i="14"/>
  <c r="F256" i="14"/>
  <c r="F272" i="14"/>
  <c r="F280" i="14"/>
  <c r="F296" i="14"/>
  <c r="F312" i="14"/>
  <c r="F328" i="14"/>
  <c r="F344" i="14"/>
  <c r="F360" i="14"/>
  <c r="F376" i="14"/>
  <c r="F400" i="14"/>
  <c r="F416" i="14"/>
  <c r="F440" i="14"/>
  <c r="F448" i="14"/>
  <c r="F464" i="14"/>
  <c r="F480" i="14"/>
  <c r="F496" i="14"/>
  <c r="F512" i="14"/>
  <c r="F25" i="14"/>
  <c r="F33" i="14"/>
  <c r="F41" i="14"/>
  <c r="F49" i="14"/>
  <c r="F57" i="14"/>
  <c r="F65" i="14"/>
  <c r="F73" i="14"/>
  <c r="F81" i="14"/>
  <c r="F89" i="14"/>
  <c r="F97" i="14"/>
  <c r="F105" i="14"/>
  <c r="F113" i="14"/>
  <c r="F121" i="14"/>
  <c r="F129" i="14"/>
  <c r="F137" i="14"/>
  <c r="F145" i="14"/>
  <c r="F153" i="14"/>
  <c r="F161" i="14"/>
  <c r="F169" i="14"/>
  <c r="F177" i="14"/>
  <c r="F185" i="14"/>
  <c r="F193" i="14"/>
  <c r="F201" i="14"/>
  <c r="F209" i="14"/>
  <c r="F217" i="14"/>
  <c r="F225" i="14"/>
  <c r="F233" i="14"/>
  <c r="F241" i="14"/>
  <c r="F249" i="14"/>
  <c r="F257" i="14"/>
  <c r="F265" i="14"/>
  <c r="F273" i="14"/>
  <c r="F281" i="14"/>
  <c r="F289" i="14"/>
  <c r="F297" i="14"/>
  <c r="F305" i="14"/>
  <c r="F313" i="14"/>
  <c r="F321" i="14"/>
  <c r="F329" i="14"/>
  <c r="F337" i="14"/>
  <c r="F345" i="14"/>
  <c r="F353" i="14"/>
  <c r="F361" i="14"/>
  <c r="F369" i="14"/>
  <c r="F377" i="14"/>
  <c r="F385" i="14"/>
  <c r="F393" i="14"/>
  <c r="F401" i="14"/>
  <c r="F409" i="14"/>
  <c r="F417" i="14"/>
  <c r="F425" i="14"/>
  <c r="F433" i="14"/>
  <c r="F441" i="14"/>
  <c r="F449" i="14"/>
  <c r="F457" i="14"/>
  <c r="F465" i="14"/>
  <c r="F473" i="14"/>
  <c r="F481" i="14"/>
  <c r="F489" i="14"/>
  <c r="F497" i="14"/>
  <c r="F505" i="14"/>
  <c r="F513" i="14"/>
  <c r="F521" i="14"/>
  <c r="F26" i="14"/>
  <c r="F34" i="14"/>
  <c r="F42" i="14"/>
  <c r="F50" i="14"/>
  <c r="F58" i="14"/>
  <c r="F66" i="14"/>
  <c r="F74" i="14"/>
  <c r="F82" i="14"/>
  <c r="F90" i="14"/>
  <c r="F98" i="14"/>
  <c r="F106" i="14"/>
  <c r="F114" i="14"/>
  <c r="F122" i="14"/>
  <c r="F130" i="14"/>
  <c r="F138" i="14"/>
  <c r="F146" i="14"/>
  <c r="F154" i="14"/>
  <c r="F162" i="14"/>
  <c r="F170" i="14"/>
  <c r="F178" i="14"/>
  <c r="F186" i="14"/>
  <c r="F194" i="14"/>
  <c r="F27" i="14"/>
  <c r="F35" i="14"/>
  <c r="F43" i="14"/>
  <c r="F51" i="14"/>
  <c r="F59" i="14"/>
  <c r="F67" i="14"/>
  <c r="F75" i="14"/>
  <c r="F83" i="14"/>
  <c r="F91" i="14"/>
  <c r="F99" i="14"/>
  <c r="F107" i="14"/>
  <c r="F115" i="14"/>
  <c r="F123" i="14"/>
  <c r="F131" i="14"/>
  <c r="F139" i="14"/>
  <c r="F147" i="14"/>
  <c r="F155" i="14"/>
  <c r="F163" i="14"/>
  <c r="F171" i="14"/>
  <c r="F179" i="14"/>
  <c r="F187" i="14"/>
  <c r="F195" i="14"/>
  <c r="F203" i="14"/>
  <c r="F211" i="14"/>
  <c r="F219" i="14"/>
  <c r="F227" i="14"/>
  <c r="F235" i="14"/>
  <c r="F243" i="14"/>
  <c r="F251" i="14"/>
  <c r="F259" i="14"/>
  <c r="F267" i="14"/>
  <c r="F275" i="14"/>
  <c r="F283" i="14"/>
  <c r="F291" i="14"/>
  <c r="F299" i="14"/>
  <c r="F307" i="14"/>
  <c r="F315" i="14"/>
  <c r="F323" i="14"/>
  <c r="F331" i="14"/>
  <c r="F339" i="14"/>
  <c r="F347" i="14"/>
  <c r="F355" i="14"/>
  <c r="F363" i="14"/>
  <c r="F371" i="14"/>
  <c r="F379" i="14"/>
  <c r="F387" i="14"/>
  <c r="F395" i="14"/>
  <c r="F403" i="14"/>
  <c r="F411" i="14"/>
  <c r="F419" i="14"/>
  <c r="F427" i="14"/>
  <c r="F435" i="14"/>
  <c r="F443" i="14"/>
  <c r="F451" i="14"/>
  <c r="F459" i="14"/>
  <c r="F467" i="14"/>
  <c r="F475" i="14"/>
  <c r="F483" i="14"/>
  <c r="F491" i="14"/>
  <c r="F499" i="14"/>
  <c r="F507" i="14"/>
  <c r="F515" i="14"/>
  <c r="F29" i="14"/>
  <c r="F53" i="14"/>
  <c r="F69" i="14"/>
  <c r="F85" i="14"/>
  <c r="F101" i="14"/>
  <c r="F117" i="14"/>
  <c r="F133" i="14"/>
  <c r="F149" i="14"/>
  <c r="F165" i="14"/>
  <c r="F181" i="14"/>
  <c r="F197" i="14"/>
  <c r="F213" i="14"/>
  <c r="F229" i="14"/>
  <c r="F245" i="14"/>
  <c r="F261" i="14"/>
  <c r="F277" i="14"/>
  <c r="F293" i="14"/>
  <c r="F309" i="14"/>
  <c r="F325" i="14"/>
  <c r="F341" i="14"/>
  <c r="F357" i="14"/>
  <c r="F373" i="14"/>
  <c r="F389" i="14"/>
  <c r="F28" i="14"/>
  <c r="F36" i="14"/>
  <c r="F44" i="14"/>
  <c r="F52" i="14"/>
  <c r="F60" i="14"/>
  <c r="F68" i="14"/>
  <c r="F76" i="14"/>
  <c r="F84" i="14"/>
  <c r="F92" i="14"/>
  <c r="F100" i="14"/>
  <c r="F108" i="14"/>
  <c r="F116" i="14"/>
  <c r="F124" i="14"/>
  <c r="F132" i="14"/>
  <c r="F140" i="14"/>
  <c r="F148" i="14"/>
  <c r="F156" i="14"/>
  <c r="F164" i="14"/>
  <c r="F172" i="14"/>
  <c r="F180" i="14"/>
  <c r="F188" i="14"/>
  <c r="F196" i="14"/>
  <c r="F204" i="14"/>
  <c r="F212" i="14"/>
  <c r="F220" i="14"/>
  <c r="F228" i="14"/>
  <c r="F236" i="14"/>
  <c r="F244" i="14"/>
  <c r="F252" i="14"/>
  <c r="F260" i="14"/>
  <c r="F268" i="14"/>
  <c r="F276" i="14"/>
  <c r="F284" i="14"/>
  <c r="F292" i="14"/>
  <c r="F300" i="14"/>
  <c r="F308" i="14"/>
  <c r="F316" i="14"/>
  <c r="F324" i="14"/>
  <c r="F332" i="14"/>
  <c r="F340" i="14"/>
  <c r="F348" i="14"/>
  <c r="F356" i="14"/>
  <c r="F364" i="14"/>
  <c r="F372" i="14"/>
  <c r="F380" i="14"/>
  <c r="F388" i="14"/>
  <c r="F396" i="14"/>
  <c r="F404" i="14"/>
  <c r="F412" i="14"/>
  <c r="F420" i="14"/>
  <c r="F428" i="14"/>
  <c r="F436" i="14"/>
  <c r="F444" i="14"/>
  <c r="F452" i="14"/>
  <c r="F460" i="14"/>
  <c r="F468" i="14"/>
  <c r="F476" i="14"/>
  <c r="F484" i="14"/>
  <c r="F492" i="14"/>
  <c r="F500" i="14"/>
  <c r="F508" i="14"/>
  <c r="F516" i="14"/>
  <c r="F37" i="14"/>
  <c r="F45" i="14"/>
  <c r="F61" i="14"/>
  <c r="F77" i="14"/>
  <c r="F93" i="14"/>
  <c r="F109" i="14"/>
  <c r="F125" i="14"/>
  <c r="F141" i="14"/>
  <c r="F157" i="14"/>
  <c r="F173" i="14"/>
  <c r="F189" i="14"/>
  <c r="F205" i="14"/>
  <c r="F221" i="14"/>
  <c r="F237" i="14"/>
  <c r="F253" i="14"/>
  <c r="F269" i="14"/>
  <c r="F285" i="14"/>
  <c r="F301" i="14"/>
  <c r="F317" i="14"/>
  <c r="F333" i="14"/>
  <c r="F349" i="14"/>
  <c r="F365" i="14"/>
  <c r="F381" i="14"/>
  <c r="F210" i="14"/>
  <c r="F274" i="14"/>
  <c r="F338" i="14"/>
  <c r="F397" i="14"/>
  <c r="F418" i="14"/>
  <c r="F438" i="14"/>
  <c r="F461" i="14"/>
  <c r="F482" i="14"/>
  <c r="F502" i="14"/>
  <c r="F290" i="14"/>
  <c r="F402" i="14"/>
  <c r="F445" i="14"/>
  <c r="F486" i="14"/>
  <c r="F298" i="14"/>
  <c r="F405" i="14"/>
  <c r="F446" i="14"/>
  <c r="F490" i="14"/>
  <c r="F517" i="14"/>
  <c r="F413" i="14"/>
  <c r="F477" i="14"/>
  <c r="F394" i="14"/>
  <c r="F478" i="14"/>
  <c r="F218" i="14"/>
  <c r="F282" i="14"/>
  <c r="F346" i="14"/>
  <c r="F398" i="14"/>
  <c r="F421" i="14"/>
  <c r="F442" i="14"/>
  <c r="F462" i="14"/>
  <c r="F485" i="14"/>
  <c r="F506" i="14"/>
  <c r="F226" i="14"/>
  <c r="F354" i="14"/>
  <c r="F422" i="14"/>
  <c r="F466" i="14"/>
  <c r="F509" i="14"/>
  <c r="F362" i="14"/>
  <c r="F426" i="14"/>
  <c r="F469" i="14"/>
  <c r="F510" i="14"/>
  <c r="F514" i="14"/>
  <c r="F322" i="14"/>
  <c r="F434" i="14"/>
  <c r="F498" i="14"/>
  <c r="F330" i="14"/>
  <c r="F522" i="14"/>
  <c r="F234" i="14"/>
  <c r="F266" i="14"/>
  <c r="F458" i="14"/>
  <c r="F242" i="14"/>
  <c r="F306" i="14"/>
  <c r="F370" i="14"/>
  <c r="F406" i="14"/>
  <c r="F429" i="14"/>
  <c r="F450" i="14"/>
  <c r="F470" i="14"/>
  <c r="F493" i="14"/>
  <c r="F494" i="14"/>
  <c r="F386" i="14"/>
  <c r="F518" i="14"/>
  <c r="F414" i="14"/>
  <c r="F501" i="14"/>
  <c r="F250" i="14"/>
  <c r="F314" i="14"/>
  <c r="F378" i="14"/>
  <c r="F410" i="14"/>
  <c r="F430" i="14"/>
  <c r="F453" i="14"/>
  <c r="F474" i="14"/>
  <c r="F258" i="14"/>
  <c r="F454" i="14"/>
  <c r="F202" i="14"/>
  <c r="F437" i="14"/>
  <c r="F21" i="14"/>
  <c r="E11" i="14"/>
  <c r="E19" i="14"/>
  <c r="E27" i="14"/>
  <c r="E35" i="14"/>
  <c r="E43" i="14"/>
  <c r="E51" i="14"/>
  <c r="E59" i="14"/>
  <c r="E67" i="14"/>
  <c r="E75" i="14"/>
  <c r="E83" i="14"/>
  <c r="E91" i="14"/>
  <c r="E99" i="14"/>
  <c r="E107" i="14"/>
  <c r="E115" i="14"/>
  <c r="E123" i="14"/>
  <c r="E131" i="14"/>
  <c r="E139" i="14"/>
  <c r="E147" i="14"/>
  <c r="E155" i="14"/>
  <c r="E163" i="14"/>
  <c r="E171" i="14"/>
  <c r="E179" i="14"/>
  <c r="E187" i="14"/>
  <c r="E195" i="14"/>
  <c r="E203" i="14"/>
  <c r="E211" i="14"/>
  <c r="E219" i="14"/>
  <c r="E227" i="14"/>
  <c r="E235" i="14"/>
  <c r="E243" i="14"/>
  <c r="E251" i="14"/>
  <c r="E259" i="14"/>
  <c r="E267" i="14"/>
  <c r="E275" i="14"/>
  <c r="E283" i="14"/>
  <c r="E291" i="14"/>
  <c r="E299" i="14"/>
  <c r="E307" i="14"/>
  <c r="E315" i="14"/>
  <c r="E323" i="14"/>
  <c r="E331" i="14"/>
  <c r="E339" i="14"/>
  <c r="E347" i="14"/>
  <c r="E355" i="14"/>
  <c r="E363" i="14"/>
  <c r="E371" i="14"/>
  <c r="E379" i="14"/>
  <c r="E387" i="14"/>
  <c r="E395" i="14"/>
  <c r="E403" i="14"/>
  <c r="E411" i="14"/>
  <c r="E419" i="14"/>
  <c r="E427" i="14"/>
  <c r="E435" i="14"/>
  <c r="E443" i="14"/>
  <c r="E451" i="14"/>
  <c r="E459" i="14"/>
  <c r="E467" i="14"/>
  <c r="E475" i="14"/>
  <c r="E483" i="14"/>
  <c r="E491" i="14"/>
  <c r="E499" i="14"/>
  <c r="E507" i="14"/>
  <c r="E515" i="14"/>
  <c r="E17" i="14"/>
  <c r="E73" i="14"/>
  <c r="E89" i="14"/>
  <c r="E121" i="14"/>
  <c r="E161" i="14"/>
  <c r="E193" i="14"/>
  <c r="E233" i="14"/>
  <c r="E281" i="14"/>
  <c r="E321" i="14"/>
  <c r="E353" i="14"/>
  <c r="E393" i="14"/>
  <c r="E433" i="14"/>
  <c r="E473" i="14"/>
  <c r="E521" i="14"/>
  <c r="E394" i="14"/>
  <c r="E442" i="14"/>
  <c r="E506" i="14"/>
  <c r="E12" i="14"/>
  <c r="E20" i="14"/>
  <c r="E28" i="14"/>
  <c r="E36" i="14"/>
  <c r="E44" i="14"/>
  <c r="E52" i="14"/>
  <c r="E60" i="14"/>
  <c r="E68" i="14"/>
  <c r="E76" i="14"/>
  <c r="E84" i="14"/>
  <c r="E92" i="14"/>
  <c r="E100" i="14"/>
  <c r="E108" i="14"/>
  <c r="E116" i="14"/>
  <c r="E124" i="14"/>
  <c r="E132" i="14"/>
  <c r="E140" i="14"/>
  <c r="E148" i="14"/>
  <c r="E156" i="14"/>
  <c r="E164" i="14"/>
  <c r="E172" i="14"/>
  <c r="E180" i="14"/>
  <c r="E188" i="14"/>
  <c r="E196" i="14"/>
  <c r="E204" i="14"/>
  <c r="E212" i="14"/>
  <c r="E220" i="14"/>
  <c r="E228" i="14"/>
  <c r="E236" i="14"/>
  <c r="E244" i="14"/>
  <c r="E252" i="14"/>
  <c r="E260" i="14"/>
  <c r="E268" i="14"/>
  <c r="E276" i="14"/>
  <c r="E284" i="14"/>
  <c r="E292" i="14"/>
  <c r="E300" i="14"/>
  <c r="E308" i="14"/>
  <c r="E316" i="14"/>
  <c r="E324" i="14"/>
  <c r="E332" i="14"/>
  <c r="E340" i="14"/>
  <c r="E348" i="14"/>
  <c r="E356" i="14"/>
  <c r="E364" i="14"/>
  <c r="E372" i="14"/>
  <c r="E380" i="14"/>
  <c r="E388" i="14"/>
  <c r="E396" i="14"/>
  <c r="E404" i="14"/>
  <c r="E412" i="14"/>
  <c r="E420" i="14"/>
  <c r="E428" i="14"/>
  <c r="E436" i="14"/>
  <c r="E444" i="14"/>
  <c r="E452" i="14"/>
  <c r="E460" i="14"/>
  <c r="E468" i="14"/>
  <c r="E476" i="14"/>
  <c r="E484" i="14"/>
  <c r="E492" i="14"/>
  <c r="E500" i="14"/>
  <c r="E508" i="14"/>
  <c r="E516" i="14"/>
  <c r="E25" i="14"/>
  <c r="E137" i="14"/>
  <c r="E209" i="14"/>
  <c r="E257" i="14"/>
  <c r="E313" i="14"/>
  <c r="E377" i="14"/>
  <c r="E425" i="14"/>
  <c r="E489" i="14"/>
  <c r="E362" i="14"/>
  <c r="E450" i="14"/>
  <c r="E498" i="14"/>
  <c r="E13" i="14"/>
  <c r="E21" i="14"/>
  <c r="E29" i="14"/>
  <c r="E37" i="14"/>
  <c r="E45" i="14"/>
  <c r="E53" i="14"/>
  <c r="E61" i="14"/>
  <c r="E69" i="14"/>
  <c r="E77" i="14"/>
  <c r="E85" i="14"/>
  <c r="E93" i="14"/>
  <c r="E101" i="14"/>
  <c r="E109" i="14"/>
  <c r="E117" i="14"/>
  <c r="E125" i="14"/>
  <c r="E133" i="14"/>
  <c r="E141" i="14"/>
  <c r="E149" i="14"/>
  <c r="E157" i="14"/>
  <c r="E165" i="14"/>
  <c r="E173" i="14"/>
  <c r="E181" i="14"/>
  <c r="E189" i="14"/>
  <c r="E197" i="14"/>
  <c r="E205" i="14"/>
  <c r="E213" i="14"/>
  <c r="E221" i="14"/>
  <c r="E229" i="14"/>
  <c r="E237" i="14"/>
  <c r="E245" i="14"/>
  <c r="E253" i="14"/>
  <c r="E261" i="14"/>
  <c r="E269" i="14"/>
  <c r="E277" i="14"/>
  <c r="E285" i="14"/>
  <c r="E293" i="14"/>
  <c r="E301" i="14"/>
  <c r="E309" i="14"/>
  <c r="E317" i="14"/>
  <c r="E325" i="14"/>
  <c r="E333" i="14"/>
  <c r="E341" i="14"/>
  <c r="E349" i="14"/>
  <c r="E357" i="14"/>
  <c r="E365" i="14"/>
  <c r="E373" i="14"/>
  <c r="E381" i="14"/>
  <c r="E389" i="14"/>
  <c r="E397" i="14"/>
  <c r="E405" i="14"/>
  <c r="E413" i="14"/>
  <c r="E421" i="14"/>
  <c r="E429" i="14"/>
  <c r="E437" i="14"/>
  <c r="E445" i="14"/>
  <c r="E453" i="14"/>
  <c r="E461" i="14"/>
  <c r="E469" i="14"/>
  <c r="E477" i="14"/>
  <c r="E485" i="14"/>
  <c r="E493" i="14"/>
  <c r="E501" i="14"/>
  <c r="E509" i="14"/>
  <c r="E517" i="14"/>
  <c r="E33" i="14"/>
  <c r="E97" i="14"/>
  <c r="E145" i="14"/>
  <c r="E201" i="14"/>
  <c r="E249" i="14"/>
  <c r="E289" i="14"/>
  <c r="E337" i="14"/>
  <c r="E385" i="14"/>
  <c r="E449" i="14"/>
  <c r="E505" i="14"/>
  <c r="E378" i="14"/>
  <c r="E434" i="14"/>
  <c r="E474" i="14"/>
  <c r="E14" i="14"/>
  <c r="E22" i="14"/>
  <c r="E30" i="14"/>
  <c r="E38" i="14"/>
  <c r="E46" i="14"/>
  <c r="E54" i="14"/>
  <c r="E62" i="14"/>
  <c r="E70" i="14"/>
  <c r="E78" i="14"/>
  <c r="E86" i="14"/>
  <c r="E94" i="14"/>
  <c r="E102" i="14"/>
  <c r="E110" i="14"/>
  <c r="E118" i="14"/>
  <c r="E126" i="14"/>
  <c r="E134" i="14"/>
  <c r="E142" i="14"/>
  <c r="E150" i="14"/>
  <c r="E158" i="14"/>
  <c r="E166" i="14"/>
  <c r="E174" i="14"/>
  <c r="E182" i="14"/>
  <c r="E190" i="14"/>
  <c r="E198" i="14"/>
  <c r="E206" i="14"/>
  <c r="E214" i="14"/>
  <c r="E222" i="14"/>
  <c r="E230" i="14"/>
  <c r="E238" i="14"/>
  <c r="E246" i="14"/>
  <c r="E254" i="14"/>
  <c r="E262" i="14"/>
  <c r="E270" i="14"/>
  <c r="E278" i="14"/>
  <c r="E286" i="14"/>
  <c r="E294" i="14"/>
  <c r="E302" i="14"/>
  <c r="E310" i="14"/>
  <c r="E318" i="14"/>
  <c r="E326" i="14"/>
  <c r="E334" i="14"/>
  <c r="E342" i="14"/>
  <c r="E350" i="14"/>
  <c r="E358" i="14"/>
  <c r="E366" i="14"/>
  <c r="E374" i="14"/>
  <c r="E382" i="14"/>
  <c r="E390" i="14"/>
  <c r="E398" i="14"/>
  <c r="E406" i="14"/>
  <c r="E414" i="14"/>
  <c r="E422" i="14"/>
  <c r="E430" i="14"/>
  <c r="E438" i="14"/>
  <c r="E446" i="14"/>
  <c r="E454" i="14"/>
  <c r="E462" i="14"/>
  <c r="E470" i="14"/>
  <c r="E478" i="14"/>
  <c r="E486" i="14"/>
  <c r="E494" i="14"/>
  <c r="E502" i="14"/>
  <c r="E510" i="14"/>
  <c r="E518" i="14"/>
  <c r="E520" i="14"/>
  <c r="E57" i="14"/>
  <c r="E113" i="14"/>
  <c r="E169" i="14"/>
  <c r="E225" i="14"/>
  <c r="E273" i="14"/>
  <c r="E329" i="14"/>
  <c r="E361" i="14"/>
  <c r="E409" i="14"/>
  <c r="E457" i="14"/>
  <c r="E497" i="14"/>
  <c r="E370" i="14"/>
  <c r="E402" i="14"/>
  <c r="E458" i="14"/>
  <c r="E514" i="14"/>
  <c r="E15" i="14"/>
  <c r="E23" i="14"/>
  <c r="E31" i="14"/>
  <c r="E39" i="14"/>
  <c r="E47" i="14"/>
  <c r="E55" i="14"/>
  <c r="E63" i="14"/>
  <c r="E71" i="14"/>
  <c r="E79" i="14"/>
  <c r="E87" i="14"/>
  <c r="E95" i="14"/>
  <c r="E103" i="14"/>
  <c r="E111" i="14"/>
  <c r="E119" i="14"/>
  <c r="E127" i="14"/>
  <c r="E135" i="14"/>
  <c r="E143" i="14"/>
  <c r="E151" i="14"/>
  <c r="E159" i="14"/>
  <c r="E167" i="14"/>
  <c r="E175" i="14"/>
  <c r="E183" i="14"/>
  <c r="E191" i="14"/>
  <c r="E199" i="14"/>
  <c r="E207" i="14"/>
  <c r="E215" i="14"/>
  <c r="E223" i="14"/>
  <c r="E231" i="14"/>
  <c r="E239" i="14"/>
  <c r="E247" i="14"/>
  <c r="E255" i="14"/>
  <c r="E263" i="14"/>
  <c r="E271" i="14"/>
  <c r="E279" i="14"/>
  <c r="E287" i="14"/>
  <c r="E295" i="14"/>
  <c r="E303" i="14"/>
  <c r="E311" i="14"/>
  <c r="E319" i="14"/>
  <c r="E327" i="14"/>
  <c r="E335" i="14"/>
  <c r="E343" i="14"/>
  <c r="E351" i="14"/>
  <c r="E359" i="14"/>
  <c r="E367" i="14"/>
  <c r="E375" i="14"/>
  <c r="E383" i="14"/>
  <c r="E391" i="14"/>
  <c r="E399" i="14"/>
  <c r="E407" i="14"/>
  <c r="E415" i="14"/>
  <c r="E423" i="14"/>
  <c r="E431" i="14"/>
  <c r="E439" i="14"/>
  <c r="E447" i="14"/>
  <c r="E455" i="14"/>
  <c r="E463" i="14"/>
  <c r="E471" i="14"/>
  <c r="E479" i="14"/>
  <c r="E487" i="14"/>
  <c r="E495" i="14"/>
  <c r="E503" i="14"/>
  <c r="E511" i="14"/>
  <c r="E519" i="14"/>
  <c r="E512" i="14"/>
  <c r="E49" i="14"/>
  <c r="E129" i="14"/>
  <c r="E177" i="14"/>
  <c r="E217" i="14"/>
  <c r="E265" i="14"/>
  <c r="E305" i="14"/>
  <c r="E369" i="14"/>
  <c r="E417" i="14"/>
  <c r="E465" i="14"/>
  <c r="E513" i="14"/>
  <c r="E354" i="14"/>
  <c r="E426" i="14"/>
  <c r="E482" i="14"/>
  <c r="E16" i="14"/>
  <c r="E24" i="14"/>
  <c r="E32" i="14"/>
  <c r="E40" i="14"/>
  <c r="E48" i="14"/>
  <c r="E56" i="14"/>
  <c r="E64" i="14"/>
  <c r="E72" i="14"/>
  <c r="E80" i="14"/>
  <c r="E88" i="14"/>
  <c r="E96" i="14"/>
  <c r="E104" i="14"/>
  <c r="E112" i="14"/>
  <c r="E120" i="14"/>
  <c r="E128" i="14"/>
  <c r="E136" i="14"/>
  <c r="E144" i="14"/>
  <c r="E152" i="14"/>
  <c r="E160" i="14"/>
  <c r="E168" i="14"/>
  <c r="E176" i="14"/>
  <c r="E184" i="14"/>
  <c r="E192" i="14"/>
  <c r="E200" i="14"/>
  <c r="E208" i="14"/>
  <c r="E216" i="14"/>
  <c r="E224" i="14"/>
  <c r="E232" i="14"/>
  <c r="E240" i="14"/>
  <c r="E248" i="14"/>
  <c r="E256" i="14"/>
  <c r="E264" i="14"/>
  <c r="E272" i="14"/>
  <c r="E280" i="14"/>
  <c r="E288" i="14"/>
  <c r="E296" i="14"/>
  <c r="E304" i="14"/>
  <c r="E312" i="14"/>
  <c r="E320" i="14"/>
  <c r="E328" i="14"/>
  <c r="E336" i="14"/>
  <c r="E344" i="14"/>
  <c r="E352" i="14"/>
  <c r="E360" i="14"/>
  <c r="E368" i="14"/>
  <c r="E376" i="14"/>
  <c r="E384" i="14"/>
  <c r="E392" i="14"/>
  <c r="E400" i="14"/>
  <c r="E408" i="14"/>
  <c r="E416" i="14"/>
  <c r="E424" i="14"/>
  <c r="E432" i="14"/>
  <c r="E440" i="14"/>
  <c r="E448" i="14"/>
  <c r="E456" i="14"/>
  <c r="E464" i="14"/>
  <c r="E472" i="14"/>
  <c r="E480" i="14"/>
  <c r="E488" i="14"/>
  <c r="E496" i="14"/>
  <c r="E504" i="14"/>
  <c r="E41" i="14"/>
  <c r="E65" i="14"/>
  <c r="E81" i="14"/>
  <c r="E105" i="14"/>
  <c r="E153" i="14"/>
  <c r="E185" i="14"/>
  <c r="E241" i="14"/>
  <c r="E297" i="14"/>
  <c r="E345" i="14"/>
  <c r="E401" i="14"/>
  <c r="E441" i="14"/>
  <c r="E481" i="14"/>
  <c r="E338" i="14"/>
  <c r="E410" i="14"/>
  <c r="E466" i="14"/>
  <c r="E522" i="14"/>
  <c r="E18" i="14"/>
  <c r="E26" i="14"/>
  <c r="E34" i="14"/>
  <c r="E42" i="14"/>
  <c r="E50" i="14"/>
  <c r="E58" i="14"/>
  <c r="E66" i="14"/>
  <c r="E74" i="14"/>
  <c r="E82" i="14"/>
  <c r="E90" i="14"/>
  <c r="E98" i="14"/>
  <c r="E106" i="14"/>
  <c r="E114" i="14"/>
  <c r="E122" i="14"/>
  <c r="E130" i="14"/>
  <c r="E138" i="14"/>
  <c r="E146" i="14"/>
  <c r="E154" i="14"/>
  <c r="E162" i="14"/>
  <c r="E170" i="14"/>
  <c r="E178" i="14"/>
  <c r="E186" i="14"/>
  <c r="E194" i="14"/>
  <c r="E202" i="14"/>
  <c r="E210" i="14"/>
  <c r="E218" i="14"/>
  <c r="E226" i="14"/>
  <c r="E234" i="14"/>
  <c r="E242" i="14"/>
  <c r="E250" i="14"/>
  <c r="E258" i="14"/>
  <c r="E266" i="14"/>
  <c r="E274" i="14"/>
  <c r="E282" i="14"/>
  <c r="E290" i="14"/>
  <c r="E298" i="14"/>
  <c r="E306" i="14"/>
  <c r="E314" i="14"/>
  <c r="E322" i="14"/>
  <c r="E330" i="14"/>
  <c r="E346" i="14"/>
  <c r="E386" i="14"/>
  <c r="E418" i="14"/>
  <c r="E490" i="14"/>
  <c r="E10" i="14"/>
  <c r="J523" i="14" l="1"/>
  <c r="K523" i="14"/>
  <c r="K446" i="14"/>
  <c r="K483" i="14"/>
  <c r="K355" i="14"/>
  <c r="K227" i="14"/>
  <c r="K99" i="14"/>
  <c r="K247" i="14"/>
  <c r="K228" i="14"/>
  <c r="K293" i="14"/>
  <c r="K408" i="14"/>
  <c r="K95" i="14"/>
  <c r="K165" i="14"/>
  <c r="K241" i="14"/>
  <c r="K370" i="14"/>
  <c r="K498" i="14"/>
  <c r="K92" i="14"/>
  <c r="K178" i="14"/>
  <c r="K114" i="14"/>
  <c r="K50" i="14"/>
  <c r="K440" i="14"/>
  <c r="K343" i="14"/>
  <c r="K434" i="14"/>
  <c r="K421" i="14"/>
  <c r="K84" i="14"/>
  <c r="K390" i="14"/>
  <c r="K306" i="14"/>
  <c r="K404" i="14"/>
  <c r="K161" i="14"/>
  <c r="K463" i="14"/>
  <c r="K242" i="14"/>
  <c r="K37" i="14"/>
  <c r="K204" i="14"/>
  <c r="K217" i="14"/>
  <c r="K64" i="14"/>
  <c r="K452" i="14"/>
  <c r="K357" i="14"/>
  <c r="K229" i="14"/>
  <c r="K101" i="14"/>
  <c r="K511" i="14"/>
  <c r="K374" i="14"/>
  <c r="K182" i="14"/>
  <c r="K118" i="14"/>
  <c r="K54" i="14"/>
  <c r="K508" i="14"/>
  <c r="K419" i="14"/>
  <c r="K291" i="14"/>
  <c r="K163" i="14"/>
  <c r="K35" i="14"/>
  <c r="K112" i="14"/>
  <c r="K55" i="14"/>
  <c r="J469" i="14"/>
  <c r="K469" i="14"/>
  <c r="J109" i="14"/>
  <c r="K109" i="14"/>
  <c r="J180" i="14"/>
  <c r="K180" i="14"/>
  <c r="J475" i="14"/>
  <c r="K475" i="14"/>
  <c r="J27" i="14"/>
  <c r="K27" i="14"/>
  <c r="J257" i="14"/>
  <c r="K257" i="14"/>
  <c r="J168" i="14"/>
  <c r="K168" i="14"/>
  <c r="J431" i="14"/>
  <c r="K431" i="14"/>
  <c r="J111" i="14"/>
  <c r="K111" i="14"/>
  <c r="J102" i="14"/>
  <c r="K102" i="14"/>
  <c r="J410" i="14"/>
  <c r="K410" i="14"/>
  <c r="J322" i="14"/>
  <c r="K322" i="14"/>
  <c r="J398" i="14"/>
  <c r="K398" i="14"/>
  <c r="J274" i="14"/>
  <c r="K274" i="14"/>
  <c r="J332" i="14"/>
  <c r="K332" i="14"/>
  <c r="J140" i="14"/>
  <c r="K140" i="14"/>
  <c r="J245" i="14"/>
  <c r="K245" i="14"/>
  <c r="J435" i="14"/>
  <c r="K435" i="14"/>
  <c r="J307" i="14"/>
  <c r="K307" i="14"/>
  <c r="J115" i="14"/>
  <c r="K115" i="14"/>
  <c r="J98" i="14"/>
  <c r="K98" i="14"/>
  <c r="J409" i="14"/>
  <c r="K409" i="14"/>
  <c r="J89" i="14"/>
  <c r="K89" i="14"/>
  <c r="J272" i="14"/>
  <c r="K272" i="14"/>
  <c r="J128" i="14"/>
  <c r="K128" i="14"/>
  <c r="K455" i="14"/>
  <c r="J382" i="14"/>
  <c r="K382" i="14"/>
  <c r="K378" i="14"/>
  <c r="J458" i="14"/>
  <c r="K458" i="14"/>
  <c r="J354" i="14"/>
  <c r="K354" i="14"/>
  <c r="J490" i="14"/>
  <c r="K490" i="14"/>
  <c r="J210" i="14"/>
  <c r="K210" i="14"/>
  <c r="J141" i="14"/>
  <c r="K141" i="14"/>
  <c r="J516" i="14"/>
  <c r="K516" i="14"/>
  <c r="J388" i="14"/>
  <c r="K388" i="14"/>
  <c r="J260" i="14"/>
  <c r="K260" i="14"/>
  <c r="J132" i="14"/>
  <c r="K132" i="14"/>
  <c r="J68" i="14"/>
  <c r="K68" i="14"/>
  <c r="K491" i="14"/>
  <c r="K363" i="14"/>
  <c r="K171" i="14"/>
  <c r="K43" i="14"/>
  <c r="J90" i="14"/>
  <c r="K90" i="14"/>
  <c r="K465" i="14"/>
  <c r="J337" i="14"/>
  <c r="K337" i="14"/>
  <c r="J209" i="14"/>
  <c r="K209" i="14"/>
  <c r="J81" i="14"/>
  <c r="K81" i="14"/>
  <c r="J512" i="14"/>
  <c r="K512" i="14"/>
  <c r="J256" i="14"/>
  <c r="K256" i="14"/>
  <c r="J120" i="14"/>
  <c r="K120" i="14"/>
  <c r="J472" i="14"/>
  <c r="K472" i="14"/>
  <c r="K319" i="14"/>
  <c r="J191" i="14"/>
  <c r="K191" i="14"/>
  <c r="K63" i="14"/>
  <c r="J310" i="14"/>
  <c r="K310" i="14"/>
  <c r="J202" i="14"/>
  <c r="K202" i="14"/>
  <c r="K314" i="14"/>
  <c r="J470" i="14"/>
  <c r="K470" i="14"/>
  <c r="J266" i="14"/>
  <c r="K266" i="14"/>
  <c r="K510" i="14"/>
  <c r="J226" i="14"/>
  <c r="K226" i="14"/>
  <c r="J282" i="14"/>
  <c r="K282" i="14"/>
  <c r="J482" i="14"/>
  <c r="K482" i="14"/>
  <c r="J381" i="14"/>
  <c r="K381" i="14"/>
  <c r="J253" i="14"/>
  <c r="K253" i="14"/>
  <c r="J125" i="14"/>
  <c r="K125" i="14"/>
  <c r="J444" i="14"/>
  <c r="K444" i="14"/>
  <c r="J380" i="14"/>
  <c r="K380" i="14"/>
  <c r="J316" i="14"/>
  <c r="K316" i="14"/>
  <c r="J252" i="14"/>
  <c r="K252" i="14"/>
  <c r="J188" i="14"/>
  <c r="K188" i="14"/>
  <c r="J124" i="14"/>
  <c r="K124" i="14"/>
  <c r="J60" i="14"/>
  <c r="K60" i="14"/>
  <c r="J341" i="14"/>
  <c r="K341" i="14"/>
  <c r="J213" i="14"/>
  <c r="K213" i="14"/>
  <c r="J85" i="14"/>
  <c r="K85" i="14"/>
  <c r="J146" i="14"/>
  <c r="K146" i="14"/>
  <c r="J82" i="14"/>
  <c r="K82" i="14"/>
  <c r="J521" i="14"/>
  <c r="K521" i="14"/>
  <c r="J457" i="14"/>
  <c r="K457" i="14"/>
  <c r="J393" i="14"/>
  <c r="K393" i="14"/>
  <c r="J329" i="14"/>
  <c r="K329" i="14"/>
  <c r="J265" i="14"/>
  <c r="K265" i="14"/>
  <c r="J201" i="14"/>
  <c r="K201" i="14"/>
  <c r="J137" i="14"/>
  <c r="K137" i="14"/>
  <c r="K73" i="14"/>
  <c r="J496" i="14"/>
  <c r="K496" i="14"/>
  <c r="J360" i="14"/>
  <c r="K360" i="14"/>
  <c r="J248" i="14"/>
  <c r="K248" i="14"/>
  <c r="J176" i="14"/>
  <c r="K176" i="14"/>
  <c r="J48" i="14"/>
  <c r="K48" i="14"/>
  <c r="J456" i="14"/>
  <c r="K456" i="14"/>
  <c r="J336" i="14"/>
  <c r="K336" i="14"/>
  <c r="J503" i="14"/>
  <c r="K503" i="14"/>
  <c r="J439" i="14"/>
  <c r="K439" i="14"/>
  <c r="J375" i="14"/>
  <c r="K375" i="14"/>
  <c r="J311" i="14"/>
  <c r="K311" i="14"/>
  <c r="J183" i="14"/>
  <c r="K183" i="14"/>
  <c r="J119" i="14"/>
  <c r="K119" i="14"/>
  <c r="J366" i="14"/>
  <c r="K366" i="14"/>
  <c r="J302" i="14"/>
  <c r="K302" i="14"/>
  <c r="K238" i="14"/>
  <c r="J174" i="14"/>
  <c r="K174" i="14"/>
  <c r="J110" i="14"/>
  <c r="K110" i="14"/>
  <c r="J46" i="14"/>
  <c r="K46" i="14"/>
  <c r="J506" i="14"/>
  <c r="K506" i="14"/>
  <c r="J436" i="14"/>
  <c r="K436" i="14"/>
  <c r="J325" i="14"/>
  <c r="K325" i="14"/>
  <c r="J219" i="14"/>
  <c r="K219" i="14"/>
  <c r="J449" i="14"/>
  <c r="K449" i="14"/>
  <c r="J344" i="14"/>
  <c r="K344" i="14"/>
  <c r="J495" i="14"/>
  <c r="K495" i="14"/>
  <c r="J47" i="14"/>
  <c r="K47" i="14"/>
  <c r="J501" i="14"/>
  <c r="K501" i="14"/>
  <c r="J522" i="14"/>
  <c r="K522" i="14"/>
  <c r="J485" i="14"/>
  <c r="K485" i="14"/>
  <c r="J298" i="14"/>
  <c r="K298" i="14"/>
  <c r="J349" i="14"/>
  <c r="K349" i="14"/>
  <c r="J93" i="14"/>
  <c r="K93" i="14"/>
  <c r="J428" i="14"/>
  <c r="K428" i="14"/>
  <c r="K236" i="14"/>
  <c r="K108" i="14"/>
  <c r="J309" i="14"/>
  <c r="K309" i="14"/>
  <c r="J53" i="14"/>
  <c r="K53" i="14"/>
  <c r="J339" i="14"/>
  <c r="K339" i="14"/>
  <c r="J211" i="14"/>
  <c r="K211" i="14"/>
  <c r="J83" i="14"/>
  <c r="K83" i="14"/>
  <c r="J130" i="14"/>
  <c r="K130" i="14"/>
  <c r="J505" i="14"/>
  <c r="K505" i="14"/>
  <c r="J377" i="14"/>
  <c r="K377" i="14"/>
  <c r="K185" i="14"/>
  <c r="K464" i="14"/>
  <c r="J232" i="14"/>
  <c r="K232" i="14"/>
  <c r="J96" i="14"/>
  <c r="K96" i="14"/>
  <c r="J424" i="14"/>
  <c r="K424" i="14"/>
  <c r="J487" i="14"/>
  <c r="K487" i="14"/>
  <c r="J359" i="14"/>
  <c r="K359" i="14"/>
  <c r="J231" i="14"/>
  <c r="K231" i="14"/>
  <c r="J103" i="14"/>
  <c r="K103" i="14"/>
  <c r="J286" i="14"/>
  <c r="K286" i="14"/>
  <c r="J158" i="14"/>
  <c r="K158" i="14"/>
  <c r="J30" i="14"/>
  <c r="K30" i="14"/>
  <c r="J234" i="14"/>
  <c r="K234" i="14"/>
  <c r="J365" i="14"/>
  <c r="K365" i="14"/>
  <c r="J244" i="14"/>
  <c r="K244" i="14"/>
  <c r="J69" i="14"/>
  <c r="K69" i="14"/>
  <c r="J91" i="14"/>
  <c r="K91" i="14"/>
  <c r="J385" i="14"/>
  <c r="K385" i="14"/>
  <c r="J480" i="14"/>
  <c r="K480" i="14"/>
  <c r="J432" i="14"/>
  <c r="K432" i="14"/>
  <c r="J175" i="14"/>
  <c r="K175" i="14"/>
  <c r="J166" i="14"/>
  <c r="K166" i="14"/>
  <c r="J258" i="14"/>
  <c r="K258" i="14"/>
  <c r="K429" i="14"/>
  <c r="J426" i="14"/>
  <c r="K426" i="14"/>
  <c r="J478" i="14"/>
  <c r="K478" i="14"/>
  <c r="J438" i="14"/>
  <c r="K438" i="14"/>
  <c r="J221" i="14"/>
  <c r="K221" i="14"/>
  <c r="J492" i="14"/>
  <c r="K492" i="14"/>
  <c r="J364" i="14"/>
  <c r="K364" i="14"/>
  <c r="J300" i="14"/>
  <c r="K300" i="14"/>
  <c r="J172" i="14"/>
  <c r="K172" i="14"/>
  <c r="J44" i="14"/>
  <c r="K44" i="14"/>
  <c r="J181" i="14"/>
  <c r="K181" i="14"/>
  <c r="J467" i="14"/>
  <c r="K467" i="14"/>
  <c r="J403" i="14"/>
  <c r="K403" i="14"/>
  <c r="J275" i="14"/>
  <c r="K275" i="14"/>
  <c r="J147" i="14"/>
  <c r="K147" i="14"/>
  <c r="J194" i="14"/>
  <c r="K194" i="14"/>
  <c r="J66" i="14"/>
  <c r="K66" i="14"/>
  <c r="J441" i="14"/>
  <c r="K441" i="14"/>
  <c r="J313" i="14"/>
  <c r="K313" i="14"/>
  <c r="J249" i="14"/>
  <c r="K249" i="14"/>
  <c r="J121" i="14"/>
  <c r="K121" i="14"/>
  <c r="J57" i="14"/>
  <c r="K57" i="14"/>
  <c r="J328" i="14"/>
  <c r="K328" i="14"/>
  <c r="J160" i="14"/>
  <c r="K160" i="14"/>
  <c r="J32" i="14"/>
  <c r="K32" i="14"/>
  <c r="J304" i="14"/>
  <c r="K304" i="14"/>
  <c r="J423" i="14"/>
  <c r="K423" i="14"/>
  <c r="J295" i="14"/>
  <c r="K295" i="14"/>
  <c r="J167" i="14"/>
  <c r="K167" i="14"/>
  <c r="J39" i="14"/>
  <c r="K39" i="14"/>
  <c r="J350" i="14"/>
  <c r="K350" i="14"/>
  <c r="J222" i="14"/>
  <c r="K222" i="14"/>
  <c r="J94" i="14"/>
  <c r="K94" i="14"/>
  <c r="J474" i="14"/>
  <c r="K474" i="14"/>
  <c r="J414" i="14"/>
  <c r="K414" i="14"/>
  <c r="J406" i="14"/>
  <c r="K406" i="14"/>
  <c r="J330" i="14"/>
  <c r="K330" i="14"/>
  <c r="J362" i="14"/>
  <c r="K362" i="14"/>
  <c r="J462" i="14"/>
  <c r="K462" i="14"/>
  <c r="J394" i="14"/>
  <c r="K394" i="14"/>
  <c r="J486" i="14"/>
  <c r="K486" i="14"/>
  <c r="J418" i="14"/>
  <c r="K418" i="14"/>
  <c r="J333" i="14"/>
  <c r="K333" i="14"/>
  <c r="J205" i="14"/>
  <c r="K205" i="14"/>
  <c r="J77" i="14"/>
  <c r="K77" i="14"/>
  <c r="J484" i="14"/>
  <c r="K484" i="14"/>
  <c r="J420" i="14"/>
  <c r="K420" i="14"/>
  <c r="K356" i="14"/>
  <c r="J292" i="14"/>
  <c r="K292" i="14"/>
  <c r="J164" i="14"/>
  <c r="K164" i="14"/>
  <c r="K100" i="14"/>
  <c r="J36" i="14"/>
  <c r="K36" i="14"/>
  <c r="J29" i="14"/>
  <c r="K29" i="14"/>
  <c r="J459" i="14"/>
  <c r="K459" i="14"/>
  <c r="J395" i="14"/>
  <c r="K395" i="14"/>
  <c r="J331" i="14"/>
  <c r="K331" i="14"/>
  <c r="J267" i="14"/>
  <c r="K267" i="14"/>
  <c r="J203" i="14"/>
  <c r="K203" i="14"/>
  <c r="J139" i="14"/>
  <c r="K139" i="14"/>
  <c r="J75" i="14"/>
  <c r="K75" i="14"/>
  <c r="K186" i="14"/>
  <c r="K122" i="14"/>
  <c r="K58" i="14"/>
  <c r="J497" i="14"/>
  <c r="K497" i="14"/>
  <c r="J433" i="14"/>
  <c r="K433" i="14"/>
  <c r="J369" i="14"/>
  <c r="K369" i="14"/>
  <c r="J305" i="14"/>
  <c r="K305" i="14"/>
  <c r="J177" i="14"/>
  <c r="K177" i="14"/>
  <c r="J113" i="14"/>
  <c r="K113" i="14"/>
  <c r="J49" i="14"/>
  <c r="K49" i="14"/>
  <c r="J448" i="14"/>
  <c r="K448" i="14"/>
  <c r="J312" i="14"/>
  <c r="K312" i="14"/>
  <c r="J216" i="14"/>
  <c r="K216" i="14"/>
  <c r="J152" i="14"/>
  <c r="K152" i="14"/>
  <c r="K88" i="14"/>
  <c r="J24" i="14"/>
  <c r="K24" i="14"/>
  <c r="J288" i="14"/>
  <c r="K288" i="14"/>
  <c r="J479" i="14"/>
  <c r="K479" i="14"/>
  <c r="K415" i="14"/>
  <c r="J351" i="14"/>
  <c r="K351" i="14"/>
  <c r="J287" i="14"/>
  <c r="K287" i="14"/>
  <c r="J223" i="14"/>
  <c r="K223" i="14"/>
  <c r="J159" i="14"/>
  <c r="K159" i="14"/>
  <c r="J31" i="14"/>
  <c r="K31" i="14"/>
  <c r="J342" i="14"/>
  <c r="K342" i="14"/>
  <c r="J278" i="14"/>
  <c r="K278" i="14"/>
  <c r="J214" i="14"/>
  <c r="K214" i="14"/>
  <c r="J150" i="14"/>
  <c r="K150" i="14"/>
  <c r="J86" i="14"/>
  <c r="K86" i="14"/>
  <c r="J22" i="14"/>
  <c r="K22" i="14"/>
  <c r="J250" i="14"/>
  <c r="K250" i="14"/>
  <c r="J461" i="14"/>
  <c r="K461" i="14"/>
  <c r="J308" i="14"/>
  <c r="K308" i="14"/>
  <c r="J411" i="14"/>
  <c r="K411" i="14"/>
  <c r="J138" i="14"/>
  <c r="K138" i="14"/>
  <c r="J193" i="14"/>
  <c r="K193" i="14"/>
  <c r="J104" i="14"/>
  <c r="K104" i="14"/>
  <c r="J303" i="14"/>
  <c r="K303" i="14"/>
  <c r="J230" i="14"/>
  <c r="K230" i="14"/>
  <c r="J518" i="14"/>
  <c r="K518" i="14"/>
  <c r="K442" i="14"/>
  <c r="J445" i="14"/>
  <c r="K445" i="14"/>
  <c r="J317" i="14"/>
  <c r="K317" i="14"/>
  <c r="J61" i="14"/>
  <c r="K61" i="14"/>
  <c r="J412" i="14"/>
  <c r="K412" i="14"/>
  <c r="J284" i="14"/>
  <c r="K284" i="14"/>
  <c r="J156" i="14"/>
  <c r="K156" i="14"/>
  <c r="J28" i="14"/>
  <c r="K28" i="14"/>
  <c r="J149" i="14"/>
  <c r="K149" i="14"/>
  <c r="J451" i="14"/>
  <c r="K451" i="14"/>
  <c r="J323" i="14"/>
  <c r="K323" i="14"/>
  <c r="J195" i="14"/>
  <c r="K195" i="14"/>
  <c r="J67" i="14"/>
  <c r="K67" i="14"/>
  <c r="J489" i="14"/>
  <c r="K489" i="14"/>
  <c r="J425" i="14"/>
  <c r="K425" i="14"/>
  <c r="K233" i="14"/>
  <c r="J105" i="14"/>
  <c r="K105" i="14"/>
  <c r="J208" i="14"/>
  <c r="K208" i="14"/>
  <c r="J80" i="14"/>
  <c r="K80" i="14"/>
  <c r="J392" i="14"/>
  <c r="K392" i="14"/>
  <c r="K471" i="14"/>
  <c r="J407" i="14"/>
  <c r="K407" i="14"/>
  <c r="K87" i="14"/>
  <c r="J334" i="14"/>
  <c r="K334" i="14"/>
  <c r="J206" i="14"/>
  <c r="K206" i="14"/>
  <c r="J78" i="14"/>
  <c r="K78" i="14"/>
  <c r="J450" i="14"/>
  <c r="K450" i="14"/>
  <c r="J237" i="14"/>
  <c r="K237" i="14"/>
  <c r="J116" i="14"/>
  <c r="K116" i="14"/>
  <c r="J347" i="14"/>
  <c r="K347" i="14"/>
  <c r="J74" i="14"/>
  <c r="K74" i="14"/>
  <c r="J129" i="14"/>
  <c r="K129" i="14"/>
  <c r="J40" i="14"/>
  <c r="K40" i="14"/>
  <c r="J239" i="14"/>
  <c r="K239" i="14"/>
  <c r="J38" i="14"/>
  <c r="K38" i="14"/>
  <c r="J453" i="14"/>
  <c r="K453" i="14"/>
  <c r="J509" i="14"/>
  <c r="K509" i="14"/>
  <c r="J477" i="14"/>
  <c r="K477" i="14"/>
  <c r="J397" i="14"/>
  <c r="K397" i="14"/>
  <c r="J189" i="14"/>
  <c r="K189" i="14"/>
  <c r="J476" i="14"/>
  <c r="K476" i="14"/>
  <c r="J348" i="14"/>
  <c r="K348" i="14"/>
  <c r="K220" i="14"/>
  <c r="J277" i="14"/>
  <c r="K277" i="14"/>
  <c r="J515" i="14"/>
  <c r="K515" i="14"/>
  <c r="J387" i="14"/>
  <c r="K387" i="14"/>
  <c r="J259" i="14"/>
  <c r="K259" i="14"/>
  <c r="J131" i="14"/>
  <c r="K131" i="14"/>
  <c r="K361" i="14"/>
  <c r="K297" i="14"/>
  <c r="J169" i="14"/>
  <c r="K169" i="14"/>
  <c r="J41" i="14"/>
  <c r="K41" i="14"/>
  <c r="K296" i="14"/>
  <c r="J144" i="14"/>
  <c r="K144" i="14"/>
  <c r="J520" i="14"/>
  <c r="K520" i="14"/>
  <c r="J264" i="14"/>
  <c r="K264" i="14"/>
  <c r="J279" i="14"/>
  <c r="K279" i="14"/>
  <c r="J215" i="14"/>
  <c r="K215" i="14"/>
  <c r="J151" i="14"/>
  <c r="K151" i="14"/>
  <c r="J23" i="14"/>
  <c r="K23" i="14"/>
  <c r="J270" i="14"/>
  <c r="K270" i="14"/>
  <c r="J142" i="14"/>
  <c r="K142" i="14"/>
  <c r="J430" i="14"/>
  <c r="K430" i="14"/>
  <c r="J386" i="14"/>
  <c r="K386" i="14"/>
  <c r="J466" i="14"/>
  <c r="K466" i="14"/>
  <c r="J413" i="14"/>
  <c r="K413" i="14"/>
  <c r="J402" i="14"/>
  <c r="K402" i="14"/>
  <c r="J338" i="14"/>
  <c r="K338" i="14"/>
  <c r="K301" i="14"/>
  <c r="K173" i="14"/>
  <c r="K45" i="14"/>
  <c r="J468" i="14"/>
  <c r="K468" i="14"/>
  <c r="J340" i="14"/>
  <c r="K340" i="14"/>
  <c r="J276" i="14"/>
  <c r="K276" i="14"/>
  <c r="J212" i="14"/>
  <c r="K212" i="14"/>
  <c r="J148" i="14"/>
  <c r="K148" i="14"/>
  <c r="J389" i="14"/>
  <c r="K389" i="14"/>
  <c r="J261" i="14"/>
  <c r="K261" i="14"/>
  <c r="J133" i="14"/>
  <c r="K133" i="14"/>
  <c r="J507" i="14"/>
  <c r="K507" i="14"/>
  <c r="J443" i="14"/>
  <c r="K443" i="14"/>
  <c r="J379" i="14"/>
  <c r="K379" i="14"/>
  <c r="J315" i="14"/>
  <c r="K315" i="14"/>
  <c r="J251" i="14"/>
  <c r="K251" i="14"/>
  <c r="J187" i="14"/>
  <c r="K187" i="14"/>
  <c r="J123" i="14"/>
  <c r="K123" i="14"/>
  <c r="J59" i="14"/>
  <c r="K59" i="14"/>
  <c r="J170" i="14"/>
  <c r="K170" i="14"/>
  <c r="J106" i="14"/>
  <c r="K106" i="14"/>
  <c r="J42" i="14"/>
  <c r="K42" i="14"/>
  <c r="J481" i="14"/>
  <c r="K481" i="14"/>
  <c r="J417" i="14"/>
  <c r="K417" i="14"/>
  <c r="J353" i="14"/>
  <c r="K353" i="14"/>
  <c r="J289" i="14"/>
  <c r="K289" i="14"/>
  <c r="J225" i="14"/>
  <c r="K225" i="14"/>
  <c r="J97" i="14"/>
  <c r="K97" i="14"/>
  <c r="J33" i="14"/>
  <c r="K33" i="14"/>
  <c r="J416" i="14"/>
  <c r="K416" i="14"/>
  <c r="J280" i="14"/>
  <c r="K280" i="14"/>
  <c r="J200" i="14"/>
  <c r="K200" i="14"/>
  <c r="K136" i="14"/>
  <c r="J72" i="14"/>
  <c r="K72" i="14"/>
  <c r="J504" i="14"/>
  <c r="K504" i="14"/>
  <c r="J384" i="14"/>
  <c r="K384" i="14"/>
  <c r="J224" i="14"/>
  <c r="K224" i="14"/>
  <c r="K399" i="14"/>
  <c r="J335" i="14"/>
  <c r="K335" i="14"/>
  <c r="J271" i="14"/>
  <c r="K271" i="14"/>
  <c r="J207" i="14"/>
  <c r="K207" i="14"/>
  <c r="J143" i="14"/>
  <c r="K143" i="14"/>
  <c r="J79" i="14"/>
  <c r="K79" i="14"/>
  <c r="J326" i="14"/>
  <c r="K326" i="14"/>
  <c r="J262" i="14"/>
  <c r="K262" i="14"/>
  <c r="J198" i="14"/>
  <c r="K198" i="14"/>
  <c r="J134" i="14"/>
  <c r="K134" i="14"/>
  <c r="J70" i="14"/>
  <c r="K70" i="14"/>
  <c r="J218" i="14"/>
  <c r="K218" i="14"/>
  <c r="J500" i="14"/>
  <c r="K500" i="14"/>
  <c r="J52" i="14"/>
  <c r="K52" i="14"/>
  <c r="J283" i="14"/>
  <c r="K283" i="14"/>
  <c r="J513" i="14"/>
  <c r="K513" i="14"/>
  <c r="J65" i="14"/>
  <c r="K65" i="14"/>
  <c r="J320" i="14"/>
  <c r="K320" i="14"/>
  <c r="J358" i="14"/>
  <c r="K358" i="14"/>
  <c r="J517" i="14"/>
  <c r="K517" i="14"/>
  <c r="J285" i="14"/>
  <c r="K285" i="14"/>
  <c r="J460" i="14"/>
  <c r="K460" i="14"/>
  <c r="J373" i="14"/>
  <c r="K373" i="14"/>
  <c r="J499" i="14"/>
  <c r="K499" i="14"/>
  <c r="J243" i="14"/>
  <c r="K243" i="14"/>
  <c r="J51" i="14"/>
  <c r="K51" i="14"/>
  <c r="J34" i="14"/>
  <c r="K34" i="14"/>
  <c r="J345" i="14"/>
  <c r="K345" i="14"/>
  <c r="K153" i="14"/>
  <c r="J400" i="14"/>
  <c r="K400" i="14"/>
  <c r="J368" i="14"/>
  <c r="K368" i="14"/>
  <c r="J391" i="14"/>
  <c r="K391" i="14"/>
  <c r="J327" i="14"/>
  <c r="K327" i="14"/>
  <c r="K263" i="14"/>
  <c r="J199" i="14"/>
  <c r="K199" i="14"/>
  <c r="J135" i="14"/>
  <c r="K135" i="14"/>
  <c r="J318" i="14"/>
  <c r="K318" i="14"/>
  <c r="J254" i="14"/>
  <c r="K254" i="14"/>
  <c r="K190" i="14"/>
  <c r="K126" i="14"/>
  <c r="K62" i="14"/>
  <c r="J454" i="14"/>
  <c r="K454" i="14"/>
  <c r="J405" i="14"/>
  <c r="K405" i="14"/>
  <c r="J372" i="14"/>
  <c r="K372" i="14"/>
  <c r="J197" i="14"/>
  <c r="K197" i="14"/>
  <c r="J155" i="14"/>
  <c r="K155" i="14"/>
  <c r="J321" i="14"/>
  <c r="K321" i="14"/>
  <c r="J240" i="14"/>
  <c r="K240" i="14"/>
  <c r="J367" i="14"/>
  <c r="K367" i="14"/>
  <c r="J294" i="14"/>
  <c r="K294" i="14"/>
  <c r="J494" i="14"/>
  <c r="K494" i="14"/>
  <c r="K422" i="14"/>
  <c r="J290" i="14"/>
  <c r="K290" i="14"/>
  <c r="J157" i="14"/>
  <c r="K157" i="14"/>
  <c r="J396" i="14"/>
  <c r="K396" i="14"/>
  <c r="J268" i="14"/>
  <c r="K268" i="14"/>
  <c r="J76" i="14"/>
  <c r="K76" i="14"/>
  <c r="J117" i="14"/>
  <c r="K117" i="14"/>
  <c r="J371" i="14"/>
  <c r="K371" i="14"/>
  <c r="J179" i="14"/>
  <c r="K179" i="14"/>
  <c r="J162" i="14"/>
  <c r="K162" i="14"/>
  <c r="J473" i="14"/>
  <c r="K473" i="14"/>
  <c r="K281" i="14"/>
  <c r="J25" i="14"/>
  <c r="K25" i="14"/>
  <c r="J192" i="14"/>
  <c r="K192" i="14"/>
  <c r="K488" i="14"/>
  <c r="J519" i="14"/>
  <c r="K519" i="14"/>
  <c r="J71" i="14"/>
  <c r="K71" i="14"/>
  <c r="J437" i="14"/>
  <c r="K437" i="14"/>
  <c r="K493" i="14"/>
  <c r="J514" i="14"/>
  <c r="K514" i="14"/>
  <c r="J346" i="14"/>
  <c r="K346" i="14"/>
  <c r="J502" i="14"/>
  <c r="K502" i="14"/>
  <c r="J269" i="14"/>
  <c r="K269" i="14"/>
  <c r="J324" i="14"/>
  <c r="K324" i="14"/>
  <c r="J196" i="14"/>
  <c r="K196" i="14"/>
  <c r="K427" i="14"/>
  <c r="K299" i="14"/>
  <c r="K235" i="14"/>
  <c r="K107" i="14"/>
  <c r="J154" i="14"/>
  <c r="K154" i="14"/>
  <c r="J26" i="14"/>
  <c r="K26" i="14"/>
  <c r="J401" i="14"/>
  <c r="K401" i="14"/>
  <c r="K273" i="14"/>
  <c r="J145" i="14"/>
  <c r="K145" i="14"/>
  <c r="J376" i="14"/>
  <c r="K376" i="14"/>
  <c r="K184" i="14"/>
  <c r="J56" i="14"/>
  <c r="K56" i="14"/>
  <c r="J352" i="14"/>
  <c r="K352" i="14"/>
  <c r="J447" i="14"/>
  <c r="K447" i="14"/>
  <c r="J383" i="14"/>
  <c r="K383" i="14"/>
  <c r="J255" i="14"/>
  <c r="K255" i="14"/>
  <c r="J127" i="14"/>
  <c r="K127" i="14"/>
  <c r="K246" i="14"/>
  <c r="J446" i="14"/>
  <c r="J508" i="14"/>
  <c r="J483" i="14"/>
  <c r="J419" i="14"/>
  <c r="J355" i="14"/>
  <c r="J291" i="14"/>
  <c r="J227" i="14"/>
  <c r="J163" i="14"/>
  <c r="J99" i="14"/>
  <c r="J35" i="14"/>
  <c r="J112" i="14"/>
  <c r="J247" i="14"/>
  <c r="J55" i="14"/>
  <c r="J228" i="14"/>
  <c r="J293" i="14"/>
  <c r="J165" i="14"/>
  <c r="J241" i="14"/>
  <c r="J408" i="14"/>
  <c r="J95" i="14"/>
  <c r="J370" i="14"/>
  <c r="J498" i="14"/>
  <c r="J92" i="14"/>
  <c r="J178" i="14"/>
  <c r="J114" i="14"/>
  <c r="J50" i="14"/>
  <c r="J440" i="14"/>
  <c r="J343" i="14"/>
  <c r="J306" i="14"/>
  <c r="J434" i="14"/>
  <c r="J421" i="14"/>
  <c r="J404" i="14"/>
  <c r="J84" i="14"/>
  <c r="J161" i="14"/>
  <c r="J463" i="14"/>
  <c r="J390" i="14"/>
  <c r="J21" i="14"/>
  <c r="K21" i="14"/>
  <c r="J242" i="14"/>
  <c r="J37" i="14"/>
  <c r="J204" i="14"/>
  <c r="J217" i="14"/>
  <c r="J64" i="14"/>
  <c r="J452" i="14"/>
  <c r="J357" i="14"/>
  <c r="J229" i="14"/>
  <c r="J101" i="14"/>
  <c r="J511" i="14"/>
  <c r="J374" i="14"/>
  <c r="J182" i="14"/>
  <c r="J118" i="14"/>
  <c r="J54" i="14"/>
  <c r="J493" i="14"/>
  <c r="J427" i="14"/>
  <c r="J299" i="14"/>
  <c r="J171" i="14"/>
  <c r="J43" i="14"/>
  <c r="J273" i="14"/>
  <c r="J314" i="14"/>
  <c r="J510" i="14"/>
  <c r="J73" i="14"/>
  <c r="J238" i="14"/>
  <c r="J429" i="14"/>
  <c r="J236" i="14"/>
  <c r="J108" i="14"/>
  <c r="J185" i="14"/>
  <c r="J464" i="14"/>
  <c r="J356" i="14"/>
  <c r="J100" i="14"/>
  <c r="J186" i="14"/>
  <c r="J122" i="14"/>
  <c r="J58" i="14"/>
  <c r="J88" i="14"/>
  <c r="J415" i="14"/>
  <c r="J442" i="14"/>
  <c r="J220" i="14"/>
  <c r="J361" i="14"/>
  <c r="J297" i="14"/>
  <c r="J233" i="14"/>
  <c r="J296" i="14"/>
  <c r="J471" i="14"/>
  <c r="J87" i="14"/>
  <c r="J173" i="14"/>
  <c r="J136" i="14"/>
  <c r="J399" i="14"/>
  <c r="J301" i="14"/>
  <c r="J45" i="14"/>
  <c r="J422" i="14"/>
  <c r="J281" i="14"/>
  <c r="J153" i="14"/>
  <c r="J488" i="14"/>
  <c r="J455" i="14"/>
  <c r="J263" i="14"/>
  <c r="J190" i="14"/>
  <c r="J126" i="14"/>
  <c r="J62" i="14"/>
  <c r="J378" i="14"/>
  <c r="J491" i="14"/>
  <c r="J363" i="14"/>
  <c r="J235" i="14"/>
  <c r="J107" i="14"/>
  <c r="J465" i="14"/>
  <c r="J184" i="14"/>
  <c r="J319" i="14"/>
  <c r="J63" i="14"/>
  <c r="J246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14D8DF-A821-460B-8875-A08754B9233F}" keepAlive="1" name="Query - Weekly" description="Connection to the 'Weekly' query in the workbook." type="5" refreshedVersion="8" background="1" saveData="1">
    <dbPr connection="Provider=Microsoft.Mashup.OleDb.1;Data Source=$Workbook$;Location=Weekly;Extended Properties=&quot;&quot;" command="SELECT * FROM [Weekl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3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</futureMetadata>
  <cellMetadata count="1">
    <bk>
      <rc t="1" v="0"/>
    </bk>
  </cellMetadata>
  <valueMetadata count="1533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</valueMetadata>
</metadata>
</file>

<file path=xl/sharedStrings.xml><?xml version="1.0" encoding="utf-8"?>
<sst xmlns="http://schemas.openxmlformats.org/spreadsheetml/2006/main" count="27" uniqueCount="23">
  <si>
    <t>10d SMA</t>
  </si>
  <si>
    <t>20d SMA</t>
  </si>
  <si>
    <t>50d SMA</t>
  </si>
  <si>
    <t>100d SMA</t>
  </si>
  <si>
    <t>Upper</t>
  </si>
  <si>
    <t>Lower</t>
  </si>
  <si>
    <t>Stdev</t>
  </si>
  <si>
    <t xml:space="preserve">Week </t>
  </si>
  <si>
    <t>Close</t>
  </si>
  <si>
    <t>Min</t>
  </si>
  <si>
    <t>Max</t>
  </si>
  <si>
    <t>Median</t>
  </si>
  <si>
    <t>Average</t>
  </si>
  <si>
    <t>Stats</t>
  </si>
  <si>
    <t>Count</t>
  </si>
  <si>
    <t>Mean</t>
  </si>
  <si>
    <t>date</t>
  </si>
  <si>
    <t>value</t>
  </si>
  <si>
    <t>Values</t>
  </si>
  <si>
    <t>Forecast</t>
  </si>
  <si>
    <t>Freeze</t>
  </si>
  <si>
    <t>PI/CI</t>
  </si>
  <si>
    <t>Johnson &amp; Johnson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</si>
</sst>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yyyy\-mm\-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0" fillId="3" borderId="0" xfId="0" applyFill="1"/>
    <xf numFmtId="0" fontId="5" fillId="3" borderId="0" xfId="0" applyFont="1" applyFill="1" applyAlignment="1">
      <alignment horizontal="center"/>
    </xf>
    <xf numFmtId="14" fontId="0" fillId="0" borderId="0" xfId="0" applyNumberFormat="1"/>
    <xf numFmtId="166" fontId="0" fillId="0" borderId="0" xfId="0" applyNumberFormat="1"/>
    <xf numFmtId="165" fontId="6" fillId="5" borderId="0" xfId="1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6" borderId="0" xfId="0" applyFont="1" applyFill="1" applyAlignment="1"/>
    <xf numFmtId="0" fontId="0" fillId="0" borderId="0" xfId="0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166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Array" Target="richData/rdarray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SupportingPropertyBag" Target="richData/rdsupportingpropertybag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microsoft.com/office/2017/06/relationships/rdSupportingPropertyBagStructure" Target="richData/rdsupportingpropertybagstructure.xml"/><Relationship Id="rId10" Type="http://schemas.openxmlformats.org/officeDocument/2006/relationships/sheetMetadata" Target="metadata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ichStyles" Target="richData/rich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JNJ!$C$1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JNJ!$B$2:$B$522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JNJ!$C$2:$C$522</c:f>
              <c:numCache>
                <c:formatCode>_([$$-409]* #,##0.00_);_([$$-409]* \(#,##0.00\);_([$$-409]* "-"??_);_(@_)</c:formatCode>
                <c:ptCount val="521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  <c:pt idx="513">
                  <c:v>218.21</c:v>
                </c:pt>
                <c:pt idx="514">
                  <c:v>218.01</c:v>
                </c:pt>
                <c:pt idx="515">
                  <c:v>218.49</c:v>
                </c:pt>
                <c:pt idx="516">
                  <c:v>220.14</c:v>
                </c:pt>
                <c:pt idx="517">
                  <c:v>221.49</c:v>
                </c:pt>
                <c:pt idx="518">
                  <c:v>224.44</c:v>
                </c:pt>
                <c:pt idx="519">
                  <c:v>227.72</c:v>
                </c:pt>
                <c:pt idx="520">
                  <c:v>227.29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68B-9131-354F8BD72AA0}"/>
            </c:ext>
          </c:extLst>
        </c:ser>
        <c:ser>
          <c:idx val="1"/>
          <c:order val="1"/>
          <c:tx>
            <c:strRef>
              <c:f>JNJ!$E$1</c:f>
              <c:strCache>
                <c:ptCount val="1"/>
                <c:pt idx="0">
                  <c:v>10d SMA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JNJ!$B$2:$B$522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JNJ!$E$2:$E$522</c:f>
              <c:numCache>
                <c:formatCode>General</c:formatCode>
                <c:ptCount val="521"/>
                <c:pt idx="8">
                  <c:v>161.25222222222223</c:v>
                </c:pt>
                <c:pt idx="9">
                  <c:v>161.31333333333336</c:v>
                </c:pt>
                <c:pt idx="10">
                  <c:v>161.25333333333333</c:v>
                </c:pt>
                <c:pt idx="11">
                  <c:v>161.31777777777779</c:v>
                </c:pt>
                <c:pt idx="12">
                  <c:v>161.37888888888889</c:v>
                </c:pt>
                <c:pt idx="13">
                  <c:v>161.48333333333335</c:v>
                </c:pt>
                <c:pt idx="14">
                  <c:v>161.2811111111111</c:v>
                </c:pt>
                <c:pt idx="15">
                  <c:v>160.95777777777778</c:v>
                </c:pt>
                <c:pt idx="16">
                  <c:v>160.7811111111111</c:v>
                </c:pt>
                <c:pt idx="17">
                  <c:v>160.46</c:v>
                </c:pt>
                <c:pt idx="18">
                  <c:v>160.33111111111111</c:v>
                </c:pt>
                <c:pt idx="19">
                  <c:v>160.14666666666668</c:v>
                </c:pt>
                <c:pt idx="20">
                  <c:v>159.89000000000001</c:v>
                </c:pt>
                <c:pt idx="21">
                  <c:v>159.52111111111111</c:v>
                </c:pt>
                <c:pt idx="22">
                  <c:v>158.87</c:v>
                </c:pt>
                <c:pt idx="23">
                  <c:v>158.42444444444445</c:v>
                </c:pt>
                <c:pt idx="24">
                  <c:v>158.32444444444442</c:v>
                </c:pt>
                <c:pt idx="25">
                  <c:v>158.14888888888888</c:v>
                </c:pt>
                <c:pt idx="26">
                  <c:v>157.80444444444444</c:v>
                </c:pt>
                <c:pt idx="27">
                  <c:v>157.51555555555558</c:v>
                </c:pt>
                <c:pt idx="28">
                  <c:v>157.41333333333333</c:v>
                </c:pt>
                <c:pt idx="29">
                  <c:v>157.14333333333332</c:v>
                </c:pt>
                <c:pt idx="30">
                  <c:v>156.85222222222222</c:v>
                </c:pt>
                <c:pt idx="31">
                  <c:v>156.99777777777777</c:v>
                </c:pt>
                <c:pt idx="32">
                  <c:v>157.08111111111111</c:v>
                </c:pt>
                <c:pt idx="33">
                  <c:v>157.0588888888889</c:v>
                </c:pt>
                <c:pt idx="34">
                  <c:v>157.13666666666668</c:v>
                </c:pt>
                <c:pt idx="35">
                  <c:v>157.5866666666667</c:v>
                </c:pt>
                <c:pt idx="36">
                  <c:v>158.15111111111111</c:v>
                </c:pt>
                <c:pt idx="37">
                  <c:v>158.47777777777776</c:v>
                </c:pt>
                <c:pt idx="38">
                  <c:v>158.97888888888889</c:v>
                </c:pt>
                <c:pt idx="39">
                  <c:v>159.62444444444446</c:v>
                </c:pt>
                <c:pt idx="40">
                  <c:v>160.00888888888889</c:v>
                </c:pt>
                <c:pt idx="41">
                  <c:v>160.62777777777779</c:v>
                </c:pt>
                <c:pt idx="42">
                  <c:v>160.84777777777776</c:v>
                </c:pt>
                <c:pt idx="43">
                  <c:v>160.99111111111108</c:v>
                </c:pt>
                <c:pt idx="44">
                  <c:v>160.86777777777777</c:v>
                </c:pt>
                <c:pt idx="45">
                  <c:v>160.53777777777779</c:v>
                </c:pt>
                <c:pt idx="46">
                  <c:v>160.39666666666668</c:v>
                </c:pt>
                <c:pt idx="47">
                  <c:v>160.42444444444448</c:v>
                </c:pt>
                <c:pt idx="48">
                  <c:v>160.5566666666667</c:v>
                </c:pt>
                <c:pt idx="49">
                  <c:v>160.52555555555557</c:v>
                </c:pt>
                <c:pt idx="50">
                  <c:v>160.20222222222222</c:v>
                </c:pt>
                <c:pt idx="51">
                  <c:v>160.01777777777778</c:v>
                </c:pt>
                <c:pt idx="52">
                  <c:v>159.66111111111113</c:v>
                </c:pt>
                <c:pt idx="53">
                  <c:v>159.31333333333336</c:v>
                </c:pt>
                <c:pt idx="54">
                  <c:v>158.96777777777777</c:v>
                </c:pt>
                <c:pt idx="55">
                  <c:v>158.54888888888888</c:v>
                </c:pt>
                <c:pt idx="56">
                  <c:v>157.88222222222223</c:v>
                </c:pt>
                <c:pt idx="57">
                  <c:v>157.04666666666668</c:v>
                </c:pt>
                <c:pt idx="58">
                  <c:v>156.45444444444445</c:v>
                </c:pt>
                <c:pt idx="59">
                  <c:v>156.31555555555553</c:v>
                </c:pt>
                <c:pt idx="60">
                  <c:v>156.31666666666669</c:v>
                </c:pt>
                <c:pt idx="61">
                  <c:v>156.43</c:v>
                </c:pt>
                <c:pt idx="62">
                  <c:v>156.59888888888889</c:v>
                </c:pt>
                <c:pt idx="63">
                  <c:v>156.43222222222224</c:v>
                </c:pt>
                <c:pt idx="64">
                  <c:v>156.07111111111112</c:v>
                </c:pt>
                <c:pt idx="65">
                  <c:v>155.75555555555559</c:v>
                </c:pt>
                <c:pt idx="66">
                  <c:v>155.3522222222222</c:v>
                </c:pt>
                <c:pt idx="67">
                  <c:v>154.96555555555554</c:v>
                </c:pt>
                <c:pt idx="68">
                  <c:v>154.10333333333335</c:v>
                </c:pt>
                <c:pt idx="69">
                  <c:v>153.05888888888887</c:v>
                </c:pt>
                <c:pt idx="70">
                  <c:v>151.91888888888889</c:v>
                </c:pt>
                <c:pt idx="71">
                  <c:v>150.79222222222222</c:v>
                </c:pt>
                <c:pt idx="72">
                  <c:v>149.70222222222222</c:v>
                </c:pt>
                <c:pt idx="73">
                  <c:v>148.84333333333333</c:v>
                </c:pt>
                <c:pt idx="74">
                  <c:v>148.10444444444445</c:v>
                </c:pt>
                <c:pt idx="75">
                  <c:v>147.69555555555556</c:v>
                </c:pt>
                <c:pt idx="76">
                  <c:v>147.34333333333336</c:v>
                </c:pt>
                <c:pt idx="77">
                  <c:v>147.27222222222221</c:v>
                </c:pt>
                <c:pt idx="78">
                  <c:v>147.24333333333331</c:v>
                </c:pt>
                <c:pt idx="79">
                  <c:v>147.16555555555553</c:v>
                </c:pt>
                <c:pt idx="80">
                  <c:v>147.00444444444443</c:v>
                </c:pt>
                <c:pt idx="81">
                  <c:v>147.26777777777772</c:v>
                </c:pt>
                <c:pt idx="82">
                  <c:v>147.24777777777774</c:v>
                </c:pt>
                <c:pt idx="83">
                  <c:v>147.85222222222222</c:v>
                </c:pt>
                <c:pt idx="84">
                  <c:v>148.07555555555555</c:v>
                </c:pt>
                <c:pt idx="85">
                  <c:v>148.0922222222222</c:v>
                </c:pt>
                <c:pt idx="86">
                  <c:v>147.98333333333332</c:v>
                </c:pt>
                <c:pt idx="87">
                  <c:v>148.00444444444443</c:v>
                </c:pt>
                <c:pt idx="88">
                  <c:v>148.24111111111111</c:v>
                </c:pt>
                <c:pt idx="89">
                  <c:v>148.65333333333331</c:v>
                </c:pt>
                <c:pt idx="90">
                  <c:v>148.99666666666667</c:v>
                </c:pt>
                <c:pt idx="91">
                  <c:v>149.73333333333335</c:v>
                </c:pt>
                <c:pt idx="92">
                  <c:v>149.75555555555559</c:v>
                </c:pt>
                <c:pt idx="93">
                  <c:v>150.06111111111113</c:v>
                </c:pt>
                <c:pt idx="94">
                  <c:v>150.6177777777778</c:v>
                </c:pt>
                <c:pt idx="95">
                  <c:v>151.29111111111109</c:v>
                </c:pt>
                <c:pt idx="96">
                  <c:v>151.57444444444445</c:v>
                </c:pt>
                <c:pt idx="97">
                  <c:v>151.82888888888886</c:v>
                </c:pt>
                <c:pt idx="98">
                  <c:v>152.23444444444442</c:v>
                </c:pt>
                <c:pt idx="99">
                  <c:v>152.21111111111111</c:v>
                </c:pt>
                <c:pt idx="100">
                  <c:v>151.73888888888891</c:v>
                </c:pt>
                <c:pt idx="101">
                  <c:v>150.96111111111111</c:v>
                </c:pt>
                <c:pt idx="102">
                  <c:v>150.04666666666668</c:v>
                </c:pt>
                <c:pt idx="103">
                  <c:v>149.04666666666665</c:v>
                </c:pt>
                <c:pt idx="104">
                  <c:v>148.16111111111113</c:v>
                </c:pt>
                <c:pt idx="105">
                  <c:v>147.76888888888891</c:v>
                </c:pt>
                <c:pt idx="106">
                  <c:v>147.38666666666666</c:v>
                </c:pt>
                <c:pt idx="107">
                  <c:v>146.54999999999998</c:v>
                </c:pt>
                <c:pt idx="108">
                  <c:v>146.18555555555557</c:v>
                </c:pt>
                <c:pt idx="109">
                  <c:v>146.19777777777779</c:v>
                </c:pt>
                <c:pt idx="110">
                  <c:v>146.50333333333336</c:v>
                </c:pt>
                <c:pt idx="111">
                  <c:v>146.76111111111112</c:v>
                </c:pt>
                <c:pt idx="112">
                  <c:v>146.77555555555557</c:v>
                </c:pt>
                <c:pt idx="113">
                  <c:v>146.64000000000001</c:v>
                </c:pt>
                <c:pt idx="114">
                  <c:v>146.39555555555555</c:v>
                </c:pt>
                <c:pt idx="115">
                  <c:v>146.19</c:v>
                </c:pt>
                <c:pt idx="116">
                  <c:v>146.15444444444447</c:v>
                </c:pt>
                <c:pt idx="117">
                  <c:v>146.30555555555554</c:v>
                </c:pt>
                <c:pt idx="118">
                  <c:v>146.49111111111111</c:v>
                </c:pt>
                <c:pt idx="119">
                  <c:v>146.71222222222221</c:v>
                </c:pt>
                <c:pt idx="120">
                  <c:v>146.75999999999996</c:v>
                </c:pt>
                <c:pt idx="121">
                  <c:v>146.91666666666666</c:v>
                </c:pt>
                <c:pt idx="122">
                  <c:v>146.95555555555555</c:v>
                </c:pt>
                <c:pt idx="123">
                  <c:v>147.02444444444444</c:v>
                </c:pt>
                <c:pt idx="124">
                  <c:v>147.07888888888888</c:v>
                </c:pt>
                <c:pt idx="125">
                  <c:v>147.12111111111111</c:v>
                </c:pt>
                <c:pt idx="126">
                  <c:v>146.88888888888889</c:v>
                </c:pt>
                <c:pt idx="127">
                  <c:v>146.63666666666666</c:v>
                </c:pt>
                <c:pt idx="128">
                  <c:v>146.23222222222225</c:v>
                </c:pt>
                <c:pt idx="129">
                  <c:v>146.21666666666667</c:v>
                </c:pt>
                <c:pt idx="130">
                  <c:v>146.50666666666669</c:v>
                </c:pt>
                <c:pt idx="131">
                  <c:v>146.94</c:v>
                </c:pt>
                <c:pt idx="132">
                  <c:v>147.35333333333335</c:v>
                </c:pt>
                <c:pt idx="133">
                  <c:v>147.66444444444448</c:v>
                </c:pt>
                <c:pt idx="134">
                  <c:v>148.21777777777777</c:v>
                </c:pt>
                <c:pt idx="135">
                  <c:v>149.42777777777781</c:v>
                </c:pt>
                <c:pt idx="136">
                  <c:v>150.42111111111112</c:v>
                </c:pt>
                <c:pt idx="137">
                  <c:v>151.44444444444446</c:v>
                </c:pt>
                <c:pt idx="138">
                  <c:v>152.24333333333334</c:v>
                </c:pt>
                <c:pt idx="139">
                  <c:v>152.56777777777776</c:v>
                </c:pt>
                <c:pt idx="140">
                  <c:v>153.29888888888888</c:v>
                </c:pt>
                <c:pt idx="141">
                  <c:v>154.38333333333333</c:v>
                </c:pt>
                <c:pt idx="142">
                  <c:v>155.64999999999998</c:v>
                </c:pt>
                <c:pt idx="143">
                  <c:v>156.48888888888891</c:v>
                </c:pt>
                <c:pt idx="144">
                  <c:v>157.01666666666665</c:v>
                </c:pt>
                <c:pt idx="145">
                  <c:v>157.28666666666663</c:v>
                </c:pt>
                <c:pt idx="146">
                  <c:v>157.96111111111111</c:v>
                </c:pt>
                <c:pt idx="147">
                  <c:v>159.06111111111113</c:v>
                </c:pt>
                <c:pt idx="148">
                  <c:v>160.04999999999998</c:v>
                </c:pt>
                <c:pt idx="149">
                  <c:v>160.34888888888889</c:v>
                </c:pt>
                <c:pt idx="150">
                  <c:v>160.26666666666668</c:v>
                </c:pt>
                <c:pt idx="151">
                  <c:v>160.22</c:v>
                </c:pt>
                <c:pt idx="152">
                  <c:v>160.44888888888889</c:v>
                </c:pt>
                <c:pt idx="153">
                  <c:v>160.28777777777779</c:v>
                </c:pt>
                <c:pt idx="154">
                  <c:v>160.34777777777779</c:v>
                </c:pt>
                <c:pt idx="155">
                  <c:v>160.09444444444443</c:v>
                </c:pt>
                <c:pt idx="156">
                  <c:v>159.53333333333333</c:v>
                </c:pt>
                <c:pt idx="157">
                  <c:v>159.32666666666668</c:v>
                </c:pt>
                <c:pt idx="158">
                  <c:v>159.39999999999998</c:v>
                </c:pt>
                <c:pt idx="159">
                  <c:v>159.54000000000005</c:v>
                </c:pt>
                <c:pt idx="160">
                  <c:v>159.67444444444448</c:v>
                </c:pt>
                <c:pt idx="161">
                  <c:v>159.86666666666667</c:v>
                </c:pt>
                <c:pt idx="162">
                  <c:v>160.33888888888885</c:v>
                </c:pt>
                <c:pt idx="163">
                  <c:v>161.03</c:v>
                </c:pt>
                <c:pt idx="164">
                  <c:v>161.52666666666667</c:v>
                </c:pt>
                <c:pt idx="165">
                  <c:v>162.06333333333333</c:v>
                </c:pt>
                <c:pt idx="166">
                  <c:v>162.60111111111112</c:v>
                </c:pt>
                <c:pt idx="167">
                  <c:v>163.29333333333338</c:v>
                </c:pt>
                <c:pt idx="168">
                  <c:v>164.07111111111112</c:v>
                </c:pt>
                <c:pt idx="169">
                  <c:v>164.73000000000002</c:v>
                </c:pt>
                <c:pt idx="170">
                  <c:v>165.02333333333337</c:v>
                </c:pt>
                <c:pt idx="171">
                  <c:v>165.05111111111111</c:v>
                </c:pt>
                <c:pt idx="172">
                  <c:v>165.27333333333334</c:v>
                </c:pt>
                <c:pt idx="173">
                  <c:v>165.76555555555558</c:v>
                </c:pt>
                <c:pt idx="174">
                  <c:v>165.86555555555557</c:v>
                </c:pt>
                <c:pt idx="175">
                  <c:v>165.9111111111111</c:v>
                </c:pt>
                <c:pt idx="176">
                  <c:v>165.87333333333333</c:v>
                </c:pt>
                <c:pt idx="177">
                  <c:v>165.85444444444443</c:v>
                </c:pt>
                <c:pt idx="178">
                  <c:v>165.82222222222222</c:v>
                </c:pt>
                <c:pt idx="179">
                  <c:v>165.95111111111112</c:v>
                </c:pt>
                <c:pt idx="180">
                  <c:v>166</c:v>
                </c:pt>
                <c:pt idx="181">
                  <c:v>165.72777777777779</c:v>
                </c:pt>
                <c:pt idx="182">
                  <c:v>165.26555555555558</c:v>
                </c:pt>
                <c:pt idx="183">
                  <c:v>165.03888888888889</c:v>
                </c:pt>
                <c:pt idx="184">
                  <c:v>164.58999999999997</c:v>
                </c:pt>
                <c:pt idx="185">
                  <c:v>164.1311111111111</c:v>
                </c:pt>
                <c:pt idx="186">
                  <c:v>163.51000000000002</c:v>
                </c:pt>
                <c:pt idx="187">
                  <c:v>162.95333333333332</c:v>
                </c:pt>
                <c:pt idx="188">
                  <c:v>162.49111111111111</c:v>
                </c:pt>
                <c:pt idx="189">
                  <c:v>162.08555555555554</c:v>
                </c:pt>
                <c:pt idx="190">
                  <c:v>161.67888888888891</c:v>
                </c:pt>
                <c:pt idx="191">
                  <c:v>161.35333333333335</c:v>
                </c:pt>
                <c:pt idx="192">
                  <c:v>160.99222222222224</c:v>
                </c:pt>
                <c:pt idx="193">
                  <c:v>160.89111111111112</c:v>
                </c:pt>
                <c:pt idx="194">
                  <c:v>160.8088888888889</c:v>
                </c:pt>
                <c:pt idx="195">
                  <c:v>160.71</c:v>
                </c:pt>
                <c:pt idx="196">
                  <c:v>160.64333333333332</c:v>
                </c:pt>
                <c:pt idx="197">
                  <c:v>160.59999999999997</c:v>
                </c:pt>
                <c:pt idx="198">
                  <c:v>160.92555555555552</c:v>
                </c:pt>
                <c:pt idx="199">
                  <c:v>161.34555555555553</c:v>
                </c:pt>
                <c:pt idx="200">
                  <c:v>161.81</c:v>
                </c:pt>
                <c:pt idx="201">
                  <c:v>162.43111111111114</c:v>
                </c:pt>
                <c:pt idx="202">
                  <c:v>162.78</c:v>
                </c:pt>
                <c:pt idx="203">
                  <c:v>163.0911111111111</c:v>
                </c:pt>
                <c:pt idx="204">
                  <c:v>163.68555555555557</c:v>
                </c:pt>
                <c:pt idx="205">
                  <c:v>163.93111111111114</c:v>
                </c:pt>
                <c:pt idx="206">
                  <c:v>163.85111111111115</c:v>
                </c:pt>
                <c:pt idx="207">
                  <c:v>163.57333333333332</c:v>
                </c:pt>
                <c:pt idx="208">
                  <c:v>163.10777777777778</c:v>
                </c:pt>
                <c:pt idx="209">
                  <c:v>162.67888888888885</c:v>
                </c:pt>
                <c:pt idx="210">
                  <c:v>162.09444444444443</c:v>
                </c:pt>
                <c:pt idx="211">
                  <c:v>161.79444444444445</c:v>
                </c:pt>
                <c:pt idx="212">
                  <c:v>161.2155555555556</c:v>
                </c:pt>
                <c:pt idx="213">
                  <c:v>160.38111111111112</c:v>
                </c:pt>
                <c:pt idx="214">
                  <c:v>159.73777777777775</c:v>
                </c:pt>
                <c:pt idx="215">
                  <c:v>159.2766666666667</c:v>
                </c:pt>
                <c:pt idx="216">
                  <c:v>158.59555555555556</c:v>
                </c:pt>
                <c:pt idx="217">
                  <c:v>158.03444444444443</c:v>
                </c:pt>
                <c:pt idx="218">
                  <c:v>157.14888888888891</c:v>
                </c:pt>
                <c:pt idx="219">
                  <c:v>156.41333333333333</c:v>
                </c:pt>
                <c:pt idx="220">
                  <c:v>155.49555555555557</c:v>
                </c:pt>
                <c:pt idx="221">
                  <c:v>155.02444444444441</c:v>
                </c:pt>
                <c:pt idx="222">
                  <c:v>154.62666666666667</c:v>
                </c:pt>
                <c:pt idx="223">
                  <c:v>154.08444444444444</c:v>
                </c:pt>
                <c:pt idx="224">
                  <c:v>153.68222222222221</c:v>
                </c:pt>
                <c:pt idx="225">
                  <c:v>153.68555555555557</c:v>
                </c:pt>
                <c:pt idx="226">
                  <c:v>153.70000000000002</c:v>
                </c:pt>
                <c:pt idx="227">
                  <c:v>154.04888888888888</c:v>
                </c:pt>
                <c:pt idx="228">
                  <c:v>154.19111111111113</c:v>
                </c:pt>
                <c:pt idx="229">
                  <c:v>154.58333333333334</c:v>
                </c:pt>
                <c:pt idx="230">
                  <c:v>154.69555555555556</c:v>
                </c:pt>
                <c:pt idx="231">
                  <c:v>154.69888888888889</c:v>
                </c:pt>
                <c:pt idx="232">
                  <c:v>154.62777777777774</c:v>
                </c:pt>
                <c:pt idx="233">
                  <c:v>154.33444444444444</c:v>
                </c:pt>
                <c:pt idx="234">
                  <c:v>153.66999999999999</c:v>
                </c:pt>
                <c:pt idx="235">
                  <c:v>153.01888888888888</c:v>
                </c:pt>
                <c:pt idx="236">
                  <c:v>152.33222222222221</c:v>
                </c:pt>
                <c:pt idx="237">
                  <c:v>151.74444444444441</c:v>
                </c:pt>
                <c:pt idx="238">
                  <c:v>150.77111111111111</c:v>
                </c:pt>
                <c:pt idx="239">
                  <c:v>149.79666666666665</c:v>
                </c:pt>
                <c:pt idx="240">
                  <c:v>148.88777777777781</c:v>
                </c:pt>
                <c:pt idx="241">
                  <c:v>147.94222222222223</c:v>
                </c:pt>
                <c:pt idx="242">
                  <c:v>147.49111111111111</c:v>
                </c:pt>
                <c:pt idx="243">
                  <c:v>146.96111111111111</c:v>
                </c:pt>
                <c:pt idx="244">
                  <c:v>146.32444444444445</c:v>
                </c:pt>
                <c:pt idx="245">
                  <c:v>145.75444444444443</c:v>
                </c:pt>
                <c:pt idx="246">
                  <c:v>145.31444444444443</c:v>
                </c:pt>
                <c:pt idx="247">
                  <c:v>145.22666666666666</c:v>
                </c:pt>
                <c:pt idx="248">
                  <c:v>145.15333333333331</c:v>
                </c:pt>
                <c:pt idx="249">
                  <c:v>144.97888888888889</c:v>
                </c:pt>
                <c:pt idx="250">
                  <c:v>144.92222222222222</c:v>
                </c:pt>
                <c:pt idx="251">
                  <c:v>144.72333333333336</c:v>
                </c:pt>
                <c:pt idx="252">
                  <c:v>144.64222222222224</c:v>
                </c:pt>
                <c:pt idx="253">
                  <c:v>144.71</c:v>
                </c:pt>
                <c:pt idx="254">
                  <c:v>144.62</c:v>
                </c:pt>
                <c:pt idx="255">
                  <c:v>144.72666666666669</c:v>
                </c:pt>
                <c:pt idx="256">
                  <c:v>144.32888888888886</c:v>
                </c:pt>
                <c:pt idx="257">
                  <c:v>143.9377777777778</c:v>
                </c:pt>
                <c:pt idx="258">
                  <c:v>143.87333333333333</c:v>
                </c:pt>
                <c:pt idx="259">
                  <c:v>144.03</c:v>
                </c:pt>
                <c:pt idx="260">
                  <c:v>144.06888888888889</c:v>
                </c:pt>
                <c:pt idx="261">
                  <c:v>144.48555555555558</c:v>
                </c:pt>
                <c:pt idx="262">
                  <c:v>144.80111111111111</c:v>
                </c:pt>
                <c:pt idx="263">
                  <c:v>145.30000000000001</c:v>
                </c:pt>
                <c:pt idx="264">
                  <c:v>145.19333333333333</c:v>
                </c:pt>
                <c:pt idx="265">
                  <c:v>145.67888888888891</c:v>
                </c:pt>
                <c:pt idx="266">
                  <c:v>146.20777777777778</c:v>
                </c:pt>
                <c:pt idx="267">
                  <c:v>147.14333333333332</c:v>
                </c:pt>
                <c:pt idx="268">
                  <c:v>147.76888888888891</c:v>
                </c:pt>
                <c:pt idx="269">
                  <c:v>148.45555555555561</c:v>
                </c:pt>
                <c:pt idx="270">
                  <c:v>149.02222222222224</c:v>
                </c:pt>
                <c:pt idx="271">
                  <c:v>149.59111111111113</c:v>
                </c:pt>
                <c:pt idx="272">
                  <c:v>150.00444444444443</c:v>
                </c:pt>
                <c:pt idx="273">
                  <c:v>150.91777777777779</c:v>
                </c:pt>
                <c:pt idx="274">
                  <c:v>151.81222222222223</c:v>
                </c:pt>
                <c:pt idx="275">
                  <c:v>152.55555555555554</c:v>
                </c:pt>
                <c:pt idx="276">
                  <c:v>152.58111111111111</c:v>
                </c:pt>
                <c:pt idx="277">
                  <c:v>153.01</c:v>
                </c:pt>
                <c:pt idx="278">
                  <c:v>153.5633333333333</c:v>
                </c:pt>
                <c:pt idx="279">
                  <c:v>153.82888888888891</c:v>
                </c:pt>
                <c:pt idx="280">
                  <c:v>154.39555555555555</c:v>
                </c:pt>
                <c:pt idx="281">
                  <c:v>154.87111111111113</c:v>
                </c:pt>
                <c:pt idx="282">
                  <c:v>155.03777777777776</c:v>
                </c:pt>
                <c:pt idx="283">
                  <c:v>155.39333333333332</c:v>
                </c:pt>
                <c:pt idx="284">
                  <c:v>156.07888888888886</c:v>
                </c:pt>
                <c:pt idx="285">
                  <c:v>157.09888888888887</c:v>
                </c:pt>
                <c:pt idx="286">
                  <c:v>158.15444444444444</c:v>
                </c:pt>
                <c:pt idx="287">
                  <c:v>159.26111111111109</c:v>
                </c:pt>
                <c:pt idx="288">
                  <c:v>160.13</c:v>
                </c:pt>
                <c:pt idx="289">
                  <c:v>160.85</c:v>
                </c:pt>
                <c:pt idx="290">
                  <c:v>161.83555555555554</c:v>
                </c:pt>
                <c:pt idx="291">
                  <c:v>163.20111111111112</c:v>
                </c:pt>
                <c:pt idx="292">
                  <c:v>164.03777777777779</c:v>
                </c:pt>
                <c:pt idx="293">
                  <c:v>164.64222222222224</c:v>
                </c:pt>
                <c:pt idx="294">
                  <c:v>165.03444444444443</c:v>
                </c:pt>
                <c:pt idx="295">
                  <c:v>165.36222222222219</c:v>
                </c:pt>
                <c:pt idx="296">
                  <c:v>165.54111111111112</c:v>
                </c:pt>
                <c:pt idx="297">
                  <c:v>165.85000000000002</c:v>
                </c:pt>
                <c:pt idx="298">
                  <c:v>165.75222222222223</c:v>
                </c:pt>
                <c:pt idx="299">
                  <c:v>165.52666666666667</c:v>
                </c:pt>
                <c:pt idx="300">
                  <c:v>165.03</c:v>
                </c:pt>
                <c:pt idx="301">
                  <c:v>164.74333333333331</c:v>
                </c:pt>
                <c:pt idx="302">
                  <c:v>164.64666666666665</c:v>
                </c:pt>
                <c:pt idx="303">
                  <c:v>164.33111111111111</c:v>
                </c:pt>
                <c:pt idx="304">
                  <c:v>163.92333333333335</c:v>
                </c:pt>
                <c:pt idx="305">
                  <c:v>163.47111111111113</c:v>
                </c:pt>
                <c:pt idx="306">
                  <c:v>163.18555555555557</c:v>
                </c:pt>
                <c:pt idx="307">
                  <c:v>162.98222222222222</c:v>
                </c:pt>
                <c:pt idx="308">
                  <c:v>162.8411111111111</c:v>
                </c:pt>
                <c:pt idx="309">
                  <c:v>162.87666666666667</c:v>
                </c:pt>
                <c:pt idx="310">
                  <c:v>162.9733333333333</c:v>
                </c:pt>
                <c:pt idx="311">
                  <c:v>163.14999999999998</c:v>
                </c:pt>
                <c:pt idx="312">
                  <c:v>162.06777777777776</c:v>
                </c:pt>
                <c:pt idx="313">
                  <c:v>161.21666666666664</c:v>
                </c:pt>
                <c:pt idx="314">
                  <c:v>160.79333333333335</c:v>
                </c:pt>
                <c:pt idx="315">
                  <c:v>159.67666666666668</c:v>
                </c:pt>
                <c:pt idx="316">
                  <c:v>158.52111111111111</c:v>
                </c:pt>
                <c:pt idx="317">
                  <c:v>157.21888888888893</c:v>
                </c:pt>
                <c:pt idx="318">
                  <c:v>155.8677777777778</c:v>
                </c:pt>
                <c:pt idx="319">
                  <c:v>154.19888888888892</c:v>
                </c:pt>
                <c:pt idx="320">
                  <c:v>152.63111111111112</c:v>
                </c:pt>
                <c:pt idx="321">
                  <c:v>152.75444444444443</c:v>
                </c:pt>
                <c:pt idx="322">
                  <c:v>152.56111111111113</c:v>
                </c:pt>
                <c:pt idx="323">
                  <c:v>151.90444444444447</c:v>
                </c:pt>
                <c:pt idx="324">
                  <c:v>152.37444444444446</c:v>
                </c:pt>
                <c:pt idx="325">
                  <c:v>153.07444444444445</c:v>
                </c:pt>
                <c:pt idx="326">
                  <c:v>153.93555555555557</c:v>
                </c:pt>
                <c:pt idx="327">
                  <c:v>154.42555555555555</c:v>
                </c:pt>
                <c:pt idx="328">
                  <c:v>155.11888888888888</c:v>
                </c:pt>
                <c:pt idx="329">
                  <c:v>155.43555555555554</c:v>
                </c:pt>
                <c:pt idx="330">
                  <c:v>155.54555555555555</c:v>
                </c:pt>
                <c:pt idx="331">
                  <c:v>155.79999999999998</c:v>
                </c:pt>
                <c:pt idx="332">
                  <c:v>156.06666666666669</c:v>
                </c:pt>
                <c:pt idx="333">
                  <c:v>155.73222222222225</c:v>
                </c:pt>
                <c:pt idx="334">
                  <c:v>155.64333333333332</c:v>
                </c:pt>
                <c:pt idx="335">
                  <c:v>155.33777777777777</c:v>
                </c:pt>
                <c:pt idx="336">
                  <c:v>155.23666666666665</c:v>
                </c:pt>
                <c:pt idx="337">
                  <c:v>155.5</c:v>
                </c:pt>
                <c:pt idx="338">
                  <c:v>155.62</c:v>
                </c:pt>
                <c:pt idx="339">
                  <c:v>155.49444444444447</c:v>
                </c:pt>
                <c:pt idx="340">
                  <c:v>155.29777777777781</c:v>
                </c:pt>
                <c:pt idx="341">
                  <c:v>154.42333333333332</c:v>
                </c:pt>
                <c:pt idx="342">
                  <c:v>153.52333333333334</c:v>
                </c:pt>
                <c:pt idx="343">
                  <c:v>152.80000000000004</c:v>
                </c:pt>
                <c:pt idx="344">
                  <c:v>152.39222222222224</c:v>
                </c:pt>
                <c:pt idx="345">
                  <c:v>152.17222222222222</c:v>
                </c:pt>
                <c:pt idx="346">
                  <c:v>151.76777777777778</c:v>
                </c:pt>
                <c:pt idx="347">
                  <c:v>151.49222222222227</c:v>
                </c:pt>
                <c:pt idx="348">
                  <c:v>151.31333333333336</c:v>
                </c:pt>
                <c:pt idx="349">
                  <c:v>151.17999999999998</c:v>
                </c:pt>
                <c:pt idx="350">
                  <c:v>151.71444444444447</c:v>
                </c:pt>
                <c:pt idx="351">
                  <c:v>152.38888888888889</c:v>
                </c:pt>
                <c:pt idx="352">
                  <c:v>152.83000000000001</c:v>
                </c:pt>
                <c:pt idx="353">
                  <c:v>153.26111111111112</c:v>
                </c:pt>
                <c:pt idx="354">
                  <c:v>153.58444444444447</c:v>
                </c:pt>
                <c:pt idx="355">
                  <c:v>153.66888888888892</c:v>
                </c:pt>
                <c:pt idx="356">
                  <c:v>153.67333333333335</c:v>
                </c:pt>
                <c:pt idx="357">
                  <c:v>153.79000000000002</c:v>
                </c:pt>
                <c:pt idx="358">
                  <c:v>154.02222222222224</c:v>
                </c:pt>
                <c:pt idx="359">
                  <c:v>154.24222222222224</c:v>
                </c:pt>
                <c:pt idx="360">
                  <c:v>154.6888888888889</c:v>
                </c:pt>
                <c:pt idx="361">
                  <c:v>154.87555555555554</c:v>
                </c:pt>
                <c:pt idx="362">
                  <c:v>155.03666666666666</c:v>
                </c:pt>
                <c:pt idx="363">
                  <c:v>155.22555555555556</c:v>
                </c:pt>
                <c:pt idx="364">
                  <c:v>155.31444444444443</c:v>
                </c:pt>
                <c:pt idx="365">
                  <c:v>155.2211111111111</c:v>
                </c:pt>
                <c:pt idx="366">
                  <c:v>154.89555555555555</c:v>
                </c:pt>
                <c:pt idx="367">
                  <c:v>154.31333333333333</c:v>
                </c:pt>
                <c:pt idx="368">
                  <c:v>153.87888888888887</c:v>
                </c:pt>
                <c:pt idx="369">
                  <c:v>153.40555555555557</c:v>
                </c:pt>
                <c:pt idx="370">
                  <c:v>153.07444444444445</c:v>
                </c:pt>
                <c:pt idx="371">
                  <c:v>152.55777777777777</c:v>
                </c:pt>
                <c:pt idx="372">
                  <c:v>152.03666666666669</c:v>
                </c:pt>
                <c:pt idx="373">
                  <c:v>151.76222222222225</c:v>
                </c:pt>
                <c:pt idx="374">
                  <c:v>152.15555555555557</c:v>
                </c:pt>
                <c:pt idx="375">
                  <c:v>152.69222222222223</c:v>
                </c:pt>
                <c:pt idx="376">
                  <c:v>153.38333333333333</c:v>
                </c:pt>
                <c:pt idx="377">
                  <c:v>153.82222222222219</c:v>
                </c:pt>
                <c:pt idx="378">
                  <c:v>154.2222222222222</c:v>
                </c:pt>
                <c:pt idx="379">
                  <c:v>154.66666666666663</c:v>
                </c:pt>
                <c:pt idx="380">
                  <c:v>155.29777777777775</c:v>
                </c:pt>
                <c:pt idx="381">
                  <c:v>155.79666666666668</c:v>
                </c:pt>
                <c:pt idx="382">
                  <c:v>156.2488888888889</c:v>
                </c:pt>
                <c:pt idx="383">
                  <c:v>156.16555555555556</c:v>
                </c:pt>
                <c:pt idx="384">
                  <c:v>157.19</c:v>
                </c:pt>
                <c:pt idx="385">
                  <c:v>157.96444444444444</c:v>
                </c:pt>
                <c:pt idx="386">
                  <c:v>158.90111111111113</c:v>
                </c:pt>
                <c:pt idx="387">
                  <c:v>159.85333333333332</c:v>
                </c:pt>
                <c:pt idx="388">
                  <c:v>161.1477777777778</c:v>
                </c:pt>
                <c:pt idx="389">
                  <c:v>162.41555555555556</c:v>
                </c:pt>
                <c:pt idx="390">
                  <c:v>163.82222222222219</c:v>
                </c:pt>
                <c:pt idx="391">
                  <c:v>165.09777777777774</c:v>
                </c:pt>
                <c:pt idx="392">
                  <c:v>166.32555555555555</c:v>
                </c:pt>
                <c:pt idx="393">
                  <c:v>166.69555555555559</c:v>
                </c:pt>
                <c:pt idx="394">
                  <c:v>167.17111111111114</c:v>
                </c:pt>
                <c:pt idx="395">
                  <c:v>167.28666666666666</c:v>
                </c:pt>
                <c:pt idx="396">
                  <c:v>167.61666666666667</c:v>
                </c:pt>
                <c:pt idx="397">
                  <c:v>167.96222222222221</c:v>
                </c:pt>
                <c:pt idx="398">
                  <c:v>168.14444444444445</c:v>
                </c:pt>
                <c:pt idx="399">
                  <c:v>168.25888888888889</c:v>
                </c:pt>
                <c:pt idx="400">
                  <c:v>168.61777777777777</c:v>
                </c:pt>
                <c:pt idx="401">
                  <c:v>169.40777777777777</c:v>
                </c:pt>
                <c:pt idx="402">
                  <c:v>170.04222222222222</c:v>
                </c:pt>
                <c:pt idx="403">
                  <c:v>170.65555555555554</c:v>
                </c:pt>
                <c:pt idx="404">
                  <c:v>171.73111111111109</c:v>
                </c:pt>
                <c:pt idx="405">
                  <c:v>172.55222222222221</c:v>
                </c:pt>
                <c:pt idx="406">
                  <c:v>173.17444444444448</c:v>
                </c:pt>
                <c:pt idx="407">
                  <c:v>173.78666666666666</c:v>
                </c:pt>
                <c:pt idx="408">
                  <c:v>174.58777777777775</c:v>
                </c:pt>
                <c:pt idx="409">
                  <c:v>175.39999999999998</c:v>
                </c:pt>
                <c:pt idx="410">
                  <c:v>176.02222222222224</c:v>
                </c:pt>
                <c:pt idx="411">
                  <c:v>176.63</c:v>
                </c:pt>
                <c:pt idx="412">
                  <c:v>177.25555555555556</c:v>
                </c:pt>
                <c:pt idx="413">
                  <c:v>177.48555555555558</c:v>
                </c:pt>
                <c:pt idx="414">
                  <c:v>177.71555555555557</c:v>
                </c:pt>
                <c:pt idx="415">
                  <c:v>177.58333333333334</c:v>
                </c:pt>
                <c:pt idx="416">
                  <c:v>177.68555555555554</c:v>
                </c:pt>
                <c:pt idx="417">
                  <c:v>177.71444444444444</c:v>
                </c:pt>
                <c:pt idx="418">
                  <c:v>177.62111111111111</c:v>
                </c:pt>
                <c:pt idx="419">
                  <c:v>177.60222222222222</c:v>
                </c:pt>
                <c:pt idx="420">
                  <c:v>177.50666666666666</c:v>
                </c:pt>
                <c:pt idx="421">
                  <c:v>177.47555555555559</c:v>
                </c:pt>
                <c:pt idx="422">
                  <c:v>177.52777777777777</c:v>
                </c:pt>
                <c:pt idx="423">
                  <c:v>177.41666666666666</c:v>
                </c:pt>
                <c:pt idx="424">
                  <c:v>177.75555555555559</c:v>
                </c:pt>
                <c:pt idx="425">
                  <c:v>177.85444444444443</c:v>
                </c:pt>
                <c:pt idx="426">
                  <c:v>177.78111111111113</c:v>
                </c:pt>
                <c:pt idx="427">
                  <c:v>177.61</c:v>
                </c:pt>
                <c:pt idx="428">
                  <c:v>177.43666666666667</c:v>
                </c:pt>
                <c:pt idx="429">
                  <c:v>176.96222222222227</c:v>
                </c:pt>
                <c:pt idx="430">
                  <c:v>176.74666666666667</c:v>
                </c:pt>
                <c:pt idx="431">
                  <c:v>176.44111111111113</c:v>
                </c:pt>
                <c:pt idx="432">
                  <c:v>176.5288888888889</c:v>
                </c:pt>
                <c:pt idx="433">
                  <c:v>176.32777777777778</c:v>
                </c:pt>
                <c:pt idx="434">
                  <c:v>176.29111111111109</c:v>
                </c:pt>
                <c:pt idx="435">
                  <c:v>176.54777777777778</c:v>
                </c:pt>
                <c:pt idx="436">
                  <c:v>177.12111111111113</c:v>
                </c:pt>
                <c:pt idx="437">
                  <c:v>178.03444444444449</c:v>
                </c:pt>
                <c:pt idx="438">
                  <c:v>179.35555555555555</c:v>
                </c:pt>
                <c:pt idx="439">
                  <c:v>180.44333333333333</c:v>
                </c:pt>
                <c:pt idx="440">
                  <c:v>182.04666666666668</c:v>
                </c:pt>
                <c:pt idx="441">
                  <c:v>183.33333333333337</c:v>
                </c:pt>
                <c:pt idx="442">
                  <c:v>184.68888888888893</c:v>
                </c:pt>
                <c:pt idx="443">
                  <c:v>186.01777777777781</c:v>
                </c:pt>
                <c:pt idx="444">
                  <c:v>187.28111111111107</c:v>
                </c:pt>
                <c:pt idx="445">
                  <c:v>188.29222222222222</c:v>
                </c:pt>
                <c:pt idx="446">
                  <c:v>188.90111111111111</c:v>
                </c:pt>
                <c:pt idx="447">
                  <c:v>189.43444444444444</c:v>
                </c:pt>
                <c:pt idx="448">
                  <c:v>190.01111111111109</c:v>
                </c:pt>
                <c:pt idx="449">
                  <c:v>190.39777777777778</c:v>
                </c:pt>
                <c:pt idx="450">
                  <c:v>190.96</c:v>
                </c:pt>
                <c:pt idx="451">
                  <c:v>191.4966666666667</c:v>
                </c:pt>
                <c:pt idx="452">
                  <c:v>191.74000000000004</c:v>
                </c:pt>
                <c:pt idx="453">
                  <c:v>191.94666666666666</c:v>
                </c:pt>
                <c:pt idx="454">
                  <c:v>192.14111111111114</c:v>
                </c:pt>
                <c:pt idx="455">
                  <c:v>192.08555555555557</c:v>
                </c:pt>
                <c:pt idx="456">
                  <c:v>192.02444444444444</c:v>
                </c:pt>
                <c:pt idx="457">
                  <c:v>191.55333333333337</c:v>
                </c:pt>
                <c:pt idx="458">
                  <c:v>190.94</c:v>
                </c:pt>
                <c:pt idx="459">
                  <c:v>190.47666666666666</c:v>
                </c:pt>
                <c:pt idx="460">
                  <c:v>189.9377777777778</c:v>
                </c:pt>
                <c:pt idx="461">
                  <c:v>189.31333333333333</c:v>
                </c:pt>
                <c:pt idx="462">
                  <c:v>188.63777777777781</c:v>
                </c:pt>
                <c:pt idx="463">
                  <c:v>187.91888888888889</c:v>
                </c:pt>
                <c:pt idx="464">
                  <c:v>187.53777777777782</c:v>
                </c:pt>
                <c:pt idx="465">
                  <c:v>187.12333333333333</c:v>
                </c:pt>
                <c:pt idx="466">
                  <c:v>187.28777777777776</c:v>
                </c:pt>
                <c:pt idx="467">
                  <c:v>188.0911111111111</c:v>
                </c:pt>
                <c:pt idx="468">
                  <c:v>188.68444444444444</c:v>
                </c:pt>
                <c:pt idx="469">
                  <c:v>189.39333333333332</c:v>
                </c:pt>
                <c:pt idx="470">
                  <c:v>190.4677777777778</c:v>
                </c:pt>
                <c:pt idx="471">
                  <c:v>191.88111111111112</c:v>
                </c:pt>
                <c:pt idx="472">
                  <c:v>193.43666666666667</c:v>
                </c:pt>
                <c:pt idx="473">
                  <c:v>195.16333333333333</c:v>
                </c:pt>
                <c:pt idx="474">
                  <c:v>196.99666666666664</c:v>
                </c:pt>
                <c:pt idx="475">
                  <c:v>198.71777777777777</c:v>
                </c:pt>
                <c:pt idx="476">
                  <c:v>200.07555555555552</c:v>
                </c:pt>
                <c:pt idx="477">
                  <c:v>201.44</c:v>
                </c:pt>
                <c:pt idx="478">
                  <c:v>202.80777777777777</c:v>
                </c:pt>
                <c:pt idx="479">
                  <c:v>204.0288888888889</c:v>
                </c:pt>
                <c:pt idx="480">
                  <c:v>204.66888888888889</c:v>
                </c:pt>
                <c:pt idx="481">
                  <c:v>205.27111111111111</c:v>
                </c:pt>
                <c:pt idx="482">
                  <c:v>205.58444444444444</c:v>
                </c:pt>
                <c:pt idx="483">
                  <c:v>205.51888888888891</c:v>
                </c:pt>
                <c:pt idx="484">
                  <c:v>205.3</c:v>
                </c:pt>
                <c:pt idx="485">
                  <c:v>204.80777777777777</c:v>
                </c:pt>
                <c:pt idx="486">
                  <c:v>204.0622222222222</c:v>
                </c:pt>
                <c:pt idx="487">
                  <c:v>203.94888888888889</c:v>
                </c:pt>
                <c:pt idx="488">
                  <c:v>204.29222222222222</c:v>
                </c:pt>
                <c:pt idx="489">
                  <c:v>204.98555555555555</c:v>
                </c:pt>
                <c:pt idx="490">
                  <c:v>205.95777777777778</c:v>
                </c:pt>
                <c:pt idx="491">
                  <c:v>206.39888888888888</c:v>
                </c:pt>
                <c:pt idx="492">
                  <c:v>207.27111111111108</c:v>
                </c:pt>
                <c:pt idx="493">
                  <c:v>207.98</c:v>
                </c:pt>
                <c:pt idx="494">
                  <c:v>208.50777777777773</c:v>
                </c:pt>
                <c:pt idx="495">
                  <c:v>209.32555555555552</c:v>
                </c:pt>
                <c:pt idx="496">
                  <c:v>209.24111111111108</c:v>
                </c:pt>
                <c:pt idx="497">
                  <c:v>208.99333333333331</c:v>
                </c:pt>
                <c:pt idx="498">
                  <c:v>208.55444444444441</c:v>
                </c:pt>
                <c:pt idx="499">
                  <c:v>207.82000000000002</c:v>
                </c:pt>
                <c:pt idx="500">
                  <c:v>207.55444444444444</c:v>
                </c:pt>
                <c:pt idx="501">
                  <c:v>207.17888888888891</c:v>
                </c:pt>
                <c:pt idx="502">
                  <c:v>207.07222222222222</c:v>
                </c:pt>
                <c:pt idx="503">
                  <c:v>206.84333333333333</c:v>
                </c:pt>
                <c:pt idx="504">
                  <c:v>206.5622222222222</c:v>
                </c:pt>
                <c:pt idx="505">
                  <c:v>206.7522222222222</c:v>
                </c:pt>
                <c:pt idx="506">
                  <c:v>206.52666666666664</c:v>
                </c:pt>
                <c:pt idx="507">
                  <c:v>206.16666666666666</c:v>
                </c:pt>
                <c:pt idx="508">
                  <c:v>206.40666666666667</c:v>
                </c:pt>
                <c:pt idx="509">
                  <c:v>207.15555555555554</c:v>
                </c:pt>
                <c:pt idx="510">
                  <c:v>208.44444444444446</c:v>
                </c:pt>
                <c:pt idx="511">
                  <c:v>209.80222222222221</c:v>
                </c:pt>
                <c:pt idx="512">
                  <c:v>211.39666666666665</c:v>
                </c:pt>
                <c:pt idx="513">
                  <c:v>212.88777777777779</c:v>
                </c:pt>
                <c:pt idx="514">
                  <c:v>214.05666666666667</c:v>
                </c:pt>
                <c:pt idx="515">
                  <c:v>215.47222222222223</c:v>
                </c:pt>
                <c:pt idx="516">
                  <c:v>217.22222222222223</c:v>
                </c:pt>
                <c:pt idx="517">
                  <c:v>218.52999999999997</c:v>
                </c:pt>
                <c:pt idx="518">
                  <c:v>219.72888888888892</c:v>
                </c:pt>
                <c:pt idx="519">
                  <c:v>220.74777777777777</c:v>
                </c:pt>
                <c:pt idx="520">
                  <c:v>221.60555555555555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03-468B-9131-354F8BD72AA0}"/>
            </c:ext>
          </c:extLst>
        </c:ser>
        <c:ser>
          <c:idx val="2"/>
          <c:order val="2"/>
          <c:tx>
            <c:strRef>
              <c:f>JNJ!$F$1</c:f>
              <c:strCache>
                <c:ptCount val="1"/>
                <c:pt idx="0">
                  <c:v>20d SMA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JNJ!$B$2:$B$522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JNJ!$F$2:$F$522</c:f>
              <c:numCache>
                <c:formatCode>General</c:formatCode>
                <c:ptCount val="521"/>
                <c:pt idx="19">
                  <c:v>160.67699999999999</c:v>
                </c:pt>
                <c:pt idx="20">
                  <c:v>160.62350000000001</c:v>
                </c:pt>
                <c:pt idx="21">
                  <c:v>160.49300000000002</c:v>
                </c:pt>
                <c:pt idx="22">
                  <c:v>160.29200000000003</c:v>
                </c:pt>
                <c:pt idx="23">
                  <c:v>160.02550000000002</c:v>
                </c:pt>
                <c:pt idx="24">
                  <c:v>159.85200000000003</c:v>
                </c:pt>
                <c:pt idx="25">
                  <c:v>159.66950000000003</c:v>
                </c:pt>
                <c:pt idx="26">
                  <c:v>159.39600000000002</c:v>
                </c:pt>
                <c:pt idx="27">
                  <c:v>159.17650000000003</c:v>
                </c:pt>
                <c:pt idx="28">
                  <c:v>158.9495</c:v>
                </c:pt>
                <c:pt idx="29">
                  <c:v>158.74700000000001</c:v>
                </c:pt>
                <c:pt idx="30">
                  <c:v>158.51249999999999</c:v>
                </c:pt>
                <c:pt idx="31">
                  <c:v>158.34800000000001</c:v>
                </c:pt>
                <c:pt idx="32">
                  <c:v>158.0915</c:v>
                </c:pt>
                <c:pt idx="33">
                  <c:v>157.86099999999999</c:v>
                </c:pt>
                <c:pt idx="34">
                  <c:v>157.80450000000002</c:v>
                </c:pt>
                <c:pt idx="35">
                  <c:v>157.87899999999999</c:v>
                </c:pt>
                <c:pt idx="36">
                  <c:v>157.99299999999999</c:v>
                </c:pt>
                <c:pt idx="37">
                  <c:v>158.0575</c:v>
                </c:pt>
                <c:pt idx="38">
                  <c:v>158.13849999999999</c:v>
                </c:pt>
                <c:pt idx="39">
                  <c:v>158.2775</c:v>
                </c:pt>
                <c:pt idx="40">
                  <c:v>158.4015</c:v>
                </c:pt>
                <c:pt idx="41">
                  <c:v>158.58950000000002</c:v>
                </c:pt>
                <c:pt idx="42">
                  <c:v>158.75100000000003</c:v>
                </c:pt>
                <c:pt idx="43">
                  <c:v>158.95950000000002</c:v>
                </c:pt>
                <c:pt idx="44">
                  <c:v>159.02350000000004</c:v>
                </c:pt>
                <c:pt idx="45">
                  <c:v>159.06800000000001</c:v>
                </c:pt>
                <c:pt idx="46">
                  <c:v>159.22399999999999</c:v>
                </c:pt>
                <c:pt idx="47">
                  <c:v>159.44749999999999</c:v>
                </c:pt>
                <c:pt idx="48">
                  <c:v>159.69200000000001</c:v>
                </c:pt>
                <c:pt idx="49">
                  <c:v>159.92349999999999</c:v>
                </c:pt>
                <c:pt idx="50">
                  <c:v>160.09700000000001</c:v>
                </c:pt>
                <c:pt idx="51">
                  <c:v>160.10999999999999</c:v>
                </c:pt>
                <c:pt idx="52">
                  <c:v>160.12049999999999</c:v>
                </c:pt>
                <c:pt idx="53">
                  <c:v>160.03800000000001</c:v>
                </c:pt>
                <c:pt idx="54">
                  <c:v>159.892</c:v>
                </c:pt>
                <c:pt idx="55">
                  <c:v>159.65700000000001</c:v>
                </c:pt>
                <c:pt idx="56">
                  <c:v>159.32650000000001</c:v>
                </c:pt>
                <c:pt idx="57">
                  <c:v>159.048</c:v>
                </c:pt>
                <c:pt idx="58">
                  <c:v>158.78750000000002</c:v>
                </c:pt>
                <c:pt idx="59">
                  <c:v>158.608</c:v>
                </c:pt>
                <c:pt idx="60">
                  <c:v>158.44850000000002</c:v>
                </c:pt>
                <c:pt idx="61">
                  <c:v>158.23150000000001</c:v>
                </c:pt>
                <c:pt idx="62">
                  <c:v>158.12600000000003</c:v>
                </c:pt>
                <c:pt idx="63">
                  <c:v>157.84050000000002</c:v>
                </c:pt>
                <c:pt idx="64">
                  <c:v>157.49850000000001</c:v>
                </c:pt>
                <c:pt idx="65">
                  <c:v>157.17450000000002</c:v>
                </c:pt>
                <c:pt idx="66">
                  <c:v>156.77799999999999</c:v>
                </c:pt>
                <c:pt idx="67">
                  <c:v>156.33100000000002</c:v>
                </c:pt>
                <c:pt idx="68">
                  <c:v>155.70399999999998</c:v>
                </c:pt>
                <c:pt idx="69">
                  <c:v>155.08850000000001</c:v>
                </c:pt>
                <c:pt idx="70">
                  <c:v>154.50399999999999</c:v>
                </c:pt>
                <c:pt idx="71">
                  <c:v>153.97450000000001</c:v>
                </c:pt>
                <c:pt idx="72">
                  <c:v>153.35899999999998</c:v>
                </c:pt>
                <c:pt idx="73">
                  <c:v>152.78699999999998</c:v>
                </c:pt>
                <c:pt idx="74">
                  <c:v>152.286</c:v>
                </c:pt>
                <c:pt idx="75">
                  <c:v>151.89400000000001</c:v>
                </c:pt>
                <c:pt idx="76">
                  <c:v>151.58849999999998</c:v>
                </c:pt>
                <c:pt idx="77">
                  <c:v>151.30549999999997</c:v>
                </c:pt>
                <c:pt idx="78">
                  <c:v>150.9435</c:v>
                </c:pt>
                <c:pt idx="79">
                  <c:v>150.38650000000001</c:v>
                </c:pt>
                <c:pt idx="80">
                  <c:v>149.78399999999999</c:v>
                </c:pt>
                <c:pt idx="81">
                  <c:v>149.23600000000002</c:v>
                </c:pt>
                <c:pt idx="82">
                  <c:v>148.57900000000001</c:v>
                </c:pt>
                <c:pt idx="83">
                  <c:v>148.42500000000001</c:v>
                </c:pt>
                <c:pt idx="84">
                  <c:v>148.29600000000002</c:v>
                </c:pt>
                <c:pt idx="85">
                  <c:v>148.14000000000001</c:v>
                </c:pt>
                <c:pt idx="86">
                  <c:v>147.98949999999999</c:v>
                </c:pt>
                <c:pt idx="87">
                  <c:v>147.81099999999998</c:v>
                </c:pt>
                <c:pt idx="88">
                  <c:v>147.74849999999995</c:v>
                </c:pt>
                <c:pt idx="89">
                  <c:v>147.80149999999995</c:v>
                </c:pt>
                <c:pt idx="90">
                  <c:v>147.92099999999994</c:v>
                </c:pt>
                <c:pt idx="91">
                  <c:v>148.10249999999996</c:v>
                </c:pt>
                <c:pt idx="92">
                  <c:v>148.44899999999996</c:v>
                </c:pt>
                <c:pt idx="93">
                  <c:v>148.84399999999997</c:v>
                </c:pt>
                <c:pt idx="94">
                  <c:v>149.27100000000002</c:v>
                </c:pt>
                <c:pt idx="95">
                  <c:v>149.60750000000002</c:v>
                </c:pt>
                <c:pt idx="96">
                  <c:v>149.71499999999997</c:v>
                </c:pt>
                <c:pt idx="97">
                  <c:v>149.79900000000004</c:v>
                </c:pt>
                <c:pt idx="98">
                  <c:v>150.04749999999999</c:v>
                </c:pt>
                <c:pt idx="99">
                  <c:v>150.19149999999999</c:v>
                </c:pt>
                <c:pt idx="100">
                  <c:v>150.23299999999998</c:v>
                </c:pt>
                <c:pt idx="101">
                  <c:v>150.11099999999999</c:v>
                </c:pt>
                <c:pt idx="102">
                  <c:v>150.1035</c:v>
                </c:pt>
                <c:pt idx="103">
                  <c:v>149.80850000000004</c:v>
                </c:pt>
                <c:pt idx="104">
                  <c:v>149.64600000000002</c:v>
                </c:pt>
                <c:pt idx="105">
                  <c:v>149.56950000000001</c:v>
                </c:pt>
                <c:pt idx="106">
                  <c:v>149.53050000000002</c:v>
                </c:pt>
                <c:pt idx="107">
                  <c:v>149.393</c:v>
                </c:pt>
                <c:pt idx="108">
                  <c:v>149.26650000000001</c:v>
                </c:pt>
                <c:pt idx="109">
                  <c:v>149.12799999999999</c:v>
                </c:pt>
                <c:pt idx="110">
                  <c:v>148.989</c:v>
                </c:pt>
                <c:pt idx="111">
                  <c:v>148.76600000000002</c:v>
                </c:pt>
                <c:pt idx="112">
                  <c:v>148.46750000000003</c:v>
                </c:pt>
                <c:pt idx="113">
                  <c:v>148.10650000000001</c:v>
                </c:pt>
                <c:pt idx="114">
                  <c:v>147.66949999999997</c:v>
                </c:pt>
                <c:pt idx="115">
                  <c:v>147.23499999999999</c:v>
                </c:pt>
                <c:pt idx="116">
                  <c:v>146.95399999999998</c:v>
                </c:pt>
                <c:pt idx="117">
                  <c:v>146.78100000000001</c:v>
                </c:pt>
                <c:pt idx="118">
                  <c:v>146.54349999999999</c:v>
                </c:pt>
                <c:pt idx="119">
                  <c:v>146.51450000000003</c:v>
                </c:pt>
                <c:pt idx="120">
                  <c:v>146.52550000000002</c:v>
                </c:pt>
                <c:pt idx="121">
                  <c:v>146.64750000000004</c:v>
                </c:pt>
                <c:pt idx="122">
                  <c:v>146.71550000000005</c:v>
                </c:pt>
                <c:pt idx="123">
                  <c:v>146.75950000000003</c:v>
                </c:pt>
                <c:pt idx="124">
                  <c:v>146.74800000000002</c:v>
                </c:pt>
                <c:pt idx="125">
                  <c:v>146.66250000000002</c:v>
                </c:pt>
                <c:pt idx="126">
                  <c:v>146.55700000000004</c:v>
                </c:pt>
                <c:pt idx="127">
                  <c:v>146.58250000000004</c:v>
                </c:pt>
                <c:pt idx="128">
                  <c:v>146.53550000000001</c:v>
                </c:pt>
                <c:pt idx="129">
                  <c:v>146.53400000000002</c:v>
                </c:pt>
                <c:pt idx="130">
                  <c:v>146.649</c:v>
                </c:pt>
                <c:pt idx="131">
                  <c:v>146.79599999999999</c:v>
                </c:pt>
                <c:pt idx="132">
                  <c:v>147.01949999999999</c:v>
                </c:pt>
                <c:pt idx="133">
                  <c:v>147.209</c:v>
                </c:pt>
                <c:pt idx="134">
                  <c:v>147.48250000000002</c:v>
                </c:pt>
                <c:pt idx="135">
                  <c:v>148.01399999999998</c:v>
                </c:pt>
                <c:pt idx="136">
                  <c:v>148.5025</c:v>
                </c:pt>
                <c:pt idx="137">
                  <c:v>148.84800000000001</c:v>
                </c:pt>
                <c:pt idx="138">
                  <c:v>149.12250000000003</c:v>
                </c:pt>
                <c:pt idx="139">
                  <c:v>149.28400000000005</c:v>
                </c:pt>
                <c:pt idx="140">
                  <c:v>149.73850000000002</c:v>
                </c:pt>
                <c:pt idx="141">
                  <c:v>150.37950000000004</c:v>
                </c:pt>
                <c:pt idx="142">
                  <c:v>151.12150000000003</c:v>
                </c:pt>
                <c:pt idx="143">
                  <c:v>151.74150000000003</c:v>
                </c:pt>
                <c:pt idx="144">
                  <c:v>152.48599999999999</c:v>
                </c:pt>
                <c:pt idx="145">
                  <c:v>153.077</c:v>
                </c:pt>
                <c:pt idx="146">
                  <c:v>153.83049999999997</c:v>
                </c:pt>
                <c:pt idx="147">
                  <c:v>154.71349999999995</c:v>
                </c:pt>
                <c:pt idx="148">
                  <c:v>155.50199999999998</c:v>
                </c:pt>
                <c:pt idx="149">
                  <c:v>156.09799999999996</c:v>
                </c:pt>
                <c:pt idx="150">
                  <c:v>156.57149999999996</c:v>
                </c:pt>
                <c:pt idx="151">
                  <c:v>157.09749999999994</c:v>
                </c:pt>
                <c:pt idx="152">
                  <c:v>157.63449999999995</c:v>
                </c:pt>
                <c:pt idx="153">
                  <c:v>158.16649999999998</c:v>
                </c:pt>
                <c:pt idx="154">
                  <c:v>158.53549999999998</c:v>
                </c:pt>
                <c:pt idx="155">
                  <c:v>158.63049999999996</c:v>
                </c:pt>
                <c:pt idx="156">
                  <c:v>158.81399999999996</c:v>
                </c:pt>
                <c:pt idx="157">
                  <c:v>159.04899999999998</c:v>
                </c:pt>
                <c:pt idx="158">
                  <c:v>159.31850000000003</c:v>
                </c:pt>
                <c:pt idx="159">
                  <c:v>159.709</c:v>
                </c:pt>
                <c:pt idx="160">
                  <c:v>159.9665</c:v>
                </c:pt>
                <c:pt idx="161">
                  <c:v>160.102</c:v>
                </c:pt>
                <c:pt idx="162">
                  <c:v>160.2765</c:v>
                </c:pt>
                <c:pt idx="163">
                  <c:v>160.57900000000001</c:v>
                </c:pt>
                <c:pt idx="164">
                  <c:v>160.66</c:v>
                </c:pt>
                <c:pt idx="165">
                  <c:v>160.96350000000001</c:v>
                </c:pt>
                <c:pt idx="166">
                  <c:v>161.137</c:v>
                </c:pt>
                <c:pt idx="167">
                  <c:v>161.22300000000001</c:v>
                </c:pt>
                <c:pt idx="168">
                  <c:v>161.51850000000002</c:v>
                </c:pt>
                <c:pt idx="169">
                  <c:v>161.93800000000002</c:v>
                </c:pt>
                <c:pt idx="170">
                  <c:v>162.24250000000001</c:v>
                </c:pt>
                <c:pt idx="171">
                  <c:v>162.45050000000001</c:v>
                </c:pt>
                <c:pt idx="172">
                  <c:v>162.75000000000003</c:v>
                </c:pt>
                <c:pt idx="173">
                  <c:v>163.12500000000003</c:v>
                </c:pt>
                <c:pt idx="174">
                  <c:v>163.44650000000001</c:v>
                </c:pt>
                <c:pt idx="175">
                  <c:v>163.75450000000004</c:v>
                </c:pt>
                <c:pt idx="176">
                  <c:v>164.07600000000002</c:v>
                </c:pt>
                <c:pt idx="177">
                  <c:v>164.45599999999999</c:v>
                </c:pt>
                <c:pt idx="178">
                  <c:v>164.82800000000003</c:v>
                </c:pt>
                <c:pt idx="179">
                  <c:v>165.1275</c:v>
                </c:pt>
                <c:pt idx="180">
                  <c:v>165.29700000000005</c:v>
                </c:pt>
                <c:pt idx="181">
                  <c:v>165.38750000000002</c:v>
                </c:pt>
                <c:pt idx="182">
                  <c:v>165.34200000000001</c:v>
                </c:pt>
                <c:pt idx="183">
                  <c:v>165.25050000000005</c:v>
                </c:pt>
                <c:pt idx="184">
                  <c:v>165.13300000000004</c:v>
                </c:pt>
                <c:pt idx="185">
                  <c:v>165.00650000000002</c:v>
                </c:pt>
                <c:pt idx="186">
                  <c:v>164.86499999999998</c:v>
                </c:pt>
                <c:pt idx="187">
                  <c:v>164.67500000000001</c:v>
                </c:pt>
                <c:pt idx="188">
                  <c:v>164.41649999999998</c:v>
                </c:pt>
                <c:pt idx="189">
                  <c:v>164.10700000000003</c:v>
                </c:pt>
                <c:pt idx="190">
                  <c:v>163.88250000000002</c:v>
                </c:pt>
                <c:pt idx="191">
                  <c:v>163.67800000000003</c:v>
                </c:pt>
                <c:pt idx="192">
                  <c:v>163.32400000000001</c:v>
                </c:pt>
                <c:pt idx="193">
                  <c:v>162.93950000000001</c:v>
                </c:pt>
                <c:pt idx="194">
                  <c:v>162.73100000000002</c:v>
                </c:pt>
                <c:pt idx="195">
                  <c:v>162.52449999999999</c:v>
                </c:pt>
                <c:pt idx="196">
                  <c:v>162.32150000000001</c:v>
                </c:pt>
                <c:pt idx="197">
                  <c:v>162.05200000000002</c:v>
                </c:pt>
                <c:pt idx="198">
                  <c:v>161.90350000000004</c:v>
                </c:pt>
                <c:pt idx="199">
                  <c:v>161.81</c:v>
                </c:pt>
                <c:pt idx="200">
                  <c:v>161.79249999999996</c:v>
                </c:pt>
                <c:pt idx="201">
                  <c:v>161.84049999999996</c:v>
                </c:pt>
                <c:pt idx="202">
                  <c:v>161.821</c:v>
                </c:pt>
                <c:pt idx="203">
                  <c:v>161.85449999999997</c:v>
                </c:pt>
                <c:pt idx="204">
                  <c:v>162.11750000000001</c:v>
                </c:pt>
                <c:pt idx="205">
                  <c:v>162.23150000000001</c:v>
                </c:pt>
                <c:pt idx="206">
                  <c:v>162.20549999999997</c:v>
                </c:pt>
                <c:pt idx="207">
                  <c:v>162.18249999999998</c:v>
                </c:pt>
                <c:pt idx="208">
                  <c:v>162.08749999999998</c:v>
                </c:pt>
                <c:pt idx="209">
                  <c:v>162.05950000000001</c:v>
                </c:pt>
                <c:pt idx="210">
                  <c:v>162.0275</c:v>
                </c:pt>
                <c:pt idx="211">
                  <c:v>162.01950000000002</c:v>
                </c:pt>
                <c:pt idx="212">
                  <c:v>161.95500000000001</c:v>
                </c:pt>
                <c:pt idx="213">
                  <c:v>161.88800000000003</c:v>
                </c:pt>
                <c:pt idx="214">
                  <c:v>161.74950000000001</c:v>
                </c:pt>
                <c:pt idx="215">
                  <c:v>161.56050000000005</c:v>
                </c:pt>
                <c:pt idx="216">
                  <c:v>161.261</c:v>
                </c:pt>
                <c:pt idx="217">
                  <c:v>160.93300000000002</c:v>
                </c:pt>
                <c:pt idx="218">
                  <c:v>160.35999999999999</c:v>
                </c:pt>
                <c:pt idx="219">
                  <c:v>159.80799999999999</c:v>
                </c:pt>
                <c:pt idx="220">
                  <c:v>159.17799999999997</c:v>
                </c:pt>
                <c:pt idx="221">
                  <c:v>158.62199999999999</c:v>
                </c:pt>
                <c:pt idx="222">
                  <c:v>158.21899999999999</c:v>
                </c:pt>
                <c:pt idx="223">
                  <c:v>157.69649999999999</c:v>
                </c:pt>
                <c:pt idx="224">
                  <c:v>157.05900000000003</c:v>
                </c:pt>
                <c:pt idx="225">
                  <c:v>156.65050000000002</c:v>
                </c:pt>
                <c:pt idx="226">
                  <c:v>156.36500000000001</c:v>
                </c:pt>
                <c:pt idx="227">
                  <c:v>156.07400000000001</c:v>
                </c:pt>
                <c:pt idx="228">
                  <c:v>155.7955</c:v>
                </c:pt>
                <c:pt idx="229">
                  <c:v>155.53500000000003</c:v>
                </c:pt>
                <c:pt idx="230">
                  <c:v>155.29250000000002</c:v>
                </c:pt>
                <c:pt idx="231">
                  <c:v>155.02600000000001</c:v>
                </c:pt>
                <c:pt idx="232">
                  <c:v>154.73200000000003</c:v>
                </c:pt>
                <c:pt idx="233">
                  <c:v>154.33800000000002</c:v>
                </c:pt>
                <c:pt idx="234">
                  <c:v>153.92000000000002</c:v>
                </c:pt>
                <c:pt idx="235">
                  <c:v>153.54899999999998</c:v>
                </c:pt>
                <c:pt idx="236">
                  <c:v>153.25550000000001</c:v>
                </c:pt>
                <c:pt idx="237">
                  <c:v>152.965</c:v>
                </c:pt>
                <c:pt idx="238">
                  <c:v>152.66499999999999</c:v>
                </c:pt>
                <c:pt idx="239">
                  <c:v>152.31499999999997</c:v>
                </c:pt>
                <c:pt idx="240">
                  <c:v>152.05250000000001</c:v>
                </c:pt>
                <c:pt idx="241">
                  <c:v>151.54500000000002</c:v>
                </c:pt>
                <c:pt idx="242">
                  <c:v>151.12699999999998</c:v>
                </c:pt>
                <c:pt idx="243">
                  <c:v>150.71449999999993</c:v>
                </c:pt>
                <c:pt idx="244">
                  <c:v>150.238</c:v>
                </c:pt>
                <c:pt idx="245">
                  <c:v>149.68649999999997</c:v>
                </c:pt>
                <c:pt idx="246">
                  <c:v>149.19149999999996</c:v>
                </c:pt>
                <c:pt idx="247">
                  <c:v>148.69499999999999</c:v>
                </c:pt>
                <c:pt idx="248">
                  <c:v>148.24799999999996</c:v>
                </c:pt>
                <c:pt idx="249">
                  <c:v>147.73050000000001</c:v>
                </c:pt>
                <c:pt idx="250">
                  <c:v>147.14699999999999</c:v>
                </c:pt>
                <c:pt idx="251">
                  <c:v>146.63800000000001</c:v>
                </c:pt>
                <c:pt idx="252">
                  <c:v>146.221</c:v>
                </c:pt>
                <c:pt idx="253">
                  <c:v>145.90700000000001</c:v>
                </c:pt>
                <c:pt idx="254">
                  <c:v>145.61399999999998</c:v>
                </c:pt>
                <c:pt idx="255">
                  <c:v>145.45999999999998</c:v>
                </c:pt>
                <c:pt idx="256">
                  <c:v>145.09349999999998</c:v>
                </c:pt>
                <c:pt idx="257">
                  <c:v>144.73499999999996</c:v>
                </c:pt>
                <c:pt idx="258">
                  <c:v>144.62649999999996</c:v>
                </c:pt>
                <c:pt idx="259">
                  <c:v>144.55199999999996</c:v>
                </c:pt>
                <c:pt idx="260">
                  <c:v>144.46949999999998</c:v>
                </c:pt>
                <c:pt idx="261">
                  <c:v>144.66550000000001</c:v>
                </c:pt>
                <c:pt idx="262">
                  <c:v>144.69650000000001</c:v>
                </c:pt>
                <c:pt idx="263">
                  <c:v>144.86650000000003</c:v>
                </c:pt>
                <c:pt idx="264">
                  <c:v>144.95099999999999</c:v>
                </c:pt>
                <c:pt idx="265">
                  <c:v>145.05950000000001</c:v>
                </c:pt>
                <c:pt idx="266">
                  <c:v>145.13700000000003</c:v>
                </c:pt>
                <c:pt idx="267">
                  <c:v>145.48899999999998</c:v>
                </c:pt>
                <c:pt idx="268">
                  <c:v>145.72899999999998</c:v>
                </c:pt>
                <c:pt idx="269">
                  <c:v>146.03400000000002</c:v>
                </c:pt>
                <c:pt idx="270">
                  <c:v>146.51050000000001</c:v>
                </c:pt>
                <c:pt idx="271">
                  <c:v>146.887</c:v>
                </c:pt>
                <c:pt idx="272">
                  <c:v>147.27950000000001</c:v>
                </c:pt>
                <c:pt idx="273">
                  <c:v>147.74450000000002</c:v>
                </c:pt>
                <c:pt idx="274">
                  <c:v>148.29600000000002</c:v>
                </c:pt>
                <c:pt idx="275">
                  <c:v>148.66</c:v>
                </c:pt>
                <c:pt idx="276">
                  <c:v>149.20250000000001</c:v>
                </c:pt>
                <c:pt idx="277">
                  <c:v>149.81149999999997</c:v>
                </c:pt>
                <c:pt idx="278">
                  <c:v>150.39449999999997</c:v>
                </c:pt>
                <c:pt idx="279">
                  <c:v>150.91999999999999</c:v>
                </c:pt>
                <c:pt idx="280">
                  <c:v>151.53400000000002</c:v>
                </c:pt>
                <c:pt idx="281">
                  <c:v>151.95300000000003</c:v>
                </c:pt>
                <c:pt idx="282">
                  <c:v>152.35100000000003</c:v>
                </c:pt>
                <c:pt idx="283">
                  <c:v>152.83800000000002</c:v>
                </c:pt>
                <c:pt idx="284">
                  <c:v>153.55850000000001</c:v>
                </c:pt>
                <c:pt idx="285">
                  <c:v>154.3415</c:v>
                </c:pt>
                <c:pt idx="286">
                  <c:v>155.1875</c:v>
                </c:pt>
                <c:pt idx="287">
                  <c:v>155.8475</c:v>
                </c:pt>
                <c:pt idx="288">
                  <c:v>156.48249999999999</c:v>
                </c:pt>
                <c:pt idx="289">
                  <c:v>157.11150000000001</c:v>
                </c:pt>
                <c:pt idx="290">
                  <c:v>157.71899999999999</c:v>
                </c:pt>
                <c:pt idx="291">
                  <c:v>158.47550000000004</c:v>
                </c:pt>
                <c:pt idx="292">
                  <c:v>159.15300000000005</c:v>
                </c:pt>
                <c:pt idx="293">
                  <c:v>159.7345</c:v>
                </c:pt>
                <c:pt idx="294">
                  <c:v>160.29149999999998</c:v>
                </c:pt>
                <c:pt idx="295">
                  <c:v>160.95049999999998</c:v>
                </c:pt>
                <c:pt idx="296">
                  <c:v>161.67949999999999</c:v>
                </c:pt>
                <c:pt idx="297">
                  <c:v>162.26050000000001</c:v>
                </c:pt>
                <c:pt idx="298">
                  <c:v>162.59649999999999</c:v>
                </c:pt>
                <c:pt idx="299">
                  <c:v>162.983</c:v>
                </c:pt>
                <c:pt idx="300">
                  <c:v>163.261</c:v>
                </c:pt>
                <c:pt idx="301">
                  <c:v>163.59550000000002</c:v>
                </c:pt>
                <c:pt idx="302">
                  <c:v>164.05849999999998</c:v>
                </c:pt>
                <c:pt idx="303">
                  <c:v>164.31350000000003</c:v>
                </c:pt>
                <c:pt idx="304">
                  <c:v>164.48050000000001</c:v>
                </c:pt>
                <c:pt idx="305">
                  <c:v>164.547</c:v>
                </c:pt>
                <c:pt idx="306">
                  <c:v>164.52450000000002</c:v>
                </c:pt>
                <c:pt idx="307">
                  <c:v>164.27100000000002</c:v>
                </c:pt>
                <c:pt idx="308">
                  <c:v>164.203</c:v>
                </c:pt>
                <c:pt idx="309">
                  <c:v>164.17299999999997</c:v>
                </c:pt>
                <c:pt idx="310">
                  <c:v>164.10750000000002</c:v>
                </c:pt>
                <c:pt idx="311">
                  <c:v>164.03550000000001</c:v>
                </c:pt>
                <c:pt idx="312">
                  <c:v>163.42699999999999</c:v>
                </c:pt>
                <c:pt idx="313">
                  <c:v>162.93900000000002</c:v>
                </c:pt>
                <c:pt idx="314">
                  <c:v>162.63850000000002</c:v>
                </c:pt>
                <c:pt idx="315">
                  <c:v>161.96600000000004</c:v>
                </c:pt>
                <c:pt idx="316">
                  <c:v>161.11200000000002</c:v>
                </c:pt>
                <c:pt idx="317">
                  <c:v>160.31900000000002</c:v>
                </c:pt>
                <c:pt idx="318">
                  <c:v>159.72500000000002</c:v>
                </c:pt>
                <c:pt idx="319">
                  <c:v>159.01</c:v>
                </c:pt>
                <c:pt idx="320">
                  <c:v>158.45599999999996</c:v>
                </c:pt>
                <c:pt idx="321">
                  <c:v>158.03199999999998</c:v>
                </c:pt>
                <c:pt idx="322">
                  <c:v>157.50049999999999</c:v>
                </c:pt>
                <c:pt idx="323">
                  <c:v>157.04649999999998</c:v>
                </c:pt>
                <c:pt idx="324">
                  <c:v>156.76899999999995</c:v>
                </c:pt>
                <c:pt idx="325">
                  <c:v>156.43349999999998</c:v>
                </c:pt>
                <c:pt idx="326">
                  <c:v>156.15649999999999</c:v>
                </c:pt>
                <c:pt idx="327">
                  <c:v>155.87449999999998</c:v>
                </c:pt>
                <c:pt idx="328">
                  <c:v>155.535</c:v>
                </c:pt>
                <c:pt idx="329">
                  <c:v>155.10749999999999</c:v>
                </c:pt>
                <c:pt idx="330">
                  <c:v>154.68950000000001</c:v>
                </c:pt>
                <c:pt idx="331">
                  <c:v>154.19299999999998</c:v>
                </c:pt>
                <c:pt idx="332">
                  <c:v>154.34599999999998</c:v>
                </c:pt>
                <c:pt idx="333">
                  <c:v>154.30099999999999</c:v>
                </c:pt>
                <c:pt idx="334">
                  <c:v>154.11599999999999</c:v>
                </c:pt>
                <c:pt idx="335">
                  <c:v>154.20400000000001</c:v>
                </c:pt>
                <c:pt idx="336">
                  <c:v>154.3965</c:v>
                </c:pt>
                <c:pt idx="337">
                  <c:v>154.76150000000001</c:v>
                </c:pt>
                <c:pt idx="338">
                  <c:v>154.99599999999998</c:v>
                </c:pt>
                <c:pt idx="339">
                  <c:v>155.27249999999998</c:v>
                </c:pt>
                <c:pt idx="340">
                  <c:v>155.39299999999997</c:v>
                </c:pt>
                <c:pt idx="341">
                  <c:v>155.09699999999998</c:v>
                </c:pt>
                <c:pt idx="342">
                  <c:v>154.73399999999998</c:v>
                </c:pt>
                <c:pt idx="343">
                  <c:v>154.51900000000001</c:v>
                </c:pt>
                <c:pt idx="344">
                  <c:v>154.21199999999999</c:v>
                </c:pt>
                <c:pt idx="345">
                  <c:v>153.99050000000003</c:v>
                </c:pt>
                <c:pt idx="346">
                  <c:v>153.786</c:v>
                </c:pt>
                <c:pt idx="347">
                  <c:v>153.67599999999999</c:v>
                </c:pt>
                <c:pt idx="348">
                  <c:v>153.56</c:v>
                </c:pt>
                <c:pt idx="349">
                  <c:v>153.47800000000001</c:v>
                </c:pt>
                <c:pt idx="350">
                  <c:v>153.37300000000002</c:v>
                </c:pt>
                <c:pt idx="351">
                  <c:v>153.19900000000001</c:v>
                </c:pt>
                <c:pt idx="352">
                  <c:v>153.0625</c:v>
                </c:pt>
                <c:pt idx="353">
                  <c:v>153.1</c:v>
                </c:pt>
                <c:pt idx="354">
                  <c:v>153.06400000000002</c:v>
                </c:pt>
                <c:pt idx="355">
                  <c:v>153.03500000000003</c:v>
                </c:pt>
                <c:pt idx="356">
                  <c:v>152.9725</c:v>
                </c:pt>
                <c:pt idx="357">
                  <c:v>152.79050000000001</c:v>
                </c:pt>
                <c:pt idx="358">
                  <c:v>152.75900000000004</c:v>
                </c:pt>
                <c:pt idx="359">
                  <c:v>152.80950000000001</c:v>
                </c:pt>
                <c:pt idx="360">
                  <c:v>152.92499999999998</c:v>
                </c:pt>
                <c:pt idx="361">
                  <c:v>153.26599999999999</c:v>
                </c:pt>
                <c:pt idx="362">
                  <c:v>153.78100000000001</c:v>
                </c:pt>
                <c:pt idx="363">
                  <c:v>154.15550000000002</c:v>
                </c:pt>
                <c:pt idx="364">
                  <c:v>154.35</c:v>
                </c:pt>
                <c:pt idx="365">
                  <c:v>154.34449999999998</c:v>
                </c:pt>
                <c:pt idx="366">
                  <c:v>154.19799999999998</c:v>
                </c:pt>
                <c:pt idx="367">
                  <c:v>154.02850000000001</c:v>
                </c:pt>
                <c:pt idx="368">
                  <c:v>153.964</c:v>
                </c:pt>
                <c:pt idx="369">
                  <c:v>153.9265</c:v>
                </c:pt>
                <c:pt idx="370">
                  <c:v>153.87800000000001</c:v>
                </c:pt>
                <c:pt idx="371">
                  <c:v>153.85700000000003</c:v>
                </c:pt>
                <c:pt idx="372">
                  <c:v>153.79850000000002</c:v>
                </c:pt>
                <c:pt idx="373">
                  <c:v>153.6755</c:v>
                </c:pt>
                <c:pt idx="374">
                  <c:v>153.70150000000004</c:v>
                </c:pt>
                <c:pt idx="375">
                  <c:v>153.75849999999997</c:v>
                </c:pt>
                <c:pt idx="376">
                  <c:v>153.89799999999997</c:v>
                </c:pt>
                <c:pt idx="377">
                  <c:v>153.97849999999997</c:v>
                </c:pt>
                <c:pt idx="378">
                  <c:v>154.01649999999998</c:v>
                </c:pt>
                <c:pt idx="379">
                  <c:v>154.06900000000002</c:v>
                </c:pt>
                <c:pt idx="380">
                  <c:v>154.13100000000003</c:v>
                </c:pt>
                <c:pt idx="381">
                  <c:v>154.21300000000002</c:v>
                </c:pt>
                <c:pt idx="382">
                  <c:v>154.22100000000003</c:v>
                </c:pt>
                <c:pt idx="383">
                  <c:v>154.12450000000004</c:v>
                </c:pt>
                <c:pt idx="384">
                  <c:v>154.60250000000005</c:v>
                </c:pt>
                <c:pt idx="385">
                  <c:v>155.13250000000002</c:v>
                </c:pt>
                <c:pt idx="386">
                  <c:v>155.78100000000001</c:v>
                </c:pt>
                <c:pt idx="387">
                  <c:v>156.5095</c:v>
                </c:pt>
                <c:pt idx="388">
                  <c:v>157.34</c:v>
                </c:pt>
                <c:pt idx="389">
                  <c:v>158.18549999999999</c:v>
                </c:pt>
                <c:pt idx="390">
                  <c:v>159.04949999999999</c:v>
                </c:pt>
                <c:pt idx="391">
                  <c:v>159.86399999999998</c:v>
                </c:pt>
                <c:pt idx="392">
                  <c:v>160.55449999999999</c:v>
                </c:pt>
                <c:pt idx="393">
                  <c:v>161.32249999999999</c:v>
                </c:pt>
                <c:pt idx="394">
                  <c:v>161.8895</c:v>
                </c:pt>
                <c:pt idx="395">
                  <c:v>162.34849999999997</c:v>
                </c:pt>
                <c:pt idx="396">
                  <c:v>162.9145</c:v>
                </c:pt>
                <c:pt idx="397">
                  <c:v>163.70300000000003</c:v>
                </c:pt>
                <c:pt idx="398">
                  <c:v>164.45049999999998</c:v>
                </c:pt>
                <c:pt idx="399">
                  <c:v>165.166</c:v>
                </c:pt>
                <c:pt idx="400">
                  <c:v>165.85799999999998</c:v>
                </c:pt>
                <c:pt idx="401">
                  <c:v>166.67949999999999</c:v>
                </c:pt>
                <c:pt idx="402">
                  <c:v>167.52950000000001</c:v>
                </c:pt>
                <c:pt idx="403">
                  <c:v>168.41000000000003</c:v>
                </c:pt>
                <c:pt idx="404">
                  <c:v>168.89200000000002</c:v>
                </c:pt>
                <c:pt idx="405">
                  <c:v>169.47900000000004</c:v>
                </c:pt>
                <c:pt idx="406">
                  <c:v>170.126</c:v>
                </c:pt>
                <c:pt idx="407">
                  <c:v>170.72049999999999</c:v>
                </c:pt>
                <c:pt idx="408">
                  <c:v>171.214</c:v>
                </c:pt>
                <c:pt idx="409">
                  <c:v>171.70099999999999</c:v>
                </c:pt>
                <c:pt idx="410">
                  <c:v>172.1695</c:v>
                </c:pt>
                <c:pt idx="411">
                  <c:v>172.71899999999999</c:v>
                </c:pt>
                <c:pt idx="412">
                  <c:v>173.32849999999999</c:v>
                </c:pt>
                <c:pt idx="413">
                  <c:v>173.7475</c:v>
                </c:pt>
                <c:pt idx="414">
                  <c:v>174.22399999999999</c:v>
                </c:pt>
                <c:pt idx="415">
                  <c:v>174.75949999999997</c:v>
                </c:pt>
                <c:pt idx="416">
                  <c:v>175.25149999999999</c:v>
                </c:pt>
                <c:pt idx="417">
                  <c:v>175.60249999999999</c:v>
                </c:pt>
                <c:pt idx="418">
                  <c:v>175.96549999999996</c:v>
                </c:pt>
                <c:pt idx="419">
                  <c:v>176.37399999999997</c:v>
                </c:pt>
                <c:pt idx="420">
                  <c:v>176.71899999999999</c:v>
                </c:pt>
                <c:pt idx="421">
                  <c:v>176.959</c:v>
                </c:pt>
                <c:pt idx="422">
                  <c:v>177.11600000000001</c:v>
                </c:pt>
                <c:pt idx="423">
                  <c:v>177.26649999999998</c:v>
                </c:pt>
                <c:pt idx="424">
                  <c:v>177.47050000000002</c:v>
                </c:pt>
                <c:pt idx="425">
                  <c:v>177.63749999999999</c:v>
                </c:pt>
                <c:pt idx="426">
                  <c:v>177.6755</c:v>
                </c:pt>
                <c:pt idx="427">
                  <c:v>177.68599999999998</c:v>
                </c:pt>
                <c:pt idx="428">
                  <c:v>177.65600000000001</c:v>
                </c:pt>
                <c:pt idx="429">
                  <c:v>177.42199999999997</c:v>
                </c:pt>
                <c:pt idx="430">
                  <c:v>177.285</c:v>
                </c:pt>
                <c:pt idx="431">
                  <c:v>177.03100000000001</c:v>
                </c:pt>
                <c:pt idx="432">
                  <c:v>176.93950000000001</c:v>
                </c:pt>
                <c:pt idx="433">
                  <c:v>176.9495</c:v>
                </c:pt>
                <c:pt idx="434">
                  <c:v>176.9965</c:v>
                </c:pt>
                <c:pt idx="435">
                  <c:v>177.20949999999999</c:v>
                </c:pt>
                <c:pt idx="436">
                  <c:v>177.43199999999999</c:v>
                </c:pt>
                <c:pt idx="437">
                  <c:v>177.8</c:v>
                </c:pt>
                <c:pt idx="438">
                  <c:v>178.20250000000001</c:v>
                </c:pt>
                <c:pt idx="439">
                  <c:v>178.56350000000003</c:v>
                </c:pt>
                <c:pt idx="440">
                  <c:v>179.07400000000001</c:v>
                </c:pt>
                <c:pt idx="441">
                  <c:v>179.57549999999998</c:v>
                </c:pt>
                <c:pt idx="442">
                  <c:v>180.17199999999997</c:v>
                </c:pt>
                <c:pt idx="443">
                  <c:v>180.86700000000002</c:v>
                </c:pt>
                <c:pt idx="444">
                  <c:v>181.49600000000001</c:v>
                </c:pt>
                <c:pt idx="445">
                  <c:v>182.12899999999996</c:v>
                </c:pt>
                <c:pt idx="446">
                  <c:v>182.804</c:v>
                </c:pt>
                <c:pt idx="447">
                  <c:v>183.52349999999996</c:v>
                </c:pt>
                <c:pt idx="448">
                  <c:v>184.22200000000001</c:v>
                </c:pt>
                <c:pt idx="449">
                  <c:v>185.11999999999998</c:v>
                </c:pt>
                <c:pt idx="450">
                  <c:v>185.97149999999999</c:v>
                </c:pt>
                <c:pt idx="451">
                  <c:v>186.94699999999997</c:v>
                </c:pt>
                <c:pt idx="452">
                  <c:v>187.71199999999999</c:v>
                </c:pt>
                <c:pt idx="453">
                  <c:v>188.52449999999999</c:v>
                </c:pt>
                <c:pt idx="454">
                  <c:v>189.26149999999998</c:v>
                </c:pt>
                <c:pt idx="455">
                  <c:v>189.79599999999996</c:v>
                </c:pt>
                <c:pt idx="456">
                  <c:v>190.23</c:v>
                </c:pt>
                <c:pt idx="457">
                  <c:v>190.30549999999997</c:v>
                </c:pt>
                <c:pt idx="458">
                  <c:v>190.33299999999997</c:v>
                </c:pt>
                <c:pt idx="459">
                  <c:v>190.48649999999998</c:v>
                </c:pt>
                <c:pt idx="460">
                  <c:v>190.49799999999999</c:v>
                </c:pt>
                <c:pt idx="461">
                  <c:v>190.40300000000002</c:v>
                </c:pt>
                <c:pt idx="462">
                  <c:v>190.3015</c:v>
                </c:pt>
                <c:pt idx="463">
                  <c:v>190.11700000000002</c:v>
                </c:pt>
                <c:pt idx="464">
                  <c:v>189.91149999999999</c:v>
                </c:pt>
                <c:pt idx="465">
                  <c:v>189.70400000000001</c:v>
                </c:pt>
                <c:pt idx="466">
                  <c:v>189.5795</c:v>
                </c:pt>
                <c:pt idx="467">
                  <c:v>189.7285</c:v>
                </c:pt>
                <c:pt idx="468">
                  <c:v>189.8895</c:v>
                </c:pt>
                <c:pt idx="469">
                  <c:v>190.04599999999999</c:v>
                </c:pt>
                <c:pt idx="470">
                  <c:v>190.18149999999997</c:v>
                </c:pt>
                <c:pt idx="471">
                  <c:v>190.47449999999998</c:v>
                </c:pt>
                <c:pt idx="472">
                  <c:v>190.88049999999996</c:v>
                </c:pt>
                <c:pt idx="473">
                  <c:v>191.35899999999998</c:v>
                </c:pt>
                <c:pt idx="474">
                  <c:v>191.88899999999995</c:v>
                </c:pt>
                <c:pt idx="475">
                  <c:v>192.56399999999999</c:v>
                </c:pt>
                <c:pt idx="476">
                  <c:v>193.35149999999999</c:v>
                </c:pt>
                <c:pt idx="477">
                  <c:v>194.33850000000001</c:v>
                </c:pt>
                <c:pt idx="478">
                  <c:v>195.38650000000001</c:v>
                </c:pt>
                <c:pt idx="479">
                  <c:v>196.28</c:v>
                </c:pt>
                <c:pt idx="480">
                  <c:v>197.10350000000005</c:v>
                </c:pt>
                <c:pt idx="481">
                  <c:v>198.06150000000005</c:v>
                </c:pt>
                <c:pt idx="482">
                  <c:v>198.98500000000004</c:v>
                </c:pt>
                <c:pt idx="483">
                  <c:v>199.80900000000003</c:v>
                </c:pt>
                <c:pt idx="484">
                  <c:v>200.55700000000002</c:v>
                </c:pt>
                <c:pt idx="485">
                  <c:v>201.30950000000001</c:v>
                </c:pt>
                <c:pt idx="486">
                  <c:v>201.887</c:v>
                </c:pt>
                <c:pt idx="487">
                  <c:v>202.52249999999998</c:v>
                </c:pt>
                <c:pt idx="488">
                  <c:v>203.30349999999999</c:v>
                </c:pt>
                <c:pt idx="489">
                  <c:v>204.11999999999998</c:v>
                </c:pt>
                <c:pt idx="490">
                  <c:v>205.03199999999998</c:v>
                </c:pt>
                <c:pt idx="491">
                  <c:v>205.51799999999997</c:v>
                </c:pt>
                <c:pt idx="492">
                  <c:v>206.03449999999998</c:v>
                </c:pt>
                <c:pt idx="493">
                  <c:v>206.3245</c:v>
                </c:pt>
                <c:pt idx="494">
                  <c:v>206.48949999999999</c:v>
                </c:pt>
                <c:pt idx="495">
                  <c:v>206.66050000000001</c:v>
                </c:pt>
                <c:pt idx="496">
                  <c:v>206.64699999999999</c:v>
                </c:pt>
                <c:pt idx="497">
                  <c:v>206.70250000000001</c:v>
                </c:pt>
                <c:pt idx="498">
                  <c:v>206.70600000000005</c:v>
                </c:pt>
                <c:pt idx="499">
                  <c:v>206.73800000000006</c:v>
                </c:pt>
                <c:pt idx="500">
                  <c:v>206.81650000000005</c:v>
                </c:pt>
                <c:pt idx="501">
                  <c:v>206.89300000000003</c:v>
                </c:pt>
                <c:pt idx="502">
                  <c:v>206.994</c:v>
                </c:pt>
                <c:pt idx="503">
                  <c:v>207.0855</c:v>
                </c:pt>
                <c:pt idx="504">
                  <c:v>207.22850000000003</c:v>
                </c:pt>
                <c:pt idx="505">
                  <c:v>207.52199999999999</c:v>
                </c:pt>
                <c:pt idx="506">
                  <c:v>207.81149999999997</c:v>
                </c:pt>
                <c:pt idx="507">
                  <c:v>207.70400000000001</c:v>
                </c:pt>
                <c:pt idx="508">
                  <c:v>207.68949999999995</c:v>
                </c:pt>
                <c:pt idx="509">
                  <c:v>207.79299999999995</c:v>
                </c:pt>
                <c:pt idx="510">
                  <c:v>208.01199999999994</c:v>
                </c:pt>
                <c:pt idx="511">
                  <c:v>208.52550000000002</c:v>
                </c:pt>
                <c:pt idx="512">
                  <c:v>208.94200000000001</c:v>
                </c:pt>
                <c:pt idx="513">
                  <c:v>209.43699999999998</c:v>
                </c:pt>
                <c:pt idx="514">
                  <c:v>210.01900000000001</c:v>
                </c:pt>
                <c:pt idx="515">
                  <c:v>210.57750000000001</c:v>
                </c:pt>
                <c:pt idx="516">
                  <c:v>211.2955</c:v>
                </c:pt>
                <c:pt idx="517">
                  <c:v>211.98099999999999</c:v>
                </c:pt>
                <c:pt idx="518">
                  <c:v>212.82149999999996</c:v>
                </c:pt>
                <c:pt idx="519">
                  <c:v>213.8295</c:v>
                </c:pt>
                <c:pt idx="520">
                  <c:v>214.84849999999997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03-468B-9131-354F8BD72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767472"/>
        <c:axId val="1822765552"/>
      </c:lineChart>
      <c:dateAx>
        <c:axId val="1822767472"/>
        <c:scaling>
          <c:orientation val="minMax"/>
          <c:min val="45932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65552"/>
        <c:crosses val="autoZero"/>
        <c:auto val="1"/>
        <c:lblOffset val="100"/>
        <c:baseTimeUnit val="days"/>
      </c:dateAx>
      <c:valAx>
        <c:axId val="1822765552"/>
        <c:scaling>
          <c:orientation val="minMax"/>
          <c:max val="230"/>
          <c:min val="1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6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JNJ!$C$1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JNJ!$B$2:$B$522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JNJ!$C$2:$C$522</c:f>
              <c:numCache>
                <c:formatCode>_([$$-409]* #,##0.00_);_([$$-409]* \(#,##0.00\);_([$$-409]* "-"??_);_(@_)</c:formatCode>
                <c:ptCount val="521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  <c:pt idx="513">
                  <c:v>218.21</c:v>
                </c:pt>
                <c:pt idx="514">
                  <c:v>218.01</c:v>
                </c:pt>
                <c:pt idx="515">
                  <c:v>218.49</c:v>
                </c:pt>
                <c:pt idx="516">
                  <c:v>220.14</c:v>
                </c:pt>
                <c:pt idx="517">
                  <c:v>221.49</c:v>
                </c:pt>
                <c:pt idx="518">
                  <c:v>224.44</c:v>
                </c:pt>
                <c:pt idx="519">
                  <c:v>227.72</c:v>
                </c:pt>
                <c:pt idx="520">
                  <c:v>227.29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FF-4C34-9841-124E51C2AC75}"/>
            </c:ext>
          </c:extLst>
        </c:ser>
        <c:ser>
          <c:idx val="1"/>
          <c:order val="1"/>
          <c:tx>
            <c:strRef>
              <c:f>JNJ!$G$1</c:f>
              <c:strCache>
                <c:ptCount val="1"/>
                <c:pt idx="0">
                  <c:v>50d SMA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JNJ!$B$2:$B$522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JNJ!$G$2:$G$522</c:f>
              <c:numCache>
                <c:formatCode>General</c:formatCode>
                <c:ptCount val="521"/>
                <c:pt idx="49">
                  <c:v>159.70400000000001</c:v>
                </c:pt>
                <c:pt idx="50">
                  <c:v>159.68880000000001</c:v>
                </c:pt>
                <c:pt idx="51">
                  <c:v>159.63300000000004</c:v>
                </c:pt>
                <c:pt idx="52">
                  <c:v>159.55560000000006</c:v>
                </c:pt>
                <c:pt idx="53">
                  <c:v>159.45720000000003</c:v>
                </c:pt>
                <c:pt idx="54">
                  <c:v>159.34180000000003</c:v>
                </c:pt>
                <c:pt idx="55">
                  <c:v>159.22420000000002</c:v>
                </c:pt>
                <c:pt idx="56">
                  <c:v>159.09140000000002</c:v>
                </c:pt>
                <c:pt idx="57">
                  <c:v>158.97280000000003</c:v>
                </c:pt>
                <c:pt idx="58">
                  <c:v>158.84040000000002</c:v>
                </c:pt>
                <c:pt idx="59">
                  <c:v>158.78920000000005</c:v>
                </c:pt>
                <c:pt idx="60">
                  <c:v>158.74440000000001</c:v>
                </c:pt>
                <c:pt idx="61">
                  <c:v>158.67580000000001</c:v>
                </c:pt>
                <c:pt idx="62">
                  <c:v>158.5968</c:v>
                </c:pt>
                <c:pt idx="63">
                  <c:v>158.43260000000001</c:v>
                </c:pt>
                <c:pt idx="64">
                  <c:v>158.28640000000001</c:v>
                </c:pt>
                <c:pt idx="65">
                  <c:v>158.15500000000003</c:v>
                </c:pt>
                <c:pt idx="66">
                  <c:v>157.99560000000002</c:v>
                </c:pt>
                <c:pt idx="67">
                  <c:v>157.85140000000004</c:v>
                </c:pt>
                <c:pt idx="68">
                  <c:v>157.66820000000001</c:v>
                </c:pt>
                <c:pt idx="69">
                  <c:v>157.46860000000004</c:v>
                </c:pt>
                <c:pt idx="70">
                  <c:v>157.24100000000001</c:v>
                </c:pt>
                <c:pt idx="71">
                  <c:v>157.02560000000003</c:v>
                </c:pt>
                <c:pt idx="72">
                  <c:v>156.78240000000002</c:v>
                </c:pt>
                <c:pt idx="73">
                  <c:v>156.56180000000003</c:v>
                </c:pt>
                <c:pt idx="74">
                  <c:v>156.31540000000004</c:v>
                </c:pt>
                <c:pt idx="75">
                  <c:v>156.114</c:v>
                </c:pt>
                <c:pt idx="76">
                  <c:v>155.9684</c:v>
                </c:pt>
                <c:pt idx="77">
                  <c:v>155.8244</c:v>
                </c:pt>
                <c:pt idx="78">
                  <c:v>155.63800000000001</c:v>
                </c:pt>
                <c:pt idx="79">
                  <c:v>155.44499999999999</c:v>
                </c:pt>
                <c:pt idx="80">
                  <c:v>155.25300000000001</c:v>
                </c:pt>
                <c:pt idx="81">
                  <c:v>155.03100000000001</c:v>
                </c:pt>
                <c:pt idx="82">
                  <c:v>154.79179999999999</c:v>
                </c:pt>
                <c:pt idx="83">
                  <c:v>154.65819999999999</c:v>
                </c:pt>
                <c:pt idx="84">
                  <c:v>154.483</c:v>
                </c:pt>
                <c:pt idx="85">
                  <c:v>154.25940000000003</c:v>
                </c:pt>
                <c:pt idx="86">
                  <c:v>153.99420000000003</c:v>
                </c:pt>
                <c:pt idx="87">
                  <c:v>153.75280000000004</c:v>
                </c:pt>
                <c:pt idx="88">
                  <c:v>153.51220000000004</c:v>
                </c:pt>
                <c:pt idx="89">
                  <c:v>153.27820000000006</c:v>
                </c:pt>
                <c:pt idx="90">
                  <c:v>153.04880000000006</c:v>
                </c:pt>
                <c:pt idx="91">
                  <c:v>152.83080000000004</c:v>
                </c:pt>
                <c:pt idx="92">
                  <c:v>152.66160000000005</c:v>
                </c:pt>
                <c:pt idx="93">
                  <c:v>152.51560000000003</c:v>
                </c:pt>
                <c:pt idx="94">
                  <c:v>152.41440000000003</c:v>
                </c:pt>
                <c:pt idx="95">
                  <c:v>152.32980000000003</c:v>
                </c:pt>
                <c:pt idx="96">
                  <c:v>152.16480000000004</c:v>
                </c:pt>
                <c:pt idx="97">
                  <c:v>151.96500000000003</c:v>
                </c:pt>
                <c:pt idx="98">
                  <c:v>151.78020000000004</c:v>
                </c:pt>
                <c:pt idx="99">
                  <c:v>151.55220000000003</c:v>
                </c:pt>
                <c:pt idx="100">
                  <c:v>151.30740000000003</c:v>
                </c:pt>
                <c:pt idx="101">
                  <c:v>151.03140000000002</c:v>
                </c:pt>
                <c:pt idx="102">
                  <c:v>150.78500000000003</c:v>
                </c:pt>
                <c:pt idx="103">
                  <c:v>150.56640000000002</c:v>
                </c:pt>
                <c:pt idx="104">
                  <c:v>150.38460000000003</c:v>
                </c:pt>
                <c:pt idx="105">
                  <c:v>150.22440000000003</c:v>
                </c:pt>
                <c:pt idx="106">
                  <c:v>150.07580000000002</c:v>
                </c:pt>
                <c:pt idx="107">
                  <c:v>149.89080000000001</c:v>
                </c:pt>
                <c:pt idx="108">
                  <c:v>149.70380000000003</c:v>
                </c:pt>
                <c:pt idx="109">
                  <c:v>149.4862</c:v>
                </c:pt>
                <c:pt idx="110">
                  <c:v>149.26500000000001</c:v>
                </c:pt>
                <c:pt idx="111">
                  <c:v>149.0446</c:v>
                </c:pt>
                <c:pt idx="112">
                  <c:v>148.79820000000001</c:v>
                </c:pt>
                <c:pt idx="113">
                  <c:v>148.62200000000001</c:v>
                </c:pt>
                <c:pt idx="114">
                  <c:v>148.4828</c:v>
                </c:pt>
                <c:pt idx="115">
                  <c:v>148.35399999999998</c:v>
                </c:pt>
                <c:pt idx="116">
                  <c:v>148.23519999999999</c:v>
                </c:pt>
                <c:pt idx="117">
                  <c:v>148.14499999999998</c:v>
                </c:pt>
                <c:pt idx="118">
                  <c:v>148.11599999999996</c:v>
                </c:pt>
                <c:pt idx="119">
                  <c:v>148.12259999999995</c:v>
                </c:pt>
                <c:pt idx="120">
                  <c:v>148.11599999999996</c:v>
                </c:pt>
                <c:pt idx="121">
                  <c:v>148.10059999999996</c:v>
                </c:pt>
                <c:pt idx="122">
                  <c:v>148.12759999999994</c:v>
                </c:pt>
                <c:pt idx="123">
                  <c:v>148.15539999999993</c:v>
                </c:pt>
                <c:pt idx="124">
                  <c:v>148.16939999999994</c:v>
                </c:pt>
                <c:pt idx="125">
                  <c:v>148.13179999999994</c:v>
                </c:pt>
                <c:pt idx="126">
                  <c:v>148.06319999999994</c:v>
                </c:pt>
                <c:pt idx="127">
                  <c:v>148.00159999999997</c:v>
                </c:pt>
                <c:pt idx="128">
                  <c:v>147.94059999999993</c:v>
                </c:pt>
                <c:pt idx="129">
                  <c:v>147.94519999999994</c:v>
                </c:pt>
                <c:pt idx="130">
                  <c:v>148.01099999999994</c:v>
                </c:pt>
                <c:pt idx="131">
                  <c:v>148.06859999999995</c:v>
                </c:pt>
                <c:pt idx="132">
                  <c:v>148.17439999999993</c:v>
                </c:pt>
                <c:pt idx="133">
                  <c:v>148.13559999999995</c:v>
                </c:pt>
                <c:pt idx="134">
                  <c:v>148.15739999999994</c:v>
                </c:pt>
                <c:pt idx="135">
                  <c:v>148.30359999999993</c:v>
                </c:pt>
                <c:pt idx="136">
                  <c:v>148.44039999999993</c:v>
                </c:pt>
                <c:pt idx="137">
                  <c:v>148.55979999999991</c:v>
                </c:pt>
                <c:pt idx="138">
                  <c:v>148.66559999999993</c:v>
                </c:pt>
                <c:pt idx="139">
                  <c:v>148.71559999999994</c:v>
                </c:pt>
                <c:pt idx="140">
                  <c:v>148.84299999999993</c:v>
                </c:pt>
                <c:pt idx="141">
                  <c:v>149.01139999999995</c:v>
                </c:pt>
                <c:pt idx="142">
                  <c:v>149.19659999999996</c:v>
                </c:pt>
                <c:pt idx="143">
                  <c:v>149.31439999999998</c:v>
                </c:pt>
                <c:pt idx="144">
                  <c:v>149.45539999999997</c:v>
                </c:pt>
                <c:pt idx="145">
                  <c:v>149.5196</c:v>
                </c:pt>
                <c:pt idx="146">
                  <c:v>149.70939999999999</c:v>
                </c:pt>
                <c:pt idx="147">
                  <c:v>149.96740000000003</c:v>
                </c:pt>
                <c:pt idx="148">
                  <c:v>150.12240000000003</c:v>
                </c:pt>
                <c:pt idx="149">
                  <c:v>150.30780000000004</c:v>
                </c:pt>
                <c:pt idx="150">
                  <c:v>150.54640000000006</c:v>
                </c:pt>
                <c:pt idx="151">
                  <c:v>150.86320000000006</c:v>
                </c:pt>
                <c:pt idx="152">
                  <c:v>151.18680000000006</c:v>
                </c:pt>
                <c:pt idx="153">
                  <c:v>151.47880000000004</c:v>
                </c:pt>
                <c:pt idx="154">
                  <c:v>151.71320000000006</c:v>
                </c:pt>
                <c:pt idx="155">
                  <c:v>151.92800000000005</c:v>
                </c:pt>
                <c:pt idx="156">
                  <c:v>152.15380000000005</c:v>
                </c:pt>
                <c:pt idx="157">
                  <c:v>152.42220000000006</c:v>
                </c:pt>
                <c:pt idx="158">
                  <c:v>152.68640000000005</c:v>
                </c:pt>
                <c:pt idx="159">
                  <c:v>152.94800000000004</c:v>
                </c:pt>
                <c:pt idx="160">
                  <c:v>153.23400000000007</c:v>
                </c:pt>
                <c:pt idx="161">
                  <c:v>153.54580000000007</c:v>
                </c:pt>
                <c:pt idx="162">
                  <c:v>153.92020000000008</c:v>
                </c:pt>
                <c:pt idx="163">
                  <c:v>154.30340000000007</c:v>
                </c:pt>
                <c:pt idx="164">
                  <c:v>154.65160000000006</c:v>
                </c:pt>
                <c:pt idx="165">
                  <c:v>155.01100000000005</c:v>
                </c:pt>
                <c:pt idx="166">
                  <c:v>155.38260000000002</c:v>
                </c:pt>
                <c:pt idx="167">
                  <c:v>155.74420000000001</c:v>
                </c:pt>
                <c:pt idx="168">
                  <c:v>156.11240000000001</c:v>
                </c:pt>
                <c:pt idx="169">
                  <c:v>156.47720000000001</c:v>
                </c:pt>
                <c:pt idx="170">
                  <c:v>156.83320000000001</c:v>
                </c:pt>
                <c:pt idx="171">
                  <c:v>157.18440000000001</c:v>
                </c:pt>
                <c:pt idx="172">
                  <c:v>157.60059999999999</c:v>
                </c:pt>
                <c:pt idx="173">
                  <c:v>158.02499999999998</c:v>
                </c:pt>
                <c:pt idx="174">
                  <c:v>158.39259999999996</c:v>
                </c:pt>
                <c:pt idx="175">
                  <c:v>158.76479999999998</c:v>
                </c:pt>
                <c:pt idx="176">
                  <c:v>159.16139999999999</c:v>
                </c:pt>
                <c:pt idx="177">
                  <c:v>159.57159999999996</c:v>
                </c:pt>
                <c:pt idx="178">
                  <c:v>160.00339999999997</c:v>
                </c:pt>
                <c:pt idx="179">
                  <c:v>160.38539999999995</c:v>
                </c:pt>
                <c:pt idx="180">
                  <c:v>160.69319999999993</c:v>
                </c:pt>
                <c:pt idx="181">
                  <c:v>160.98239999999996</c:v>
                </c:pt>
                <c:pt idx="182">
                  <c:v>161.24919999999992</c:v>
                </c:pt>
                <c:pt idx="183">
                  <c:v>161.51999999999995</c:v>
                </c:pt>
                <c:pt idx="184">
                  <c:v>161.71179999999995</c:v>
                </c:pt>
                <c:pt idx="185">
                  <c:v>161.80799999999994</c:v>
                </c:pt>
                <c:pt idx="186">
                  <c:v>161.92759999999993</c:v>
                </c:pt>
                <c:pt idx="187">
                  <c:v>162.07499999999993</c:v>
                </c:pt>
                <c:pt idx="188">
                  <c:v>162.22999999999996</c:v>
                </c:pt>
                <c:pt idx="189">
                  <c:v>162.40639999999996</c:v>
                </c:pt>
                <c:pt idx="190">
                  <c:v>162.49079999999995</c:v>
                </c:pt>
                <c:pt idx="191">
                  <c:v>162.50379999999998</c:v>
                </c:pt>
                <c:pt idx="192">
                  <c:v>162.48159999999999</c:v>
                </c:pt>
                <c:pt idx="193">
                  <c:v>162.50419999999997</c:v>
                </c:pt>
                <c:pt idx="194">
                  <c:v>162.49059999999997</c:v>
                </c:pt>
                <c:pt idx="195">
                  <c:v>162.54379999999998</c:v>
                </c:pt>
                <c:pt idx="196">
                  <c:v>162.55779999999996</c:v>
                </c:pt>
                <c:pt idx="197">
                  <c:v>162.50699999999998</c:v>
                </c:pt>
                <c:pt idx="198">
                  <c:v>162.56400000000002</c:v>
                </c:pt>
                <c:pt idx="199">
                  <c:v>162.67019999999999</c:v>
                </c:pt>
                <c:pt idx="200">
                  <c:v>162.7816</c:v>
                </c:pt>
                <c:pt idx="201">
                  <c:v>162.87959999999998</c:v>
                </c:pt>
                <c:pt idx="202">
                  <c:v>162.9238</c:v>
                </c:pt>
                <c:pt idx="203">
                  <c:v>162.99520000000001</c:v>
                </c:pt>
                <c:pt idx="204">
                  <c:v>163.1446</c:v>
                </c:pt>
                <c:pt idx="205">
                  <c:v>163.2484</c:v>
                </c:pt>
                <c:pt idx="206">
                  <c:v>163.28420000000003</c:v>
                </c:pt>
                <c:pt idx="207">
                  <c:v>163.32839999999999</c:v>
                </c:pt>
                <c:pt idx="208">
                  <c:v>163.33760000000001</c:v>
                </c:pt>
                <c:pt idx="209">
                  <c:v>163.3466</c:v>
                </c:pt>
                <c:pt idx="210">
                  <c:v>163.3152</c:v>
                </c:pt>
                <c:pt idx="211">
                  <c:v>163.27080000000001</c:v>
                </c:pt>
                <c:pt idx="212">
                  <c:v>163.15299999999999</c:v>
                </c:pt>
                <c:pt idx="213">
                  <c:v>163.02780000000001</c:v>
                </c:pt>
                <c:pt idx="214">
                  <c:v>162.9264</c:v>
                </c:pt>
                <c:pt idx="215">
                  <c:v>162.78259999999997</c:v>
                </c:pt>
                <c:pt idx="216">
                  <c:v>162.60739999999998</c:v>
                </c:pt>
                <c:pt idx="217">
                  <c:v>162.39099999999999</c:v>
                </c:pt>
                <c:pt idx="218">
                  <c:v>162.10060000000001</c:v>
                </c:pt>
                <c:pt idx="219">
                  <c:v>161.81820000000002</c:v>
                </c:pt>
                <c:pt idx="220">
                  <c:v>161.5558</c:v>
                </c:pt>
                <c:pt idx="221">
                  <c:v>161.34820000000002</c:v>
                </c:pt>
                <c:pt idx="222">
                  <c:v>161.1114</c:v>
                </c:pt>
                <c:pt idx="223">
                  <c:v>160.82380000000001</c:v>
                </c:pt>
                <c:pt idx="224">
                  <c:v>160.58959999999999</c:v>
                </c:pt>
                <c:pt idx="225">
                  <c:v>160.40679999999998</c:v>
                </c:pt>
                <c:pt idx="226">
                  <c:v>160.19979999999998</c:v>
                </c:pt>
                <c:pt idx="227">
                  <c:v>159.97559999999999</c:v>
                </c:pt>
                <c:pt idx="228">
                  <c:v>159.72460000000001</c:v>
                </c:pt>
                <c:pt idx="229">
                  <c:v>159.50959999999998</c:v>
                </c:pt>
                <c:pt idx="230">
                  <c:v>159.31339999999997</c:v>
                </c:pt>
                <c:pt idx="231">
                  <c:v>159.12619999999998</c:v>
                </c:pt>
                <c:pt idx="232">
                  <c:v>158.90899999999999</c:v>
                </c:pt>
                <c:pt idx="233">
                  <c:v>158.6628</c:v>
                </c:pt>
                <c:pt idx="234">
                  <c:v>158.44120000000004</c:v>
                </c:pt>
                <c:pt idx="235">
                  <c:v>158.19960000000003</c:v>
                </c:pt>
                <c:pt idx="236">
                  <c:v>157.96360000000004</c:v>
                </c:pt>
                <c:pt idx="237">
                  <c:v>157.70700000000002</c:v>
                </c:pt>
                <c:pt idx="238">
                  <c:v>157.4</c:v>
                </c:pt>
                <c:pt idx="239">
                  <c:v>157.10140000000004</c:v>
                </c:pt>
                <c:pt idx="240">
                  <c:v>156.82380000000003</c:v>
                </c:pt>
                <c:pt idx="241">
                  <c:v>156.49500000000003</c:v>
                </c:pt>
                <c:pt idx="242">
                  <c:v>156.23260000000002</c:v>
                </c:pt>
                <c:pt idx="243">
                  <c:v>155.93380000000002</c:v>
                </c:pt>
                <c:pt idx="244">
                  <c:v>155.59240000000003</c:v>
                </c:pt>
                <c:pt idx="245">
                  <c:v>155.27160000000003</c:v>
                </c:pt>
                <c:pt idx="246">
                  <c:v>154.94780000000003</c:v>
                </c:pt>
                <c:pt idx="247">
                  <c:v>154.63280000000003</c:v>
                </c:pt>
                <c:pt idx="248">
                  <c:v>154.26240000000004</c:v>
                </c:pt>
                <c:pt idx="249">
                  <c:v>153.87780000000004</c:v>
                </c:pt>
                <c:pt idx="250">
                  <c:v>153.45520000000005</c:v>
                </c:pt>
                <c:pt idx="251">
                  <c:v>153.04520000000005</c:v>
                </c:pt>
                <c:pt idx="252">
                  <c:v>152.66900000000004</c:v>
                </c:pt>
                <c:pt idx="253">
                  <c:v>152.28380000000004</c:v>
                </c:pt>
                <c:pt idx="254">
                  <c:v>151.83980000000005</c:v>
                </c:pt>
                <c:pt idx="255">
                  <c:v>151.49100000000004</c:v>
                </c:pt>
                <c:pt idx="256">
                  <c:v>151.11880000000005</c:v>
                </c:pt>
                <c:pt idx="257">
                  <c:v>150.72800000000007</c:v>
                </c:pt>
                <c:pt idx="258">
                  <c:v>150.41560000000004</c:v>
                </c:pt>
                <c:pt idx="259">
                  <c:v>150.09840000000005</c:v>
                </c:pt>
                <c:pt idx="260">
                  <c:v>149.80060000000006</c:v>
                </c:pt>
                <c:pt idx="261">
                  <c:v>149.55340000000007</c:v>
                </c:pt>
                <c:pt idx="262">
                  <c:v>149.32920000000004</c:v>
                </c:pt>
                <c:pt idx="263">
                  <c:v>149.12520000000004</c:v>
                </c:pt>
                <c:pt idx="264">
                  <c:v>148.87300000000005</c:v>
                </c:pt>
                <c:pt idx="265">
                  <c:v>148.67120000000006</c:v>
                </c:pt>
                <c:pt idx="266">
                  <c:v>148.49820000000005</c:v>
                </c:pt>
                <c:pt idx="267">
                  <c:v>148.45520000000005</c:v>
                </c:pt>
                <c:pt idx="268">
                  <c:v>148.41000000000003</c:v>
                </c:pt>
                <c:pt idx="269">
                  <c:v>148.3682</c:v>
                </c:pt>
                <c:pt idx="270">
                  <c:v>148.38820000000001</c:v>
                </c:pt>
                <c:pt idx="271">
                  <c:v>148.35120000000001</c:v>
                </c:pt>
                <c:pt idx="272">
                  <c:v>148.29319999999998</c:v>
                </c:pt>
                <c:pt idx="273">
                  <c:v>148.30299999999997</c:v>
                </c:pt>
                <c:pt idx="274">
                  <c:v>148.33459999999999</c:v>
                </c:pt>
                <c:pt idx="275">
                  <c:v>148.29480000000001</c:v>
                </c:pt>
                <c:pt idx="276">
                  <c:v>148.25379999999998</c:v>
                </c:pt>
                <c:pt idx="277">
                  <c:v>148.22299999999998</c:v>
                </c:pt>
                <c:pt idx="278">
                  <c:v>148.25519999999997</c:v>
                </c:pt>
                <c:pt idx="279">
                  <c:v>148.25239999999999</c:v>
                </c:pt>
                <c:pt idx="280">
                  <c:v>148.29719999999998</c:v>
                </c:pt>
                <c:pt idx="281">
                  <c:v>148.32419999999999</c:v>
                </c:pt>
                <c:pt idx="282">
                  <c:v>148.37679999999997</c:v>
                </c:pt>
                <c:pt idx="283">
                  <c:v>148.52519999999996</c:v>
                </c:pt>
                <c:pt idx="284">
                  <c:v>148.72839999999999</c:v>
                </c:pt>
                <c:pt idx="285">
                  <c:v>148.98819999999998</c:v>
                </c:pt>
                <c:pt idx="286">
                  <c:v>149.27099999999996</c:v>
                </c:pt>
                <c:pt idx="287">
                  <c:v>149.60819999999995</c:v>
                </c:pt>
                <c:pt idx="288">
                  <c:v>149.93699999999998</c:v>
                </c:pt>
                <c:pt idx="289">
                  <c:v>150.28679999999994</c:v>
                </c:pt>
                <c:pt idx="290">
                  <c:v>150.65479999999997</c:v>
                </c:pt>
                <c:pt idx="291">
                  <c:v>151.12339999999998</c:v>
                </c:pt>
                <c:pt idx="292">
                  <c:v>151.50359999999998</c:v>
                </c:pt>
                <c:pt idx="293">
                  <c:v>151.911</c:v>
                </c:pt>
                <c:pt idx="294">
                  <c:v>152.35599999999999</c:v>
                </c:pt>
                <c:pt idx="295">
                  <c:v>152.8004</c:v>
                </c:pt>
                <c:pt idx="296">
                  <c:v>153.249</c:v>
                </c:pt>
                <c:pt idx="297">
                  <c:v>153.64919999999995</c:v>
                </c:pt>
                <c:pt idx="298">
                  <c:v>153.99459999999996</c:v>
                </c:pt>
                <c:pt idx="299">
                  <c:v>154.35339999999999</c:v>
                </c:pt>
                <c:pt idx="300">
                  <c:v>154.74279999999999</c:v>
                </c:pt>
                <c:pt idx="301">
                  <c:v>155.10720000000001</c:v>
                </c:pt>
                <c:pt idx="302">
                  <c:v>155.51179999999999</c:v>
                </c:pt>
                <c:pt idx="303">
                  <c:v>155.8878</c:v>
                </c:pt>
                <c:pt idx="304">
                  <c:v>156.27500000000001</c:v>
                </c:pt>
                <c:pt idx="305">
                  <c:v>156.62300000000002</c:v>
                </c:pt>
                <c:pt idx="306">
                  <c:v>157.04339999999999</c:v>
                </c:pt>
                <c:pt idx="307">
                  <c:v>157.42259999999999</c:v>
                </c:pt>
                <c:pt idx="308">
                  <c:v>157.76760000000002</c:v>
                </c:pt>
                <c:pt idx="309">
                  <c:v>158.1352</c:v>
                </c:pt>
                <c:pt idx="310">
                  <c:v>158.51000000000002</c:v>
                </c:pt>
                <c:pt idx="311">
                  <c:v>158.87140000000002</c:v>
                </c:pt>
                <c:pt idx="312">
                  <c:v>158.99580000000003</c:v>
                </c:pt>
                <c:pt idx="313">
                  <c:v>159.14000000000001</c:v>
                </c:pt>
                <c:pt idx="314">
                  <c:v>159.43100000000001</c:v>
                </c:pt>
                <c:pt idx="315">
                  <c:v>159.56299999999999</c:v>
                </c:pt>
                <c:pt idx="316">
                  <c:v>159.63900000000001</c:v>
                </c:pt>
                <c:pt idx="317">
                  <c:v>159.5812</c:v>
                </c:pt>
                <c:pt idx="318">
                  <c:v>159.59300000000002</c:v>
                </c:pt>
                <c:pt idx="319">
                  <c:v>159.5438</c:v>
                </c:pt>
                <c:pt idx="320">
                  <c:v>159.52100000000002</c:v>
                </c:pt>
                <c:pt idx="321">
                  <c:v>159.5652</c:v>
                </c:pt>
                <c:pt idx="322">
                  <c:v>159.6002</c:v>
                </c:pt>
                <c:pt idx="323">
                  <c:v>159.6086</c:v>
                </c:pt>
                <c:pt idx="324">
                  <c:v>159.66419999999999</c:v>
                </c:pt>
                <c:pt idx="325">
                  <c:v>159.73239999999998</c:v>
                </c:pt>
                <c:pt idx="326">
                  <c:v>159.82499999999999</c:v>
                </c:pt>
                <c:pt idx="327">
                  <c:v>159.84780000000001</c:v>
                </c:pt>
                <c:pt idx="328">
                  <c:v>159.82380000000001</c:v>
                </c:pt>
                <c:pt idx="329">
                  <c:v>159.81019999999998</c:v>
                </c:pt>
                <c:pt idx="330">
                  <c:v>159.7722</c:v>
                </c:pt>
                <c:pt idx="331">
                  <c:v>159.76740000000001</c:v>
                </c:pt>
                <c:pt idx="332">
                  <c:v>159.7938</c:v>
                </c:pt>
                <c:pt idx="333">
                  <c:v>159.7252</c:v>
                </c:pt>
                <c:pt idx="334">
                  <c:v>159.65399999999997</c:v>
                </c:pt>
                <c:pt idx="335">
                  <c:v>159.50799999999998</c:v>
                </c:pt>
                <c:pt idx="336">
                  <c:v>159.32259999999999</c:v>
                </c:pt>
                <c:pt idx="337">
                  <c:v>159.14680000000001</c:v>
                </c:pt>
                <c:pt idx="338">
                  <c:v>158.9984</c:v>
                </c:pt>
                <c:pt idx="339">
                  <c:v>158.80820000000003</c:v>
                </c:pt>
                <c:pt idx="340">
                  <c:v>158.59060000000002</c:v>
                </c:pt>
                <c:pt idx="341">
                  <c:v>158.21380000000002</c:v>
                </c:pt>
                <c:pt idx="342">
                  <c:v>157.83260000000001</c:v>
                </c:pt>
                <c:pt idx="343">
                  <c:v>157.5224</c:v>
                </c:pt>
                <c:pt idx="344">
                  <c:v>157.23239999999998</c:v>
                </c:pt>
                <c:pt idx="345">
                  <c:v>156.94840000000002</c:v>
                </c:pt>
                <c:pt idx="346">
                  <c:v>156.66760000000002</c:v>
                </c:pt>
                <c:pt idx="347">
                  <c:v>156.41400000000002</c:v>
                </c:pt>
                <c:pt idx="348">
                  <c:v>156.20920000000001</c:v>
                </c:pt>
                <c:pt idx="349">
                  <c:v>156.00819999999999</c:v>
                </c:pt>
                <c:pt idx="350">
                  <c:v>155.81699999999998</c:v>
                </c:pt>
                <c:pt idx="351">
                  <c:v>155.60879999999997</c:v>
                </c:pt>
                <c:pt idx="352">
                  <c:v>155.3954</c:v>
                </c:pt>
                <c:pt idx="353">
                  <c:v>155.23979999999997</c:v>
                </c:pt>
                <c:pt idx="354">
                  <c:v>155.08739999999997</c:v>
                </c:pt>
                <c:pt idx="355">
                  <c:v>154.90319999999997</c:v>
                </c:pt>
                <c:pt idx="356">
                  <c:v>154.70179999999996</c:v>
                </c:pt>
                <c:pt idx="357">
                  <c:v>154.55459999999997</c:v>
                </c:pt>
                <c:pt idx="358">
                  <c:v>154.42079999999996</c:v>
                </c:pt>
                <c:pt idx="359">
                  <c:v>154.26279999999994</c:v>
                </c:pt>
                <c:pt idx="360">
                  <c:v>154.11759999999995</c:v>
                </c:pt>
                <c:pt idx="361">
                  <c:v>153.90599999999995</c:v>
                </c:pt>
                <c:pt idx="362">
                  <c:v>153.97419999999994</c:v>
                </c:pt>
                <c:pt idx="363">
                  <c:v>154.00899999999993</c:v>
                </c:pt>
                <c:pt idx="364">
                  <c:v>153.91699999999994</c:v>
                </c:pt>
                <c:pt idx="365">
                  <c:v>153.89979999999997</c:v>
                </c:pt>
                <c:pt idx="366">
                  <c:v>153.90199999999996</c:v>
                </c:pt>
                <c:pt idx="367">
                  <c:v>153.89779999999996</c:v>
                </c:pt>
                <c:pt idx="368">
                  <c:v>153.90479999999997</c:v>
                </c:pt>
                <c:pt idx="369">
                  <c:v>153.97479999999996</c:v>
                </c:pt>
                <c:pt idx="370">
                  <c:v>153.98579999999995</c:v>
                </c:pt>
                <c:pt idx="371">
                  <c:v>153.93879999999996</c:v>
                </c:pt>
                <c:pt idx="372">
                  <c:v>153.91459999999995</c:v>
                </c:pt>
                <c:pt idx="373">
                  <c:v>153.89139999999998</c:v>
                </c:pt>
                <c:pt idx="374">
                  <c:v>153.86039999999994</c:v>
                </c:pt>
                <c:pt idx="375">
                  <c:v>153.83319999999998</c:v>
                </c:pt>
                <c:pt idx="376">
                  <c:v>153.79839999999999</c:v>
                </c:pt>
                <c:pt idx="377">
                  <c:v>153.7962</c:v>
                </c:pt>
                <c:pt idx="378">
                  <c:v>153.81339999999997</c:v>
                </c:pt>
                <c:pt idx="379">
                  <c:v>153.84739999999999</c:v>
                </c:pt>
                <c:pt idx="380">
                  <c:v>153.89419999999998</c:v>
                </c:pt>
                <c:pt idx="381">
                  <c:v>153.91399999999999</c:v>
                </c:pt>
                <c:pt idx="382">
                  <c:v>153.92419999999998</c:v>
                </c:pt>
                <c:pt idx="383">
                  <c:v>153.93839999999997</c:v>
                </c:pt>
                <c:pt idx="384">
                  <c:v>154.11159999999998</c:v>
                </c:pt>
                <c:pt idx="385">
                  <c:v>154.27119999999996</c:v>
                </c:pt>
                <c:pt idx="386">
                  <c:v>154.45579999999995</c:v>
                </c:pt>
                <c:pt idx="387">
                  <c:v>154.59699999999992</c:v>
                </c:pt>
                <c:pt idx="388">
                  <c:v>154.84239999999997</c:v>
                </c:pt>
                <c:pt idx="389">
                  <c:v>155.13999999999996</c:v>
                </c:pt>
                <c:pt idx="390">
                  <c:v>155.44839999999996</c:v>
                </c:pt>
                <c:pt idx="391">
                  <c:v>155.84559999999999</c:v>
                </c:pt>
                <c:pt idx="392">
                  <c:v>156.24279999999999</c:v>
                </c:pt>
                <c:pt idx="393">
                  <c:v>156.61279999999999</c:v>
                </c:pt>
                <c:pt idx="394">
                  <c:v>156.93140000000002</c:v>
                </c:pt>
                <c:pt idx="395">
                  <c:v>157.1764</c:v>
                </c:pt>
                <c:pt idx="396">
                  <c:v>157.44979999999998</c:v>
                </c:pt>
                <c:pt idx="397">
                  <c:v>157.80700000000002</c:v>
                </c:pt>
                <c:pt idx="398">
                  <c:v>158.1696</c:v>
                </c:pt>
                <c:pt idx="399">
                  <c:v>158.52259999999998</c:v>
                </c:pt>
                <c:pt idx="400">
                  <c:v>158.88819999999998</c:v>
                </c:pt>
                <c:pt idx="401">
                  <c:v>159.30619999999996</c:v>
                </c:pt>
                <c:pt idx="402">
                  <c:v>159.71099999999996</c:v>
                </c:pt>
                <c:pt idx="403">
                  <c:v>160.06239999999997</c:v>
                </c:pt>
                <c:pt idx="404">
                  <c:v>160.44279999999998</c:v>
                </c:pt>
                <c:pt idx="405">
                  <c:v>160.84879999999998</c:v>
                </c:pt>
                <c:pt idx="406">
                  <c:v>161.31719999999999</c:v>
                </c:pt>
                <c:pt idx="407">
                  <c:v>161.76900000000001</c:v>
                </c:pt>
                <c:pt idx="408">
                  <c:v>162.2244</c:v>
                </c:pt>
                <c:pt idx="409">
                  <c:v>162.69660000000005</c:v>
                </c:pt>
                <c:pt idx="410">
                  <c:v>163.14620000000005</c:v>
                </c:pt>
                <c:pt idx="411">
                  <c:v>163.62680000000003</c:v>
                </c:pt>
                <c:pt idx="412">
                  <c:v>164.06180000000003</c:v>
                </c:pt>
                <c:pt idx="413">
                  <c:v>164.44960000000003</c:v>
                </c:pt>
                <c:pt idx="414">
                  <c:v>164.88100000000003</c:v>
                </c:pt>
                <c:pt idx="415">
                  <c:v>165.34240000000003</c:v>
                </c:pt>
                <c:pt idx="416">
                  <c:v>165.87119999999999</c:v>
                </c:pt>
                <c:pt idx="417">
                  <c:v>166.4366</c:v>
                </c:pt>
                <c:pt idx="418">
                  <c:v>166.97020000000001</c:v>
                </c:pt>
                <c:pt idx="419">
                  <c:v>167.5016</c:v>
                </c:pt>
                <c:pt idx="420">
                  <c:v>168.02459999999999</c:v>
                </c:pt>
                <c:pt idx="421">
                  <c:v>168.54699999999997</c:v>
                </c:pt>
                <c:pt idx="422">
                  <c:v>169.03799999999998</c:v>
                </c:pt>
                <c:pt idx="423">
                  <c:v>169.49880000000002</c:v>
                </c:pt>
                <c:pt idx="424">
                  <c:v>169.9504</c:v>
                </c:pt>
                <c:pt idx="425">
                  <c:v>170.40039999999996</c:v>
                </c:pt>
                <c:pt idx="426">
                  <c:v>170.82820000000004</c:v>
                </c:pt>
                <c:pt idx="427">
                  <c:v>171.25200000000001</c:v>
                </c:pt>
                <c:pt idx="428">
                  <c:v>171.68020000000004</c:v>
                </c:pt>
                <c:pt idx="429">
                  <c:v>172.03780000000003</c:v>
                </c:pt>
                <c:pt idx="430">
                  <c:v>172.40780000000004</c:v>
                </c:pt>
                <c:pt idx="431">
                  <c:v>172.75400000000002</c:v>
                </c:pt>
                <c:pt idx="432">
                  <c:v>173.14919999999998</c:v>
                </c:pt>
                <c:pt idx="433">
                  <c:v>173.5796</c:v>
                </c:pt>
                <c:pt idx="434">
                  <c:v>173.83860000000001</c:v>
                </c:pt>
                <c:pt idx="435">
                  <c:v>174.17320000000001</c:v>
                </c:pt>
                <c:pt idx="436">
                  <c:v>174.5316</c:v>
                </c:pt>
                <c:pt idx="437">
                  <c:v>174.9528</c:v>
                </c:pt>
                <c:pt idx="438">
                  <c:v>175.31519999999998</c:v>
                </c:pt>
                <c:pt idx="439">
                  <c:v>175.65279999999996</c:v>
                </c:pt>
                <c:pt idx="440">
                  <c:v>176.03439999999995</c:v>
                </c:pt>
                <c:pt idx="441">
                  <c:v>176.43159999999997</c:v>
                </c:pt>
                <c:pt idx="442">
                  <c:v>176.88499999999996</c:v>
                </c:pt>
                <c:pt idx="443">
                  <c:v>177.31659999999997</c:v>
                </c:pt>
                <c:pt idx="444">
                  <c:v>177.79300000000001</c:v>
                </c:pt>
                <c:pt idx="445">
                  <c:v>178.31259999999995</c:v>
                </c:pt>
                <c:pt idx="446">
                  <c:v>178.78399999999993</c:v>
                </c:pt>
                <c:pt idx="447">
                  <c:v>179.18019999999993</c:v>
                </c:pt>
                <c:pt idx="448">
                  <c:v>179.58879999999994</c:v>
                </c:pt>
                <c:pt idx="449">
                  <c:v>180.01939999999999</c:v>
                </c:pt>
                <c:pt idx="450">
                  <c:v>180.45320000000001</c:v>
                </c:pt>
                <c:pt idx="451">
                  <c:v>180.86099999999996</c:v>
                </c:pt>
                <c:pt idx="452">
                  <c:v>181.22219999999993</c:v>
                </c:pt>
                <c:pt idx="453">
                  <c:v>181.62539999999993</c:v>
                </c:pt>
                <c:pt idx="454">
                  <c:v>181.98639999999995</c:v>
                </c:pt>
                <c:pt idx="455">
                  <c:v>182.29999999999995</c:v>
                </c:pt>
                <c:pt idx="456">
                  <c:v>182.57319999999996</c:v>
                </c:pt>
                <c:pt idx="457">
                  <c:v>182.78679999999997</c:v>
                </c:pt>
                <c:pt idx="458">
                  <c:v>182.96279999999999</c:v>
                </c:pt>
                <c:pt idx="459">
                  <c:v>183.16699999999997</c:v>
                </c:pt>
                <c:pt idx="460">
                  <c:v>183.36580000000001</c:v>
                </c:pt>
                <c:pt idx="461">
                  <c:v>183.5052</c:v>
                </c:pt>
                <c:pt idx="462">
                  <c:v>183.67420000000001</c:v>
                </c:pt>
                <c:pt idx="463">
                  <c:v>183.86440000000002</c:v>
                </c:pt>
                <c:pt idx="464">
                  <c:v>184.06800000000004</c:v>
                </c:pt>
                <c:pt idx="465">
                  <c:v>184.29040000000001</c:v>
                </c:pt>
                <c:pt idx="466">
                  <c:v>184.51519999999999</c:v>
                </c:pt>
                <c:pt idx="467">
                  <c:v>184.8306</c:v>
                </c:pt>
                <c:pt idx="468">
                  <c:v>185.15839999999997</c:v>
                </c:pt>
                <c:pt idx="469">
                  <c:v>185.48820000000001</c:v>
                </c:pt>
                <c:pt idx="470">
                  <c:v>185.83820000000003</c:v>
                </c:pt>
                <c:pt idx="471">
                  <c:v>186.2672</c:v>
                </c:pt>
                <c:pt idx="472">
                  <c:v>186.72799999999998</c:v>
                </c:pt>
                <c:pt idx="473">
                  <c:v>187.26240000000001</c:v>
                </c:pt>
                <c:pt idx="474">
                  <c:v>187.75380000000004</c:v>
                </c:pt>
                <c:pt idx="475">
                  <c:v>188.2706</c:v>
                </c:pt>
                <c:pt idx="476">
                  <c:v>188.84360000000001</c:v>
                </c:pt>
                <c:pt idx="477">
                  <c:v>189.4478</c:v>
                </c:pt>
                <c:pt idx="478">
                  <c:v>190.05500000000001</c:v>
                </c:pt>
                <c:pt idx="479">
                  <c:v>190.71019999999996</c:v>
                </c:pt>
                <c:pt idx="480">
                  <c:v>191.29319999999998</c:v>
                </c:pt>
                <c:pt idx="481">
                  <c:v>191.91739999999999</c:v>
                </c:pt>
                <c:pt idx="482">
                  <c:v>192.49239999999998</c:v>
                </c:pt>
                <c:pt idx="483">
                  <c:v>193.00819999999999</c:v>
                </c:pt>
                <c:pt idx="484">
                  <c:v>193.49219999999997</c:v>
                </c:pt>
                <c:pt idx="485">
                  <c:v>193.93040000000002</c:v>
                </c:pt>
                <c:pt idx="486">
                  <c:v>194.2972</c:v>
                </c:pt>
                <c:pt idx="487">
                  <c:v>194.71959999999999</c:v>
                </c:pt>
                <c:pt idx="488">
                  <c:v>195.19880000000001</c:v>
                </c:pt>
                <c:pt idx="489">
                  <c:v>195.71080000000001</c:v>
                </c:pt>
                <c:pt idx="490">
                  <c:v>196.22140000000002</c:v>
                </c:pt>
                <c:pt idx="491">
                  <c:v>196.64420000000001</c:v>
                </c:pt>
                <c:pt idx="492">
                  <c:v>197.07299999999998</c:v>
                </c:pt>
                <c:pt idx="493">
                  <c:v>197.44540000000001</c:v>
                </c:pt>
                <c:pt idx="494">
                  <c:v>197.75120000000004</c:v>
                </c:pt>
                <c:pt idx="495">
                  <c:v>198.08320000000003</c:v>
                </c:pt>
                <c:pt idx="496">
                  <c:v>198.38079999999999</c:v>
                </c:pt>
                <c:pt idx="497">
                  <c:v>198.71940000000004</c:v>
                </c:pt>
                <c:pt idx="498">
                  <c:v>199.04859999999999</c:v>
                </c:pt>
                <c:pt idx="499">
                  <c:v>199.35740000000001</c:v>
                </c:pt>
                <c:pt idx="500">
                  <c:v>199.63119999999998</c:v>
                </c:pt>
                <c:pt idx="501">
                  <c:v>199.89580000000001</c:v>
                </c:pt>
                <c:pt idx="502">
                  <c:v>200.20519999999999</c:v>
                </c:pt>
                <c:pt idx="503">
                  <c:v>200.43260000000001</c:v>
                </c:pt>
                <c:pt idx="504">
                  <c:v>200.679</c:v>
                </c:pt>
                <c:pt idx="505">
                  <c:v>201.02080000000001</c:v>
                </c:pt>
                <c:pt idx="506">
                  <c:v>201.32980000000001</c:v>
                </c:pt>
                <c:pt idx="507">
                  <c:v>201.67899999999997</c:v>
                </c:pt>
                <c:pt idx="508">
                  <c:v>202.1414</c:v>
                </c:pt>
                <c:pt idx="509">
                  <c:v>202.63339999999999</c:v>
                </c:pt>
                <c:pt idx="510">
                  <c:v>203.22699999999998</c:v>
                </c:pt>
                <c:pt idx="511">
                  <c:v>203.89319999999995</c:v>
                </c:pt>
                <c:pt idx="512">
                  <c:v>204.52919999999997</c:v>
                </c:pt>
                <c:pt idx="513">
                  <c:v>205.17339999999996</c:v>
                </c:pt>
                <c:pt idx="514">
                  <c:v>205.79419999999993</c:v>
                </c:pt>
                <c:pt idx="515">
                  <c:v>206.43259999999995</c:v>
                </c:pt>
                <c:pt idx="516">
                  <c:v>207.06719999999993</c:v>
                </c:pt>
                <c:pt idx="517">
                  <c:v>207.62039999999993</c:v>
                </c:pt>
                <c:pt idx="518">
                  <c:v>208.22139999999996</c:v>
                </c:pt>
                <c:pt idx="519">
                  <c:v>208.87079999999995</c:v>
                </c:pt>
                <c:pt idx="520">
                  <c:v>209.49799999999996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FF-4C34-9841-124E51C2AC75}"/>
            </c:ext>
          </c:extLst>
        </c:ser>
        <c:ser>
          <c:idx val="2"/>
          <c:order val="2"/>
          <c:tx>
            <c:strRef>
              <c:f>JNJ!$H$1</c:f>
              <c:strCache>
                <c:ptCount val="1"/>
                <c:pt idx="0">
                  <c:v>100d SMA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JNJ!$B$2:$B$522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JNJ!$H$2:$H$522</c:f>
              <c:numCache>
                <c:formatCode>General</c:formatCode>
                <c:ptCount val="521"/>
                <c:pt idx="99">
                  <c:v>155.62810000000002</c:v>
                </c:pt>
                <c:pt idx="100">
                  <c:v>155.54237623762378</c:v>
                </c:pt>
                <c:pt idx="101">
                  <c:v>155.38801980198022</c:v>
                </c:pt>
                <c:pt idx="102">
                  <c:v>155.22435643564361</c:v>
                </c:pt>
                <c:pt idx="103">
                  <c:v>155.07237623762381</c:v>
                </c:pt>
                <c:pt idx="104">
                  <c:v>154.92920792079212</c:v>
                </c:pt>
                <c:pt idx="105">
                  <c:v>154.79267326732679</c:v>
                </c:pt>
                <c:pt idx="106">
                  <c:v>154.65574257425746</c:v>
                </c:pt>
                <c:pt idx="107">
                  <c:v>154.49831683168321</c:v>
                </c:pt>
                <c:pt idx="108">
                  <c:v>154.35247524752478</c:v>
                </c:pt>
                <c:pt idx="109">
                  <c:v>154.20089108910895</c:v>
                </c:pt>
                <c:pt idx="110">
                  <c:v>154.06831683168321</c:v>
                </c:pt>
                <c:pt idx="111">
                  <c:v>153.93297029702973</c:v>
                </c:pt>
                <c:pt idx="112">
                  <c:v>153.77653465346538</c:v>
                </c:pt>
                <c:pt idx="113">
                  <c:v>153.61584158415843</c:v>
                </c:pt>
                <c:pt idx="114">
                  <c:v>153.44821782178221</c:v>
                </c:pt>
                <c:pt idx="115">
                  <c:v>153.31099009900996</c:v>
                </c:pt>
                <c:pt idx="116">
                  <c:v>153.17920792079212</c:v>
                </c:pt>
                <c:pt idx="117">
                  <c:v>153.06257425742578</c:v>
                </c:pt>
                <c:pt idx="118">
                  <c:v>152.95613861386141</c:v>
                </c:pt>
                <c:pt idx="119">
                  <c:v>152.85475247524755</c:v>
                </c:pt>
                <c:pt idx="120">
                  <c:v>152.74009900990103</c:v>
                </c:pt>
                <c:pt idx="121">
                  <c:v>152.62049504950497</c:v>
                </c:pt>
                <c:pt idx="122">
                  <c:v>152.4961386138614</c:v>
                </c:pt>
                <c:pt idx="123">
                  <c:v>152.39267326732676</c:v>
                </c:pt>
                <c:pt idx="124">
                  <c:v>152.30000000000004</c:v>
                </c:pt>
                <c:pt idx="125">
                  <c:v>152.18089108910894</c:v>
                </c:pt>
                <c:pt idx="126">
                  <c:v>152.05920792079212</c:v>
                </c:pt>
                <c:pt idx="127">
                  <c:v>151.9609900990099</c:v>
                </c:pt>
                <c:pt idx="128">
                  <c:v>151.84930693069307</c:v>
                </c:pt>
                <c:pt idx="129">
                  <c:v>151.74237623762377</c:v>
                </c:pt>
                <c:pt idx="130">
                  <c:v>151.67267326732673</c:v>
                </c:pt>
                <c:pt idx="131">
                  <c:v>151.61287128712874</c:v>
                </c:pt>
                <c:pt idx="132">
                  <c:v>151.53326732673267</c:v>
                </c:pt>
                <c:pt idx="133">
                  <c:v>151.46089108910891</c:v>
                </c:pt>
                <c:pt idx="134">
                  <c:v>151.3930693069307</c:v>
                </c:pt>
                <c:pt idx="135">
                  <c:v>151.3722772277228</c:v>
                </c:pt>
                <c:pt idx="136">
                  <c:v>151.32247524752478</c:v>
                </c:pt>
                <c:pt idx="137">
                  <c:v>151.25168316831687</c:v>
                </c:pt>
                <c:pt idx="138">
                  <c:v>151.18683168316835</c:v>
                </c:pt>
                <c:pt idx="139">
                  <c:v>151.10138613861392</c:v>
                </c:pt>
                <c:pt idx="140">
                  <c:v>151.04920792079213</c:v>
                </c:pt>
                <c:pt idx="141">
                  <c:v>151.03198019801985</c:v>
                </c:pt>
                <c:pt idx="142">
                  <c:v>151.0173267326733</c:v>
                </c:pt>
                <c:pt idx="143">
                  <c:v>151.00465346534656</c:v>
                </c:pt>
                <c:pt idx="144">
                  <c:v>151.01811881188124</c:v>
                </c:pt>
                <c:pt idx="145">
                  <c:v>151.00336633663369</c:v>
                </c:pt>
                <c:pt idx="146">
                  <c:v>151.02207920792083</c:v>
                </c:pt>
                <c:pt idx="147">
                  <c:v>151.06782178217824</c:v>
                </c:pt>
                <c:pt idx="148">
                  <c:v>151.06801980198023</c:v>
                </c:pt>
                <c:pt idx="149">
                  <c:v>151.03069306930692</c:v>
                </c:pt>
                <c:pt idx="150">
                  <c:v>151.0089108910891</c:v>
                </c:pt>
                <c:pt idx="151">
                  <c:v>151.01891089108912</c:v>
                </c:pt>
                <c:pt idx="152">
                  <c:v>151.0430693069307</c:v>
                </c:pt>
                <c:pt idx="153">
                  <c:v>151.07396039603961</c:v>
                </c:pt>
                <c:pt idx="154">
                  <c:v>151.09554455445544</c:v>
                </c:pt>
                <c:pt idx="155">
                  <c:v>151.12247524752476</c:v>
                </c:pt>
                <c:pt idx="156">
                  <c:v>151.15554455445545</c:v>
                </c:pt>
                <c:pt idx="157">
                  <c:v>151.19673267326735</c:v>
                </c:pt>
                <c:pt idx="158">
                  <c:v>151.24039603960398</c:v>
                </c:pt>
                <c:pt idx="159">
                  <c:v>151.28386138613862</c:v>
                </c:pt>
                <c:pt idx="160">
                  <c:v>151.31821782178216</c:v>
                </c:pt>
                <c:pt idx="161">
                  <c:v>151.35940594059403</c:v>
                </c:pt>
                <c:pt idx="162">
                  <c:v>151.42227722772273</c:v>
                </c:pt>
                <c:pt idx="163">
                  <c:v>151.49039603960392</c:v>
                </c:pt>
                <c:pt idx="164">
                  <c:v>151.57643564356431</c:v>
                </c:pt>
                <c:pt idx="165">
                  <c:v>151.68950495049498</c:v>
                </c:pt>
                <c:pt idx="166">
                  <c:v>151.80673267326728</c:v>
                </c:pt>
                <c:pt idx="167">
                  <c:v>151.94801980198014</c:v>
                </c:pt>
                <c:pt idx="168">
                  <c:v>152.09524752475244</c:v>
                </c:pt>
                <c:pt idx="169">
                  <c:v>152.26514851485143</c:v>
                </c:pt>
                <c:pt idx="170">
                  <c:v>152.42554455445537</c:v>
                </c:pt>
                <c:pt idx="171">
                  <c:v>152.59247524752467</c:v>
                </c:pt>
                <c:pt idx="172">
                  <c:v>152.78079207920786</c:v>
                </c:pt>
                <c:pt idx="173">
                  <c:v>153.00782178217813</c:v>
                </c:pt>
                <c:pt idx="174">
                  <c:v>153.20633663366328</c:v>
                </c:pt>
                <c:pt idx="175">
                  <c:v>153.39346534653455</c:v>
                </c:pt>
                <c:pt idx="176">
                  <c:v>153.56782178217813</c:v>
                </c:pt>
                <c:pt idx="177">
                  <c:v>153.74475247524745</c:v>
                </c:pt>
                <c:pt idx="178">
                  <c:v>153.91811881188113</c:v>
                </c:pt>
                <c:pt idx="179">
                  <c:v>154.09257425742567</c:v>
                </c:pt>
                <c:pt idx="180">
                  <c:v>154.27079207920787</c:v>
                </c:pt>
                <c:pt idx="181">
                  <c:v>154.44920792079199</c:v>
                </c:pt>
                <c:pt idx="182">
                  <c:v>154.61158415841575</c:v>
                </c:pt>
                <c:pt idx="183">
                  <c:v>154.79168316831672</c:v>
                </c:pt>
                <c:pt idx="184">
                  <c:v>154.8849504950494</c:v>
                </c:pt>
                <c:pt idx="185">
                  <c:v>154.99851485148506</c:v>
                </c:pt>
                <c:pt idx="186">
                  <c:v>155.11861386138602</c:v>
                </c:pt>
                <c:pt idx="187">
                  <c:v>155.25207920792067</c:v>
                </c:pt>
                <c:pt idx="188">
                  <c:v>155.38346534653454</c:v>
                </c:pt>
                <c:pt idx="189">
                  <c:v>155.50445544554447</c:v>
                </c:pt>
                <c:pt idx="190">
                  <c:v>155.60990099009894</c:v>
                </c:pt>
                <c:pt idx="191">
                  <c:v>155.71267326732666</c:v>
                </c:pt>
                <c:pt idx="192">
                  <c:v>155.79495049504945</c:v>
                </c:pt>
                <c:pt idx="193">
                  <c:v>155.87722772277223</c:v>
                </c:pt>
                <c:pt idx="194">
                  <c:v>155.95623762376232</c:v>
                </c:pt>
                <c:pt idx="195">
                  <c:v>156.01792079207917</c:v>
                </c:pt>
                <c:pt idx="196">
                  <c:v>156.0854455445544</c:v>
                </c:pt>
                <c:pt idx="197">
                  <c:v>156.18772277227717</c:v>
                </c:pt>
                <c:pt idx="198">
                  <c:v>156.31504950495048</c:v>
                </c:pt>
                <c:pt idx="199">
                  <c:v>156.4217821782178</c:v>
                </c:pt>
                <c:pt idx="200">
                  <c:v>156.5680198019802</c:v>
                </c:pt>
                <c:pt idx="201">
                  <c:v>156.74772277227726</c:v>
                </c:pt>
                <c:pt idx="202">
                  <c:v>156.93039603960398</c:v>
                </c:pt>
                <c:pt idx="203">
                  <c:v>157.11861386138617</c:v>
                </c:pt>
                <c:pt idx="204">
                  <c:v>157.32237623762379</c:v>
                </c:pt>
                <c:pt idx="205">
                  <c:v>157.49069306930696</c:v>
                </c:pt>
                <c:pt idx="206">
                  <c:v>157.62079207920797</c:v>
                </c:pt>
                <c:pt idx="207">
                  <c:v>157.7574257425743</c:v>
                </c:pt>
                <c:pt idx="208">
                  <c:v>157.8972277227723</c:v>
                </c:pt>
                <c:pt idx="209">
                  <c:v>158.03772277227728</c:v>
                </c:pt>
                <c:pt idx="210">
                  <c:v>158.16425742574262</c:v>
                </c:pt>
                <c:pt idx="211">
                  <c:v>158.29297029702974</c:v>
                </c:pt>
                <c:pt idx="212">
                  <c:v>158.40663366336636</c:v>
                </c:pt>
                <c:pt idx="213">
                  <c:v>158.53475247524756</c:v>
                </c:pt>
                <c:pt idx="214">
                  <c:v>158.65782178217825</c:v>
                </c:pt>
                <c:pt idx="215">
                  <c:v>158.76861386138614</c:v>
                </c:pt>
                <c:pt idx="216">
                  <c:v>158.86287128712871</c:v>
                </c:pt>
                <c:pt idx="217">
                  <c:v>158.95584158415843</c:v>
                </c:pt>
                <c:pt idx="218">
                  <c:v>159.00396039603959</c:v>
                </c:pt>
                <c:pt idx="219">
                  <c:v>159.04841584158416</c:v>
                </c:pt>
                <c:pt idx="220">
                  <c:v>159.07564356435643</c:v>
                </c:pt>
                <c:pt idx="221">
                  <c:v>159.14306930693067</c:v>
                </c:pt>
                <c:pt idx="222">
                  <c:v>159.22178217821781</c:v>
                </c:pt>
                <c:pt idx="223">
                  <c:v>159.2930693069307</c:v>
                </c:pt>
                <c:pt idx="224">
                  <c:v>159.36188118811882</c:v>
                </c:pt>
                <c:pt idx="225">
                  <c:v>159.45158415841584</c:v>
                </c:pt>
                <c:pt idx="226">
                  <c:v>159.54207920792081</c:v>
                </c:pt>
                <c:pt idx="227">
                  <c:v>159.64198019801981</c:v>
                </c:pt>
                <c:pt idx="228">
                  <c:v>159.72158415841585</c:v>
                </c:pt>
                <c:pt idx="229">
                  <c:v>159.81980198019804</c:v>
                </c:pt>
                <c:pt idx="230">
                  <c:v>159.89861386138617</c:v>
                </c:pt>
                <c:pt idx="231">
                  <c:v>159.95178217821783</c:v>
                </c:pt>
                <c:pt idx="232">
                  <c:v>159.97811881188119</c:v>
                </c:pt>
                <c:pt idx="233">
                  <c:v>159.98396039603961</c:v>
                </c:pt>
                <c:pt idx="234">
                  <c:v>159.98673267326731</c:v>
                </c:pt>
                <c:pt idx="235">
                  <c:v>159.96990099009901</c:v>
                </c:pt>
                <c:pt idx="236">
                  <c:v>159.90079207920795</c:v>
                </c:pt>
                <c:pt idx="237">
                  <c:v>159.83950495049507</c:v>
                </c:pt>
                <c:pt idx="238">
                  <c:v>159.75980198019803</c:v>
                </c:pt>
                <c:pt idx="239">
                  <c:v>159.68059405940596</c:v>
                </c:pt>
                <c:pt idx="240">
                  <c:v>159.62386138613863</c:v>
                </c:pt>
                <c:pt idx="241">
                  <c:v>159.50079207920794</c:v>
                </c:pt>
                <c:pt idx="242">
                  <c:v>159.36980198019805</c:v>
                </c:pt>
                <c:pt idx="243">
                  <c:v>159.21247524752476</c:v>
                </c:pt>
                <c:pt idx="244">
                  <c:v>159.0641584158416</c:v>
                </c:pt>
                <c:pt idx="245">
                  <c:v>158.89722772277227</c:v>
                </c:pt>
                <c:pt idx="246">
                  <c:v>158.77267326732675</c:v>
                </c:pt>
                <c:pt idx="247">
                  <c:v>158.62504950495051</c:v>
                </c:pt>
                <c:pt idx="248">
                  <c:v>158.44128712871287</c:v>
                </c:pt>
                <c:pt idx="249">
                  <c:v>158.28089108910893</c:v>
                </c:pt>
                <c:pt idx="250">
                  <c:v>158.1261386138614</c:v>
                </c:pt>
                <c:pt idx="251">
                  <c:v>157.98475247524755</c:v>
                </c:pt>
                <c:pt idx="252">
                  <c:v>157.82435643564358</c:v>
                </c:pt>
                <c:pt idx="253">
                  <c:v>157.66168316831684</c:v>
                </c:pt>
                <c:pt idx="254">
                  <c:v>157.50108910891092</c:v>
                </c:pt>
                <c:pt idx="255">
                  <c:v>157.38069306930694</c:v>
                </c:pt>
                <c:pt idx="256">
                  <c:v>157.22019801980198</c:v>
                </c:pt>
                <c:pt idx="257">
                  <c:v>157.05158415841586</c:v>
                </c:pt>
                <c:pt idx="258">
                  <c:v>156.90386138613863</c:v>
                </c:pt>
                <c:pt idx="259">
                  <c:v>156.75653465346537</c:v>
                </c:pt>
                <c:pt idx="260">
                  <c:v>156.60613861386139</c:v>
                </c:pt>
                <c:pt idx="261">
                  <c:v>156.4708910891089</c:v>
                </c:pt>
                <c:pt idx="262">
                  <c:v>156.31920792079208</c:v>
                </c:pt>
                <c:pt idx="263">
                  <c:v>156.16099009900989</c:v>
                </c:pt>
                <c:pt idx="264">
                  <c:v>155.96950495049506</c:v>
                </c:pt>
                <c:pt idx="265">
                  <c:v>155.80801980198021</c:v>
                </c:pt>
                <c:pt idx="266">
                  <c:v>155.63871287128714</c:v>
                </c:pt>
                <c:pt idx="267">
                  <c:v>155.52643564356435</c:v>
                </c:pt>
                <c:pt idx="268">
                  <c:v>155.37316831683168</c:v>
                </c:pt>
                <c:pt idx="269">
                  <c:v>155.21465346534654</c:v>
                </c:pt>
                <c:pt idx="270">
                  <c:v>155.07118811881188</c:v>
                </c:pt>
                <c:pt idx="271">
                  <c:v>154.94405940594061</c:v>
                </c:pt>
                <c:pt idx="272">
                  <c:v>154.82019801980198</c:v>
                </c:pt>
                <c:pt idx="273">
                  <c:v>154.69029702970298</c:v>
                </c:pt>
                <c:pt idx="274">
                  <c:v>154.56465346534651</c:v>
                </c:pt>
                <c:pt idx="275">
                  <c:v>154.45267326732673</c:v>
                </c:pt>
                <c:pt idx="276">
                  <c:v>154.33861386138614</c:v>
                </c:pt>
                <c:pt idx="277">
                  <c:v>154.22693069306928</c:v>
                </c:pt>
                <c:pt idx="278">
                  <c:v>154.11940594059405</c:v>
                </c:pt>
                <c:pt idx="279">
                  <c:v>154.00247524752473</c:v>
                </c:pt>
                <c:pt idx="280">
                  <c:v>153.91435643564355</c:v>
                </c:pt>
                <c:pt idx="281">
                  <c:v>153.82851485148512</c:v>
                </c:pt>
                <c:pt idx="282">
                  <c:v>153.73772277227721</c:v>
                </c:pt>
                <c:pt idx="283">
                  <c:v>153.68495049504949</c:v>
                </c:pt>
                <c:pt idx="284">
                  <c:v>153.65425742574257</c:v>
                </c:pt>
                <c:pt idx="285">
                  <c:v>153.67108910891088</c:v>
                </c:pt>
                <c:pt idx="286">
                  <c:v>153.69435643564356</c:v>
                </c:pt>
                <c:pt idx="287">
                  <c:v>153.74079207920792</c:v>
                </c:pt>
                <c:pt idx="288">
                  <c:v>153.7508910891089</c:v>
                </c:pt>
                <c:pt idx="289">
                  <c:v>153.76811881188118</c:v>
                </c:pt>
                <c:pt idx="290">
                  <c:v>153.80623762376237</c:v>
                </c:pt>
                <c:pt idx="291">
                  <c:v>153.87336633663367</c:v>
                </c:pt>
                <c:pt idx="292">
                  <c:v>153.92415841584159</c:v>
                </c:pt>
                <c:pt idx="293">
                  <c:v>153.97950495049506</c:v>
                </c:pt>
                <c:pt idx="294">
                  <c:v>154.040297029703</c:v>
                </c:pt>
                <c:pt idx="295">
                  <c:v>154.10009900990099</c:v>
                </c:pt>
                <c:pt idx="296">
                  <c:v>154.17128712871289</c:v>
                </c:pt>
                <c:pt idx="297">
                  <c:v>154.21485148514853</c:v>
                </c:pt>
                <c:pt idx="298">
                  <c:v>154.22722772277231</c:v>
                </c:pt>
                <c:pt idx="299">
                  <c:v>154.2162376237624</c:v>
                </c:pt>
                <c:pt idx="300">
                  <c:v>154.20168316831686</c:v>
                </c:pt>
                <c:pt idx="301">
                  <c:v>154.18554455445548</c:v>
                </c:pt>
                <c:pt idx="302">
                  <c:v>154.17693069306932</c:v>
                </c:pt>
                <c:pt idx="303">
                  <c:v>154.17851485148515</c:v>
                </c:pt>
                <c:pt idx="304">
                  <c:v>154.17425742574261</c:v>
                </c:pt>
                <c:pt idx="305">
                  <c:v>154.15217821782181</c:v>
                </c:pt>
                <c:pt idx="306">
                  <c:v>154.14841584158421</c:v>
                </c:pt>
                <c:pt idx="307">
                  <c:v>154.14980198019808</c:v>
                </c:pt>
                <c:pt idx="308">
                  <c:v>154.15099009900996</c:v>
                </c:pt>
                <c:pt idx="309">
                  <c:v>154.18108910891092</c:v>
                </c:pt>
                <c:pt idx="310">
                  <c:v>154.21178217821785</c:v>
                </c:pt>
                <c:pt idx="311">
                  <c:v>154.27099009900994</c:v>
                </c:pt>
                <c:pt idx="312">
                  <c:v>154.20287128712874</c:v>
                </c:pt>
                <c:pt idx="313">
                  <c:v>154.1743564356436</c:v>
                </c:pt>
                <c:pt idx="314">
                  <c:v>154.18891089108914</c:v>
                </c:pt>
                <c:pt idx="315">
                  <c:v>154.14297029702973</c:v>
                </c:pt>
                <c:pt idx="316">
                  <c:v>154.0824752475248</c:v>
                </c:pt>
                <c:pt idx="317">
                  <c:v>154.02831683168321</c:v>
                </c:pt>
                <c:pt idx="318">
                  <c:v>153.98801980198022</c:v>
                </c:pt>
                <c:pt idx="319">
                  <c:v>153.94891089108913</c:v>
                </c:pt>
                <c:pt idx="320">
                  <c:v>153.93396039603959</c:v>
                </c:pt>
                <c:pt idx="321">
                  <c:v>153.95861386138614</c:v>
                </c:pt>
                <c:pt idx="322">
                  <c:v>153.95485148514851</c:v>
                </c:pt>
                <c:pt idx="323">
                  <c:v>153.94633663366338</c:v>
                </c:pt>
                <c:pt idx="324">
                  <c:v>153.99059405940594</c:v>
                </c:pt>
                <c:pt idx="325">
                  <c:v>154.02831683168318</c:v>
                </c:pt>
                <c:pt idx="326">
                  <c:v>154.05059405940594</c:v>
                </c:pt>
                <c:pt idx="327">
                  <c:v>154.05267326732672</c:v>
                </c:pt>
                <c:pt idx="328">
                  <c:v>154.04425742574259</c:v>
                </c:pt>
                <c:pt idx="329">
                  <c:v>154.04485148514851</c:v>
                </c:pt>
                <c:pt idx="330">
                  <c:v>154.04435643564358</c:v>
                </c:pt>
                <c:pt idx="331">
                  <c:v>154.05326732673268</c:v>
                </c:pt>
                <c:pt idx="332">
                  <c:v>154.06821782178218</c:v>
                </c:pt>
                <c:pt idx="333">
                  <c:v>154.08900990099011</c:v>
                </c:pt>
                <c:pt idx="334">
                  <c:v>154.14495049504953</c:v>
                </c:pt>
                <c:pt idx="335">
                  <c:v>154.19920792079208</c:v>
                </c:pt>
                <c:pt idx="336">
                  <c:v>154.25029702970295</c:v>
                </c:pt>
                <c:pt idx="337">
                  <c:v>154.32653465346533</c:v>
                </c:pt>
                <c:pt idx="338">
                  <c:v>154.39019801980194</c:v>
                </c:pt>
                <c:pt idx="339">
                  <c:v>154.46524752475244</c:v>
                </c:pt>
                <c:pt idx="340">
                  <c:v>154.54346534653462</c:v>
                </c:pt>
                <c:pt idx="341">
                  <c:v>154.56148514851483</c:v>
                </c:pt>
                <c:pt idx="342">
                  <c:v>154.58633663366334</c:v>
                </c:pt>
                <c:pt idx="343">
                  <c:v>154.61801980198015</c:v>
                </c:pt>
                <c:pt idx="344">
                  <c:v>154.68316831683165</c:v>
                </c:pt>
                <c:pt idx="345">
                  <c:v>154.77138613861379</c:v>
                </c:pt>
                <c:pt idx="346">
                  <c:v>154.86237623762372</c:v>
                </c:pt>
                <c:pt idx="347">
                  <c:v>154.94069306930689</c:v>
                </c:pt>
                <c:pt idx="348">
                  <c:v>155.0076237623762</c:v>
                </c:pt>
                <c:pt idx="349">
                  <c:v>155.08049504950492</c:v>
                </c:pt>
                <c:pt idx="350">
                  <c:v>155.16168316831681</c:v>
                </c:pt>
                <c:pt idx="351">
                  <c:v>155.25168316831682</c:v>
                </c:pt>
                <c:pt idx="352">
                  <c:v>155.34039603960395</c:v>
                </c:pt>
                <c:pt idx="353">
                  <c:v>155.45118811881187</c:v>
                </c:pt>
                <c:pt idx="354">
                  <c:v>155.56217821782175</c:v>
                </c:pt>
                <c:pt idx="355">
                  <c:v>155.66871287128711</c:v>
                </c:pt>
                <c:pt idx="356">
                  <c:v>155.73792079207917</c:v>
                </c:pt>
                <c:pt idx="357">
                  <c:v>155.85069306930691</c:v>
                </c:pt>
                <c:pt idx="358">
                  <c:v>155.97910891089106</c:v>
                </c:pt>
                <c:pt idx="359">
                  <c:v>156.08564356435642</c:v>
                </c:pt>
                <c:pt idx="360">
                  <c:v>156.20148514851485</c:v>
                </c:pt>
                <c:pt idx="361">
                  <c:v>156.30336633663364</c:v>
                </c:pt>
                <c:pt idx="362">
                  <c:v>156.39138613861388</c:v>
                </c:pt>
                <c:pt idx="363">
                  <c:v>156.4910891089109</c:v>
                </c:pt>
                <c:pt idx="364">
                  <c:v>156.56108910891089</c:v>
                </c:pt>
                <c:pt idx="365">
                  <c:v>156.63148514851483</c:v>
                </c:pt>
                <c:pt idx="366">
                  <c:v>156.67198019801978</c:v>
                </c:pt>
                <c:pt idx="367">
                  <c:v>156.70138613861386</c:v>
                </c:pt>
                <c:pt idx="368">
                  <c:v>156.6858415841584</c:v>
                </c:pt>
                <c:pt idx="369">
                  <c:v>156.70376237623759</c:v>
                </c:pt>
                <c:pt idx="370">
                  <c:v>156.71495049504949</c:v>
                </c:pt>
                <c:pt idx="371">
                  <c:v>156.70643564356433</c:v>
                </c:pt>
                <c:pt idx="372">
                  <c:v>156.70900990099008</c:v>
                </c:pt>
                <c:pt idx="373">
                  <c:v>156.7177227722772</c:v>
                </c:pt>
                <c:pt idx="374">
                  <c:v>156.74178217821782</c:v>
                </c:pt>
                <c:pt idx="375">
                  <c:v>156.75039603960394</c:v>
                </c:pt>
                <c:pt idx="376">
                  <c:v>156.77514851485145</c:v>
                </c:pt>
                <c:pt idx="377">
                  <c:v>156.79643564356434</c:v>
                </c:pt>
                <c:pt idx="378">
                  <c:v>156.81178217821784</c:v>
                </c:pt>
                <c:pt idx="379">
                  <c:v>156.8132673267327</c:v>
                </c:pt>
                <c:pt idx="380">
                  <c:v>156.83732673267329</c:v>
                </c:pt>
                <c:pt idx="381">
                  <c:v>156.83386138613864</c:v>
                </c:pt>
                <c:pt idx="382">
                  <c:v>156.84049504950497</c:v>
                </c:pt>
                <c:pt idx="383">
                  <c:v>156.84227722772278</c:v>
                </c:pt>
                <c:pt idx="384">
                  <c:v>156.91049504950499</c:v>
                </c:pt>
                <c:pt idx="385">
                  <c:v>156.94316831683167</c:v>
                </c:pt>
                <c:pt idx="386">
                  <c:v>156.95702970297032</c:v>
                </c:pt>
                <c:pt idx="387">
                  <c:v>156.96316831683171</c:v>
                </c:pt>
                <c:pt idx="388">
                  <c:v>156.98138613861391</c:v>
                </c:pt>
                <c:pt idx="389">
                  <c:v>157.04099009900997</c:v>
                </c:pt>
                <c:pt idx="390">
                  <c:v>157.0987128712872</c:v>
                </c:pt>
                <c:pt idx="391">
                  <c:v>157.13118811881193</c:v>
                </c:pt>
                <c:pt idx="392">
                  <c:v>157.12069306930695</c:v>
                </c:pt>
                <c:pt idx="393">
                  <c:v>157.14732673267329</c:v>
                </c:pt>
                <c:pt idx="394">
                  <c:v>157.16851485148518</c:v>
                </c:pt>
                <c:pt idx="395">
                  <c:v>157.15772277227725</c:v>
                </c:pt>
                <c:pt idx="396">
                  <c:v>157.16405940594063</c:v>
                </c:pt>
                <c:pt idx="397">
                  <c:v>157.19712871287132</c:v>
                </c:pt>
                <c:pt idx="398">
                  <c:v>157.24544554455449</c:v>
                </c:pt>
                <c:pt idx="399">
                  <c:v>157.32207920792081</c:v>
                </c:pt>
                <c:pt idx="400">
                  <c:v>157.40663366336636</c:v>
                </c:pt>
                <c:pt idx="401">
                  <c:v>157.51079207920796</c:v>
                </c:pt>
                <c:pt idx="402">
                  <c:v>157.61950495049507</c:v>
                </c:pt>
                <c:pt idx="403">
                  <c:v>157.70396039603963</c:v>
                </c:pt>
                <c:pt idx="404">
                  <c:v>157.81712871287132</c:v>
                </c:pt>
                <c:pt idx="405">
                  <c:v>157.93297029702973</c:v>
                </c:pt>
                <c:pt idx="406">
                  <c:v>158.06178217821784</c:v>
                </c:pt>
                <c:pt idx="407">
                  <c:v>158.19009900990102</c:v>
                </c:pt>
                <c:pt idx="408">
                  <c:v>158.35623762376238</c:v>
                </c:pt>
                <c:pt idx="409">
                  <c:v>158.52574257425744</c:v>
                </c:pt>
                <c:pt idx="410">
                  <c:v>158.68217821782179</c:v>
                </c:pt>
                <c:pt idx="411">
                  <c:v>158.83643564356436</c:v>
                </c:pt>
                <c:pt idx="412">
                  <c:v>158.96089108910894</c:v>
                </c:pt>
                <c:pt idx="413">
                  <c:v>159.19099009900992</c:v>
                </c:pt>
                <c:pt idx="414">
                  <c:v>159.40316831683171</c:v>
                </c:pt>
                <c:pt idx="415">
                  <c:v>159.55792079207924</c:v>
                </c:pt>
                <c:pt idx="416">
                  <c:v>159.79485148514854</c:v>
                </c:pt>
                <c:pt idx="417">
                  <c:v>160.06653465346537</c:v>
                </c:pt>
                <c:pt idx="418">
                  <c:v>160.34376237623763</c:v>
                </c:pt>
                <c:pt idx="419">
                  <c:v>160.61891089108912</c:v>
                </c:pt>
                <c:pt idx="420">
                  <c:v>160.91336633663369</c:v>
                </c:pt>
                <c:pt idx="421">
                  <c:v>161.17475247524754</c:v>
                </c:pt>
                <c:pt idx="422">
                  <c:v>161.39851485148517</c:v>
                </c:pt>
                <c:pt idx="423">
                  <c:v>161.61801980198021</c:v>
                </c:pt>
                <c:pt idx="424">
                  <c:v>161.8614851485149</c:v>
                </c:pt>
                <c:pt idx="425">
                  <c:v>162.06534653465349</c:v>
                </c:pt>
                <c:pt idx="426">
                  <c:v>162.26811881188121</c:v>
                </c:pt>
                <c:pt idx="427">
                  <c:v>162.45336633663368</c:v>
                </c:pt>
                <c:pt idx="428">
                  <c:v>162.66940594059406</c:v>
                </c:pt>
                <c:pt idx="429">
                  <c:v>162.85980198019803</c:v>
                </c:pt>
                <c:pt idx="430">
                  <c:v>163.0737623762376</c:v>
                </c:pt>
                <c:pt idx="431">
                  <c:v>163.26049504950495</c:v>
                </c:pt>
                <c:pt idx="432">
                  <c:v>163.46514851485148</c:v>
                </c:pt>
                <c:pt idx="433">
                  <c:v>163.66693069306928</c:v>
                </c:pt>
                <c:pt idx="434">
                  <c:v>163.89732673267324</c:v>
                </c:pt>
                <c:pt idx="435">
                  <c:v>164.1308910891089</c:v>
                </c:pt>
                <c:pt idx="436">
                  <c:v>164.39445544554451</c:v>
                </c:pt>
                <c:pt idx="437">
                  <c:v>164.70089108910884</c:v>
                </c:pt>
                <c:pt idx="438">
                  <c:v>164.98554455445537</c:v>
                </c:pt>
                <c:pt idx="439">
                  <c:v>165.2857425742574</c:v>
                </c:pt>
                <c:pt idx="440">
                  <c:v>165.62653465346534</c:v>
                </c:pt>
                <c:pt idx="441">
                  <c:v>165.96336633663367</c:v>
                </c:pt>
                <c:pt idx="442">
                  <c:v>166.36386138613858</c:v>
                </c:pt>
                <c:pt idx="443">
                  <c:v>166.79287128712869</c:v>
                </c:pt>
                <c:pt idx="444">
                  <c:v>167.20346534653464</c:v>
                </c:pt>
                <c:pt idx="445">
                  <c:v>167.59346534653463</c:v>
                </c:pt>
                <c:pt idx="446">
                  <c:v>167.97376237623766</c:v>
                </c:pt>
                <c:pt idx="447">
                  <c:v>168.3419801980198</c:v>
                </c:pt>
                <c:pt idx="448">
                  <c:v>168.71811881188114</c:v>
                </c:pt>
                <c:pt idx="449">
                  <c:v>169.10930693069301</c:v>
                </c:pt>
                <c:pt idx="450">
                  <c:v>169.5081188118811</c:v>
                </c:pt>
                <c:pt idx="451">
                  <c:v>169.90881188118806</c:v>
                </c:pt>
                <c:pt idx="452">
                  <c:v>170.299405940594</c:v>
                </c:pt>
                <c:pt idx="453">
                  <c:v>170.68910891089104</c:v>
                </c:pt>
                <c:pt idx="454">
                  <c:v>171.05801980198018</c:v>
                </c:pt>
                <c:pt idx="455">
                  <c:v>171.40455445544552</c:v>
                </c:pt>
                <c:pt idx="456">
                  <c:v>171.75980198019801</c:v>
                </c:pt>
                <c:pt idx="457">
                  <c:v>172.09356435643562</c:v>
                </c:pt>
                <c:pt idx="458">
                  <c:v>172.41970297029698</c:v>
                </c:pt>
                <c:pt idx="459">
                  <c:v>172.75653465346531</c:v>
                </c:pt>
                <c:pt idx="460">
                  <c:v>173.089603960396</c:v>
                </c:pt>
                <c:pt idx="461">
                  <c:v>173.38475247524747</c:v>
                </c:pt>
                <c:pt idx="462">
                  <c:v>173.69762376237617</c:v>
                </c:pt>
                <c:pt idx="463">
                  <c:v>173.98811881188112</c:v>
                </c:pt>
                <c:pt idx="464">
                  <c:v>174.28386138613857</c:v>
                </c:pt>
                <c:pt idx="465">
                  <c:v>174.59425742574251</c:v>
                </c:pt>
                <c:pt idx="466">
                  <c:v>174.95099009900983</c:v>
                </c:pt>
                <c:pt idx="467">
                  <c:v>175.37772277227717</c:v>
                </c:pt>
                <c:pt idx="468">
                  <c:v>175.81930693069305</c:v>
                </c:pt>
                <c:pt idx="469">
                  <c:v>176.25425742574254</c:v>
                </c:pt>
                <c:pt idx="470">
                  <c:v>176.68732673267323</c:v>
                </c:pt>
                <c:pt idx="471">
                  <c:v>177.15564356435641</c:v>
                </c:pt>
                <c:pt idx="472">
                  <c:v>177.63079207920788</c:v>
                </c:pt>
                <c:pt idx="473">
                  <c:v>178.12683168316829</c:v>
                </c:pt>
                <c:pt idx="474">
                  <c:v>178.62504950495048</c:v>
                </c:pt>
                <c:pt idx="475">
                  <c:v>179.10009900990096</c:v>
                </c:pt>
                <c:pt idx="476">
                  <c:v>179.59999999999994</c:v>
                </c:pt>
                <c:pt idx="477">
                  <c:v>180.10158415841579</c:v>
                </c:pt>
                <c:pt idx="478">
                  <c:v>180.61930693069303</c:v>
                </c:pt>
                <c:pt idx="479">
                  <c:v>181.12554455445539</c:v>
                </c:pt>
                <c:pt idx="480">
                  <c:v>181.6112871287128</c:v>
                </c:pt>
                <c:pt idx="481">
                  <c:v>182.08386138613852</c:v>
                </c:pt>
                <c:pt idx="482">
                  <c:v>182.56336633663361</c:v>
                </c:pt>
                <c:pt idx="483">
                  <c:v>183.01544554455435</c:v>
                </c:pt>
                <c:pt idx="484">
                  <c:v>183.47841584158408</c:v>
                </c:pt>
                <c:pt idx="485">
                  <c:v>183.84316831683162</c:v>
                </c:pt>
                <c:pt idx="486">
                  <c:v>184.209306930693</c:v>
                </c:pt>
                <c:pt idx="487">
                  <c:v>184.63346534653456</c:v>
                </c:pt>
                <c:pt idx="488">
                  <c:v>185.08544554455435</c:v>
                </c:pt>
                <c:pt idx="489">
                  <c:v>185.51762376237616</c:v>
                </c:pt>
                <c:pt idx="490">
                  <c:v>185.96386138613849</c:v>
                </c:pt>
                <c:pt idx="491">
                  <c:v>186.35732673267316</c:v>
                </c:pt>
                <c:pt idx="492">
                  <c:v>186.77346534653458</c:v>
                </c:pt>
                <c:pt idx="493">
                  <c:v>187.19019801980193</c:v>
                </c:pt>
                <c:pt idx="494">
                  <c:v>187.56900990099004</c:v>
                </c:pt>
                <c:pt idx="495">
                  <c:v>187.96564356435638</c:v>
                </c:pt>
                <c:pt idx="496">
                  <c:v>188.37198019801968</c:v>
                </c:pt>
                <c:pt idx="497">
                  <c:v>188.77247524752465</c:v>
                </c:pt>
                <c:pt idx="498">
                  <c:v>189.13475247524741</c:v>
                </c:pt>
                <c:pt idx="499">
                  <c:v>189.499306930693</c:v>
                </c:pt>
                <c:pt idx="500">
                  <c:v>189.85891089108904</c:v>
                </c:pt>
                <c:pt idx="501">
                  <c:v>190.20960396039601</c:v>
                </c:pt>
                <c:pt idx="502">
                  <c:v>190.54643564356431</c:v>
                </c:pt>
                <c:pt idx="503">
                  <c:v>190.84831683168312</c:v>
                </c:pt>
                <c:pt idx="504">
                  <c:v>191.16524752475243</c:v>
                </c:pt>
                <c:pt idx="505">
                  <c:v>191.49267326732675</c:v>
                </c:pt>
                <c:pt idx="506">
                  <c:v>191.79990099009902</c:v>
                </c:pt>
                <c:pt idx="507">
                  <c:v>192.0746534653465</c:v>
                </c:pt>
                <c:pt idx="508">
                  <c:v>192.40603960396038</c:v>
                </c:pt>
                <c:pt idx="509">
                  <c:v>192.76099009900994</c:v>
                </c:pt>
                <c:pt idx="510">
                  <c:v>193.15415841584161</c:v>
                </c:pt>
                <c:pt idx="511">
                  <c:v>193.55653465346538</c:v>
                </c:pt>
                <c:pt idx="512">
                  <c:v>193.94633663366341</c:v>
                </c:pt>
                <c:pt idx="513">
                  <c:v>194.340396039604</c:v>
                </c:pt>
                <c:pt idx="514">
                  <c:v>194.75148514851486</c:v>
                </c:pt>
                <c:pt idx="515">
                  <c:v>195.16435643564358</c:v>
                </c:pt>
                <c:pt idx="516">
                  <c:v>195.60683168316834</c:v>
                </c:pt>
                <c:pt idx="517">
                  <c:v>196.04564356435645</c:v>
                </c:pt>
                <c:pt idx="518">
                  <c:v>196.50485148514852</c:v>
                </c:pt>
                <c:pt idx="519">
                  <c:v>196.9971287128713</c:v>
                </c:pt>
                <c:pt idx="520">
                  <c:v>197.47762376237625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FF-4C34-9841-124E51C2A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22792432"/>
        <c:axId val="1822795792"/>
      </c:lineChart>
      <c:dateAx>
        <c:axId val="1822792432"/>
        <c:scaling>
          <c:orientation val="minMax"/>
          <c:min val="4593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95792"/>
        <c:crosses val="autoZero"/>
        <c:auto val="1"/>
        <c:lblOffset val="100"/>
        <c:baseTimeUnit val="days"/>
      </c:dateAx>
      <c:valAx>
        <c:axId val="1822795792"/>
        <c:scaling>
          <c:orientation val="minMax"/>
          <c:max val="227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9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Dividend 2000-2025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yyyy\-mm\-dd</c:formatCode>
                <c:ptCount val="105"/>
                <c:pt idx="0">
                  <c:v>36567</c:v>
                </c:pt>
                <c:pt idx="1">
                  <c:v>36665</c:v>
                </c:pt>
                <c:pt idx="2">
                  <c:v>36756</c:v>
                </c:pt>
                <c:pt idx="3">
                  <c:v>36847</c:v>
                </c:pt>
                <c:pt idx="4">
                  <c:v>36937</c:v>
                </c:pt>
                <c:pt idx="5">
                  <c:v>37029</c:v>
                </c:pt>
                <c:pt idx="6">
                  <c:v>37120</c:v>
                </c:pt>
                <c:pt idx="7">
                  <c:v>37211</c:v>
                </c:pt>
                <c:pt idx="8">
                  <c:v>37301</c:v>
                </c:pt>
                <c:pt idx="9">
                  <c:v>37393</c:v>
                </c:pt>
                <c:pt idx="10">
                  <c:v>37484</c:v>
                </c:pt>
                <c:pt idx="11">
                  <c:v>37575</c:v>
                </c:pt>
                <c:pt idx="12">
                  <c:v>37665</c:v>
                </c:pt>
                <c:pt idx="13">
                  <c:v>37757</c:v>
                </c:pt>
                <c:pt idx="14">
                  <c:v>37848</c:v>
                </c:pt>
                <c:pt idx="15">
                  <c:v>37939</c:v>
                </c:pt>
                <c:pt idx="16">
                  <c:v>38029</c:v>
                </c:pt>
                <c:pt idx="17">
                  <c:v>38121</c:v>
                </c:pt>
                <c:pt idx="18">
                  <c:v>38212</c:v>
                </c:pt>
                <c:pt idx="19">
                  <c:v>38303</c:v>
                </c:pt>
                <c:pt idx="20">
                  <c:v>38394</c:v>
                </c:pt>
                <c:pt idx="21">
                  <c:v>38485</c:v>
                </c:pt>
                <c:pt idx="22">
                  <c:v>38583</c:v>
                </c:pt>
                <c:pt idx="23">
                  <c:v>38674</c:v>
                </c:pt>
                <c:pt idx="24">
                  <c:v>38772</c:v>
                </c:pt>
                <c:pt idx="25">
                  <c:v>38862</c:v>
                </c:pt>
                <c:pt idx="26">
                  <c:v>38954</c:v>
                </c:pt>
                <c:pt idx="27">
                  <c:v>39045</c:v>
                </c:pt>
                <c:pt idx="28">
                  <c:v>39136</c:v>
                </c:pt>
                <c:pt idx="29">
                  <c:v>39226</c:v>
                </c:pt>
                <c:pt idx="30">
                  <c:v>39318</c:v>
                </c:pt>
                <c:pt idx="31">
                  <c:v>39409</c:v>
                </c:pt>
                <c:pt idx="32">
                  <c:v>39500</c:v>
                </c:pt>
                <c:pt idx="33">
                  <c:v>39590</c:v>
                </c:pt>
                <c:pt idx="34">
                  <c:v>39682</c:v>
                </c:pt>
                <c:pt idx="35">
                  <c:v>39773</c:v>
                </c:pt>
                <c:pt idx="36">
                  <c:v>39864</c:v>
                </c:pt>
                <c:pt idx="37">
                  <c:v>39954</c:v>
                </c:pt>
                <c:pt idx="38">
                  <c:v>40046</c:v>
                </c:pt>
                <c:pt idx="39">
                  <c:v>40137</c:v>
                </c:pt>
                <c:pt idx="40">
                  <c:v>40228</c:v>
                </c:pt>
                <c:pt idx="41">
                  <c:v>40325</c:v>
                </c:pt>
                <c:pt idx="42">
                  <c:v>40417</c:v>
                </c:pt>
                <c:pt idx="43">
                  <c:v>40508</c:v>
                </c:pt>
                <c:pt idx="44">
                  <c:v>40599</c:v>
                </c:pt>
                <c:pt idx="45">
                  <c:v>40689</c:v>
                </c:pt>
                <c:pt idx="46">
                  <c:v>40781</c:v>
                </c:pt>
                <c:pt idx="47">
                  <c:v>40872</c:v>
                </c:pt>
                <c:pt idx="48">
                  <c:v>40963</c:v>
                </c:pt>
                <c:pt idx="49">
                  <c:v>41053</c:v>
                </c:pt>
                <c:pt idx="50">
                  <c:v>41145</c:v>
                </c:pt>
                <c:pt idx="51">
                  <c:v>41236</c:v>
                </c:pt>
                <c:pt idx="52">
                  <c:v>41327</c:v>
                </c:pt>
                <c:pt idx="53">
                  <c:v>41417</c:v>
                </c:pt>
                <c:pt idx="54">
                  <c:v>41509</c:v>
                </c:pt>
                <c:pt idx="55">
                  <c:v>41600</c:v>
                </c:pt>
                <c:pt idx="56">
                  <c:v>41691</c:v>
                </c:pt>
                <c:pt idx="57">
                  <c:v>41781</c:v>
                </c:pt>
                <c:pt idx="58">
                  <c:v>41873</c:v>
                </c:pt>
                <c:pt idx="59">
                  <c:v>41964</c:v>
                </c:pt>
                <c:pt idx="60">
                  <c:v>42055</c:v>
                </c:pt>
                <c:pt idx="61">
                  <c:v>42145</c:v>
                </c:pt>
                <c:pt idx="62">
                  <c:v>42237</c:v>
                </c:pt>
                <c:pt idx="63">
                  <c:v>42328</c:v>
                </c:pt>
                <c:pt idx="64">
                  <c:v>42419</c:v>
                </c:pt>
                <c:pt idx="65">
                  <c:v>42510</c:v>
                </c:pt>
                <c:pt idx="66">
                  <c:v>42601</c:v>
                </c:pt>
                <c:pt idx="67">
                  <c:v>42692</c:v>
                </c:pt>
                <c:pt idx="68">
                  <c:v>42790</c:v>
                </c:pt>
                <c:pt idx="69">
                  <c:v>42880</c:v>
                </c:pt>
                <c:pt idx="70">
                  <c:v>42972</c:v>
                </c:pt>
                <c:pt idx="71">
                  <c:v>43066</c:v>
                </c:pt>
                <c:pt idx="72">
                  <c:v>43157</c:v>
                </c:pt>
                <c:pt idx="73">
                  <c:v>43245</c:v>
                </c:pt>
                <c:pt idx="74">
                  <c:v>43339</c:v>
                </c:pt>
                <c:pt idx="75">
                  <c:v>43430</c:v>
                </c:pt>
                <c:pt idx="76">
                  <c:v>43521</c:v>
                </c:pt>
                <c:pt idx="77">
                  <c:v>43609</c:v>
                </c:pt>
                <c:pt idx="78">
                  <c:v>43703</c:v>
                </c:pt>
                <c:pt idx="79">
                  <c:v>43794</c:v>
                </c:pt>
                <c:pt idx="80">
                  <c:v>43885</c:v>
                </c:pt>
                <c:pt idx="81">
                  <c:v>43973</c:v>
                </c:pt>
                <c:pt idx="82">
                  <c:v>44067</c:v>
                </c:pt>
                <c:pt idx="83">
                  <c:v>44158</c:v>
                </c:pt>
                <c:pt idx="84">
                  <c:v>44249</c:v>
                </c:pt>
                <c:pt idx="85">
                  <c:v>44340</c:v>
                </c:pt>
                <c:pt idx="86">
                  <c:v>44431</c:v>
                </c:pt>
                <c:pt idx="87">
                  <c:v>44522</c:v>
                </c:pt>
                <c:pt idx="88">
                  <c:v>44610</c:v>
                </c:pt>
                <c:pt idx="89">
                  <c:v>44704</c:v>
                </c:pt>
                <c:pt idx="90">
                  <c:v>44795</c:v>
                </c:pt>
                <c:pt idx="91">
                  <c:v>44886</c:v>
                </c:pt>
                <c:pt idx="92">
                  <c:v>44974</c:v>
                </c:pt>
                <c:pt idx="93">
                  <c:v>45068</c:v>
                </c:pt>
                <c:pt idx="94">
                  <c:v>45163</c:v>
                </c:pt>
                <c:pt idx="95">
                  <c:v>45250</c:v>
                </c:pt>
                <c:pt idx="96">
                  <c:v>45338</c:v>
                </c:pt>
                <c:pt idx="97">
                  <c:v>45432</c:v>
                </c:pt>
                <c:pt idx="98">
                  <c:v>45531</c:v>
                </c:pt>
                <c:pt idx="99">
                  <c:v>45622</c:v>
                </c:pt>
                <c:pt idx="100">
                  <c:v>45706</c:v>
                </c:pt>
                <c:pt idx="101">
                  <c:v>45804</c:v>
                </c:pt>
                <c:pt idx="102">
                  <c:v>45895</c:v>
                </c:pt>
                <c:pt idx="103">
                  <c:v>45986</c:v>
                </c:pt>
              </c:numCache>
            </c:numRef>
          </c:cat>
          <c:val>
            <c:numRef>
              <c:f>Dividends!$B$2:$B$106</c:f>
              <c:numCache>
                <c:formatCode>General</c:formatCode>
                <c:ptCount val="105"/>
                <c:pt idx="0">
                  <c:v>0.14000000000000001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0.18</c:v>
                </c:pt>
                <c:pt idx="9">
                  <c:v>0.20499999999999999</c:v>
                </c:pt>
                <c:pt idx="10">
                  <c:v>0.20499999999999999</c:v>
                </c:pt>
                <c:pt idx="11">
                  <c:v>0.20499999999999999</c:v>
                </c:pt>
                <c:pt idx="12">
                  <c:v>0.20499999999999999</c:v>
                </c:pt>
                <c:pt idx="13">
                  <c:v>0.24</c:v>
                </c:pt>
                <c:pt idx="14">
                  <c:v>0.24</c:v>
                </c:pt>
                <c:pt idx="15">
                  <c:v>0.24</c:v>
                </c:pt>
                <c:pt idx="16">
                  <c:v>0.24</c:v>
                </c:pt>
                <c:pt idx="17">
                  <c:v>0.28499999999999998</c:v>
                </c:pt>
                <c:pt idx="18">
                  <c:v>0.28499999999999998</c:v>
                </c:pt>
                <c:pt idx="19">
                  <c:v>0.28499999999999998</c:v>
                </c:pt>
                <c:pt idx="20">
                  <c:v>0.28499999999999998</c:v>
                </c:pt>
                <c:pt idx="21">
                  <c:v>0.33</c:v>
                </c:pt>
                <c:pt idx="22">
                  <c:v>0.33</c:v>
                </c:pt>
                <c:pt idx="23">
                  <c:v>0.33</c:v>
                </c:pt>
                <c:pt idx="24">
                  <c:v>0.33</c:v>
                </c:pt>
                <c:pt idx="25">
                  <c:v>0.375</c:v>
                </c:pt>
                <c:pt idx="26">
                  <c:v>0.375</c:v>
                </c:pt>
                <c:pt idx="27">
                  <c:v>0.375</c:v>
                </c:pt>
                <c:pt idx="28">
                  <c:v>0.375</c:v>
                </c:pt>
                <c:pt idx="29">
                  <c:v>0.41499999999999998</c:v>
                </c:pt>
                <c:pt idx="30">
                  <c:v>0.41499999999999998</c:v>
                </c:pt>
                <c:pt idx="31">
                  <c:v>0.41499999999999998</c:v>
                </c:pt>
                <c:pt idx="32">
                  <c:v>0.41499999999999998</c:v>
                </c:pt>
                <c:pt idx="33">
                  <c:v>0.46</c:v>
                </c:pt>
                <c:pt idx="34">
                  <c:v>0.46</c:v>
                </c:pt>
                <c:pt idx="35">
                  <c:v>0.46</c:v>
                </c:pt>
                <c:pt idx="36">
                  <c:v>0.46</c:v>
                </c:pt>
                <c:pt idx="37">
                  <c:v>0.49</c:v>
                </c:pt>
                <c:pt idx="38">
                  <c:v>0.49</c:v>
                </c:pt>
                <c:pt idx="39">
                  <c:v>0.49</c:v>
                </c:pt>
                <c:pt idx="40">
                  <c:v>0.49</c:v>
                </c:pt>
                <c:pt idx="41">
                  <c:v>0.54</c:v>
                </c:pt>
                <c:pt idx="42">
                  <c:v>0.54</c:v>
                </c:pt>
                <c:pt idx="43">
                  <c:v>0.54</c:v>
                </c:pt>
                <c:pt idx="44">
                  <c:v>0.54</c:v>
                </c:pt>
                <c:pt idx="45">
                  <c:v>0.56999999999999995</c:v>
                </c:pt>
                <c:pt idx="46">
                  <c:v>0.56999999999999995</c:v>
                </c:pt>
                <c:pt idx="47">
                  <c:v>0.56999999999999995</c:v>
                </c:pt>
                <c:pt idx="48">
                  <c:v>0.56999999999999995</c:v>
                </c:pt>
                <c:pt idx="49">
                  <c:v>0.61</c:v>
                </c:pt>
                <c:pt idx="50">
                  <c:v>0.61</c:v>
                </c:pt>
                <c:pt idx="51">
                  <c:v>0.61</c:v>
                </c:pt>
                <c:pt idx="52">
                  <c:v>0.61</c:v>
                </c:pt>
                <c:pt idx="53">
                  <c:v>0.66</c:v>
                </c:pt>
                <c:pt idx="54">
                  <c:v>0.66</c:v>
                </c:pt>
                <c:pt idx="55">
                  <c:v>0.66</c:v>
                </c:pt>
                <c:pt idx="56">
                  <c:v>0.66</c:v>
                </c:pt>
                <c:pt idx="57">
                  <c:v>0.7</c:v>
                </c:pt>
                <c:pt idx="58">
                  <c:v>0.7</c:v>
                </c:pt>
                <c:pt idx="59">
                  <c:v>0.7</c:v>
                </c:pt>
                <c:pt idx="60">
                  <c:v>0.7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0.84</c:v>
                </c:pt>
                <c:pt idx="70">
                  <c:v>0.84</c:v>
                </c:pt>
                <c:pt idx="71">
                  <c:v>0.84</c:v>
                </c:pt>
                <c:pt idx="72">
                  <c:v>0.84</c:v>
                </c:pt>
                <c:pt idx="73">
                  <c:v>0.9</c:v>
                </c:pt>
                <c:pt idx="74">
                  <c:v>0.9</c:v>
                </c:pt>
                <c:pt idx="75">
                  <c:v>0.9</c:v>
                </c:pt>
                <c:pt idx="76">
                  <c:v>0.9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1.01</c:v>
                </c:pt>
                <c:pt idx="82">
                  <c:v>1.01</c:v>
                </c:pt>
                <c:pt idx="83">
                  <c:v>1.01</c:v>
                </c:pt>
                <c:pt idx="84">
                  <c:v>1.01</c:v>
                </c:pt>
                <c:pt idx="85">
                  <c:v>1.06</c:v>
                </c:pt>
                <c:pt idx="86">
                  <c:v>1.06</c:v>
                </c:pt>
                <c:pt idx="87">
                  <c:v>1.06</c:v>
                </c:pt>
                <c:pt idx="88">
                  <c:v>1.06</c:v>
                </c:pt>
                <c:pt idx="89">
                  <c:v>1.1299999999999999</c:v>
                </c:pt>
                <c:pt idx="90">
                  <c:v>1.1299999999999999</c:v>
                </c:pt>
                <c:pt idx="91">
                  <c:v>1.1299999999999999</c:v>
                </c:pt>
                <c:pt idx="92">
                  <c:v>1.1299999999999999</c:v>
                </c:pt>
                <c:pt idx="93">
                  <c:v>1.19</c:v>
                </c:pt>
                <c:pt idx="94">
                  <c:v>1.19</c:v>
                </c:pt>
                <c:pt idx="95">
                  <c:v>1.19</c:v>
                </c:pt>
                <c:pt idx="96">
                  <c:v>1.19</c:v>
                </c:pt>
                <c:pt idx="97">
                  <c:v>1.24</c:v>
                </c:pt>
                <c:pt idx="98">
                  <c:v>1.24</c:v>
                </c:pt>
                <c:pt idx="99">
                  <c:v>1.24</c:v>
                </c:pt>
                <c:pt idx="100">
                  <c:v>1.24</c:v>
                </c:pt>
                <c:pt idx="101">
                  <c:v>1.3</c:v>
                </c:pt>
                <c:pt idx="102">
                  <c:v>1.3</c:v>
                </c:pt>
                <c:pt idx="103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3-44EB-AE23-5B3B6CA20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2803952"/>
        <c:axId val="1822787632"/>
      </c:barChart>
      <c:dateAx>
        <c:axId val="1822803952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787632"/>
        <c:crosses val="autoZero"/>
        <c:auto val="0"/>
        <c:lblOffset val="100"/>
        <c:baseTimeUnit val="months"/>
      </c:dateAx>
      <c:valAx>
        <c:axId val="182278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80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JNJ!$C$1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JNJ!$B$2:$B$522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JNJ!$C$2:$C$522</c:f>
              <c:numCache>
                <c:formatCode>_([$$-409]* #,##0.00_);_([$$-409]* \(#,##0.00\);_([$$-409]* "-"??_);_(@_)</c:formatCode>
                <c:ptCount val="521"/>
                <c:pt idx="0">
                  <c:v>159.97</c:v>
                </c:pt>
                <c:pt idx="1">
                  <c:v>160.97</c:v>
                </c:pt>
                <c:pt idx="2">
                  <c:v>160.63</c:v>
                </c:pt>
                <c:pt idx="3">
                  <c:v>161.13</c:v>
                </c:pt>
                <c:pt idx="4">
                  <c:v>161.53</c:v>
                </c:pt>
                <c:pt idx="5">
                  <c:v>161.63</c:v>
                </c:pt>
                <c:pt idx="6">
                  <c:v>161.87</c:v>
                </c:pt>
                <c:pt idx="7">
                  <c:v>161.15</c:v>
                </c:pt>
                <c:pt idx="8">
                  <c:v>162.38999999999999</c:v>
                </c:pt>
                <c:pt idx="9">
                  <c:v>160.52000000000001</c:v>
                </c:pt>
                <c:pt idx="10">
                  <c:v>160.43</c:v>
                </c:pt>
                <c:pt idx="11">
                  <c:v>161.21</c:v>
                </c:pt>
                <c:pt idx="12">
                  <c:v>161.68</c:v>
                </c:pt>
                <c:pt idx="13">
                  <c:v>162.47</c:v>
                </c:pt>
                <c:pt idx="14">
                  <c:v>159.81</c:v>
                </c:pt>
                <c:pt idx="15">
                  <c:v>158.96</c:v>
                </c:pt>
                <c:pt idx="16">
                  <c:v>159.56</c:v>
                </c:pt>
                <c:pt idx="17">
                  <c:v>159.5</c:v>
                </c:pt>
                <c:pt idx="18">
                  <c:v>159.36000000000001</c:v>
                </c:pt>
                <c:pt idx="19">
                  <c:v>158.77000000000001</c:v>
                </c:pt>
                <c:pt idx="20">
                  <c:v>158.9</c:v>
                </c:pt>
                <c:pt idx="21">
                  <c:v>158.36000000000001</c:v>
                </c:pt>
                <c:pt idx="22">
                  <c:v>156.61000000000001</c:v>
                </c:pt>
                <c:pt idx="23">
                  <c:v>155.80000000000001</c:v>
                </c:pt>
                <c:pt idx="24">
                  <c:v>158.06</c:v>
                </c:pt>
                <c:pt idx="25">
                  <c:v>157.97999999999999</c:v>
                </c:pt>
                <c:pt idx="26">
                  <c:v>156.4</c:v>
                </c:pt>
                <c:pt idx="27">
                  <c:v>156.76</c:v>
                </c:pt>
                <c:pt idx="28">
                  <c:v>157.85</c:v>
                </c:pt>
                <c:pt idx="29">
                  <c:v>156.47</c:v>
                </c:pt>
                <c:pt idx="30">
                  <c:v>155.74</c:v>
                </c:pt>
                <c:pt idx="31">
                  <c:v>157.91999999999999</c:v>
                </c:pt>
                <c:pt idx="32">
                  <c:v>156.55000000000001</c:v>
                </c:pt>
                <c:pt idx="33">
                  <c:v>157.86000000000001</c:v>
                </c:pt>
                <c:pt idx="34">
                  <c:v>158.68</c:v>
                </c:pt>
                <c:pt idx="35">
                  <c:v>160.44999999999999</c:v>
                </c:pt>
                <c:pt idx="36">
                  <c:v>161.84</c:v>
                </c:pt>
                <c:pt idx="37">
                  <c:v>160.79</c:v>
                </c:pt>
                <c:pt idx="38">
                  <c:v>160.97999999999999</c:v>
                </c:pt>
                <c:pt idx="39">
                  <c:v>161.55000000000001</c:v>
                </c:pt>
                <c:pt idx="40">
                  <c:v>161.38</c:v>
                </c:pt>
                <c:pt idx="41">
                  <c:v>162.12</c:v>
                </c:pt>
                <c:pt idx="42">
                  <c:v>159.84</c:v>
                </c:pt>
                <c:pt idx="43">
                  <c:v>159.97</c:v>
                </c:pt>
                <c:pt idx="44">
                  <c:v>159.34</c:v>
                </c:pt>
                <c:pt idx="45">
                  <c:v>158.87</c:v>
                </c:pt>
                <c:pt idx="46">
                  <c:v>159.52000000000001</c:v>
                </c:pt>
                <c:pt idx="47">
                  <c:v>161.22999999999999</c:v>
                </c:pt>
                <c:pt idx="48">
                  <c:v>162.74</c:v>
                </c:pt>
                <c:pt idx="49">
                  <c:v>161.1</c:v>
                </c:pt>
                <c:pt idx="50">
                  <c:v>159.21</c:v>
                </c:pt>
                <c:pt idx="51">
                  <c:v>158.18</c:v>
                </c:pt>
                <c:pt idx="52">
                  <c:v>156.76</c:v>
                </c:pt>
                <c:pt idx="53">
                  <c:v>156.21</c:v>
                </c:pt>
                <c:pt idx="54">
                  <c:v>155.76</c:v>
                </c:pt>
                <c:pt idx="55">
                  <c:v>155.75</c:v>
                </c:pt>
                <c:pt idx="56">
                  <c:v>155.22999999999999</c:v>
                </c:pt>
                <c:pt idx="57">
                  <c:v>155.22</c:v>
                </c:pt>
                <c:pt idx="58">
                  <c:v>155.77000000000001</c:v>
                </c:pt>
                <c:pt idx="59">
                  <c:v>157.96</c:v>
                </c:pt>
                <c:pt idx="60">
                  <c:v>158.19</c:v>
                </c:pt>
                <c:pt idx="61">
                  <c:v>157.78</c:v>
                </c:pt>
                <c:pt idx="62">
                  <c:v>157.72999999999999</c:v>
                </c:pt>
                <c:pt idx="63">
                  <c:v>154.26</c:v>
                </c:pt>
                <c:pt idx="64">
                  <c:v>152.5</c:v>
                </c:pt>
                <c:pt idx="65">
                  <c:v>152.38999999999999</c:v>
                </c:pt>
                <c:pt idx="66">
                  <c:v>151.59</c:v>
                </c:pt>
                <c:pt idx="67">
                  <c:v>152.29</c:v>
                </c:pt>
                <c:pt idx="68">
                  <c:v>150.19999999999999</c:v>
                </c:pt>
                <c:pt idx="69">
                  <c:v>148.79</c:v>
                </c:pt>
                <c:pt idx="70">
                  <c:v>147.52000000000001</c:v>
                </c:pt>
                <c:pt idx="71">
                  <c:v>147.59</c:v>
                </c:pt>
                <c:pt idx="72">
                  <c:v>144.44999999999999</c:v>
                </c:pt>
                <c:pt idx="73">
                  <c:v>144.77000000000001</c:v>
                </c:pt>
                <c:pt idx="74">
                  <c:v>145.74</c:v>
                </c:pt>
                <c:pt idx="75">
                  <c:v>147.91</c:v>
                </c:pt>
                <c:pt idx="76">
                  <c:v>149.12</c:v>
                </c:pt>
                <c:pt idx="77">
                  <c:v>149.56</c:v>
                </c:pt>
                <c:pt idx="78">
                  <c:v>148.53</c:v>
                </c:pt>
                <c:pt idx="79">
                  <c:v>146.82</c:v>
                </c:pt>
                <c:pt idx="80">
                  <c:v>146.13999999999999</c:v>
                </c:pt>
                <c:pt idx="81">
                  <c:v>146.82</c:v>
                </c:pt>
                <c:pt idx="82">
                  <c:v>144.59</c:v>
                </c:pt>
                <c:pt idx="83">
                  <c:v>151.18</c:v>
                </c:pt>
                <c:pt idx="84">
                  <c:v>149.91999999999999</c:v>
                </c:pt>
                <c:pt idx="85">
                  <c:v>149.27000000000001</c:v>
                </c:pt>
                <c:pt idx="86">
                  <c:v>148.58000000000001</c:v>
                </c:pt>
                <c:pt idx="87">
                  <c:v>148.72</c:v>
                </c:pt>
                <c:pt idx="88">
                  <c:v>148.94999999999999</c:v>
                </c:pt>
                <c:pt idx="89">
                  <c:v>149.85</c:v>
                </c:pt>
                <c:pt idx="90">
                  <c:v>149.91</c:v>
                </c:pt>
                <c:pt idx="91">
                  <c:v>151.22</c:v>
                </c:pt>
                <c:pt idx="92">
                  <c:v>151.38</c:v>
                </c:pt>
                <c:pt idx="93">
                  <c:v>152.66999999999999</c:v>
                </c:pt>
                <c:pt idx="94">
                  <c:v>154.28</c:v>
                </c:pt>
                <c:pt idx="95">
                  <c:v>154.63999999999999</c:v>
                </c:pt>
                <c:pt idx="96">
                  <c:v>151.27000000000001</c:v>
                </c:pt>
                <c:pt idx="97">
                  <c:v>151.24</c:v>
                </c:pt>
                <c:pt idx="98">
                  <c:v>153.5</c:v>
                </c:pt>
                <c:pt idx="99">
                  <c:v>149.69999999999999</c:v>
                </c:pt>
                <c:pt idx="100">
                  <c:v>146.97</c:v>
                </c:pt>
                <c:pt idx="101">
                  <c:v>144.38</c:v>
                </c:pt>
                <c:pt idx="102">
                  <c:v>144.44</c:v>
                </c:pt>
                <c:pt idx="103">
                  <c:v>145.28</c:v>
                </c:pt>
                <c:pt idx="104">
                  <c:v>146.66999999999999</c:v>
                </c:pt>
                <c:pt idx="105">
                  <c:v>147.74</c:v>
                </c:pt>
                <c:pt idx="106">
                  <c:v>147.80000000000001</c:v>
                </c:pt>
                <c:pt idx="107">
                  <c:v>145.97</c:v>
                </c:pt>
                <c:pt idx="108">
                  <c:v>146.41999999999999</c:v>
                </c:pt>
                <c:pt idx="109">
                  <c:v>147.08000000000001</c:v>
                </c:pt>
                <c:pt idx="110">
                  <c:v>147.13</c:v>
                </c:pt>
                <c:pt idx="111">
                  <c:v>146.76</c:v>
                </c:pt>
                <c:pt idx="112">
                  <c:v>145.41</c:v>
                </c:pt>
                <c:pt idx="113">
                  <c:v>145.44999999999999</c:v>
                </c:pt>
                <c:pt idx="114">
                  <c:v>145.54</c:v>
                </c:pt>
                <c:pt idx="115">
                  <c:v>145.94999999999999</c:v>
                </c:pt>
                <c:pt idx="116">
                  <c:v>145.65</c:v>
                </c:pt>
                <c:pt idx="117">
                  <c:v>147.78</c:v>
                </c:pt>
                <c:pt idx="118">
                  <c:v>148.75</c:v>
                </c:pt>
                <c:pt idx="119">
                  <c:v>149.12</c:v>
                </c:pt>
                <c:pt idx="120">
                  <c:v>147.19</c:v>
                </c:pt>
                <c:pt idx="121">
                  <c:v>146.82</c:v>
                </c:pt>
                <c:pt idx="122">
                  <c:v>145.80000000000001</c:v>
                </c:pt>
                <c:pt idx="123">
                  <c:v>146.16</c:v>
                </c:pt>
                <c:pt idx="124">
                  <c:v>146.44</c:v>
                </c:pt>
                <c:pt idx="125">
                  <c:v>146.03</c:v>
                </c:pt>
                <c:pt idx="126">
                  <c:v>145.69</c:v>
                </c:pt>
                <c:pt idx="127">
                  <c:v>146.47999999999999</c:v>
                </c:pt>
                <c:pt idx="128">
                  <c:v>145.47999999999999</c:v>
                </c:pt>
                <c:pt idx="129">
                  <c:v>147.05000000000001</c:v>
                </c:pt>
                <c:pt idx="130">
                  <c:v>149.43</c:v>
                </c:pt>
                <c:pt idx="131">
                  <c:v>149.69999999999999</c:v>
                </c:pt>
                <c:pt idx="132">
                  <c:v>149.88</c:v>
                </c:pt>
                <c:pt idx="133">
                  <c:v>149.24</c:v>
                </c:pt>
                <c:pt idx="134">
                  <c:v>151.01</c:v>
                </c:pt>
                <c:pt idx="135">
                  <c:v>156.58000000000001</c:v>
                </c:pt>
                <c:pt idx="136">
                  <c:v>155.41999999999999</c:v>
                </c:pt>
                <c:pt idx="137">
                  <c:v>154.69</c:v>
                </c:pt>
                <c:pt idx="138">
                  <c:v>154.24</c:v>
                </c:pt>
                <c:pt idx="139">
                  <c:v>152.35</c:v>
                </c:pt>
                <c:pt idx="140">
                  <c:v>156.28</c:v>
                </c:pt>
                <c:pt idx="141">
                  <c:v>159.63999999999999</c:v>
                </c:pt>
                <c:pt idx="142">
                  <c:v>160.63999999999999</c:v>
                </c:pt>
                <c:pt idx="143">
                  <c:v>158.56</c:v>
                </c:pt>
                <c:pt idx="144">
                  <c:v>161.33000000000001</c:v>
                </c:pt>
                <c:pt idx="145">
                  <c:v>157.85</c:v>
                </c:pt>
                <c:pt idx="146">
                  <c:v>160.76</c:v>
                </c:pt>
                <c:pt idx="147">
                  <c:v>164.14</c:v>
                </c:pt>
                <c:pt idx="148">
                  <c:v>161.25</c:v>
                </c:pt>
                <c:pt idx="149">
                  <c:v>158.97</c:v>
                </c:pt>
                <c:pt idx="150">
                  <c:v>158.9</c:v>
                </c:pt>
                <c:pt idx="151">
                  <c:v>160.22</c:v>
                </c:pt>
                <c:pt idx="152">
                  <c:v>160.62</c:v>
                </c:pt>
                <c:pt idx="153">
                  <c:v>159.88</c:v>
                </c:pt>
                <c:pt idx="154">
                  <c:v>158.38999999999999</c:v>
                </c:pt>
                <c:pt idx="155">
                  <c:v>158.47999999999999</c:v>
                </c:pt>
                <c:pt idx="156">
                  <c:v>159.09</c:v>
                </c:pt>
                <c:pt idx="157">
                  <c:v>159.38999999999999</c:v>
                </c:pt>
                <c:pt idx="158">
                  <c:v>159.63</c:v>
                </c:pt>
                <c:pt idx="159">
                  <c:v>160.16</c:v>
                </c:pt>
                <c:pt idx="160">
                  <c:v>161.43</c:v>
                </c:pt>
                <c:pt idx="161">
                  <c:v>162.35</c:v>
                </c:pt>
                <c:pt idx="162">
                  <c:v>164.13</c:v>
                </c:pt>
                <c:pt idx="163">
                  <c:v>164.61</c:v>
                </c:pt>
                <c:pt idx="164">
                  <c:v>162.94999999999999</c:v>
                </c:pt>
                <c:pt idx="165">
                  <c:v>163.92</c:v>
                </c:pt>
                <c:pt idx="166">
                  <c:v>164.23</c:v>
                </c:pt>
                <c:pt idx="167">
                  <c:v>165.86</c:v>
                </c:pt>
                <c:pt idx="168">
                  <c:v>167.16</c:v>
                </c:pt>
                <c:pt idx="169">
                  <c:v>167.36</c:v>
                </c:pt>
                <c:pt idx="170">
                  <c:v>164.99</c:v>
                </c:pt>
                <c:pt idx="171">
                  <c:v>164.38</c:v>
                </c:pt>
                <c:pt idx="172">
                  <c:v>166.61</c:v>
                </c:pt>
                <c:pt idx="173">
                  <c:v>167.38</c:v>
                </c:pt>
                <c:pt idx="174">
                  <c:v>164.82</c:v>
                </c:pt>
                <c:pt idx="175">
                  <c:v>164.64</c:v>
                </c:pt>
                <c:pt idx="176">
                  <c:v>165.52</c:v>
                </c:pt>
                <c:pt idx="177">
                  <c:v>166.99</c:v>
                </c:pt>
                <c:pt idx="178">
                  <c:v>167.07</c:v>
                </c:pt>
                <c:pt idx="179">
                  <c:v>166.15</c:v>
                </c:pt>
                <c:pt idx="180">
                  <c:v>164.82</c:v>
                </c:pt>
                <c:pt idx="181">
                  <c:v>164.16</c:v>
                </c:pt>
                <c:pt idx="182">
                  <c:v>163.22</c:v>
                </c:pt>
                <c:pt idx="183">
                  <c:v>162.78</c:v>
                </c:pt>
                <c:pt idx="184">
                  <c:v>160.6</c:v>
                </c:pt>
                <c:pt idx="185">
                  <c:v>161.38999999999999</c:v>
                </c:pt>
                <c:pt idx="186">
                  <c:v>161.4</c:v>
                </c:pt>
                <c:pt idx="187">
                  <c:v>162.06</c:v>
                </c:pt>
                <c:pt idx="188">
                  <c:v>161.99</c:v>
                </c:pt>
                <c:pt idx="189">
                  <c:v>161.16999999999999</c:v>
                </c:pt>
                <c:pt idx="190">
                  <c:v>160.5</c:v>
                </c:pt>
                <c:pt idx="191">
                  <c:v>160.29</c:v>
                </c:pt>
                <c:pt idx="192">
                  <c:v>159.53</c:v>
                </c:pt>
                <c:pt idx="193">
                  <c:v>159.69</c:v>
                </c:pt>
                <c:pt idx="194">
                  <c:v>160.65</c:v>
                </c:pt>
                <c:pt idx="195">
                  <c:v>160.51</c:v>
                </c:pt>
                <c:pt idx="196">
                  <c:v>161.46</c:v>
                </c:pt>
                <c:pt idx="197">
                  <c:v>161.6</c:v>
                </c:pt>
                <c:pt idx="198">
                  <c:v>164.1</c:v>
                </c:pt>
                <c:pt idx="199">
                  <c:v>164.28</c:v>
                </c:pt>
                <c:pt idx="200">
                  <c:v>164.47</c:v>
                </c:pt>
                <c:pt idx="201">
                  <c:v>165.12</c:v>
                </c:pt>
                <c:pt idx="202">
                  <c:v>162.83000000000001</c:v>
                </c:pt>
                <c:pt idx="203">
                  <c:v>163.44999999999999</c:v>
                </c:pt>
                <c:pt idx="204">
                  <c:v>165.86</c:v>
                </c:pt>
                <c:pt idx="205">
                  <c:v>163.66999999999999</c:v>
                </c:pt>
                <c:pt idx="206">
                  <c:v>160.88</c:v>
                </c:pt>
                <c:pt idx="207">
                  <c:v>161.6</c:v>
                </c:pt>
                <c:pt idx="208">
                  <c:v>160.09</c:v>
                </c:pt>
                <c:pt idx="209">
                  <c:v>160.61000000000001</c:v>
                </c:pt>
                <c:pt idx="210">
                  <c:v>159.86000000000001</c:v>
                </c:pt>
                <c:pt idx="211">
                  <c:v>160.13</c:v>
                </c:pt>
                <c:pt idx="212">
                  <c:v>158.24</c:v>
                </c:pt>
                <c:pt idx="213">
                  <c:v>158.35</c:v>
                </c:pt>
                <c:pt idx="214">
                  <c:v>157.88</c:v>
                </c:pt>
                <c:pt idx="215">
                  <c:v>156.72999999999999</c:v>
                </c:pt>
                <c:pt idx="216">
                  <c:v>155.47</c:v>
                </c:pt>
                <c:pt idx="217">
                  <c:v>155.04</c:v>
                </c:pt>
                <c:pt idx="218">
                  <c:v>152.63999999999999</c:v>
                </c:pt>
                <c:pt idx="219">
                  <c:v>153.24</c:v>
                </c:pt>
                <c:pt idx="220">
                  <c:v>151.87</c:v>
                </c:pt>
                <c:pt idx="221">
                  <c:v>154</c:v>
                </c:pt>
                <c:pt idx="222">
                  <c:v>154.77000000000001</c:v>
                </c:pt>
                <c:pt idx="223">
                  <c:v>153</c:v>
                </c:pt>
                <c:pt idx="224">
                  <c:v>153.11000000000001</c:v>
                </c:pt>
                <c:pt idx="225">
                  <c:v>155.5</c:v>
                </c:pt>
                <c:pt idx="226">
                  <c:v>155.16999999999999</c:v>
                </c:pt>
                <c:pt idx="227">
                  <c:v>155.78</c:v>
                </c:pt>
                <c:pt idx="228">
                  <c:v>154.52000000000001</c:v>
                </c:pt>
                <c:pt idx="229">
                  <c:v>155.4</c:v>
                </c:pt>
                <c:pt idx="230">
                  <c:v>155.01</c:v>
                </c:pt>
                <c:pt idx="231">
                  <c:v>154.80000000000001</c:v>
                </c:pt>
                <c:pt idx="232">
                  <c:v>152.36000000000001</c:v>
                </c:pt>
                <c:pt idx="233">
                  <c:v>150.47</c:v>
                </c:pt>
                <c:pt idx="234">
                  <c:v>149.52000000000001</c:v>
                </c:pt>
                <c:pt idx="235">
                  <c:v>149.31</c:v>
                </c:pt>
                <c:pt idx="236">
                  <c:v>149.6</c:v>
                </c:pt>
                <c:pt idx="237">
                  <c:v>149.22999999999999</c:v>
                </c:pt>
                <c:pt idx="238">
                  <c:v>146.63999999999999</c:v>
                </c:pt>
                <c:pt idx="239">
                  <c:v>146.24</c:v>
                </c:pt>
                <c:pt idx="240">
                  <c:v>146.62</c:v>
                </c:pt>
                <c:pt idx="241">
                  <c:v>143.85</c:v>
                </c:pt>
                <c:pt idx="242">
                  <c:v>146.41</c:v>
                </c:pt>
                <c:pt idx="243">
                  <c:v>144.75</c:v>
                </c:pt>
                <c:pt idx="244">
                  <c:v>143.58000000000001</c:v>
                </c:pt>
                <c:pt idx="245">
                  <c:v>144.47</c:v>
                </c:pt>
                <c:pt idx="246">
                  <c:v>145.27000000000001</c:v>
                </c:pt>
                <c:pt idx="247">
                  <c:v>145.85</c:v>
                </c:pt>
                <c:pt idx="248">
                  <c:v>145.58000000000001</c:v>
                </c:pt>
                <c:pt idx="249">
                  <c:v>145.05000000000001</c:v>
                </c:pt>
                <c:pt idx="250">
                  <c:v>143.34</c:v>
                </c:pt>
                <c:pt idx="251">
                  <c:v>144.62</c:v>
                </c:pt>
                <c:pt idx="252">
                  <c:v>144.02000000000001</c:v>
                </c:pt>
                <c:pt idx="253">
                  <c:v>144.19</c:v>
                </c:pt>
                <c:pt idx="254">
                  <c:v>143.66</c:v>
                </c:pt>
                <c:pt idx="255">
                  <c:v>146.22999999999999</c:v>
                </c:pt>
                <c:pt idx="256">
                  <c:v>142.27000000000001</c:v>
                </c:pt>
                <c:pt idx="257">
                  <c:v>142.06</c:v>
                </c:pt>
                <c:pt idx="258">
                  <c:v>144.47</c:v>
                </c:pt>
                <c:pt idx="259">
                  <c:v>144.75</c:v>
                </c:pt>
                <c:pt idx="260">
                  <c:v>144.97</c:v>
                </c:pt>
                <c:pt idx="261">
                  <c:v>147.77000000000001</c:v>
                </c:pt>
                <c:pt idx="262">
                  <c:v>147.03</c:v>
                </c:pt>
                <c:pt idx="263">
                  <c:v>148.15</c:v>
                </c:pt>
                <c:pt idx="264">
                  <c:v>145.27000000000001</c:v>
                </c:pt>
                <c:pt idx="265">
                  <c:v>146.63999999999999</c:v>
                </c:pt>
                <c:pt idx="266">
                  <c:v>146.82</c:v>
                </c:pt>
                <c:pt idx="267">
                  <c:v>152.88999999999999</c:v>
                </c:pt>
                <c:pt idx="268">
                  <c:v>150.38</c:v>
                </c:pt>
                <c:pt idx="269">
                  <c:v>151.15</c:v>
                </c:pt>
                <c:pt idx="270">
                  <c:v>152.87</c:v>
                </c:pt>
                <c:pt idx="271">
                  <c:v>152.15</c:v>
                </c:pt>
                <c:pt idx="272">
                  <c:v>151.87</c:v>
                </c:pt>
                <c:pt idx="273">
                  <c:v>153.49</c:v>
                </c:pt>
                <c:pt idx="274">
                  <c:v>154.69</c:v>
                </c:pt>
                <c:pt idx="275">
                  <c:v>153.51</c:v>
                </c:pt>
                <c:pt idx="276">
                  <c:v>153.12</c:v>
                </c:pt>
                <c:pt idx="277">
                  <c:v>154.24</c:v>
                </c:pt>
                <c:pt idx="278">
                  <c:v>156.13</c:v>
                </c:pt>
                <c:pt idx="279">
                  <c:v>155.26</c:v>
                </c:pt>
                <c:pt idx="280">
                  <c:v>157.25</c:v>
                </c:pt>
                <c:pt idx="281">
                  <c:v>156.15</c:v>
                </c:pt>
                <c:pt idx="282">
                  <c:v>154.99</c:v>
                </c:pt>
                <c:pt idx="283">
                  <c:v>157.88999999999999</c:v>
                </c:pt>
                <c:pt idx="284">
                  <c:v>159.68</c:v>
                </c:pt>
                <c:pt idx="285">
                  <c:v>162.30000000000001</c:v>
                </c:pt>
                <c:pt idx="286">
                  <c:v>163.74</c:v>
                </c:pt>
                <c:pt idx="287">
                  <c:v>166.09</c:v>
                </c:pt>
                <c:pt idx="288">
                  <c:v>163.08000000000001</c:v>
                </c:pt>
                <c:pt idx="289">
                  <c:v>163.72999999999999</c:v>
                </c:pt>
                <c:pt idx="290">
                  <c:v>165.02</c:v>
                </c:pt>
                <c:pt idx="291">
                  <c:v>167.28</c:v>
                </c:pt>
                <c:pt idx="292">
                  <c:v>165.42</c:v>
                </c:pt>
                <c:pt idx="293">
                  <c:v>165.12</c:v>
                </c:pt>
                <c:pt idx="294">
                  <c:v>165.83</c:v>
                </c:pt>
                <c:pt idx="295">
                  <c:v>166.69</c:v>
                </c:pt>
                <c:pt idx="296">
                  <c:v>167.7</c:v>
                </c:pt>
                <c:pt idx="297">
                  <c:v>165.86</c:v>
                </c:pt>
                <c:pt idx="298">
                  <c:v>162.85</c:v>
                </c:pt>
                <c:pt idx="299">
                  <c:v>162.99</c:v>
                </c:pt>
                <c:pt idx="300">
                  <c:v>162.81</c:v>
                </c:pt>
                <c:pt idx="301">
                  <c:v>162.84</c:v>
                </c:pt>
                <c:pt idx="302">
                  <c:v>164.25</c:v>
                </c:pt>
                <c:pt idx="303">
                  <c:v>162.99</c:v>
                </c:pt>
                <c:pt idx="304">
                  <c:v>163.02000000000001</c:v>
                </c:pt>
                <c:pt idx="305">
                  <c:v>163.63</c:v>
                </c:pt>
                <c:pt idx="306">
                  <c:v>163.29</c:v>
                </c:pt>
                <c:pt idx="307">
                  <c:v>161.02000000000001</c:v>
                </c:pt>
                <c:pt idx="308">
                  <c:v>161.72</c:v>
                </c:pt>
                <c:pt idx="309">
                  <c:v>163.13</c:v>
                </c:pt>
                <c:pt idx="310">
                  <c:v>163.71</c:v>
                </c:pt>
                <c:pt idx="311">
                  <c:v>165.84</c:v>
                </c:pt>
                <c:pt idx="312">
                  <c:v>153.25</c:v>
                </c:pt>
                <c:pt idx="313">
                  <c:v>155.36000000000001</c:v>
                </c:pt>
                <c:pt idx="314">
                  <c:v>159.82</c:v>
                </c:pt>
                <c:pt idx="315">
                  <c:v>153.24</c:v>
                </c:pt>
                <c:pt idx="316">
                  <c:v>150.62</c:v>
                </c:pt>
                <c:pt idx="317">
                  <c:v>150</c:v>
                </c:pt>
                <c:pt idx="318">
                  <c:v>150.97</c:v>
                </c:pt>
                <c:pt idx="319">
                  <c:v>148.69</c:v>
                </c:pt>
                <c:pt idx="320">
                  <c:v>151.72999999999999</c:v>
                </c:pt>
                <c:pt idx="321">
                  <c:v>154.36000000000001</c:v>
                </c:pt>
                <c:pt idx="322">
                  <c:v>153.62</c:v>
                </c:pt>
                <c:pt idx="323">
                  <c:v>153.91</c:v>
                </c:pt>
                <c:pt idx="324">
                  <c:v>157.47</c:v>
                </c:pt>
                <c:pt idx="325">
                  <c:v>156.91999999999999</c:v>
                </c:pt>
                <c:pt idx="326">
                  <c:v>157.75</c:v>
                </c:pt>
                <c:pt idx="327">
                  <c:v>155.38</c:v>
                </c:pt>
                <c:pt idx="328">
                  <c:v>154.93</c:v>
                </c:pt>
                <c:pt idx="329">
                  <c:v>154.58000000000001</c:v>
                </c:pt>
                <c:pt idx="330">
                  <c:v>155.35</c:v>
                </c:pt>
                <c:pt idx="331">
                  <c:v>155.91</c:v>
                </c:pt>
                <c:pt idx="332">
                  <c:v>156.31</c:v>
                </c:pt>
                <c:pt idx="333">
                  <c:v>154.46</c:v>
                </c:pt>
                <c:pt idx="334">
                  <c:v>156.12</c:v>
                </c:pt>
                <c:pt idx="335">
                  <c:v>155</c:v>
                </c:pt>
                <c:pt idx="336">
                  <c:v>154.47</c:v>
                </c:pt>
                <c:pt idx="337">
                  <c:v>157.30000000000001</c:v>
                </c:pt>
                <c:pt idx="338">
                  <c:v>155.66</c:v>
                </c:pt>
                <c:pt idx="339">
                  <c:v>154.22</c:v>
                </c:pt>
                <c:pt idx="340">
                  <c:v>154.13999999999999</c:v>
                </c:pt>
                <c:pt idx="341">
                  <c:v>148.44</c:v>
                </c:pt>
                <c:pt idx="342">
                  <c:v>146.36000000000001</c:v>
                </c:pt>
                <c:pt idx="343">
                  <c:v>149.61000000000001</c:v>
                </c:pt>
                <c:pt idx="344">
                  <c:v>151.33000000000001</c:v>
                </c:pt>
                <c:pt idx="345">
                  <c:v>152.49</c:v>
                </c:pt>
                <c:pt idx="346">
                  <c:v>153.66</c:v>
                </c:pt>
                <c:pt idx="347">
                  <c:v>153.18</c:v>
                </c:pt>
                <c:pt idx="348">
                  <c:v>152.61000000000001</c:v>
                </c:pt>
                <c:pt idx="349">
                  <c:v>152.94</c:v>
                </c:pt>
                <c:pt idx="350">
                  <c:v>153.25</c:v>
                </c:pt>
                <c:pt idx="351">
                  <c:v>152.43</c:v>
                </c:pt>
                <c:pt idx="352">
                  <c:v>153.58000000000001</c:v>
                </c:pt>
                <c:pt idx="353">
                  <c:v>155.21</c:v>
                </c:pt>
                <c:pt idx="354">
                  <c:v>155.4</c:v>
                </c:pt>
                <c:pt idx="355">
                  <c:v>154.41999999999999</c:v>
                </c:pt>
                <c:pt idx="356">
                  <c:v>153.22</c:v>
                </c:pt>
                <c:pt idx="357">
                  <c:v>153.66</c:v>
                </c:pt>
                <c:pt idx="358">
                  <c:v>155.03</c:v>
                </c:pt>
                <c:pt idx="359">
                  <c:v>155.22999999999999</c:v>
                </c:pt>
                <c:pt idx="360">
                  <c:v>156.44999999999999</c:v>
                </c:pt>
                <c:pt idx="361">
                  <c:v>155.26</c:v>
                </c:pt>
                <c:pt idx="362">
                  <c:v>156.66</c:v>
                </c:pt>
                <c:pt idx="363">
                  <c:v>157.1</c:v>
                </c:pt>
                <c:pt idx="364">
                  <c:v>155.22</c:v>
                </c:pt>
                <c:pt idx="365">
                  <c:v>152.38</c:v>
                </c:pt>
                <c:pt idx="366">
                  <c:v>150.72999999999999</c:v>
                </c:pt>
                <c:pt idx="367">
                  <c:v>149.79</c:v>
                </c:pt>
                <c:pt idx="368">
                  <c:v>151.32</c:v>
                </c:pt>
                <c:pt idx="369">
                  <c:v>152.19</c:v>
                </c:pt>
                <c:pt idx="370">
                  <c:v>152.28</c:v>
                </c:pt>
                <c:pt idx="371">
                  <c:v>152.01</c:v>
                </c:pt>
                <c:pt idx="372">
                  <c:v>152.41</c:v>
                </c:pt>
                <c:pt idx="373">
                  <c:v>152.75</c:v>
                </c:pt>
                <c:pt idx="374">
                  <c:v>155.91999999999999</c:v>
                </c:pt>
                <c:pt idx="375">
                  <c:v>155.56</c:v>
                </c:pt>
                <c:pt idx="376">
                  <c:v>156.01</c:v>
                </c:pt>
                <c:pt idx="377">
                  <c:v>155.27000000000001</c:v>
                </c:pt>
                <c:pt idx="378">
                  <c:v>155.79</c:v>
                </c:pt>
                <c:pt idx="379">
                  <c:v>156.28</c:v>
                </c:pt>
                <c:pt idx="380">
                  <c:v>157.69</c:v>
                </c:pt>
                <c:pt idx="381">
                  <c:v>156.9</c:v>
                </c:pt>
                <c:pt idx="382">
                  <c:v>156.82</c:v>
                </c:pt>
                <c:pt idx="383">
                  <c:v>155.16999999999999</c:v>
                </c:pt>
                <c:pt idx="384">
                  <c:v>164.78</c:v>
                </c:pt>
                <c:pt idx="385">
                  <c:v>162.97999999999999</c:v>
                </c:pt>
                <c:pt idx="386">
                  <c:v>163.69999999999999</c:v>
                </c:pt>
                <c:pt idx="387">
                  <c:v>164.36</c:v>
                </c:pt>
                <c:pt idx="388">
                  <c:v>167.93</c:v>
                </c:pt>
                <c:pt idx="389">
                  <c:v>169.1</c:v>
                </c:pt>
                <c:pt idx="390">
                  <c:v>169.56</c:v>
                </c:pt>
                <c:pt idx="391">
                  <c:v>168.3</c:v>
                </c:pt>
                <c:pt idx="392">
                  <c:v>166.22</c:v>
                </c:pt>
                <c:pt idx="393">
                  <c:v>168.11</c:v>
                </c:pt>
                <c:pt idx="394">
                  <c:v>167.26</c:v>
                </c:pt>
                <c:pt idx="395">
                  <c:v>164.74</c:v>
                </c:pt>
                <c:pt idx="396">
                  <c:v>167.33</c:v>
                </c:pt>
                <c:pt idx="397">
                  <c:v>171.04</c:v>
                </c:pt>
                <c:pt idx="398">
                  <c:v>170.74</c:v>
                </c:pt>
                <c:pt idx="399">
                  <c:v>170.59</c:v>
                </c:pt>
                <c:pt idx="400">
                  <c:v>171.53</c:v>
                </c:pt>
                <c:pt idx="401">
                  <c:v>173.33</c:v>
                </c:pt>
                <c:pt idx="402">
                  <c:v>173.82</c:v>
                </c:pt>
                <c:pt idx="403">
                  <c:v>172.78</c:v>
                </c:pt>
                <c:pt idx="404">
                  <c:v>174.42</c:v>
                </c:pt>
                <c:pt idx="405">
                  <c:v>174.72</c:v>
                </c:pt>
                <c:pt idx="406">
                  <c:v>176.64</c:v>
                </c:pt>
                <c:pt idx="407">
                  <c:v>176.25</c:v>
                </c:pt>
                <c:pt idx="408">
                  <c:v>177.8</c:v>
                </c:pt>
                <c:pt idx="409">
                  <c:v>178.84</c:v>
                </c:pt>
                <c:pt idx="410">
                  <c:v>178.93</c:v>
                </c:pt>
                <c:pt idx="411">
                  <c:v>179.29</c:v>
                </c:pt>
                <c:pt idx="412">
                  <c:v>178.41</c:v>
                </c:pt>
                <c:pt idx="413">
                  <c:v>176.49</c:v>
                </c:pt>
                <c:pt idx="414">
                  <c:v>176.79</c:v>
                </c:pt>
                <c:pt idx="415">
                  <c:v>175.45</c:v>
                </c:pt>
                <c:pt idx="416">
                  <c:v>177.17</c:v>
                </c:pt>
                <c:pt idx="417">
                  <c:v>178.06</c:v>
                </c:pt>
                <c:pt idx="418">
                  <c:v>178</c:v>
                </c:pt>
                <c:pt idx="419">
                  <c:v>178.76</c:v>
                </c:pt>
                <c:pt idx="420">
                  <c:v>178.43</c:v>
                </c:pt>
                <c:pt idx="421">
                  <c:v>178.13</c:v>
                </c:pt>
                <c:pt idx="422">
                  <c:v>176.96</c:v>
                </c:pt>
                <c:pt idx="423">
                  <c:v>175.79</c:v>
                </c:pt>
                <c:pt idx="424">
                  <c:v>178.5</c:v>
                </c:pt>
                <c:pt idx="425">
                  <c:v>178.06</c:v>
                </c:pt>
                <c:pt idx="426">
                  <c:v>177.4</c:v>
                </c:pt>
                <c:pt idx="427">
                  <c:v>176.46</c:v>
                </c:pt>
                <c:pt idx="428">
                  <c:v>177.2</c:v>
                </c:pt>
                <c:pt idx="429">
                  <c:v>174.16</c:v>
                </c:pt>
                <c:pt idx="430">
                  <c:v>176.19</c:v>
                </c:pt>
                <c:pt idx="431">
                  <c:v>174.21</c:v>
                </c:pt>
                <c:pt idx="432">
                  <c:v>176.58</c:v>
                </c:pt>
                <c:pt idx="433">
                  <c:v>176.69</c:v>
                </c:pt>
                <c:pt idx="434">
                  <c:v>177.73</c:v>
                </c:pt>
                <c:pt idx="435">
                  <c:v>179.71</c:v>
                </c:pt>
                <c:pt idx="436">
                  <c:v>181.62</c:v>
                </c:pt>
                <c:pt idx="437">
                  <c:v>185.42</c:v>
                </c:pt>
                <c:pt idx="438">
                  <c:v>186.05</c:v>
                </c:pt>
                <c:pt idx="439">
                  <c:v>185.98</c:v>
                </c:pt>
                <c:pt idx="440">
                  <c:v>188.64</c:v>
                </c:pt>
                <c:pt idx="441">
                  <c:v>188.16</c:v>
                </c:pt>
                <c:pt idx="442">
                  <c:v>188.89</c:v>
                </c:pt>
                <c:pt idx="443">
                  <c:v>189.69</c:v>
                </c:pt>
                <c:pt idx="444">
                  <c:v>191.08</c:v>
                </c:pt>
                <c:pt idx="445">
                  <c:v>190.72</c:v>
                </c:pt>
                <c:pt idx="446">
                  <c:v>190.9</c:v>
                </c:pt>
                <c:pt idx="447">
                  <c:v>190.85</c:v>
                </c:pt>
                <c:pt idx="448">
                  <c:v>191.17</c:v>
                </c:pt>
                <c:pt idx="449">
                  <c:v>192.12</c:v>
                </c:pt>
                <c:pt idx="450">
                  <c:v>193.22</c:v>
                </c:pt>
                <c:pt idx="451">
                  <c:v>193.72</c:v>
                </c:pt>
                <c:pt idx="452">
                  <c:v>191.88</c:v>
                </c:pt>
                <c:pt idx="453">
                  <c:v>192.94</c:v>
                </c:pt>
                <c:pt idx="454">
                  <c:v>192.47</c:v>
                </c:pt>
                <c:pt idx="455">
                  <c:v>190.4</c:v>
                </c:pt>
                <c:pt idx="456">
                  <c:v>190.3</c:v>
                </c:pt>
                <c:pt idx="457">
                  <c:v>186.93</c:v>
                </c:pt>
                <c:pt idx="458">
                  <c:v>186.6</c:v>
                </c:pt>
                <c:pt idx="459">
                  <c:v>189.05</c:v>
                </c:pt>
                <c:pt idx="460">
                  <c:v>188.87</c:v>
                </c:pt>
                <c:pt idx="461">
                  <c:v>186.26</c:v>
                </c:pt>
                <c:pt idx="462">
                  <c:v>186.86</c:v>
                </c:pt>
                <c:pt idx="463">
                  <c:v>186</c:v>
                </c:pt>
                <c:pt idx="464">
                  <c:v>186.97</c:v>
                </c:pt>
                <c:pt idx="465">
                  <c:v>186.57</c:v>
                </c:pt>
                <c:pt idx="466">
                  <c:v>188.41</c:v>
                </c:pt>
                <c:pt idx="467">
                  <c:v>193.83</c:v>
                </c:pt>
                <c:pt idx="468">
                  <c:v>194.39</c:v>
                </c:pt>
                <c:pt idx="469">
                  <c:v>195.25</c:v>
                </c:pt>
                <c:pt idx="470">
                  <c:v>195.93</c:v>
                </c:pt>
                <c:pt idx="471">
                  <c:v>199.58</c:v>
                </c:pt>
                <c:pt idx="472">
                  <c:v>200</c:v>
                </c:pt>
                <c:pt idx="473">
                  <c:v>202.51</c:v>
                </c:pt>
                <c:pt idx="474">
                  <c:v>203.07</c:v>
                </c:pt>
                <c:pt idx="475">
                  <c:v>203.9</c:v>
                </c:pt>
                <c:pt idx="476">
                  <c:v>206.05</c:v>
                </c:pt>
                <c:pt idx="477">
                  <c:v>206.67</c:v>
                </c:pt>
                <c:pt idx="478">
                  <c:v>207.56</c:v>
                </c:pt>
                <c:pt idx="479">
                  <c:v>206.92</c:v>
                </c:pt>
                <c:pt idx="480">
                  <c:v>205.34</c:v>
                </c:pt>
                <c:pt idx="481">
                  <c:v>205.42</c:v>
                </c:pt>
                <c:pt idx="482">
                  <c:v>205.33</c:v>
                </c:pt>
                <c:pt idx="483">
                  <c:v>202.48</c:v>
                </c:pt>
                <c:pt idx="484">
                  <c:v>201.93</c:v>
                </c:pt>
                <c:pt idx="485">
                  <c:v>201.62</c:v>
                </c:pt>
                <c:pt idx="486">
                  <c:v>199.96</c:v>
                </c:pt>
                <c:pt idx="487">
                  <c:v>206.54</c:v>
                </c:pt>
                <c:pt idx="488">
                  <c:v>210.01</c:v>
                </c:pt>
                <c:pt idx="489">
                  <c:v>211.58</c:v>
                </c:pt>
                <c:pt idx="490">
                  <c:v>214.17</c:v>
                </c:pt>
                <c:pt idx="491">
                  <c:v>209.3</c:v>
                </c:pt>
                <c:pt idx="492">
                  <c:v>210.33</c:v>
                </c:pt>
                <c:pt idx="493">
                  <c:v>208.31</c:v>
                </c:pt>
                <c:pt idx="494">
                  <c:v>206.37</c:v>
                </c:pt>
                <c:pt idx="495">
                  <c:v>207.32</c:v>
                </c:pt>
                <c:pt idx="496">
                  <c:v>205.78</c:v>
                </c:pt>
                <c:pt idx="497">
                  <c:v>207.78</c:v>
                </c:pt>
                <c:pt idx="498">
                  <c:v>207.63</c:v>
                </c:pt>
                <c:pt idx="499">
                  <c:v>207.56</c:v>
                </c:pt>
                <c:pt idx="500">
                  <c:v>206.91</c:v>
                </c:pt>
                <c:pt idx="501">
                  <c:v>206.95</c:v>
                </c:pt>
                <c:pt idx="502">
                  <c:v>207.35</c:v>
                </c:pt>
                <c:pt idx="503">
                  <c:v>204.31</c:v>
                </c:pt>
                <c:pt idx="504">
                  <c:v>204.79</c:v>
                </c:pt>
                <c:pt idx="505">
                  <c:v>207.49</c:v>
                </c:pt>
                <c:pt idx="506">
                  <c:v>205.75</c:v>
                </c:pt>
                <c:pt idx="507">
                  <c:v>204.39</c:v>
                </c:pt>
                <c:pt idx="508">
                  <c:v>209.72</c:v>
                </c:pt>
                <c:pt idx="509">
                  <c:v>213.65</c:v>
                </c:pt>
                <c:pt idx="510">
                  <c:v>218.55</c:v>
                </c:pt>
                <c:pt idx="511">
                  <c:v>219.57</c:v>
                </c:pt>
                <c:pt idx="512">
                  <c:v>218.66</c:v>
                </c:pt>
                <c:pt idx="513">
                  <c:v>218.21</c:v>
                </c:pt>
                <c:pt idx="514">
                  <c:v>218.01</c:v>
                </c:pt>
                <c:pt idx="515">
                  <c:v>218.49</c:v>
                </c:pt>
                <c:pt idx="516">
                  <c:v>220.14</c:v>
                </c:pt>
                <c:pt idx="517">
                  <c:v>221.49</c:v>
                </c:pt>
                <c:pt idx="518">
                  <c:v>224.44</c:v>
                </c:pt>
                <c:pt idx="519">
                  <c:v>227.72</c:v>
                </c:pt>
                <c:pt idx="520">
                  <c:v>227.29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3-4907-A16F-9D06FD9DF8D4}"/>
            </c:ext>
          </c:extLst>
        </c:ser>
        <c:ser>
          <c:idx val="1"/>
          <c:order val="1"/>
          <c:tx>
            <c:strRef>
              <c:f>JNJ!$F$1</c:f>
              <c:strCache>
                <c:ptCount val="1"/>
                <c:pt idx="0">
                  <c:v>20d SMA</c:v>
                </c:pt>
              </c:strCache>
            </c:strRef>
          </c:tx>
          <c:spPr>
            <a:ln w="2222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JNJ!$B$2:$B$522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JNJ!$F$2:$F$522</c:f>
              <c:numCache>
                <c:formatCode>General</c:formatCode>
                <c:ptCount val="521"/>
                <c:pt idx="19">
                  <c:v>160.67699999999999</c:v>
                </c:pt>
                <c:pt idx="20">
                  <c:v>160.62350000000001</c:v>
                </c:pt>
                <c:pt idx="21">
                  <c:v>160.49300000000002</c:v>
                </c:pt>
                <c:pt idx="22">
                  <c:v>160.29200000000003</c:v>
                </c:pt>
                <c:pt idx="23">
                  <c:v>160.02550000000002</c:v>
                </c:pt>
                <c:pt idx="24">
                  <c:v>159.85200000000003</c:v>
                </c:pt>
                <c:pt idx="25">
                  <c:v>159.66950000000003</c:v>
                </c:pt>
                <c:pt idx="26">
                  <c:v>159.39600000000002</c:v>
                </c:pt>
                <c:pt idx="27">
                  <c:v>159.17650000000003</c:v>
                </c:pt>
                <c:pt idx="28">
                  <c:v>158.9495</c:v>
                </c:pt>
                <c:pt idx="29">
                  <c:v>158.74700000000001</c:v>
                </c:pt>
                <c:pt idx="30">
                  <c:v>158.51249999999999</c:v>
                </c:pt>
                <c:pt idx="31">
                  <c:v>158.34800000000001</c:v>
                </c:pt>
                <c:pt idx="32">
                  <c:v>158.0915</c:v>
                </c:pt>
                <c:pt idx="33">
                  <c:v>157.86099999999999</c:v>
                </c:pt>
                <c:pt idx="34">
                  <c:v>157.80450000000002</c:v>
                </c:pt>
                <c:pt idx="35">
                  <c:v>157.87899999999999</c:v>
                </c:pt>
                <c:pt idx="36">
                  <c:v>157.99299999999999</c:v>
                </c:pt>
                <c:pt idx="37">
                  <c:v>158.0575</c:v>
                </c:pt>
                <c:pt idx="38">
                  <c:v>158.13849999999999</c:v>
                </c:pt>
                <c:pt idx="39">
                  <c:v>158.2775</c:v>
                </c:pt>
                <c:pt idx="40">
                  <c:v>158.4015</c:v>
                </c:pt>
                <c:pt idx="41">
                  <c:v>158.58950000000002</c:v>
                </c:pt>
                <c:pt idx="42">
                  <c:v>158.75100000000003</c:v>
                </c:pt>
                <c:pt idx="43">
                  <c:v>158.95950000000002</c:v>
                </c:pt>
                <c:pt idx="44">
                  <c:v>159.02350000000004</c:v>
                </c:pt>
                <c:pt idx="45">
                  <c:v>159.06800000000001</c:v>
                </c:pt>
                <c:pt idx="46">
                  <c:v>159.22399999999999</c:v>
                </c:pt>
                <c:pt idx="47">
                  <c:v>159.44749999999999</c:v>
                </c:pt>
                <c:pt idx="48">
                  <c:v>159.69200000000001</c:v>
                </c:pt>
                <c:pt idx="49">
                  <c:v>159.92349999999999</c:v>
                </c:pt>
                <c:pt idx="50">
                  <c:v>160.09700000000001</c:v>
                </c:pt>
                <c:pt idx="51">
                  <c:v>160.10999999999999</c:v>
                </c:pt>
                <c:pt idx="52">
                  <c:v>160.12049999999999</c:v>
                </c:pt>
                <c:pt idx="53">
                  <c:v>160.03800000000001</c:v>
                </c:pt>
                <c:pt idx="54">
                  <c:v>159.892</c:v>
                </c:pt>
                <c:pt idx="55">
                  <c:v>159.65700000000001</c:v>
                </c:pt>
                <c:pt idx="56">
                  <c:v>159.32650000000001</c:v>
                </c:pt>
                <c:pt idx="57">
                  <c:v>159.048</c:v>
                </c:pt>
                <c:pt idx="58">
                  <c:v>158.78750000000002</c:v>
                </c:pt>
                <c:pt idx="59">
                  <c:v>158.608</c:v>
                </c:pt>
                <c:pt idx="60">
                  <c:v>158.44850000000002</c:v>
                </c:pt>
                <c:pt idx="61">
                  <c:v>158.23150000000001</c:v>
                </c:pt>
                <c:pt idx="62">
                  <c:v>158.12600000000003</c:v>
                </c:pt>
                <c:pt idx="63">
                  <c:v>157.84050000000002</c:v>
                </c:pt>
                <c:pt idx="64">
                  <c:v>157.49850000000001</c:v>
                </c:pt>
                <c:pt idx="65">
                  <c:v>157.17450000000002</c:v>
                </c:pt>
                <c:pt idx="66">
                  <c:v>156.77799999999999</c:v>
                </c:pt>
                <c:pt idx="67">
                  <c:v>156.33100000000002</c:v>
                </c:pt>
                <c:pt idx="68">
                  <c:v>155.70399999999998</c:v>
                </c:pt>
                <c:pt idx="69">
                  <c:v>155.08850000000001</c:v>
                </c:pt>
                <c:pt idx="70">
                  <c:v>154.50399999999999</c:v>
                </c:pt>
                <c:pt idx="71">
                  <c:v>153.97450000000001</c:v>
                </c:pt>
                <c:pt idx="72">
                  <c:v>153.35899999999998</c:v>
                </c:pt>
                <c:pt idx="73">
                  <c:v>152.78699999999998</c:v>
                </c:pt>
                <c:pt idx="74">
                  <c:v>152.286</c:v>
                </c:pt>
                <c:pt idx="75">
                  <c:v>151.89400000000001</c:v>
                </c:pt>
                <c:pt idx="76">
                  <c:v>151.58849999999998</c:v>
                </c:pt>
                <c:pt idx="77">
                  <c:v>151.30549999999997</c:v>
                </c:pt>
                <c:pt idx="78">
                  <c:v>150.9435</c:v>
                </c:pt>
                <c:pt idx="79">
                  <c:v>150.38650000000001</c:v>
                </c:pt>
                <c:pt idx="80">
                  <c:v>149.78399999999999</c:v>
                </c:pt>
                <c:pt idx="81">
                  <c:v>149.23600000000002</c:v>
                </c:pt>
                <c:pt idx="82">
                  <c:v>148.57900000000001</c:v>
                </c:pt>
                <c:pt idx="83">
                  <c:v>148.42500000000001</c:v>
                </c:pt>
                <c:pt idx="84">
                  <c:v>148.29600000000002</c:v>
                </c:pt>
                <c:pt idx="85">
                  <c:v>148.14000000000001</c:v>
                </c:pt>
                <c:pt idx="86">
                  <c:v>147.98949999999999</c:v>
                </c:pt>
                <c:pt idx="87">
                  <c:v>147.81099999999998</c:v>
                </c:pt>
                <c:pt idx="88">
                  <c:v>147.74849999999995</c:v>
                </c:pt>
                <c:pt idx="89">
                  <c:v>147.80149999999995</c:v>
                </c:pt>
                <c:pt idx="90">
                  <c:v>147.92099999999994</c:v>
                </c:pt>
                <c:pt idx="91">
                  <c:v>148.10249999999996</c:v>
                </c:pt>
                <c:pt idx="92">
                  <c:v>148.44899999999996</c:v>
                </c:pt>
                <c:pt idx="93">
                  <c:v>148.84399999999997</c:v>
                </c:pt>
                <c:pt idx="94">
                  <c:v>149.27100000000002</c:v>
                </c:pt>
                <c:pt idx="95">
                  <c:v>149.60750000000002</c:v>
                </c:pt>
                <c:pt idx="96">
                  <c:v>149.71499999999997</c:v>
                </c:pt>
                <c:pt idx="97">
                  <c:v>149.79900000000004</c:v>
                </c:pt>
                <c:pt idx="98">
                  <c:v>150.04749999999999</c:v>
                </c:pt>
                <c:pt idx="99">
                  <c:v>150.19149999999999</c:v>
                </c:pt>
                <c:pt idx="100">
                  <c:v>150.23299999999998</c:v>
                </c:pt>
                <c:pt idx="101">
                  <c:v>150.11099999999999</c:v>
                </c:pt>
                <c:pt idx="102">
                  <c:v>150.1035</c:v>
                </c:pt>
                <c:pt idx="103">
                  <c:v>149.80850000000004</c:v>
                </c:pt>
                <c:pt idx="104">
                  <c:v>149.64600000000002</c:v>
                </c:pt>
                <c:pt idx="105">
                  <c:v>149.56950000000001</c:v>
                </c:pt>
                <c:pt idx="106">
                  <c:v>149.53050000000002</c:v>
                </c:pt>
                <c:pt idx="107">
                  <c:v>149.393</c:v>
                </c:pt>
                <c:pt idx="108">
                  <c:v>149.26650000000001</c:v>
                </c:pt>
                <c:pt idx="109">
                  <c:v>149.12799999999999</c:v>
                </c:pt>
                <c:pt idx="110">
                  <c:v>148.989</c:v>
                </c:pt>
                <c:pt idx="111">
                  <c:v>148.76600000000002</c:v>
                </c:pt>
                <c:pt idx="112">
                  <c:v>148.46750000000003</c:v>
                </c:pt>
                <c:pt idx="113">
                  <c:v>148.10650000000001</c:v>
                </c:pt>
                <c:pt idx="114">
                  <c:v>147.66949999999997</c:v>
                </c:pt>
                <c:pt idx="115">
                  <c:v>147.23499999999999</c:v>
                </c:pt>
                <c:pt idx="116">
                  <c:v>146.95399999999998</c:v>
                </c:pt>
                <c:pt idx="117">
                  <c:v>146.78100000000001</c:v>
                </c:pt>
                <c:pt idx="118">
                  <c:v>146.54349999999999</c:v>
                </c:pt>
                <c:pt idx="119">
                  <c:v>146.51450000000003</c:v>
                </c:pt>
                <c:pt idx="120">
                  <c:v>146.52550000000002</c:v>
                </c:pt>
                <c:pt idx="121">
                  <c:v>146.64750000000004</c:v>
                </c:pt>
                <c:pt idx="122">
                  <c:v>146.71550000000005</c:v>
                </c:pt>
                <c:pt idx="123">
                  <c:v>146.75950000000003</c:v>
                </c:pt>
                <c:pt idx="124">
                  <c:v>146.74800000000002</c:v>
                </c:pt>
                <c:pt idx="125">
                  <c:v>146.66250000000002</c:v>
                </c:pt>
                <c:pt idx="126">
                  <c:v>146.55700000000004</c:v>
                </c:pt>
                <c:pt idx="127">
                  <c:v>146.58250000000004</c:v>
                </c:pt>
                <c:pt idx="128">
                  <c:v>146.53550000000001</c:v>
                </c:pt>
                <c:pt idx="129">
                  <c:v>146.53400000000002</c:v>
                </c:pt>
                <c:pt idx="130">
                  <c:v>146.649</c:v>
                </c:pt>
                <c:pt idx="131">
                  <c:v>146.79599999999999</c:v>
                </c:pt>
                <c:pt idx="132">
                  <c:v>147.01949999999999</c:v>
                </c:pt>
                <c:pt idx="133">
                  <c:v>147.209</c:v>
                </c:pt>
                <c:pt idx="134">
                  <c:v>147.48250000000002</c:v>
                </c:pt>
                <c:pt idx="135">
                  <c:v>148.01399999999998</c:v>
                </c:pt>
                <c:pt idx="136">
                  <c:v>148.5025</c:v>
                </c:pt>
                <c:pt idx="137">
                  <c:v>148.84800000000001</c:v>
                </c:pt>
                <c:pt idx="138">
                  <c:v>149.12250000000003</c:v>
                </c:pt>
                <c:pt idx="139">
                  <c:v>149.28400000000005</c:v>
                </c:pt>
                <c:pt idx="140">
                  <c:v>149.73850000000002</c:v>
                </c:pt>
                <c:pt idx="141">
                  <c:v>150.37950000000004</c:v>
                </c:pt>
                <c:pt idx="142">
                  <c:v>151.12150000000003</c:v>
                </c:pt>
                <c:pt idx="143">
                  <c:v>151.74150000000003</c:v>
                </c:pt>
                <c:pt idx="144">
                  <c:v>152.48599999999999</c:v>
                </c:pt>
                <c:pt idx="145">
                  <c:v>153.077</c:v>
                </c:pt>
                <c:pt idx="146">
                  <c:v>153.83049999999997</c:v>
                </c:pt>
                <c:pt idx="147">
                  <c:v>154.71349999999995</c:v>
                </c:pt>
                <c:pt idx="148">
                  <c:v>155.50199999999998</c:v>
                </c:pt>
                <c:pt idx="149">
                  <c:v>156.09799999999996</c:v>
                </c:pt>
                <c:pt idx="150">
                  <c:v>156.57149999999996</c:v>
                </c:pt>
                <c:pt idx="151">
                  <c:v>157.09749999999994</c:v>
                </c:pt>
                <c:pt idx="152">
                  <c:v>157.63449999999995</c:v>
                </c:pt>
                <c:pt idx="153">
                  <c:v>158.16649999999998</c:v>
                </c:pt>
                <c:pt idx="154">
                  <c:v>158.53549999999998</c:v>
                </c:pt>
                <c:pt idx="155">
                  <c:v>158.63049999999996</c:v>
                </c:pt>
                <c:pt idx="156">
                  <c:v>158.81399999999996</c:v>
                </c:pt>
                <c:pt idx="157">
                  <c:v>159.04899999999998</c:v>
                </c:pt>
                <c:pt idx="158">
                  <c:v>159.31850000000003</c:v>
                </c:pt>
                <c:pt idx="159">
                  <c:v>159.709</c:v>
                </c:pt>
                <c:pt idx="160">
                  <c:v>159.9665</c:v>
                </c:pt>
                <c:pt idx="161">
                  <c:v>160.102</c:v>
                </c:pt>
                <c:pt idx="162">
                  <c:v>160.2765</c:v>
                </c:pt>
                <c:pt idx="163">
                  <c:v>160.57900000000001</c:v>
                </c:pt>
                <c:pt idx="164">
                  <c:v>160.66</c:v>
                </c:pt>
                <c:pt idx="165">
                  <c:v>160.96350000000001</c:v>
                </c:pt>
                <c:pt idx="166">
                  <c:v>161.137</c:v>
                </c:pt>
                <c:pt idx="167">
                  <c:v>161.22300000000001</c:v>
                </c:pt>
                <c:pt idx="168">
                  <c:v>161.51850000000002</c:v>
                </c:pt>
                <c:pt idx="169">
                  <c:v>161.93800000000002</c:v>
                </c:pt>
                <c:pt idx="170">
                  <c:v>162.24250000000001</c:v>
                </c:pt>
                <c:pt idx="171">
                  <c:v>162.45050000000001</c:v>
                </c:pt>
                <c:pt idx="172">
                  <c:v>162.75000000000003</c:v>
                </c:pt>
                <c:pt idx="173">
                  <c:v>163.12500000000003</c:v>
                </c:pt>
                <c:pt idx="174">
                  <c:v>163.44650000000001</c:v>
                </c:pt>
                <c:pt idx="175">
                  <c:v>163.75450000000004</c:v>
                </c:pt>
                <c:pt idx="176">
                  <c:v>164.07600000000002</c:v>
                </c:pt>
                <c:pt idx="177">
                  <c:v>164.45599999999999</c:v>
                </c:pt>
                <c:pt idx="178">
                  <c:v>164.82800000000003</c:v>
                </c:pt>
                <c:pt idx="179">
                  <c:v>165.1275</c:v>
                </c:pt>
                <c:pt idx="180">
                  <c:v>165.29700000000005</c:v>
                </c:pt>
                <c:pt idx="181">
                  <c:v>165.38750000000002</c:v>
                </c:pt>
                <c:pt idx="182">
                  <c:v>165.34200000000001</c:v>
                </c:pt>
                <c:pt idx="183">
                  <c:v>165.25050000000005</c:v>
                </c:pt>
                <c:pt idx="184">
                  <c:v>165.13300000000004</c:v>
                </c:pt>
                <c:pt idx="185">
                  <c:v>165.00650000000002</c:v>
                </c:pt>
                <c:pt idx="186">
                  <c:v>164.86499999999998</c:v>
                </c:pt>
                <c:pt idx="187">
                  <c:v>164.67500000000001</c:v>
                </c:pt>
                <c:pt idx="188">
                  <c:v>164.41649999999998</c:v>
                </c:pt>
                <c:pt idx="189">
                  <c:v>164.10700000000003</c:v>
                </c:pt>
                <c:pt idx="190">
                  <c:v>163.88250000000002</c:v>
                </c:pt>
                <c:pt idx="191">
                  <c:v>163.67800000000003</c:v>
                </c:pt>
                <c:pt idx="192">
                  <c:v>163.32400000000001</c:v>
                </c:pt>
                <c:pt idx="193">
                  <c:v>162.93950000000001</c:v>
                </c:pt>
                <c:pt idx="194">
                  <c:v>162.73100000000002</c:v>
                </c:pt>
                <c:pt idx="195">
                  <c:v>162.52449999999999</c:v>
                </c:pt>
                <c:pt idx="196">
                  <c:v>162.32150000000001</c:v>
                </c:pt>
                <c:pt idx="197">
                  <c:v>162.05200000000002</c:v>
                </c:pt>
                <c:pt idx="198">
                  <c:v>161.90350000000004</c:v>
                </c:pt>
                <c:pt idx="199">
                  <c:v>161.81</c:v>
                </c:pt>
                <c:pt idx="200">
                  <c:v>161.79249999999996</c:v>
                </c:pt>
                <c:pt idx="201">
                  <c:v>161.84049999999996</c:v>
                </c:pt>
                <c:pt idx="202">
                  <c:v>161.821</c:v>
                </c:pt>
                <c:pt idx="203">
                  <c:v>161.85449999999997</c:v>
                </c:pt>
                <c:pt idx="204">
                  <c:v>162.11750000000001</c:v>
                </c:pt>
                <c:pt idx="205">
                  <c:v>162.23150000000001</c:v>
                </c:pt>
                <c:pt idx="206">
                  <c:v>162.20549999999997</c:v>
                </c:pt>
                <c:pt idx="207">
                  <c:v>162.18249999999998</c:v>
                </c:pt>
                <c:pt idx="208">
                  <c:v>162.08749999999998</c:v>
                </c:pt>
                <c:pt idx="209">
                  <c:v>162.05950000000001</c:v>
                </c:pt>
                <c:pt idx="210">
                  <c:v>162.0275</c:v>
                </c:pt>
                <c:pt idx="211">
                  <c:v>162.01950000000002</c:v>
                </c:pt>
                <c:pt idx="212">
                  <c:v>161.95500000000001</c:v>
                </c:pt>
                <c:pt idx="213">
                  <c:v>161.88800000000003</c:v>
                </c:pt>
                <c:pt idx="214">
                  <c:v>161.74950000000001</c:v>
                </c:pt>
                <c:pt idx="215">
                  <c:v>161.56050000000005</c:v>
                </c:pt>
                <c:pt idx="216">
                  <c:v>161.261</c:v>
                </c:pt>
                <c:pt idx="217">
                  <c:v>160.93300000000002</c:v>
                </c:pt>
                <c:pt idx="218">
                  <c:v>160.35999999999999</c:v>
                </c:pt>
                <c:pt idx="219">
                  <c:v>159.80799999999999</c:v>
                </c:pt>
                <c:pt idx="220">
                  <c:v>159.17799999999997</c:v>
                </c:pt>
                <c:pt idx="221">
                  <c:v>158.62199999999999</c:v>
                </c:pt>
                <c:pt idx="222">
                  <c:v>158.21899999999999</c:v>
                </c:pt>
                <c:pt idx="223">
                  <c:v>157.69649999999999</c:v>
                </c:pt>
                <c:pt idx="224">
                  <c:v>157.05900000000003</c:v>
                </c:pt>
                <c:pt idx="225">
                  <c:v>156.65050000000002</c:v>
                </c:pt>
                <c:pt idx="226">
                  <c:v>156.36500000000001</c:v>
                </c:pt>
                <c:pt idx="227">
                  <c:v>156.07400000000001</c:v>
                </c:pt>
                <c:pt idx="228">
                  <c:v>155.7955</c:v>
                </c:pt>
                <c:pt idx="229">
                  <c:v>155.53500000000003</c:v>
                </c:pt>
                <c:pt idx="230">
                  <c:v>155.29250000000002</c:v>
                </c:pt>
                <c:pt idx="231">
                  <c:v>155.02600000000001</c:v>
                </c:pt>
                <c:pt idx="232">
                  <c:v>154.73200000000003</c:v>
                </c:pt>
                <c:pt idx="233">
                  <c:v>154.33800000000002</c:v>
                </c:pt>
                <c:pt idx="234">
                  <c:v>153.92000000000002</c:v>
                </c:pt>
                <c:pt idx="235">
                  <c:v>153.54899999999998</c:v>
                </c:pt>
                <c:pt idx="236">
                  <c:v>153.25550000000001</c:v>
                </c:pt>
                <c:pt idx="237">
                  <c:v>152.965</c:v>
                </c:pt>
                <c:pt idx="238">
                  <c:v>152.66499999999999</c:v>
                </c:pt>
                <c:pt idx="239">
                  <c:v>152.31499999999997</c:v>
                </c:pt>
                <c:pt idx="240">
                  <c:v>152.05250000000001</c:v>
                </c:pt>
                <c:pt idx="241">
                  <c:v>151.54500000000002</c:v>
                </c:pt>
                <c:pt idx="242">
                  <c:v>151.12699999999998</c:v>
                </c:pt>
                <c:pt idx="243">
                  <c:v>150.71449999999993</c:v>
                </c:pt>
                <c:pt idx="244">
                  <c:v>150.238</c:v>
                </c:pt>
                <c:pt idx="245">
                  <c:v>149.68649999999997</c:v>
                </c:pt>
                <c:pt idx="246">
                  <c:v>149.19149999999996</c:v>
                </c:pt>
                <c:pt idx="247">
                  <c:v>148.69499999999999</c:v>
                </c:pt>
                <c:pt idx="248">
                  <c:v>148.24799999999996</c:v>
                </c:pt>
                <c:pt idx="249">
                  <c:v>147.73050000000001</c:v>
                </c:pt>
                <c:pt idx="250">
                  <c:v>147.14699999999999</c:v>
                </c:pt>
                <c:pt idx="251">
                  <c:v>146.63800000000001</c:v>
                </c:pt>
                <c:pt idx="252">
                  <c:v>146.221</c:v>
                </c:pt>
                <c:pt idx="253">
                  <c:v>145.90700000000001</c:v>
                </c:pt>
                <c:pt idx="254">
                  <c:v>145.61399999999998</c:v>
                </c:pt>
                <c:pt idx="255">
                  <c:v>145.45999999999998</c:v>
                </c:pt>
                <c:pt idx="256">
                  <c:v>145.09349999999998</c:v>
                </c:pt>
                <c:pt idx="257">
                  <c:v>144.73499999999996</c:v>
                </c:pt>
                <c:pt idx="258">
                  <c:v>144.62649999999996</c:v>
                </c:pt>
                <c:pt idx="259">
                  <c:v>144.55199999999996</c:v>
                </c:pt>
                <c:pt idx="260">
                  <c:v>144.46949999999998</c:v>
                </c:pt>
                <c:pt idx="261">
                  <c:v>144.66550000000001</c:v>
                </c:pt>
                <c:pt idx="262">
                  <c:v>144.69650000000001</c:v>
                </c:pt>
                <c:pt idx="263">
                  <c:v>144.86650000000003</c:v>
                </c:pt>
                <c:pt idx="264">
                  <c:v>144.95099999999999</c:v>
                </c:pt>
                <c:pt idx="265">
                  <c:v>145.05950000000001</c:v>
                </c:pt>
                <c:pt idx="266">
                  <c:v>145.13700000000003</c:v>
                </c:pt>
                <c:pt idx="267">
                  <c:v>145.48899999999998</c:v>
                </c:pt>
                <c:pt idx="268">
                  <c:v>145.72899999999998</c:v>
                </c:pt>
                <c:pt idx="269">
                  <c:v>146.03400000000002</c:v>
                </c:pt>
                <c:pt idx="270">
                  <c:v>146.51050000000001</c:v>
                </c:pt>
                <c:pt idx="271">
                  <c:v>146.887</c:v>
                </c:pt>
                <c:pt idx="272">
                  <c:v>147.27950000000001</c:v>
                </c:pt>
                <c:pt idx="273">
                  <c:v>147.74450000000002</c:v>
                </c:pt>
                <c:pt idx="274">
                  <c:v>148.29600000000002</c:v>
                </c:pt>
                <c:pt idx="275">
                  <c:v>148.66</c:v>
                </c:pt>
                <c:pt idx="276">
                  <c:v>149.20250000000001</c:v>
                </c:pt>
                <c:pt idx="277">
                  <c:v>149.81149999999997</c:v>
                </c:pt>
                <c:pt idx="278">
                  <c:v>150.39449999999997</c:v>
                </c:pt>
                <c:pt idx="279">
                  <c:v>150.91999999999999</c:v>
                </c:pt>
                <c:pt idx="280">
                  <c:v>151.53400000000002</c:v>
                </c:pt>
                <c:pt idx="281">
                  <c:v>151.95300000000003</c:v>
                </c:pt>
                <c:pt idx="282">
                  <c:v>152.35100000000003</c:v>
                </c:pt>
                <c:pt idx="283">
                  <c:v>152.83800000000002</c:v>
                </c:pt>
                <c:pt idx="284">
                  <c:v>153.55850000000001</c:v>
                </c:pt>
                <c:pt idx="285">
                  <c:v>154.3415</c:v>
                </c:pt>
                <c:pt idx="286">
                  <c:v>155.1875</c:v>
                </c:pt>
                <c:pt idx="287">
                  <c:v>155.8475</c:v>
                </c:pt>
                <c:pt idx="288">
                  <c:v>156.48249999999999</c:v>
                </c:pt>
                <c:pt idx="289">
                  <c:v>157.11150000000001</c:v>
                </c:pt>
                <c:pt idx="290">
                  <c:v>157.71899999999999</c:v>
                </c:pt>
                <c:pt idx="291">
                  <c:v>158.47550000000004</c:v>
                </c:pt>
                <c:pt idx="292">
                  <c:v>159.15300000000005</c:v>
                </c:pt>
                <c:pt idx="293">
                  <c:v>159.7345</c:v>
                </c:pt>
                <c:pt idx="294">
                  <c:v>160.29149999999998</c:v>
                </c:pt>
                <c:pt idx="295">
                  <c:v>160.95049999999998</c:v>
                </c:pt>
                <c:pt idx="296">
                  <c:v>161.67949999999999</c:v>
                </c:pt>
                <c:pt idx="297">
                  <c:v>162.26050000000001</c:v>
                </c:pt>
                <c:pt idx="298">
                  <c:v>162.59649999999999</c:v>
                </c:pt>
                <c:pt idx="299">
                  <c:v>162.983</c:v>
                </c:pt>
                <c:pt idx="300">
                  <c:v>163.261</c:v>
                </c:pt>
                <c:pt idx="301">
                  <c:v>163.59550000000002</c:v>
                </c:pt>
                <c:pt idx="302">
                  <c:v>164.05849999999998</c:v>
                </c:pt>
                <c:pt idx="303">
                  <c:v>164.31350000000003</c:v>
                </c:pt>
                <c:pt idx="304">
                  <c:v>164.48050000000001</c:v>
                </c:pt>
                <c:pt idx="305">
                  <c:v>164.547</c:v>
                </c:pt>
                <c:pt idx="306">
                  <c:v>164.52450000000002</c:v>
                </c:pt>
                <c:pt idx="307">
                  <c:v>164.27100000000002</c:v>
                </c:pt>
                <c:pt idx="308">
                  <c:v>164.203</c:v>
                </c:pt>
                <c:pt idx="309">
                  <c:v>164.17299999999997</c:v>
                </c:pt>
                <c:pt idx="310">
                  <c:v>164.10750000000002</c:v>
                </c:pt>
                <c:pt idx="311">
                  <c:v>164.03550000000001</c:v>
                </c:pt>
                <c:pt idx="312">
                  <c:v>163.42699999999999</c:v>
                </c:pt>
                <c:pt idx="313">
                  <c:v>162.93900000000002</c:v>
                </c:pt>
                <c:pt idx="314">
                  <c:v>162.63850000000002</c:v>
                </c:pt>
                <c:pt idx="315">
                  <c:v>161.96600000000004</c:v>
                </c:pt>
                <c:pt idx="316">
                  <c:v>161.11200000000002</c:v>
                </c:pt>
                <c:pt idx="317">
                  <c:v>160.31900000000002</c:v>
                </c:pt>
                <c:pt idx="318">
                  <c:v>159.72500000000002</c:v>
                </c:pt>
                <c:pt idx="319">
                  <c:v>159.01</c:v>
                </c:pt>
                <c:pt idx="320">
                  <c:v>158.45599999999996</c:v>
                </c:pt>
                <c:pt idx="321">
                  <c:v>158.03199999999998</c:v>
                </c:pt>
                <c:pt idx="322">
                  <c:v>157.50049999999999</c:v>
                </c:pt>
                <c:pt idx="323">
                  <c:v>157.04649999999998</c:v>
                </c:pt>
                <c:pt idx="324">
                  <c:v>156.76899999999995</c:v>
                </c:pt>
                <c:pt idx="325">
                  <c:v>156.43349999999998</c:v>
                </c:pt>
                <c:pt idx="326">
                  <c:v>156.15649999999999</c:v>
                </c:pt>
                <c:pt idx="327">
                  <c:v>155.87449999999998</c:v>
                </c:pt>
                <c:pt idx="328">
                  <c:v>155.535</c:v>
                </c:pt>
                <c:pt idx="329">
                  <c:v>155.10749999999999</c:v>
                </c:pt>
                <c:pt idx="330">
                  <c:v>154.68950000000001</c:v>
                </c:pt>
                <c:pt idx="331">
                  <c:v>154.19299999999998</c:v>
                </c:pt>
                <c:pt idx="332">
                  <c:v>154.34599999999998</c:v>
                </c:pt>
                <c:pt idx="333">
                  <c:v>154.30099999999999</c:v>
                </c:pt>
                <c:pt idx="334">
                  <c:v>154.11599999999999</c:v>
                </c:pt>
                <c:pt idx="335">
                  <c:v>154.20400000000001</c:v>
                </c:pt>
                <c:pt idx="336">
                  <c:v>154.3965</c:v>
                </c:pt>
                <c:pt idx="337">
                  <c:v>154.76150000000001</c:v>
                </c:pt>
                <c:pt idx="338">
                  <c:v>154.99599999999998</c:v>
                </c:pt>
                <c:pt idx="339">
                  <c:v>155.27249999999998</c:v>
                </c:pt>
                <c:pt idx="340">
                  <c:v>155.39299999999997</c:v>
                </c:pt>
                <c:pt idx="341">
                  <c:v>155.09699999999998</c:v>
                </c:pt>
                <c:pt idx="342">
                  <c:v>154.73399999999998</c:v>
                </c:pt>
                <c:pt idx="343">
                  <c:v>154.51900000000001</c:v>
                </c:pt>
                <c:pt idx="344">
                  <c:v>154.21199999999999</c:v>
                </c:pt>
                <c:pt idx="345">
                  <c:v>153.99050000000003</c:v>
                </c:pt>
                <c:pt idx="346">
                  <c:v>153.786</c:v>
                </c:pt>
                <c:pt idx="347">
                  <c:v>153.67599999999999</c:v>
                </c:pt>
                <c:pt idx="348">
                  <c:v>153.56</c:v>
                </c:pt>
                <c:pt idx="349">
                  <c:v>153.47800000000001</c:v>
                </c:pt>
                <c:pt idx="350">
                  <c:v>153.37300000000002</c:v>
                </c:pt>
                <c:pt idx="351">
                  <c:v>153.19900000000001</c:v>
                </c:pt>
                <c:pt idx="352">
                  <c:v>153.0625</c:v>
                </c:pt>
                <c:pt idx="353">
                  <c:v>153.1</c:v>
                </c:pt>
                <c:pt idx="354">
                  <c:v>153.06400000000002</c:v>
                </c:pt>
                <c:pt idx="355">
                  <c:v>153.03500000000003</c:v>
                </c:pt>
                <c:pt idx="356">
                  <c:v>152.9725</c:v>
                </c:pt>
                <c:pt idx="357">
                  <c:v>152.79050000000001</c:v>
                </c:pt>
                <c:pt idx="358">
                  <c:v>152.75900000000004</c:v>
                </c:pt>
                <c:pt idx="359">
                  <c:v>152.80950000000001</c:v>
                </c:pt>
                <c:pt idx="360">
                  <c:v>152.92499999999998</c:v>
                </c:pt>
                <c:pt idx="361">
                  <c:v>153.26599999999999</c:v>
                </c:pt>
                <c:pt idx="362">
                  <c:v>153.78100000000001</c:v>
                </c:pt>
                <c:pt idx="363">
                  <c:v>154.15550000000002</c:v>
                </c:pt>
                <c:pt idx="364">
                  <c:v>154.35</c:v>
                </c:pt>
                <c:pt idx="365">
                  <c:v>154.34449999999998</c:v>
                </c:pt>
                <c:pt idx="366">
                  <c:v>154.19799999999998</c:v>
                </c:pt>
                <c:pt idx="367">
                  <c:v>154.02850000000001</c:v>
                </c:pt>
                <c:pt idx="368">
                  <c:v>153.964</c:v>
                </c:pt>
                <c:pt idx="369">
                  <c:v>153.9265</c:v>
                </c:pt>
                <c:pt idx="370">
                  <c:v>153.87800000000001</c:v>
                </c:pt>
                <c:pt idx="371">
                  <c:v>153.85700000000003</c:v>
                </c:pt>
                <c:pt idx="372">
                  <c:v>153.79850000000002</c:v>
                </c:pt>
                <c:pt idx="373">
                  <c:v>153.6755</c:v>
                </c:pt>
                <c:pt idx="374">
                  <c:v>153.70150000000004</c:v>
                </c:pt>
                <c:pt idx="375">
                  <c:v>153.75849999999997</c:v>
                </c:pt>
                <c:pt idx="376">
                  <c:v>153.89799999999997</c:v>
                </c:pt>
                <c:pt idx="377">
                  <c:v>153.97849999999997</c:v>
                </c:pt>
                <c:pt idx="378">
                  <c:v>154.01649999999998</c:v>
                </c:pt>
                <c:pt idx="379">
                  <c:v>154.06900000000002</c:v>
                </c:pt>
                <c:pt idx="380">
                  <c:v>154.13100000000003</c:v>
                </c:pt>
                <c:pt idx="381">
                  <c:v>154.21300000000002</c:v>
                </c:pt>
                <c:pt idx="382">
                  <c:v>154.22100000000003</c:v>
                </c:pt>
                <c:pt idx="383">
                  <c:v>154.12450000000004</c:v>
                </c:pt>
                <c:pt idx="384">
                  <c:v>154.60250000000005</c:v>
                </c:pt>
                <c:pt idx="385">
                  <c:v>155.13250000000002</c:v>
                </c:pt>
                <c:pt idx="386">
                  <c:v>155.78100000000001</c:v>
                </c:pt>
                <c:pt idx="387">
                  <c:v>156.5095</c:v>
                </c:pt>
                <c:pt idx="388">
                  <c:v>157.34</c:v>
                </c:pt>
                <c:pt idx="389">
                  <c:v>158.18549999999999</c:v>
                </c:pt>
                <c:pt idx="390">
                  <c:v>159.04949999999999</c:v>
                </c:pt>
                <c:pt idx="391">
                  <c:v>159.86399999999998</c:v>
                </c:pt>
                <c:pt idx="392">
                  <c:v>160.55449999999999</c:v>
                </c:pt>
                <c:pt idx="393">
                  <c:v>161.32249999999999</c:v>
                </c:pt>
                <c:pt idx="394">
                  <c:v>161.8895</c:v>
                </c:pt>
                <c:pt idx="395">
                  <c:v>162.34849999999997</c:v>
                </c:pt>
                <c:pt idx="396">
                  <c:v>162.9145</c:v>
                </c:pt>
                <c:pt idx="397">
                  <c:v>163.70300000000003</c:v>
                </c:pt>
                <c:pt idx="398">
                  <c:v>164.45049999999998</c:v>
                </c:pt>
                <c:pt idx="399">
                  <c:v>165.166</c:v>
                </c:pt>
                <c:pt idx="400">
                  <c:v>165.85799999999998</c:v>
                </c:pt>
                <c:pt idx="401">
                  <c:v>166.67949999999999</c:v>
                </c:pt>
                <c:pt idx="402">
                  <c:v>167.52950000000001</c:v>
                </c:pt>
                <c:pt idx="403">
                  <c:v>168.41000000000003</c:v>
                </c:pt>
                <c:pt idx="404">
                  <c:v>168.89200000000002</c:v>
                </c:pt>
                <c:pt idx="405">
                  <c:v>169.47900000000004</c:v>
                </c:pt>
                <c:pt idx="406">
                  <c:v>170.126</c:v>
                </c:pt>
                <c:pt idx="407">
                  <c:v>170.72049999999999</c:v>
                </c:pt>
                <c:pt idx="408">
                  <c:v>171.214</c:v>
                </c:pt>
                <c:pt idx="409">
                  <c:v>171.70099999999999</c:v>
                </c:pt>
                <c:pt idx="410">
                  <c:v>172.1695</c:v>
                </c:pt>
                <c:pt idx="411">
                  <c:v>172.71899999999999</c:v>
                </c:pt>
                <c:pt idx="412">
                  <c:v>173.32849999999999</c:v>
                </c:pt>
                <c:pt idx="413">
                  <c:v>173.7475</c:v>
                </c:pt>
                <c:pt idx="414">
                  <c:v>174.22399999999999</c:v>
                </c:pt>
                <c:pt idx="415">
                  <c:v>174.75949999999997</c:v>
                </c:pt>
                <c:pt idx="416">
                  <c:v>175.25149999999999</c:v>
                </c:pt>
                <c:pt idx="417">
                  <c:v>175.60249999999999</c:v>
                </c:pt>
                <c:pt idx="418">
                  <c:v>175.96549999999996</c:v>
                </c:pt>
                <c:pt idx="419">
                  <c:v>176.37399999999997</c:v>
                </c:pt>
                <c:pt idx="420">
                  <c:v>176.71899999999999</c:v>
                </c:pt>
                <c:pt idx="421">
                  <c:v>176.959</c:v>
                </c:pt>
                <c:pt idx="422">
                  <c:v>177.11600000000001</c:v>
                </c:pt>
                <c:pt idx="423">
                  <c:v>177.26649999999998</c:v>
                </c:pt>
                <c:pt idx="424">
                  <c:v>177.47050000000002</c:v>
                </c:pt>
                <c:pt idx="425">
                  <c:v>177.63749999999999</c:v>
                </c:pt>
                <c:pt idx="426">
                  <c:v>177.6755</c:v>
                </c:pt>
                <c:pt idx="427">
                  <c:v>177.68599999999998</c:v>
                </c:pt>
                <c:pt idx="428">
                  <c:v>177.65600000000001</c:v>
                </c:pt>
                <c:pt idx="429">
                  <c:v>177.42199999999997</c:v>
                </c:pt>
                <c:pt idx="430">
                  <c:v>177.285</c:v>
                </c:pt>
                <c:pt idx="431">
                  <c:v>177.03100000000001</c:v>
                </c:pt>
                <c:pt idx="432">
                  <c:v>176.93950000000001</c:v>
                </c:pt>
                <c:pt idx="433">
                  <c:v>176.9495</c:v>
                </c:pt>
                <c:pt idx="434">
                  <c:v>176.9965</c:v>
                </c:pt>
                <c:pt idx="435">
                  <c:v>177.20949999999999</c:v>
                </c:pt>
                <c:pt idx="436">
                  <c:v>177.43199999999999</c:v>
                </c:pt>
                <c:pt idx="437">
                  <c:v>177.8</c:v>
                </c:pt>
                <c:pt idx="438">
                  <c:v>178.20250000000001</c:v>
                </c:pt>
                <c:pt idx="439">
                  <c:v>178.56350000000003</c:v>
                </c:pt>
                <c:pt idx="440">
                  <c:v>179.07400000000001</c:v>
                </c:pt>
                <c:pt idx="441">
                  <c:v>179.57549999999998</c:v>
                </c:pt>
                <c:pt idx="442">
                  <c:v>180.17199999999997</c:v>
                </c:pt>
                <c:pt idx="443">
                  <c:v>180.86700000000002</c:v>
                </c:pt>
                <c:pt idx="444">
                  <c:v>181.49600000000001</c:v>
                </c:pt>
                <c:pt idx="445">
                  <c:v>182.12899999999996</c:v>
                </c:pt>
                <c:pt idx="446">
                  <c:v>182.804</c:v>
                </c:pt>
                <c:pt idx="447">
                  <c:v>183.52349999999996</c:v>
                </c:pt>
                <c:pt idx="448">
                  <c:v>184.22200000000001</c:v>
                </c:pt>
                <c:pt idx="449">
                  <c:v>185.11999999999998</c:v>
                </c:pt>
                <c:pt idx="450">
                  <c:v>185.97149999999999</c:v>
                </c:pt>
                <c:pt idx="451">
                  <c:v>186.94699999999997</c:v>
                </c:pt>
                <c:pt idx="452">
                  <c:v>187.71199999999999</c:v>
                </c:pt>
                <c:pt idx="453">
                  <c:v>188.52449999999999</c:v>
                </c:pt>
                <c:pt idx="454">
                  <c:v>189.26149999999998</c:v>
                </c:pt>
                <c:pt idx="455">
                  <c:v>189.79599999999996</c:v>
                </c:pt>
                <c:pt idx="456">
                  <c:v>190.23</c:v>
                </c:pt>
                <c:pt idx="457">
                  <c:v>190.30549999999997</c:v>
                </c:pt>
                <c:pt idx="458">
                  <c:v>190.33299999999997</c:v>
                </c:pt>
                <c:pt idx="459">
                  <c:v>190.48649999999998</c:v>
                </c:pt>
                <c:pt idx="460">
                  <c:v>190.49799999999999</c:v>
                </c:pt>
                <c:pt idx="461">
                  <c:v>190.40300000000002</c:v>
                </c:pt>
                <c:pt idx="462">
                  <c:v>190.3015</c:v>
                </c:pt>
                <c:pt idx="463">
                  <c:v>190.11700000000002</c:v>
                </c:pt>
                <c:pt idx="464">
                  <c:v>189.91149999999999</c:v>
                </c:pt>
                <c:pt idx="465">
                  <c:v>189.70400000000001</c:v>
                </c:pt>
                <c:pt idx="466">
                  <c:v>189.5795</c:v>
                </c:pt>
                <c:pt idx="467">
                  <c:v>189.7285</c:v>
                </c:pt>
                <c:pt idx="468">
                  <c:v>189.8895</c:v>
                </c:pt>
                <c:pt idx="469">
                  <c:v>190.04599999999999</c:v>
                </c:pt>
                <c:pt idx="470">
                  <c:v>190.18149999999997</c:v>
                </c:pt>
                <c:pt idx="471">
                  <c:v>190.47449999999998</c:v>
                </c:pt>
                <c:pt idx="472">
                  <c:v>190.88049999999996</c:v>
                </c:pt>
                <c:pt idx="473">
                  <c:v>191.35899999999998</c:v>
                </c:pt>
                <c:pt idx="474">
                  <c:v>191.88899999999995</c:v>
                </c:pt>
                <c:pt idx="475">
                  <c:v>192.56399999999999</c:v>
                </c:pt>
                <c:pt idx="476">
                  <c:v>193.35149999999999</c:v>
                </c:pt>
                <c:pt idx="477">
                  <c:v>194.33850000000001</c:v>
                </c:pt>
                <c:pt idx="478">
                  <c:v>195.38650000000001</c:v>
                </c:pt>
                <c:pt idx="479">
                  <c:v>196.28</c:v>
                </c:pt>
                <c:pt idx="480">
                  <c:v>197.10350000000005</c:v>
                </c:pt>
                <c:pt idx="481">
                  <c:v>198.06150000000005</c:v>
                </c:pt>
                <c:pt idx="482">
                  <c:v>198.98500000000004</c:v>
                </c:pt>
                <c:pt idx="483">
                  <c:v>199.80900000000003</c:v>
                </c:pt>
                <c:pt idx="484">
                  <c:v>200.55700000000002</c:v>
                </c:pt>
                <c:pt idx="485">
                  <c:v>201.30950000000001</c:v>
                </c:pt>
                <c:pt idx="486">
                  <c:v>201.887</c:v>
                </c:pt>
                <c:pt idx="487">
                  <c:v>202.52249999999998</c:v>
                </c:pt>
                <c:pt idx="488">
                  <c:v>203.30349999999999</c:v>
                </c:pt>
                <c:pt idx="489">
                  <c:v>204.11999999999998</c:v>
                </c:pt>
                <c:pt idx="490">
                  <c:v>205.03199999999998</c:v>
                </c:pt>
                <c:pt idx="491">
                  <c:v>205.51799999999997</c:v>
                </c:pt>
                <c:pt idx="492">
                  <c:v>206.03449999999998</c:v>
                </c:pt>
                <c:pt idx="493">
                  <c:v>206.3245</c:v>
                </c:pt>
                <c:pt idx="494">
                  <c:v>206.48949999999999</c:v>
                </c:pt>
                <c:pt idx="495">
                  <c:v>206.66050000000001</c:v>
                </c:pt>
                <c:pt idx="496">
                  <c:v>206.64699999999999</c:v>
                </c:pt>
                <c:pt idx="497">
                  <c:v>206.70250000000001</c:v>
                </c:pt>
                <c:pt idx="498">
                  <c:v>206.70600000000005</c:v>
                </c:pt>
                <c:pt idx="499">
                  <c:v>206.73800000000006</c:v>
                </c:pt>
                <c:pt idx="500">
                  <c:v>206.81650000000005</c:v>
                </c:pt>
                <c:pt idx="501">
                  <c:v>206.89300000000003</c:v>
                </c:pt>
                <c:pt idx="502">
                  <c:v>206.994</c:v>
                </c:pt>
                <c:pt idx="503">
                  <c:v>207.0855</c:v>
                </c:pt>
                <c:pt idx="504">
                  <c:v>207.22850000000003</c:v>
                </c:pt>
                <c:pt idx="505">
                  <c:v>207.52199999999999</c:v>
                </c:pt>
                <c:pt idx="506">
                  <c:v>207.81149999999997</c:v>
                </c:pt>
                <c:pt idx="507">
                  <c:v>207.70400000000001</c:v>
                </c:pt>
                <c:pt idx="508">
                  <c:v>207.68949999999995</c:v>
                </c:pt>
                <c:pt idx="509">
                  <c:v>207.79299999999995</c:v>
                </c:pt>
                <c:pt idx="510">
                  <c:v>208.01199999999994</c:v>
                </c:pt>
                <c:pt idx="511">
                  <c:v>208.52550000000002</c:v>
                </c:pt>
                <c:pt idx="512">
                  <c:v>208.94200000000001</c:v>
                </c:pt>
                <c:pt idx="513">
                  <c:v>209.43699999999998</c:v>
                </c:pt>
                <c:pt idx="514">
                  <c:v>210.01900000000001</c:v>
                </c:pt>
                <c:pt idx="515">
                  <c:v>210.57750000000001</c:v>
                </c:pt>
                <c:pt idx="516">
                  <c:v>211.2955</c:v>
                </c:pt>
                <c:pt idx="517">
                  <c:v>211.98099999999999</c:v>
                </c:pt>
                <c:pt idx="518">
                  <c:v>212.82149999999996</c:v>
                </c:pt>
                <c:pt idx="519">
                  <c:v>213.8295</c:v>
                </c:pt>
                <c:pt idx="520">
                  <c:v>214.84849999999997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63-4907-A16F-9D06FD9DF8D4}"/>
            </c:ext>
          </c:extLst>
        </c:ser>
        <c:ser>
          <c:idx val="2"/>
          <c:order val="2"/>
          <c:tx>
            <c:strRef>
              <c:f>JNJ!$J$1</c:f>
              <c:strCache>
                <c:ptCount val="1"/>
                <c:pt idx="0">
                  <c:v>Lower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JNJ!$B$2:$B$522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JNJ!$J$2:$J$522</c:f>
              <c:numCache>
                <c:formatCode>General</c:formatCode>
                <c:ptCount val="521"/>
                <c:pt idx="19">
                  <c:v>158.46198805991099</c:v>
                </c:pt>
                <c:pt idx="20">
                  <c:v>158.28816704729283</c:v>
                </c:pt>
                <c:pt idx="21">
                  <c:v>157.95618807617871</c:v>
                </c:pt>
                <c:pt idx="22">
                  <c:v>157.22025713795472</c:v>
                </c:pt>
                <c:pt idx="23">
                  <c:v>156.38726749100977</c:v>
                </c:pt>
                <c:pt idx="24">
                  <c:v>156.18501730229568</c:v>
                </c:pt>
                <c:pt idx="25">
                  <c:v>156.0118017016018</c:v>
                </c:pt>
                <c:pt idx="26">
                  <c:v>155.61514852252344</c:v>
                </c:pt>
                <c:pt idx="27">
                  <c:v>155.31552507539601</c:v>
                </c:pt>
                <c:pt idx="28">
                  <c:v>155.35971053248903</c:v>
                </c:pt>
                <c:pt idx="29">
                  <c:v>155.07426632716462</c:v>
                </c:pt>
                <c:pt idx="30">
                  <c:v>154.69612599758412</c:v>
                </c:pt>
                <c:pt idx="31">
                  <c:v>154.74344965940347</c:v>
                </c:pt>
                <c:pt idx="32">
                  <c:v>154.76598603101795</c:v>
                </c:pt>
                <c:pt idx="33">
                  <c:v>155.2512942291273</c:v>
                </c:pt>
                <c:pt idx="34">
                  <c:v>155.32687401403768</c:v>
                </c:pt>
                <c:pt idx="35">
                  <c:v>155.17574737827888</c:v>
                </c:pt>
                <c:pt idx="36">
                  <c:v>154.83689247064646</c:v>
                </c:pt>
                <c:pt idx="37">
                  <c:v>154.72397728608152</c:v>
                </c:pt>
                <c:pt idx="38">
                  <c:v>154.599334026289</c:v>
                </c:pt>
                <c:pt idx="39">
                  <c:v>154.42905055146952</c:v>
                </c:pt>
                <c:pt idx="40">
                  <c:v>154.31607906568658</c:v>
                </c:pt>
                <c:pt idx="41">
                  <c:v>154.17900307132012</c:v>
                </c:pt>
                <c:pt idx="42">
                  <c:v>154.40969338126246</c:v>
                </c:pt>
                <c:pt idx="43">
                  <c:v>154.81904248650557</c:v>
                </c:pt>
                <c:pt idx="44">
                  <c:v>154.90205786609135</c:v>
                </c:pt>
                <c:pt idx="45">
                  <c:v>154.97487559822318</c:v>
                </c:pt>
                <c:pt idx="46">
                  <c:v>155.32584173041462</c:v>
                </c:pt>
                <c:pt idx="47">
                  <c:v>155.63248879080075</c:v>
                </c:pt>
                <c:pt idx="48">
                  <c:v>155.68605914855661</c:v>
                </c:pt>
                <c:pt idx="49">
                  <c:v>156.17466846274243</c:v>
                </c:pt>
                <c:pt idx="50">
                  <c:v>156.87991992475688</c:v>
                </c:pt>
                <c:pt idx="51">
                  <c:v>156.92805091178377</c:v>
                </c:pt>
                <c:pt idx="52">
                  <c:v>156.98699699974108</c:v>
                </c:pt>
                <c:pt idx="53">
                  <c:v>156.58346766056383</c:v>
                </c:pt>
                <c:pt idx="54">
                  <c:v>155.97936675020921</c:v>
                </c:pt>
                <c:pt idx="55">
                  <c:v>155.34162674664296</c:v>
                </c:pt>
                <c:pt idx="56">
                  <c:v>154.71290783861653</c:v>
                </c:pt>
                <c:pt idx="57">
                  <c:v>154.14311264145647</c:v>
                </c:pt>
                <c:pt idx="58">
                  <c:v>153.76270725748185</c:v>
                </c:pt>
                <c:pt idx="59">
                  <c:v>153.74482971065603</c:v>
                </c:pt>
                <c:pt idx="60">
                  <c:v>153.76209289231642</c:v>
                </c:pt>
                <c:pt idx="61">
                  <c:v>153.87026755709437</c:v>
                </c:pt>
                <c:pt idx="62">
                  <c:v>153.82696020512785</c:v>
                </c:pt>
                <c:pt idx="63">
                  <c:v>153.30517212349886</c:v>
                </c:pt>
                <c:pt idx="64">
                  <c:v>152.43808905350875</c:v>
                </c:pt>
                <c:pt idx="65">
                  <c:v>151.67324473654566</c:v>
                </c:pt>
                <c:pt idx="66">
                  <c:v>150.86113525411872</c:v>
                </c:pt>
                <c:pt idx="67">
                  <c:v>150.47986821564456</c:v>
                </c:pt>
                <c:pt idx="68">
                  <c:v>150.06072584771084</c:v>
                </c:pt>
                <c:pt idx="69">
                  <c:v>149.24166810931811</c:v>
                </c:pt>
                <c:pt idx="70">
                  <c:v>148.08292483179105</c:v>
                </c:pt>
                <c:pt idx="71">
                  <c:v>147.09927376448792</c:v>
                </c:pt>
                <c:pt idx="72">
                  <c:v>145.41304068260575</c:v>
                </c:pt>
                <c:pt idx="73">
                  <c:v>144.09331420906074</c:v>
                </c:pt>
                <c:pt idx="74">
                  <c:v>143.16912980758951</c:v>
                </c:pt>
                <c:pt idx="75">
                  <c:v>142.73018006563456</c:v>
                </c:pt>
                <c:pt idx="76">
                  <c:v>142.48576871526433</c:v>
                </c:pt>
                <c:pt idx="77">
                  <c:v>142.3270592140189</c:v>
                </c:pt>
                <c:pt idx="78">
                  <c:v>142.14087293997443</c:v>
                </c:pt>
                <c:pt idx="79">
                  <c:v>142.05612874397801</c:v>
                </c:pt>
                <c:pt idx="80">
                  <c:v>142.11307498887416</c:v>
                </c:pt>
                <c:pt idx="81">
                  <c:v>142.45603136166238</c:v>
                </c:pt>
                <c:pt idx="82">
                  <c:v>142.79058725510498</c:v>
                </c:pt>
                <c:pt idx="83">
                  <c:v>143.13013058657128</c:v>
                </c:pt>
                <c:pt idx="84">
                  <c:v>143.30198505577349</c:v>
                </c:pt>
                <c:pt idx="85">
                  <c:v>143.50223738153159</c:v>
                </c:pt>
                <c:pt idx="86">
                  <c:v>143.63651929103384</c:v>
                </c:pt>
                <c:pt idx="87">
                  <c:v>143.9337470386476</c:v>
                </c:pt>
                <c:pt idx="88">
                  <c:v>143.99507195283252</c:v>
                </c:pt>
                <c:pt idx="89">
                  <c:v>143.95731217940636</c:v>
                </c:pt>
                <c:pt idx="90">
                  <c:v>143.96664517205858</c:v>
                </c:pt>
                <c:pt idx="91">
                  <c:v>143.88747986519135</c:v>
                </c:pt>
                <c:pt idx="92">
                  <c:v>144.36075291713837</c:v>
                </c:pt>
                <c:pt idx="93">
                  <c:v>144.72596060957974</c:v>
                </c:pt>
                <c:pt idx="94">
                  <c:v>144.75622006131675</c:v>
                </c:pt>
                <c:pt idx="95">
                  <c:v>144.54932110990424</c:v>
                </c:pt>
                <c:pt idx="96">
                  <c:v>144.60928184338999</c:v>
                </c:pt>
                <c:pt idx="97">
                  <c:v>144.64893244806697</c:v>
                </c:pt>
                <c:pt idx="98">
                  <c:v>144.68020772960986</c:v>
                </c:pt>
                <c:pt idx="99">
                  <c:v>145.03854571194961</c:v>
                </c:pt>
                <c:pt idx="100">
                  <c:v>145.20559259029486</c:v>
                </c:pt>
                <c:pt idx="101">
                  <c:v>144.63633529024739</c:v>
                </c:pt>
                <c:pt idx="102">
                  <c:v>144.59667256298579</c:v>
                </c:pt>
                <c:pt idx="103">
                  <c:v>143.92522745918794</c:v>
                </c:pt>
                <c:pt idx="104">
                  <c:v>143.59845365109905</c:v>
                </c:pt>
                <c:pt idx="105">
                  <c:v>143.46350131018684</c:v>
                </c:pt>
                <c:pt idx="106">
                  <c:v>143.38803529667621</c:v>
                </c:pt>
                <c:pt idx="107">
                  <c:v>143.05416364655235</c:v>
                </c:pt>
                <c:pt idx="108">
                  <c:v>142.79093532232619</c:v>
                </c:pt>
                <c:pt idx="109">
                  <c:v>142.58682482793961</c:v>
                </c:pt>
                <c:pt idx="110">
                  <c:v>142.39981939444428</c:v>
                </c:pt>
                <c:pt idx="111">
                  <c:v>142.19287000777129</c:v>
                </c:pt>
                <c:pt idx="112">
                  <c:v>141.85210527493479</c:v>
                </c:pt>
                <c:pt idx="113">
                  <c:v>141.67116571432214</c:v>
                </c:pt>
                <c:pt idx="114">
                  <c:v>141.84090090858692</c:v>
                </c:pt>
                <c:pt idx="115">
                  <c:v>142.3799928180442</c:v>
                </c:pt>
                <c:pt idx="116">
                  <c:v>142.44402322330635</c:v>
                </c:pt>
                <c:pt idx="117">
                  <c:v>142.72018908798282</c:v>
                </c:pt>
                <c:pt idx="118">
                  <c:v>143.79310270812417</c:v>
                </c:pt>
                <c:pt idx="119">
                  <c:v>143.89512703365062</c:v>
                </c:pt>
                <c:pt idx="120">
                  <c:v>143.89624375135239</c:v>
                </c:pt>
                <c:pt idx="121">
                  <c:v>144.21861353215428</c:v>
                </c:pt>
                <c:pt idx="122">
                  <c:v>144.47824157434647</c:v>
                </c:pt>
                <c:pt idx="123">
                  <c:v>144.60814816061111</c:v>
                </c:pt>
                <c:pt idx="124">
                  <c:v>144.59217948213143</c:v>
                </c:pt>
                <c:pt idx="125">
                  <c:v>144.53690782244968</c:v>
                </c:pt>
                <c:pt idx="126">
                  <c:v>144.45986310463658</c:v>
                </c:pt>
                <c:pt idx="127">
                  <c:v>144.5030883929393</c:v>
                </c:pt>
                <c:pt idx="128">
                  <c:v>144.39891664776385</c:v>
                </c:pt>
                <c:pt idx="129">
                  <c:v>144.39898465431375</c:v>
                </c:pt>
                <c:pt idx="130">
                  <c:v>144.16033178714312</c:v>
                </c:pt>
                <c:pt idx="131">
                  <c:v>143.95705727611954</c:v>
                </c:pt>
                <c:pt idx="132">
                  <c:v>143.94587381994216</c:v>
                </c:pt>
                <c:pt idx="133">
                  <c:v>144.07604511430671</c:v>
                </c:pt>
                <c:pt idx="134">
                  <c:v>144.02481062854491</c:v>
                </c:pt>
                <c:pt idx="135">
                  <c:v>142.75131547391896</c:v>
                </c:pt>
                <c:pt idx="136">
                  <c:v>142.41466960261141</c:v>
                </c:pt>
                <c:pt idx="137">
                  <c:v>142.17647811886027</c:v>
                </c:pt>
                <c:pt idx="138">
                  <c:v>142.02949714692826</c:v>
                </c:pt>
                <c:pt idx="139">
                  <c:v>142.04563903402962</c:v>
                </c:pt>
                <c:pt idx="140">
                  <c:v>141.93433572699806</c:v>
                </c:pt>
                <c:pt idx="141">
                  <c:v>141.54651046018247</c:v>
                </c:pt>
                <c:pt idx="142">
                  <c:v>141.45443322667111</c:v>
                </c:pt>
                <c:pt idx="143">
                  <c:v>141.82686801649095</c:v>
                </c:pt>
                <c:pt idx="144">
                  <c:v>142.02632827324015</c:v>
                </c:pt>
                <c:pt idx="145">
                  <c:v>142.8194798318502</c:v>
                </c:pt>
                <c:pt idx="146">
                  <c:v>143.64397747989372</c:v>
                </c:pt>
                <c:pt idx="147">
                  <c:v>144.15492099871784</c:v>
                </c:pt>
                <c:pt idx="148">
                  <c:v>145.50641444805177</c:v>
                </c:pt>
                <c:pt idx="149">
                  <c:v>146.82929634908842</c:v>
                </c:pt>
                <c:pt idx="150">
                  <c:v>147.78188824879945</c:v>
                </c:pt>
                <c:pt idx="151">
                  <c:v>148.79363184619419</c:v>
                </c:pt>
                <c:pt idx="152">
                  <c:v>149.92830433813492</c:v>
                </c:pt>
                <c:pt idx="153">
                  <c:v>151.50166605015943</c:v>
                </c:pt>
                <c:pt idx="154">
                  <c:v>152.78441232255287</c:v>
                </c:pt>
                <c:pt idx="155">
                  <c:v>152.9531230111358</c:v>
                </c:pt>
                <c:pt idx="156">
                  <c:v>153.33994098449207</c:v>
                </c:pt>
                <c:pt idx="157">
                  <c:v>153.92824388806741</c:v>
                </c:pt>
                <c:pt idx="158">
                  <c:v>154.72299521700543</c:v>
                </c:pt>
                <c:pt idx="159">
                  <c:v>156.48370588856409</c:v>
                </c:pt>
                <c:pt idx="160">
                  <c:v>157.09047734435393</c:v>
                </c:pt>
                <c:pt idx="161">
                  <c:v>157.04131827339415</c:v>
                </c:pt>
                <c:pt idx="162">
                  <c:v>156.72764532930915</c:v>
                </c:pt>
                <c:pt idx="163">
                  <c:v>156.6366261492665</c:v>
                </c:pt>
                <c:pt idx="164">
                  <c:v>156.58821259990418</c:v>
                </c:pt>
                <c:pt idx="165">
                  <c:v>156.86878826282896</c:v>
                </c:pt>
                <c:pt idx="166">
                  <c:v>156.79217319102361</c:v>
                </c:pt>
                <c:pt idx="167">
                  <c:v>156.57068829392028</c:v>
                </c:pt>
                <c:pt idx="168">
                  <c:v>156.16155949454847</c:v>
                </c:pt>
                <c:pt idx="169">
                  <c:v>156.12660429844948</c:v>
                </c:pt>
                <c:pt idx="170">
                  <c:v>156.46323807298435</c:v>
                </c:pt>
                <c:pt idx="171">
                  <c:v>156.67828898514617</c:v>
                </c:pt>
                <c:pt idx="172">
                  <c:v>156.76019814052341</c:v>
                </c:pt>
                <c:pt idx="173">
                  <c:v>156.9553510293492</c:v>
                </c:pt>
                <c:pt idx="174">
                  <c:v>157.65735853106281</c:v>
                </c:pt>
                <c:pt idx="175">
                  <c:v>158.44208564155721</c:v>
                </c:pt>
                <c:pt idx="176">
                  <c:v>159.19110426766451</c:v>
                </c:pt>
                <c:pt idx="177">
                  <c:v>159.93726053906738</c:v>
                </c:pt>
                <c:pt idx="178">
                  <c:v>160.78181088976439</c:v>
                </c:pt>
                <c:pt idx="179">
                  <c:v>161.69610393609707</c:v>
                </c:pt>
                <c:pt idx="180">
                  <c:v>162.33132904547284</c:v>
                </c:pt>
                <c:pt idx="181">
                  <c:v>162.70338003248739</c:v>
                </c:pt>
                <c:pt idx="182">
                  <c:v>162.53986848048999</c:v>
                </c:pt>
                <c:pt idx="183">
                  <c:v>162.23624282520731</c:v>
                </c:pt>
                <c:pt idx="184">
                  <c:v>161.60220256509729</c:v>
                </c:pt>
                <c:pt idx="185">
                  <c:v>161.12850119432173</c:v>
                </c:pt>
                <c:pt idx="186">
                  <c:v>160.67382882842111</c:v>
                </c:pt>
                <c:pt idx="187">
                  <c:v>160.33196928522563</c:v>
                </c:pt>
                <c:pt idx="188">
                  <c:v>160.08080591970617</c:v>
                </c:pt>
                <c:pt idx="189">
                  <c:v>159.77228286602474</c:v>
                </c:pt>
                <c:pt idx="190">
                  <c:v>159.28331986711362</c:v>
                </c:pt>
                <c:pt idx="191">
                  <c:v>158.81576486311948</c:v>
                </c:pt>
                <c:pt idx="192">
                  <c:v>158.33138903873672</c:v>
                </c:pt>
                <c:pt idx="193">
                  <c:v>158.07940914098361</c:v>
                </c:pt>
                <c:pt idx="194">
                  <c:v>157.85283425326369</c:v>
                </c:pt>
                <c:pt idx="195">
                  <c:v>157.63694125085786</c:v>
                </c:pt>
                <c:pt idx="196">
                  <c:v>157.6242431297338</c:v>
                </c:pt>
                <c:pt idx="197">
                  <c:v>157.89512566818215</c:v>
                </c:pt>
                <c:pt idx="198">
                  <c:v>158.33017617505851</c:v>
                </c:pt>
                <c:pt idx="199">
                  <c:v>158.62810384237721</c:v>
                </c:pt>
                <c:pt idx="200">
                  <c:v>158.67715343652964</c:v>
                </c:pt>
                <c:pt idx="201">
                  <c:v>158.5470712955069</c:v>
                </c:pt>
                <c:pt idx="202">
                  <c:v>158.55747978242414</c:v>
                </c:pt>
                <c:pt idx="203">
                  <c:v>158.53623491747646</c:v>
                </c:pt>
                <c:pt idx="204">
                  <c:v>158.40724181633223</c:v>
                </c:pt>
                <c:pt idx="205">
                  <c:v>158.47553197704326</c:v>
                </c:pt>
                <c:pt idx="206">
                  <c:v>158.41822782516016</c:v>
                </c:pt>
                <c:pt idx="207">
                  <c:v>158.38593160486374</c:v>
                </c:pt>
                <c:pt idx="208">
                  <c:v>158.17726578975791</c:v>
                </c:pt>
                <c:pt idx="209">
                  <c:v>158.11374425223096</c:v>
                </c:pt>
                <c:pt idx="210">
                  <c:v>158.01861578720727</c:v>
                </c:pt>
                <c:pt idx="211">
                  <c:v>157.99540690177804</c:v>
                </c:pt>
                <c:pt idx="212">
                  <c:v>157.726721763873</c:v>
                </c:pt>
                <c:pt idx="213">
                  <c:v>157.47037691917811</c:v>
                </c:pt>
                <c:pt idx="214">
                  <c:v>157.00672943506868</c:v>
                </c:pt>
                <c:pt idx="215">
                  <c:v>156.33323353110427</c:v>
                </c:pt>
                <c:pt idx="216">
                  <c:v>155.36576410007288</c:v>
                </c:pt>
                <c:pt idx="217">
                  <c:v>154.41961588484307</c:v>
                </c:pt>
                <c:pt idx="218">
                  <c:v>153.05186178219606</c:v>
                </c:pt>
                <c:pt idx="219">
                  <c:v>152.09026758145822</c:v>
                </c:pt>
                <c:pt idx="220">
                  <c:v>151.01820485293254</c:v>
                </c:pt>
                <c:pt idx="221">
                  <c:v>150.65380902786453</c:v>
                </c:pt>
                <c:pt idx="222">
                  <c:v>150.33203834100061</c:v>
                </c:pt>
                <c:pt idx="223">
                  <c:v>149.88444110297891</c:v>
                </c:pt>
                <c:pt idx="224">
                  <c:v>150.00806680308429</c:v>
                </c:pt>
                <c:pt idx="225">
                  <c:v>150.30041346930074</c:v>
                </c:pt>
                <c:pt idx="226">
                  <c:v>150.30894430951005</c:v>
                </c:pt>
                <c:pt idx="227">
                  <c:v>150.54030455634231</c:v>
                </c:pt>
                <c:pt idx="228">
                  <c:v>150.56021696839105</c:v>
                </c:pt>
                <c:pt idx="229">
                  <c:v>150.81530554066543</c:v>
                </c:pt>
                <c:pt idx="230">
                  <c:v>151.03246355340525</c:v>
                </c:pt>
                <c:pt idx="231">
                  <c:v>151.42415018285561</c:v>
                </c:pt>
                <c:pt idx="232">
                  <c:v>151.27786990157551</c:v>
                </c:pt>
                <c:pt idx="233">
                  <c:v>150.82434782897522</c:v>
                </c:pt>
                <c:pt idx="234">
                  <c:v>150.19765778320328</c:v>
                </c:pt>
                <c:pt idx="235">
                  <c:v>149.53800511094815</c:v>
                </c:pt>
                <c:pt idx="236">
                  <c:v>148.98565728133866</c:v>
                </c:pt>
                <c:pt idx="237">
                  <c:v>148.42436939227716</c:v>
                </c:pt>
                <c:pt idx="238">
                  <c:v>147.31351619199231</c:v>
                </c:pt>
                <c:pt idx="239">
                  <c:v>146.25334658651093</c:v>
                </c:pt>
                <c:pt idx="240">
                  <c:v>145.47680031739668</c:v>
                </c:pt>
                <c:pt idx="241">
                  <c:v>144.09373659600001</c:v>
                </c:pt>
                <c:pt idx="242">
                  <c:v>143.50156582771908</c:v>
                </c:pt>
                <c:pt idx="243">
                  <c:v>142.636533932389</c:v>
                </c:pt>
                <c:pt idx="244">
                  <c:v>141.64698976591779</c:v>
                </c:pt>
                <c:pt idx="245">
                  <c:v>141.101641174566</c:v>
                </c:pt>
                <c:pt idx="246">
                  <c:v>140.79839186233568</c:v>
                </c:pt>
                <c:pt idx="247">
                  <c:v>140.78182244939691</c:v>
                </c:pt>
                <c:pt idx="248">
                  <c:v>140.7196155364129</c:v>
                </c:pt>
                <c:pt idx="249">
                  <c:v>140.87970373433248</c:v>
                </c:pt>
                <c:pt idx="250">
                  <c:v>140.95006323550433</c:v>
                </c:pt>
                <c:pt idx="251">
                  <c:v>141.507178377071</c:v>
                </c:pt>
                <c:pt idx="252">
                  <c:v>141.73288282355801</c:v>
                </c:pt>
                <c:pt idx="253">
                  <c:v>141.80875339161273</c:v>
                </c:pt>
                <c:pt idx="254">
                  <c:v>141.7735647176531</c:v>
                </c:pt>
                <c:pt idx="255">
                  <c:v>142.01716762870421</c:v>
                </c:pt>
                <c:pt idx="256">
                  <c:v>141.95956838485247</c:v>
                </c:pt>
                <c:pt idx="257">
                  <c:v>141.97539285786044</c:v>
                </c:pt>
                <c:pt idx="258">
                  <c:v>142.01562980830244</c:v>
                </c:pt>
                <c:pt idx="259">
                  <c:v>142.05231917826967</c:v>
                </c:pt>
                <c:pt idx="260">
                  <c:v>142.1551559415133</c:v>
                </c:pt>
                <c:pt idx="261">
                  <c:v>141.94392557176531</c:v>
                </c:pt>
                <c:pt idx="262">
                  <c:v>141.87883187117248</c:v>
                </c:pt>
                <c:pt idx="263">
                  <c:v>141.65280381680307</c:v>
                </c:pt>
                <c:pt idx="264">
                  <c:v>141.79131380638754</c:v>
                </c:pt>
                <c:pt idx="265">
                  <c:v>141.82130378345568</c:v>
                </c:pt>
                <c:pt idx="266">
                  <c:v>141.8047644614748</c:v>
                </c:pt>
                <c:pt idx="267">
                  <c:v>140.67967616088563</c:v>
                </c:pt>
                <c:pt idx="268">
                  <c:v>140.44491904121944</c:v>
                </c:pt>
                <c:pt idx="269">
                  <c:v>140.2357628813397</c:v>
                </c:pt>
                <c:pt idx="270">
                  <c:v>140.10942944809025</c:v>
                </c:pt>
                <c:pt idx="271">
                  <c:v>140.08111987980053</c:v>
                </c:pt>
                <c:pt idx="272">
                  <c:v>140.26748782539264</c:v>
                </c:pt>
                <c:pt idx="273">
                  <c:v>140.37100129464346</c:v>
                </c:pt>
                <c:pt idx="274">
                  <c:v>140.56739176415587</c:v>
                </c:pt>
                <c:pt idx="275">
                  <c:v>140.6601105270793</c:v>
                </c:pt>
                <c:pt idx="276">
                  <c:v>141.56374872425923</c:v>
                </c:pt>
                <c:pt idx="277">
                  <c:v>142.64273067157194</c:v>
                </c:pt>
                <c:pt idx="278">
                  <c:v>143.15858817079695</c:v>
                </c:pt>
                <c:pt idx="279">
                  <c:v>143.88636352195655</c:v>
                </c:pt>
                <c:pt idx="280">
                  <c:v>144.54349998023636</c:v>
                </c:pt>
                <c:pt idx="281">
                  <c:v>144.90807319525533</c:v>
                </c:pt>
                <c:pt idx="282">
                  <c:v>145.58317239239094</c:v>
                </c:pt>
                <c:pt idx="283">
                  <c:v>145.94245880143899</c:v>
                </c:pt>
                <c:pt idx="284">
                  <c:v>146.98885280928067</c:v>
                </c:pt>
                <c:pt idx="285">
                  <c:v>147.51588793953246</c:v>
                </c:pt>
                <c:pt idx="286">
                  <c:v>148.09796471718238</c:v>
                </c:pt>
                <c:pt idx="287">
                  <c:v>147.34219298799738</c:v>
                </c:pt>
                <c:pt idx="288">
                  <c:v>147.80139923302832</c:v>
                </c:pt>
                <c:pt idx="289">
                  <c:v>148.23640112731132</c:v>
                </c:pt>
                <c:pt idx="290">
                  <c:v>148.41345009967876</c:v>
                </c:pt>
                <c:pt idx="291">
                  <c:v>148.63176199583023</c:v>
                </c:pt>
                <c:pt idx="292">
                  <c:v>149.35843201027924</c:v>
                </c:pt>
                <c:pt idx="293">
                  <c:v>149.97467801068288</c:v>
                </c:pt>
                <c:pt idx="294">
                  <c:v>150.47250385664816</c:v>
                </c:pt>
                <c:pt idx="295">
                  <c:v>151.27985320292976</c:v>
                </c:pt>
                <c:pt idx="296">
                  <c:v>152.30049887486609</c:v>
                </c:pt>
                <c:pt idx="297">
                  <c:v>153.39642590996195</c:v>
                </c:pt>
                <c:pt idx="298">
                  <c:v>154.21453119472329</c:v>
                </c:pt>
                <c:pt idx="299">
                  <c:v>155.34561797403546</c:v>
                </c:pt>
                <c:pt idx="300">
                  <c:v>156.11319827683474</c:v>
                </c:pt>
                <c:pt idx="301">
                  <c:v>157.27001778414026</c:v>
                </c:pt>
                <c:pt idx="302">
                  <c:v>159.19960571382637</c:v>
                </c:pt>
                <c:pt idx="303">
                  <c:v>160.36827357063666</c:v>
                </c:pt>
                <c:pt idx="304">
                  <c:v>161.12196350795156</c:v>
                </c:pt>
                <c:pt idx="305">
                  <c:v>161.32016449622529</c:v>
                </c:pt>
                <c:pt idx="306">
                  <c:v>161.26783412343562</c:v>
                </c:pt>
                <c:pt idx="307">
                  <c:v>160.74893780502629</c:v>
                </c:pt>
                <c:pt idx="308">
                  <c:v>160.53464255888423</c:v>
                </c:pt>
                <c:pt idx="309">
                  <c:v>160.47863387674803</c:v>
                </c:pt>
                <c:pt idx="310">
                  <c:v>160.42995004327469</c:v>
                </c:pt>
                <c:pt idx="311">
                  <c:v>160.56915367539463</c:v>
                </c:pt>
                <c:pt idx="312">
                  <c:v>157.54968195786367</c:v>
                </c:pt>
                <c:pt idx="313">
                  <c:v>156.10986766704201</c:v>
                </c:pt>
                <c:pt idx="314">
                  <c:v>155.81608716859608</c:v>
                </c:pt>
                <c:pt idx="315">
                  <c:v>154.23414817578748</c:v>
                </c:pt>
                <c:pt idx="316">
                  <c:v>152.34328863815395</c:v>
                </c:pt>
                <c:pt idx="317">
                  <c:v>150.54702094062611</c:v>
                </c:pt>
                <c:pt idx="318">
                  <c:v>149.18658805531931</c:v>
                </c:pt>
                <c:pt idx="319">
                  <c:v>147.50793977264576</c:v>
                </c:pt>
                <c:pt idx="320">
                  <c:v>146.66097268024845</c:v>
                </c:pt>
                <c:pt idx="321">
                  <c:v>146.29097951176033</c:v>
                </c:pt>
                <c:pt idx="322">
                  <c:v>145.98440330199094</c:v>
                </c:pt>
                <c:pt idx="323">
                  <c:v>145.72737733546734</c:v>
                </c:pt>
                <c:pt idx="324">
                  <c:v>145.79977434004803</c:v>
                </c:pt>
                <c:pt idx="325">
                  <c:v>145.94805289209697</c:v>
                </c:pt>
                <c:pt idx="326">
                  <c:v>146.15203936328504</c:v>
                </c:pt>
                <c:pt idx="327">
                  <c:v>146.13275374996863</c:v>
                </c:pt>
                <c:pt idx="328">
                  <c:v>146.18564370355398</c:v>
                </c:pt>
                <c:pt idx="329">
                  <c:v>146.46522233968989</c:v>
                </c:pt>
                <c:pt idx="330">
                  <c:v>147.04842133544651</c:v>
                </c:pt>
                <c:pt idx="331">
                  <c:v>148.58174026715267</c:v>
                </c:pt>
                <c:pt idx="332">
                  <c:v>148.67643434319328</c:v>
                </c:pt>
                <c:pt idx="333">
                  <c:v>148.65106884066157</c:v>
                </c:pt>
                <c:pt idx="334">
                  <c:v>149.01093378567606</c:v>
                </c:pt>
                <c:pt idx="335">
                  <c:v>149.10183781643818</c:v>
                </c:pt>
                <c:pt idx="336">
                  <c:v>149.58124234170285</c:v>
                </c:pt>
                <c:pt idx="337">
                  <c:v>150.25248085120384</c:v>
                </c:pt>
                <c:pt idx="338">
                  <c:v>150.84349967521149</c:v>
                </c:pt>
                <c:pt idx="339">
                  <c:v>152.32692437043727</c:v>
                </c:pt>
                <c:pt idx="340">
                  <c:v>152.89433425078184</c:v>
                </c:pt>
                <c:pt idx="341">
                  <c:v>151.11862106538749</c:v>
                </c:pt>
                <c:pt idx="342">
                  <c:v>149.17666478095461</c:v>
                </c:pt>
                <c:pt idx="343">
                  <c:v>148.51284911769173</c:v>
                </c:pt>
                <c:pt idx="344">
                  <c:v>148.21327873275433</c:v>
                </c:pt>
                <c:pt idx="345">
                  <c:v>148.08639090458806</c:v>
                </c:pt>
                <c:pt idx="346">
                  <c:v>148.15307274379614</c:v>
                </c:pt>
                <c:pt idx="347">
                  <c:v>148.08839567388105</c:v>
                </c:pt>
                <c:pt idx="348">
                  <c:v>147.98569806116828</c:v>
                </c:pt>
                <c:pt idx="349">
                  <c:v>147.91864524758873</c:v>
                </c:pt>
                <c:pt idx="350">
                  <c:v>147.8836299853358</c:v>
                </c:pt>
                <c:pt idx="351">
                  <c:v>147.82890777301586</c:v>
                </c:pt>
                <c:pt idx="352">
                  <c:v>147.89022217541083</c:v>
                </c:pt>
                <c:pt idx="353">
                  <c:v>147.87445948401407</c:v>
                </c:pt>
                <c:pt idx="354">
                  <c:v>147.9167272423054</c:v>
                </c:pt>
                <c:pt idx="355">
                  <c:v>147.92727004794131</c:v>
                </c:pt>
                <c:pt idx="356">
                  <c:v>147.90829797941836</c:v>
                </c:pt>
                <c:pt idx="357">
                  <c:v>148.13608285632151</c:v>
                </c:pt>
                <c:pt idx="358">
                  <c:v>148.17840982887697</c:v>
                </c:pt>
                <c:pt idx="359">
                  <c:v>148.13968889145679</c:v>
                </c:pt>
                <c:pt idx="360">
                  <c:v>148.00885902304833</c:v>
                </c:pt>
                <c:pt idx="361">
                  <c:v>148.72817116604034</c:v>
                </c:pt>
                <c:pt idx="362">
                  <c:v>150.33721444521174</c:v>
                </c:pt>
                <c:pt idx="363">
                  <c:v>151.00499811851142</c:v>
                </c:pt>
                <c:pt idx="364">
                  <c:v>151.4648292032679</c:v>
                </c:pt>
                <c:pt idx="365">
                  <c:v>151.44402109217515</c:v>
                </c:pt>
                <c:pt idx="366">
                  <c:v>150.88526476505558</c:v>
                </c:pt>
                <c:pt idx="367">
                  <c:v>150.19109256926325</c:v>
                </c:pt>
                <c:pt idx="368">
                  <c:v>149.98543427059977</c:v>
                </c:pt>
                <c:pt idx="369">
                  <c:v>149.89352917389544</c:v>
                </c:pt>
                <c:pt idx="370">
                  <c:v>149.78784957167642</c:v>
                </c:pt>
                <c:pt idx="371">
                  <c:v>149.7313875733733</c:v>
                </c:pt>
                <c:pt idx="372">
                  <c:v>149.62346504899597</c:v>
                </c:pt>
                <c:pt idx="373">
                  <c:v>149.53071773792638</c:v>
                </c:pt>
                <c:pt idx="374">
                  <c:v>149.5049687256209</c:v>
                </c:pt>
                <c:pt idx="375">
                  <c:v>149.49051748634764</c:v>
                </c:pt>
                <c:pt idx="376">
                  <c:v>149.52308297823049</c:v>
                </c:pt>
                <c:pt idx="377">
                  <c:v>149.5629615277409</c:v>
                </c:pt>
                <c:pt idx="378">
                  <c:v>149.55007189691804</c:v>
                </c:pt>
                <c:pt idx="379">
                  <c:v>149.51861817680737</c:v>
                </c:pt>
                <c:pt idx="380">
                  <c:v>149.41330698662782</c:v>
                </c:pt>
                <c:pt idx="381">
                  <c:v>149.35767801490496</c:v>
                </c:pt>
                <c:pt idx="382">
                  <c:v>149.34820592418859</c:v>
                </c:pt>
                <c:pt idx="383">
                  <c:v>149.41817066712568</c:v>
                </c:pt>
                <c:pt idx="384">
                  <c:v>147.90638683048542</c:v>
                </c:pt>
                <c:pt idx="385">
                  <c:v>147.55684404438173</c:v>
                </c:pt>
                <c:pt idx="386">
                  <c:v>147.59610788419491</c:v>
                </c:pt>
                <c:pt idx="387">
                  <c:v>147.98329155038326</c:v>
                </c:pt>
                <c:pt idx="388">
                  <c:v>147.77020761375726</c:v>
                </c:pt>
                <c:pt idx="389">
                  <c:v>147.59765100618688</c:v>
                </c:pt>
                <c:pt idx="390">
                  <c:v>147.6980661003137</c:v>
                </c:pt>
                <c:pt idx="391">
                  <c:v>148.3035367056961</c:v>
                </c:pt>
                <c:pt idx="392">
                  <c:v>149.22116495872044</c:v>
                </c:pt>
                <c:pt idx="393">
                  <c:v>150.13519351828646</c:v>
                </c:pt>
                <c:pt idx="394">
                  <c:v>150.70560843550797</c:v>
                </c:pt>
                <c:pt idx="395">
                  <c:v>151.51020090058307</c:v>
                </c:pt>
                <c:pt idx="396">
                  <c:v>152.2897216617549</c:v>
                </c:pt>
                <c:pt idx="397">
                  <c:v>153.12637413269991</c:v>
                </c:pt>
                <c:pt idx="398">
                  <c:v>154.11825619213022</c:v>
                </c:pt>
                <c:pt idx="399">
                  <c:v>155.24223713132542</c:v>
                </c:pt>
                <c:pt idx="400">
                  <c:v>156.20270180896026</c:v>
                </c:pt>
                <c:pt idx="401">
                  <c:v>157.44677222835725</c:v>
                </c:pt>
                <c:pt idx="402">
                  <c:v>159.01656872179927</c:v>
                </c:pt>
                <c:pt idx="403">
                  <c:v>161.86401046843426</c:v>
                </c:pt>
                <c:pt idx="404">
                  <c:v>162.0581196966877</c:v>
                </c:pt>
                <c:pt idx="405">
                  <c:v>162.76755525789602</c:v>
                </c:pt>
                <c:pt idx="406">
                  <c:v>163.26700697892485</c:v>
                </c:pt>
                <c:pt idx="407">
                  <c:v>163.90479839113738</c:v>
                </c:pt>
                <c:pt idx="408">
                  <c:v>163.84240330086237</c:v>
                </c:pt>
                <c:pt idx="409">
                  <c:v>163.66083006202115</c:v>
                </c:pt>
                <c:pt idx="410">
                  <c:v>163.58131601207063</c:v>
                </c:pt>
                <c:pt idx="411">
                  <c:v>163.77431878123858</c:v>
                </c:pt>
                <c:pt idx="412">
                  <c:v>164.58953155551617</c:v>
                </c:pt>
                <c:pt idx="413">
                  <c:v>165.26213706076598</c:v>
                </c:pt>
                <c:pt idx="414">
                  <c:v>166.21565330157932</c:v>
                </c:pt>
                <c:pt idx="415">
                  <c:v>168.10318056497789</c:v>
                </c:pt>
                <c:pt idx="416">
                  <c:v>169.5165094296411</c:v>
                </c:pt>
                <c:pt idx="417">
                  <c:v>170.09814813318732</c:v>
                </c:pt>
                <c:pt idx="418">
                  <c:v>170.86888202953739</c:v>
                </c:pt>
                <c:pt idx="419">
                  <c:v>171.80961890977073</c:v>
                </c:pt>
                <c:pt idx="420">
                  <c:v>172.68384448874644</c:v>
                </c:pt>
                <c:pt idx="421">
                  <c:v>173.21185006550593</c:v>
                </c:pt>
                <c:pt idx="422">
                  <c:v>173.67173459058012</c:v>
                </c:pt>
                <c:pt idx="423">
                  <c:v>174.40648693414835</c:v>
                </c:pt>
                <c:pt idx="424">
                  <c:v>174.89776461360267</c:v>
                </c:pt>
                <c:pt idx="425">
                  <c:v>175.4054570368217</c:v>
                </c:pt>
                <c:pt idx="426">
                  <c:v>175.489559518314</c:v>
                </c:pt>
                <c:pt idx="427">
                  <c:v>175.52703923635758</c:v>
                </c:pt>
                <c:pt idx="428">
                  <c:v>175.48705749754694</c:v>
                </c:pt>
                <c:pt idx="429">
                  <c:v>174.82359887218067</c:v>
                </c:pt>
                <c:pt idx="430">
                  <c:v>174.73285332874872</c:v>
                </c:pt>
                <c:pt idx="431">
                  <c:v>174.31325402991843</c:v>
                </c:pt>
                <c:pt idx="432">
                  <c:v>174.29500243554261</c:v>
                </c:pt>
                <c:pt idx="433">
                  <c:v>174.31065276364052</c:v>
                </c:pt>
                <c:pt idx="434">
                  <c:v>174.33621687300214</c:v>
                </c:pt>
                <c:pt idx="435">
                  <c:v>174.39299619488796</c:v>
                </c:pt>
                <c:pt idx="436">
                  <c:v>173.99409610985199</c:v>
                </c:pt>
                <c:pt idx="437">
                  <c:v>172.84023769669724</c:v>
                </c:pt>
                <c:pt idx="438">
                  <c:v>172.01884114442711</c:v>
                </c:pt>
                <c:pt idx="439">
                  <c:v>171.46715468412756</c:v>
                </c:pt>
                <c:pt idx="440">
                  <c:v>170.66965425696796</c:v>
                </c:pt>
                <c:pt idx="441">
                  <c:v>170.26064378448118</c:v>
                </c:pt>
                <c:pt idx="442">
                  <c:v>170.06786931784305</c:v>
                </c:pt>
                <c:pt idx="443">
                  <c:v>170.13903536251365</c:v>
                </c:pt>
                <c:pt idx="444">
                  <c:v>169.9114033302838</c:v>
                </c:pt>
                <c:pt idx="445">
                  <c:v>169.96584614999267</c:v>
                </c:pt>
                <c:pt idx="446">
                  <c:v>170.2536342682773</c:v>
                </c:pt>
                <c:pt idx="447">
                  <c:v>170.85510870928206</c:v>
                </c:pt>
                <c:pt idx="448">
                  <c:v>171.4813239871992</c:v>
                </c:pt>
                <c:pt idx="449">
                  <c:v>172.84208315286082</c:v>
                </c:pt>
                <c:pt idx="450">
                  <c:v>173.94159467596427</c:v>
                </c:pt>
                <c:pt idx="451">
                  <c:v>175.80119295264615</c:v>
                </c:pt>
                <c:pt idx="452">
                  <c:v>177.50113767237633</c:v>
                </c:pt>
                <c:pt idx="453">
                  <c:v>179.48787865885939</c:v>
                </c:pt>
                <c:pt idx="454">
                  <c:v>181.63785458106264</c:v>
                </c:pt>
                <c:pt idx="455">
                  <c:v>183.6329337774807</c:v>
                </c:pt>
                <c:pt idx="456">
                  <c:v>185.41640084322495</c:v>
                </c:pt>
                <c:pt idx="457">
                  <c:v>185.77023711085184</c:v>
                </c:pt>
                <c:pt idx="458">
                  <c:v>185.90088704305066</c:v>
                </c:pt>
                <c:pt idx="459">
                  <c:v>186.49879640018216</c:v>
                </c:pt>
                <c:pt idx="460">
                  <c:v>186.53144720788546</c:v>
                </c:pt>
                <c:pt idx="461">
                  <c:v>186.12211912655451</c:v>
                </c:pt>
                <c:pt idx="462">
                  <c:v>185.78006904346236</c:v>
                </c:pt>
                <c:pt idx="463">
                  <c:v>185.2061308519292</c:v>
                </c:pt>
                <c:pt idx="464">
                  <c:v>184.82931946922696</c:v>
                </c:pt>
                <c:pt idx="465">
                  <c:v>184.42571319659993</c:v>
                </c:pt>
                <c:pt idx="466">
                  <c:v>184.30252927808007</c:v>
                </c:pt>
                <c:pt idx="467">
                  <c:v>184.14131437950243</c:v>
                </c:pt>
                <c:pt idx="468">
                  <c:v>183.95277584570323</c:v>
                </c:pt>
                <c:pt idx="469">
                  <c:v>183.7100992830745</c:v>
                </c:pt>
                <c:pt idx="470">
                  <c:v>183.45586553570084</c:v>
                </c:pt>
                <c:pt idx="471">
                  <c:v>182.67495757077612</c:v>
                </c:pt>
                <c:pt idx="472">
                  <c:v>182.00215146935648</c:v>
                </c:pt>
                <c:pt idx="473">
                  <c:v>181.0905651784602</c:v>
                </c:pt>
                <c:pt idx="474">
                  <c:v>180.36201764965071</c:v>
                </c:pt>
                <c:pt idx="475">
                  <c:v>179.88103770282436</c:v>
                </c:pt>
                <c:pt idx="476">
                  <c:v>179.37093713955917</c:v>
                </c:pt>
                <c:pt idx="477">
                  <c:v>179.50553489911036</c:v>
                </c:pt>
                <c:pt idx="478">
                  <c:v>179.90790591859707</c:v>
                </c:pt>
                <c:pt idx="479">
                  <c:v>180.28696730645368</c:v>
                </c:pt>
                <c:pt idx="480">
                  <c:v>181.02112223000466</c:v>
                </c:pt>
                <c:pt idx="481">
                  <c:v>182.42227095048619</c:v>
                </c:pt>
                <c:pt idx="482">
                  <c:v>183.96163924346317</c:v>
                </c:pt>
                <c:pt idx="483">
                  <c:v>186.02795443581638</c:v>
                </c:pt>
                <c:pt idx="484">
                  <c:v>188.15517144212407</c:v>
                </c:pt>
                <c:pt idx="485">
                  <c:v>190.79891290637715</c:v>
                </c:pt>
                <c:pt idx="486">
                  <c:v>193.2602604195169</c:v>
                </c:pt>
                <c:pt idx="487">
                  <c:v>194.54680039366283</c:v>
                </c:pt>
                <c:pt idx="488">
                  <c:v>195.62740100445063</c:v>
                </c:pt>
                <c:pt idx="489">
                  <c:v>196.57797737585213</c:v>
                </c:pt>
                <c:pt idx="490">
                  <c:v>197.25238398999295</c:v>
                </c:pt>
                <c:pt idx="491">
                  <c:v>197.96120981535566</c:v>
                </c:pt>
                <c:pt idx="492">
                  <c:v>198.65571540460331</c:v>
                </c:pt>
                <c:pt idx="493">
                  <c:v>199.07417158638569</c:v>
                </c:pt>
                <c:pt idx="494">
                  <c:v>199.40266572791489</c:v>
                </c:pt>
                <c:pt idx="495">
                  <c:v>199.67239439118157</c:v>
                </c:pt>
                <c:pt idx="496">
                  <c:v>199.65288788976568</c:v>
                </c:pt>
                <c:pt idx="497">
                  <c:v>199.69002727747122</c:v>
                </c:pt>
                <c:pt idx="498">
                  <c:v>199.6916555995289</c:v>
                </c:pt>
                <c:pt idx="499">
                  <c:v>199.71371251037934</c:v>
                </c:pt>
                <c:pt idx="500">
                  <c:v>199.82297133716506</c:v>
                </c:pt>
                <c:pt idx="501">
                  <c:v>199.93038675798417</c:v>
                </c:pt>
                <c:pt idx="502">
                  <c:v>200.0683454802946</c:v>
                </c:pt>
                <c:pt idx="503">
                  <c:v>200.36565515529992</c:v>
                </c:pt>
                <c:pt idx="504">
                  <c:v>200.85794842510316</c:v>
                </c:pt>
                <c:pt idx="505">
                  <c:v>201.72428865481339</c:v>
                </c:pt>
                <c:pt idx="506">
                  <c:v>203.13358199707332</c:v>
                </c:pt>
                <c:pt idx="507">
                  <c:v>202.80926211658189</c:v>
                </c:pt>
                <c:pt idx="508">
                  <c:v>202.82188208047029</c:v>
                </c:pt>
                <c:pt idx="509">
                  <c:v>202.50702212402817</c:v>
                </c:pt>
                <c:pt idx="510">
                  <c:v>201.41359317474439</c:v>
                </c:pt>
                <c:pt idx="511">
                  <c:v>200.14676884370471</c:v>
                </c:pt>
                <c:pt idx="512">
                  <c:v>199.4335846690806</c:v>
                </c:pt>
                <c:pt idx="513">
                  <c:v>199.07468751677501</c:v>
                </c:pt>
                <c:pt idx="514">
                  <c:v>199.08996017122513</c:v>
                </c:pt>
                <c:pt idx="515">
                  <c:v>199.10126941582942</c:v>
                </c:pt>
                <c:pt idx="516">
                  <c:v>199.29805908866174</c:v>
                </c:pt>
                <c:pt idx="517">
                  <c:v>199.28305835163576</c:v>
                </c:pt>
                <c:pt idx="518">
                  <c:v>199.14827718658603</c:v>
                </c:pt>
                <c:pt idx="519">
                  <c:v>198.87689772692249</c:v>
                </c:pt>
                <c:pt idx="520">
                  <c:v>199.12359615124365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63-4907-A16F-9D06FD9DF8D4}"/>
            </c:ext>
          </c:extLst>
        </c:ser>
        <c:ser>
          <c:idx val="3"/>
          <c:order val="3"/>
          <c:tx>
            <c:strRef>
              <c:f>JNJ!$K$1</c:f>
              <c:strCache>
                <c:ptCount val="1"/>
                <c:pt idx="0">
                  <c:v>Upper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JNJ!$B$2:$B$522</c:f>
              <c:numCache>
                <c:formatCode>m/d/yyyy</c:formatCode>
                <c:ptCount val="521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</c:numCache>
            </c:numRef>
          </c:cat>
          <c:val>
            <c:numRef>
              <c:f>JNJ!$K$2:$K$522</c:f>
              <c:numCache>
                <c:formatCode>General</c:formatCode>
                <c:ptCount val="521"/>
                <c:pt idx="19">
                  <c:v>162.89201194008899</c:v>
                </c:pt>
                <c:pt idx="20">
                  <c:v>162.95883295270718</c:v>
                </c:pt>
                <c:pt idx="21">
                  <c:v>163.02981192382134</c:v>
                </c:pt>
                <c:pt idx="22">
                  <c:v>163.36374286204534</c:v>
                </c:pt>
                <c:pt idx="23">
                  <c:v>163.66373250899028</c:v>
                </c:pt>
                <c:pt idx="24">
                  <c:v>163.51898269770439</c:v>
                </c:pt>
                <c:pt idx="25">
                  <c:v>163.32719829839826</c:v>
                </c:pt>
                <c:pt idx="26">
                  <c:v>163.17685147747659</c:v>
                </c:pt>
                <c:pt idx="27">
                  <c:v>163.03747492460406</c:v>
                </c:pt>
                <c:pt idx="28">
                  <c:v>162.53928946751097</c:v>
                </c:pt>
                <c:pt idx="29">
                  <c:v>162.41973367283541</c:v>
                </c:pt>
                <c:pt idx="30">
                  <c:v>162.32887400241586</c:v>
                </c:pt>
                <c:pt idx="31">
                  <c:v>161.95255034059656</c:v>
                </c:pt>
                <c:pt idx="32">
                  <c:v>161.41701396898205</c:v>
                </c:pt>
                <c:pt idx="33">
                  <c:v>160.47070577087268</c:v>
                </c:pt>
                <c:pt idx="34">
                  <c:v>160.28212598596235</c:v>
                </c:pt>
                <c:pt idx="35">
                  <c:v>160.5822526217211</c:v>
                </c:pt>
                <c:pt idx="36">
                  <c:v>161.14910752935353</c:v>
                </c:pt>
                <c:pt idx="37">
                  <c:v>161.39102271391849</c:v>
                </c:pt>
                <c:pt idx="38">
                  <c:v>161.67766597371099</c:v>
                </c:pt>
                <c:pt idx="39">
                  <c:v>162.12594944853049</c:v>
                </c:pt>
                <c:pt idx="40">
                  <c:v>162.48692093431342</c:v>
                </c:pt>
                <c:pt idx="41">
                  <c:v>162.99999692867991</c:v>
                </c:pt>
                <c:pt idx="42">
                  <c:v>163.09230661873761</c:v>
                </c:pt>
                <c:pt idx="43">
                  <c:v>163.09995751349447</c:v>
                </c:pt>
                <c:pt idx="44">
                  <c:v>163.14494213390873</c:v>
                </c:pt>
                <c:pt idx="45">
                  <c:v>163.16112440177685</c:v>
                </c:pt>
                <c:pt idx="46">
                  <c:v>163.12215826958536</c:v>
                </c:pt>
                <c:pt idx="47">
                  <c:v>163.26251120919923</c:v>
                </c:pt>
                <c:pt idx="48">
                  <c:v>163.69794085144341</c:v>
                </c:pt>
                <c:pt idx="49">
                  <c:v>163.67233153725755</c:v>
                </c:pt>
                <c:pt idx="50">
                  <c:v>163.31408007524314</c:v>
                </c:pt>
                <c:pt idx="51">
                  <c:v>163.2919490882162</c:v>
                </c:pt>
                <c:pt idx="52">
                  <c:v>163.2540030002589</c:v>
                </c:pt>
                <c:pt idx="53">
                  <c:v>163.4925323394362</c:v>
                </c:pt>
                <c:pt idx="54">
                  <c:v>163.80463324979078</c:v>
                </c:pt>
                <c:pt idx="55">
                  <c:v>163.97237325335706</c:v>
                </c:pt>
                <c:pt idx="56">
                  <c:v>163.94009216138349</c:v>
                </c:pt>
                <c:pt idx="57">
                  <c:v>163.95288735854353</c:v>
                </c:pt>
                <c:pt idx="58">
                  <c:v>163.8122927425182</c:v>
                </c:pt>
                <c:pt idx="59">
                  <c:v>163.47117028934397</c:v>
                </c:pt>
                <c:pt idx="60">
                  <c:v>163.13490710768363</c:v>
                </c:pt>
                <c:pt idx="61">
                  <c:v>162.59273244290566</c:v>
                </c:pt>
                <c:pt idx="62">
                  <c:v>162.42503979487222</c:v>
                </c:pt>
                <c:pt idx="63">
                  <c:v>162.37582787650118</c:v>
                </c:pt>
                <c:pt idx="64">
                  <c:v>162.55891094649127</c:v>
                </c:pt>
                <c:pt idx="65">
                  <c:v>162.67575526345439</c:v>
                </c:pt>
                <c:pt idx="66">
                  <c:v>162.69486474588126</c:v>
                </c:pt>
                <c:pt idx="67">
                  <c:v>162.18213178435548</c:v>
                </c:pt>
                <c:pt idx="68">
                  <c:v>161.34727415228912</c:v>
                </c:pt>
                <c:pt idx="69">
                  <c:v>160.93533189068191</c:v>
                </c:pt>
                <c:pt idx="70">
                  <c:v>160.92507516820893</c:v>
                </c:pt>
                <c:pt idx="71">
                  <c:v>160.84972623551209</c:v>
                </c:pt>
                <c:pt idx="72">
                  <c:v>161.30495931739421</c:v>
                </c:pt>
                <c:pt idx="73">
                  <c:v>161.48068579093922</c:v>
                </c:pt>
                <c:pt idx="74">
                  <c:v>161.40287019241049</c:v>
                </c:pt>
                <c:pt idx="75">
                  <c:v>161.05781993436545</c:v>
                </c:pt>
                <c:pt idx="76">
                  <c:v>160.69123128473564</c:v>
                </c:pt>
                <c:pt idx="77">
                  <c:v>160.28394078598103</c:v>
                </c:pt>
                <c:pt idx="78">
                  <c:v>159.74612706002557</c:v>
                </c:pt>
                <c:pt idx="79">
                  <c:v>158.71687125602202</c:v>
                </c:pt>
                <c:pt idx="80">
                  <c:v>157.45492501112582</c:v>
                </c:pt>
                <c:pt idx="81">
                  <c:v>156.01596863833765</c:v>
                </c:pt>
                <c:pt idx="82">
                  <c:v>154.36741274489503</c:v>
                </c:pt>
                <c:pt idx="83">
                  <c:v>153.71986941342874</c:v>
                </c:pt>
                <c:pt idx="84">
                  <c:v>153.29001494422656</c:v>
                </c:pt>
                <c:pt idx="85">
                  <c:v>152.77776261846844</c:v>
                </c:pt>
                <c:pt idx="86">
                  <c:v>152.34248070896615</c:v>
                </c:pt>
                <c:pt idx="87">
                  <c:v>151.68825296135236</c:v>
                </c:pt>
                <c:pt idx="88">
                  <c:v>151.50192804716738</c:v>
                </c:pt>
                <c:pt idx="89">
                  <c:v>151.64568782059354</c:v>
                </c:pt>
                <c:pt idx="90">
                  <c:v>151.87535482794129</c:v>
                </c:pt>
                <c:pt idx="91">
                  <c:v>152.31752013480857</c:v>
                </c:pt>
                <c:pt idx="92">
                  <c:v>152.53724708286154</c:v>
                </c:pt>
                <c:pt idx="93">
                  <c:v>152.96203939042019</c:v>
                </c:pt>
                <c:pt idx="94">
                  <c:v>153.78577993868328</c:v>
                </c:pt>
                <c:pt idx="95">
                  <c:v>154.66567889009579</c:v>
                </c:pt>
                <c:pt idx="96">
                  <c:v>154.82071815660996</c:v>
                </c:pt>
                <c:pt idx="97">
                  <c:v>154.9490675519331</c:v>
                </c:pt>
                <c:pt idx="98">
                  <c:v>155.41479227039011</c:v>
                </c:pt>
                <c:pt idx="99">
                  <c:v>155.34445428805037</c:v>
                </c:pt>
                <c:pt idx="100">
                  <c:v>155.2604074097051</c:v>
                </c:pt>
                <c:pt idx="101">
                  <c:v>155.58566470975259</c:v>
                </c:pt>
                <c:pt idx="102">
                  <c:v>155.61032743701421</c:v>
                </c:pt>
                <c:pt idx="103">
                  <c:v>155.69177254081214</c:v>
                </c:pt>
                <c:pt idx="104">
                  <c:v>155.69354634890098</c:v>
                </c:pt>
                <c:pt idx="105">
                  <c:v>155.67549868981317</c:v>
                </c:pt>
                <c:pt idx="106">
                  <c:v>155.67296470332383</c:v>
                </c:pt>
                <c:pt idx="107">
                  <c:v>155.73183635344765</c:v>
                </c:pt>
                <c:pt idx="108">
                  <c:v>155.74206467767382</c:v>
                </c:pt>
                <c:pt idx="109">
                  <c:v>155.66917517206036</c:v>
                </c:pt>
                <c:pt idx="110">
                  <c:v>155.57818060555573</c:v>
                </c:pt>
                <c:pt idx="111">
                  <c:v>155.33912999222875</c:v>
                </c:pt>
                <c:pt idx="112">
                  <c:v>155.08289472506527</c:v>
                </c:pt>
                <c:pt idx="113">
                  <c:v>154.54183428567788</c:v>
                </c:pt>
                <c:pt idx="114">
                  <c:v>153.49809909141302</c:v>
                </c:pt>
                <c:pt idx="115">
                  <c:v>152.09000718195577</c:v>
                </c:pt>
                <c:pt idx="116">
                  <c:v>151.46397677669361</c:v>
                </c:pt>
                <c:pt idx="117">
                  <c:v>150.84181091201719</c:v>
                </c:pt>
                <c:pt idx="118">
                  <c:v>149.29389729187582</c:v>
                </c:pt>
                <c:pt idx="119">
                  <c:v>149.13387296634943</c:v>
                </c:pt>
                <c:pt idx="120">
                  <c:v>149.15475624864766</c:v>
                </c:pt>
                <c:pt idx="121">
                  <c:v>149.07638646784579</c:v>
                </c:pt>
                <c:pt idx="122">
                  <c:v>148.95275842565363</c:v>
                </c:pt>
                <c:pt idx="123">
                  <c:v>148.91085183938895</c:v>
                </c:pt>
                <c:pt idx="124">
                  <c:v>148.90382051786861</c:v>
                </c:pt>
                <c:pt idx="125">
                  <c:v>148.78809217755037</c:v>
                </c:pt>
                <c:pt idx="126">
                  <c:v>148.65413689536351</c:v>
                </c:pt>
                <c:pt idx="127">
                  <c:v>148.66191160706077</c:v>
                </c:pt>
                <c:pt idx="128">
                  <c:v>148.67208335223617</c:v>
                </c:pt>
                <c:pt idx="129">
                  <c:v>148.66901534568629</c:v>
                </c:pt>
                <c:pt idx="130">
                  <c:v>149.13766821285688</c:v>
                </c:pt>
                <c:pt idx="131">
                  <c:v>149.63494272388044</c:v>
                </c:pt>
                <c:pt idx="132">
                  <c:v>150.09312618005782</c:v>
                </c:pt>
                <c:pt idx="133">
                  <c:v>150.3419548856933</c:v>
                </c:pt>
                <c:pt idx="134">
                  <c:v>150.94018937145512</c:v>
                </c:pt>
                <c:pt idx="135">
                  <c:v>153.276684526081</c:v>
                </c:pt>
                <c:pt idx="136">
                  <c:v>154.59033039738858</c:v>
                </c:pt>
                <c:pt idx="137">
                  <c:v>155.51952188113975</c:v>
                </c:pt>
                <c:pt idx="138">
                  <c:v>156.2155028530718</c:v>
                </c:pt>
                <c:pt idx="139">
                  <c:v>156.52236096597048</c:v>
                </c:pt>
                <c:pt idx="140">
                  <c:v>157.54266427300198</c:v>
                </c:pt>
                <c:pt idx="141">
                  <c:v>159.2124895398176</c:v>
                </c:pt>
                <c:pt idx="142">
                  <c:v>160.78856677332894</c:v>
                </c:pt>
                <c:pt idx="143">
                  <c:v>161.65613198350911</c:v>
                </c:pt>
                <c:pt idx="144">
                  <c:v>162.94567172675983</c:v>
                </c:pt>
                <c:pt idx="145">
                  <c:v>163.33452016814979</c:v>
                </c:pt>
                <c:pt idx="146">
                  <c:v>164.01702252010622</c:v>
                </c:pt>
                <c:pt idx="147">
                  <c:v>165.27207900128207</c:v>
                </c:pt>
                <c:pt idx="148">
                  <c:v>165.49758555194819</c:v>
                </c:pt>
                <c:pt idx="149">
                  <c:v>165.36670365091149</c:v>
                </c:pt>
                <c:pt idx="150">
                  <c:v>165.36111175120047</c:v>
                </c:pt>
                <c:pt idx="151">
                  <c:v>165.40136815380569</c:v>
                </c:pt>
                <c:pt idx="152">
                  <c:v>165.34069566186497</c:v>
                </c:pt>
                <c:pt idx="153">
                  <c:v>164.83133394984054</c:v>
                </c:pt>
                <c:pt idx="154">
                  <c:v>164.2865876774471</c:v>
                </c:pt>
                <c:pt idx="155">
                  <c:v>164.30787698886411</c:v>
                </c:pt>
                <c:pt idx="156">
                  <c:v>164.28805901550786</c:v>
                </c:pt>
                <c:pt idx="157">
                  <c:v>164.16975611193254</c:v>
                </c:pt>
                <c:pt idx="158">
                  <c:v>163.91400478299462</c:v>
                </c:pt>
                <c:pt idx="159">
                  <c:v>162.93429411143592</c:v>
                </c:pt>
                <c:pt idx="160">
                  <c:v>162.84252265564606</c:v>
                </c:pt>
                <c:pt idx="161">
                  <c:v>163.16268172660585</c:v>
                </c:pt>
                <c:pt idx="162">
                  <c:v>163.82535467069084</c:v>
                </c:pt>
                <c:pt idx="163">
                  <c:v>164.52137385073351</c:v>
                </c:pt>
                <c:pt idx="164">
                  <c:v>164.73178740009581</c:v>
                </c:pt>
                <c:pt idx="165">
                  <c:v>165.05821173717106</c:v>
                </c:pt>
                <c:pt idx="166">
                  <c:v>165.48182680897639</c:v>
                </c:pt>
                <c:pt idx="167">
                  <c:v>165.87531170607974</c:v>
                </c:pt>
                <c:pt idx="168">
                  <c:v>166.87544050545156</c:v>
                </c:pt>
                <c:pt idx="169">
                  <c:v>167.74939570155055</c:v>
                </c:pt>
                <c:pt idx="170">
                  <c:v>168.02176192701566</c:v>
                </c:pt>
                <c:pt idx="171">
                  <c:v>168.22271101485384</c:v>
                </c:pt>
                <c:pt idx="172">
                  <c:v>168.73980185947664</c:v>
                </c:pt>
                <c:pt idx="173">
                  <c:v>169.29464897065085</c:v>
                </c:pt>
                <c:pt idx="174">
                  <c:v>169.23564146893722</c:v>
                </c:pt>
                <c:pt idx="175">
                  <c:v>169.06691435844286</c:v>
                </c:pt>
                <c:pt idx="176">
                  <c:v>168.96089573233553</c:v>
                </c:pt>
                <c:pt idx="177">
                  <c:v>168.9747394609326</c:v>
                </c:pt>
                <c:pt idx="178">
                  <c:v>168.87418911023568</c:v>
                </c:pt>
                <c:pt idx="179">
                  <c:v>168.55889606390292</c:v>
                </c:pt>
                <c:pt idx="180">
                  <c:v>168.26267095452727</c:v>
                </c:pt>
                <c:pt idx="181">
                  <c:v>168.07161996751265</c:v>
                </c:pt>
                <c:pt idx="182">
                  <c:v>168.14413151951004</c:v>
                </c:pt>
                <c:pt idx="183">
                  <c:v>168.26475717479278</c:v>
                </c:pt>
                <c:pt idx="184">
                  <c:v>168.66379743490279</c:v>
                </c:pt>
                <c:pt idx="185">
                  <c:v>168.88449880567831</c:v>
                </c:pt>
                <c:pt idx="186">
                  <c:v>169.05617117157885</c:v>
                </c:pt>
                <c:pt idx="187">
                  <c:v>169.0180307147744</c:v>
                </c:pt>
                <c:pt idx="188">
                  <c:v>168.7521940802938</c:v>
                </c:pt>
                <c:pt idx="189">
                  <c:v>168.44171713397532</c:v>
                </c:pt>
                <c:pt idx="190">
                  <c:v>168.48168013288642</c:v>
                </c:pt>
                <c:pt idx="191">
                  <c:v>168.54023513688057</c:v>
                </c:pt>
                <c:pt idx="192">
                  <c:v>168.31661096126331</c:v>
                </c:pt>
                <c:pt idx="193">
                  <c:v>167.7995908590164</c:v>
                </c:pt>
                <c:pt idx="194">
                  <c:v>167.60916574673635</c:v>
                </c:pt>
                <c:pt idx="195">
                  <c:v>167.41205874914212</c:v>
                </c:pt>
                <c:pt idx="196">
                  <c:v>167.01875687026623</c:v>
                </c:pt>
                <c:pt idx="197">
                  <c:v>166.2088743318179</c:v>
                </c:pt>
                <c:pt idx="198">
                  <c:v>165.47682382494156</c:v>
                </c:pt>
                <c:pt idx="199">
                  <c:v>164.99189615762279</c:v>
                </c:pt>
                <c:pt idx="200">
                  <c:v>164.90784656347029</c:v>
                </c:pt>
                <c:pt idx="201">
                  <c:v>165.13392870449303</c:v>
                </c:pt>
                <c:pt idx="202">
                  <c:v>165.08452021757586</c:v>
                </c:pt>
                <c:pt idx="203">
                  <c:v>165.17276508252348</c:v>
                </c:pt>
                <c:pt idx="204">
                  <c:v>165.82775818366778</c:v>
                </c:pt>
                <c:pt idx="205">
                  <c:v>165.98746802295676</c:v>
                </c:pt>
                <c:pt idx="206">
                  <c:v>165.99277217483979</c:v>
                </c:pt>
                <c:pt idx="207">
                  <c:v>165.97906839513621</c:v>
                </c:pt>
                <c:pt idx="208">
                  <c:v>165.99773421024204</c:v>
                </c:pt>
                <c:pt idx="209">
                  <c:v>166.00525574776907</c:v>
                </c:pt>
                <c:pt idx="210">
                  <c:v>166.03638421279274</c:v>
                </c:pt>
                <c:pt idx="211">
                  <c:v>166.043593098222</c:v>
                </c:pt>
                <c:pt idx="212">
                  <c:v>166.18327823612702</c:v>
                </c:pt>
                <c:pt idx="213">
                  <c:v>166.30562308082196</c:v>
                </c:pt>
                <c:pt idx="214">
                  <c:v>166.49227056493135</c:v>
                </c:pt>
                <c:pt idx="215">
                  <c:v>166.78776646889582</c:v>
                </c:pt>
                <c:pt idx="216">
                  <c:v>167.15623589992711</c:v>
                </c:pt>
                <c:pt idx="217">
                  <c:v>167.44638411515697</c:v>
                </c:pt>
                <c:pt idx="218">
                  <c:v>167.66813821780391</c:v>
                </c:pt>
                <c:pt idx="219">
                  <c:v>167.52573241854176</c:v>
                </c:pt>
                <c:pt idx="220">
                  <c:v>167.3377951470674</c:v>
                </c:pt>
                <c:pt idx="221">
                  <c:v>166.59019097213545</c:v>
                </c:pt>
                <c:pt idx="222">
                  <c:v>166.10596165899938</c:v>
                </c:pt>
                <c:pt idx="223">
                  <c:v>165.50855889702106</c:v>
                </c:pt>
                <c:pt idx="224">
                  <c:v>164.10993319691576</c:v>
                </c:pt>
                <c:pt idx="225">
                  <c:v>163.00058653069931</c:v>
                </c:pt>
                <c:pt idx="226">
                  <c:v>162.42105569048996</c:v>
                </c:pt>
                <c:pt idx="227">
                  <c:v>161.60769544365772</c:v>
                </c:pt>
                <c:pt idx="228">
                  <c:v>161.03078303160896</c:v>
                </c:pt>
                <c:pt idx="229">
                  <c:v>160.25469445933462</c:v>
                </c:pt>
                <c:pt idx="230">
                  <c:v>159.55253644659479</c:v>
                </c:pt>
                <c:pt idx="231">
                  <c:v>158.62784981714441</c:v>
                </c:pt>
                <c:pt idx="232">
                  <c:v>158.18613009842454</c:v>
                </c:pt>
                <c:pt idx="233">
                  <c:v>157.85165217102482</c:v>
                </c:pt>
                <c:pt idx="234">
                  <c:v>157.64234221679675</c:v>
                </c:pt>
                <c:pt idx="235">
                  <c:v>157.55999488905181</c:v>
                </c:pt>
                <c:pt idx="236">
                  <c:v>157.52534271866136</c:v>
                </c:pt>
                <c:pt idx="237">
                  <c:v>157.50563060772285</c:v>
                </c:pt>
                <c:pt idx="238">
                  <c:v>158.01648380800768</c:v>
                </c:pt>
                <c:pt idx="239">
                  <c:v>158.37665341348901</c:v>
                </c:pt>
                <c:pt idx="240">
                  <c:v>158.62819968260334</c:v>
                </c:pt>
                <c:pt idx="241">
                  <c:v>158.99626340400002</c:v>
                </c:pt>
                <c:pt idx="242">
                  <c:v>158.75243417228089</c:v>
                </c:pt>
                <c:pt idx="243">
                  <c:v>158.79246606761086</c:v>
                </c:pt>
                <c:pt idx="244">
                  <c:v>158.8290102340822</c:v>
                </c:pt>
                <c:pt idx="245">
                  <c:v>158.27135882543394</c:v>
                </c:pt>
                <c:pt idx="246">
                  <c:v>157.58460813766425</c:v>
                </c:pt>
                <c:pt idx="247">
                  <c:v>156.60817755060307</c:v>
                </c:pt>
                <c:pt idx="248">
                  <c:v>155.77638446358702</c:v>
                </c:pt>
                <c:pt idx="249">
                  <c:v>154.58129626566753</c:v>
                </c:pt>
                <c:pt idx="250">
                  <c:v>153.34393676449565</c:v>
                </c:pt>
                <c:pt idx="251">
                  <c:v>151.76882162292901</c:v>
                </c:pt>
                <c:pt idx="252">
                  <c:v>150.70911717644199</c:v>
                </c:pt>
                <c:pt idx="253">
                  <c:v>150.0052466083873</c:v>
                </c:pt>
                <c:pt idx="254">
                  <c:v>149.45443528234685</c:v>
                </c:pt>
                <c:pt idx="255">
                  <c:v>148.90283237129574</c:v>
                </c:pt>
                <c:pt idx="256">
                  <c:v>148.22743161514748</c:v>
                </c:pt>
                <c:pt idx="257">
                  <c:v>147.49460714213947</c:v>
                </c:pt>
                <c:pt idx="258">
                  <c:v>147.23737019169749</c:v>
                </c:pt>
                <c:pt idx="259">
                  <c:v>147.05168082173026</c:v>
                </c:pt>
                <c:pt idx="260">
                  <c:v>146.78384405848666</c:v>
                </c:pt>
                <c:pt idx="261">
                  <c:v>147.38707442823471</c:v>
                </c:pt>
                <c:pt idx="262">
                  <c:v>147.51416812882755</c:v>
                </c:pt>
                <c:pt idx="263">
                  <c:v>148.08019618319699</c:v>
                </c:pt>
                <c:pt idx="264">
                  <c:v>148.11068619361245</c:v>
                </c:pt>
                <c:pt idx="265">
                  <c:v>148.29769621654435</c:v>
                </c:pt>
                <c:pt idx="266">
                  <c:v>148.46923553852525</c:v>
                </c:pt>
                <c:pt idx="267">
                  <c:v>150.29832383911432</c:v>
                </c:pt>
                <c:pt idx="268">
                  <c:v>151.01308095878053</c:v>
                </c:pt>
                <c:pt idx="269">
                  <c:v>151.83223711866034</c:v>
                </c:pt>
                <c:pt idx="270">
                  <c:v>152.91157055190976</c:v>
                </c:pt>
                <c:pt idx="271">
                  <c:v>153.69288012019948</c:v>
                </c:pt>
                <c:pt idx="272">
                  <c:v>154.29151217460739</c:v>
                </c:pt>
                <c:pt idx="273">
                  <c:v>155.11799870535657</c:v>
                </c:pt>
                <c:pt idx="274">
                  <c:v>156.02460823584417</c:v>
                </c:pt>
                <c:pt idx="275">
                  <c:v>156.6598894729207</c:v>
                </c:pt>
                <c:pt idx="276">
                  <c:v>156.8412512757408</c:v>
                </c:pt>
                <c:pt idx="277">
                  <c:v>156.98026932842799</c:v>
                </c:pt>
                <c:pt idx="278">
                  <c:v>157.63041182920298</c:v>
                </c:pt>
                <c:pt idx="279">
                  <c:v>157.95363647804342</c:v>
                </c:pt>
                <c:pt idx="280">
                  <c:v>158.52450001976368</c:v>
                </c:pt>
                <c:pt idx="281">
                  <c:v>158.99792680474474</c:v>
                </c:pt>
                <c:pt idx="282">
                  <c:v>159.11882760760912</c:v>
                </c:pt>
                <c:pt idx="283">
                  <c:v>159.73354119856106</c:v>
                </c:pt>
                <c:pt idx="284">
                  <c:v>160.12814719071935</c:v>
                </c:pt>
                <c:pt idx="285">
                  <c:v>161.16711206046753</c:v>
                </c:pt>
                <c:pt idx="286">
                  <c:v>162.27703528281762</c:v>
                </c:pt>
                <c:pt idx="287">
                  <c:v>164.35280701200261</c:v>
                </c:pt>
                <c:pt idx="288">
                  <c:v>165.16360076697165</c:v>
                </c:pt>
                <c:pt idx="289">
                  <c:v>165.98659887268869</c:v>
                </c:pt>
                <c:pt idx="290">
                  <c:v>167.02454990032123</c:v>
                </c:pt>
                <c:pt idx="291">
                  <c:v>168.31923800416985</c:v>
                </c:pt>
                <c:pt idx="292">
                  <c:v>168.94756798972085</c:v>
                </c:pt>
                <c:pt idx="293">
                  <c:v>169.49432198931711</c:v>
                </c:pt>
                <c:pt idx="294">
                  <c:v>170.11049614335181</c:v>
                </c:pt>
                <c:pt idx="295">
                  <c:v>170.6211467970702</c:v>
                </c:pt>
                <c:pt idx="296">
                  <c:v>171.05850112513389</c:v>
                </c:pt>
                <c:pt idx="297">
                  <c:v>171.12457409003807</c:v>
                </c:pt>
                <c:pt idx="298">
                  <c:v>170.97846880527669</c:v>
                </c:pt>
                <c:pt idx="299">
                  <c:v>170.62038202596455</c:v>
                </c:pt>
                <c:pt idx="300">
                  <c:v>170.40880172316525</c:v>
                </c:pt>
                <c:pt idx="301">
                  <c:v>169.92098221585977</c:v>
                </c:pt>
                <c:pt idx="302">
                  <c:v>168.91739428617359</c:v>
                </c:pt>
                <c:pt idx="303">
                  <c:v>168.25872642936341</c:v>
                </c:pt>
                <c:pt idx="304">
                  <c:v>167.83903649204845</c:v>
                </c:pt>
                <c:pt idx="305">
                  <c:v>167.77383550377471</c:v>
                </c:pt>
                <c:pt idx="306">
                  <c:v>167.78116587656442</c:v>
                </c:pt>
                <c:pt idx="307">
                  <c:v>167.79306219497374</c:v>
                </c:pt>
                <c:pt idx="308">
                  <c:v>167.87135744111578</c:v>
                </c:pt>
                <c:pt idx="309">
                  <c:v>167.86736612325191</c:v>
                </c:pt>
                <c:pt idx="310">
                  <c:v>167.78504995672535</c:v>
                </c:pt>
                <c:pt idx="311">
                  <c:v>167.5018463246054</c:v>
                </c:pt>
                <c:pt idx="312">
                  <c:v>169.30431804213632</c:v>
                </c:pt>
                <c:pt idx="313">
                  <c:v>169.76813233295803</c:v>
                </c:pt>
                <c:pt idx="314">
                  <c:v>169.46091283140396</c:v>
                </c:pt>
                <c:pt idx="315">
                  <c:v>169.69785182421259</c:v>
                </c:pt>
                <c:pt idx="316">
                  <c:v>169.8807113618461</c:v>
                </c:pt>
                <c:pt idx="317">
                  <c:v>170.09097905937392</c:v>
                </c:pt>
                <c:pt idx="318">
                  <c:v>170.26341194468074</c:v>
                </c:pt>
                <c:pt idx="319">
                  <c:v>170.51206022735423</c:v>
                </c:pt>
                <c:pt idx="320">
                  <c:v>170.25102731975147</c:v>
                </c:pt>
                <c:pt idx="321">
                  <c:v>169.77302048823964</c:v>
                </c:pt>
                <c:pt idx="322">
                  <c:v>169.01659669800904</c:v>
                </c:pt>
                <c:pt idx="323">
                  <c:v>168.36562266453262</c:v>
                </c:pt>
                <c:pt idx="324">
                  <c:v>167.73822565995187</c:v>
                </c:pt>
                <c:pt idx="325">
                  <c:v>166.91894710790299</c:v>
                </c:pt>
                <c:pt idx="326">
                  <c:v>166.16096063671495</c:v>
                </c:pt>
                <c:pt idx="327">
                  <c:v>165.61624625003134</c:v>
                </c:pt>
                <c:pt idx="328">
                  <c:v>164.88435629644601</c:v>
                </c:pt>
                <c:pt idx="329">
                  <c:v>163.74977766031009</c:v>
                </c:pt>
                <c:pt idx="330">
                  <c:v>162.33057866455351</c:v>
                </c:pt>
                <c:pt idx="331">
                  <c:v>159.8042597328473</c:v>
                </c:pt>
                <c:pt idx="332">
                  <c:v>160.01556565680667</c:v>
                </c:pt>
                <c:pt idx="333">
                  <c:v>159.95093115933841</c:v>
                </c:pt>
                <c:pt idx="334">
                  <c:v>159.22106621432391</c:v>
                </c:pt>
                <c:pt idx="335">
                  <c:v>159.30616218356184</c:v>
                </c:pt>
                <c:pt idx="336">
                  <c:v>159.21175765829716</c:v>
                </c:pt>
                <c:pt idx="337">
                  <c:v>159.27051914879618</c:v>
                </c:pt>
                <c:pt idx="338">
                  <c:v>159.14850032478847</c:v>
                </c:pt>
                <c:pt idx="339">
                  <c:v>158.21807562956269</c:v>
                </c:pt>
                <c:pt idx="340">
                  <c:v>157.89166574921811</c:v>
                </c:pt>
                <c:pt idx="341">
                  <c:v>159.07537893461247</c:v>
                </c:pt>
                <c:pt idx="342">
                  <c:v>160.29133521904535</c:v>
                </c:pt>
                <c:pt idx="343">
                  <c:v>160.52515088230828</c:v>
                </c:pt>
                <c:pt idx="344">
                  <c:v>160.21072126724565</c:v>
                </c:pt>
                <c:pt idx="345">
                  <c:v>159.89460909541199</c:v>
                </c:pt>
                <c:pt idx="346">
                  <c:v>159.41892725620386</c:v>
                </c:pt>
                <c:pt idx="347">
                  <c:v>159.26360432611892</c:v>
                </c:pt>
                <c:pt idx="348">
                  <c:v>159.13430193883173</c:v>
                </c:pt>
                <c:pt idx="349">
                  <c:v>159.03735475241129</c:v>
                </c:pt>
                <c:pt idx="350">
                  <c:v>158.86237001466424</c:v>
                </c:pt>
                <c:pt idx="351">
                  <c:v>158.56909222698417</c:v>
                </c:pt>
                <c:pt idx="352">
                  <c:v>158.23477782458917</c:v>
                </c:pt>
                <c:pt idx="353">
                  <c:v>158.32554051598592</c:v>
                </c:pt>
                <c:pt idx="354">
                  <c:v>158.21127275769464</c:v>
                </c:pt>
                <c:pt idx="355">
                  <c:v>158.14272995205874</c:v>
                </c:pt>
                <c:pt idx="356">
                  <c:v>158.03670202058163</c:v>
                </c:pt>
                <c:pt idx="357">
                  <c:v>157.44491714367851</c:v>
                </c:pt>
                <c:pt idx="358">
                  <c:v>157.33959017112312</c:v>
                </c:pt>
                <c:pt idx="359">
                  <c:v>157.47931110854324</c:v>
                </c:pt>
                <c:pt idx="360">
                  <c:v>157.84114097695164</c:v>
                </c:pt>
                <c:pt idx="361">
                  <c:v>157.80382883395964</c:v>
                </c:pt>
                <c:pt idx="362">
                  <c:v>157.22478555478827</c:v>
                </c:pt>
                <c:pt idx="363">
                  <c:v>157.30600188148861</c:v>
                </c:pt>
                <c:pt idx="364">
                  <c:v>157.23517079673209</c:v>
                </c:pt>
                <c:pt idx="365">
                  <c:v>157.24497890782482</c:v>
                </c:pt>
                <c:pt idx="366">
                  <c:v>157.51073523494438</c:v>
                </c:pt>
                <c:pt idx="367">
                  <c:v>157.86590743073677</c:v>
                </c:pt>
                <c:pt idx="368">
                  <c:v>157.94256572940023</c:v>
                </c:pt>
                <c:pt idx="369">
                  <c:v>157.95947082610456</c:v>
                </c:pt>
                <c:pt idx="370">
                  <c:v>157.96815042832361</c:v>
                </c:pt>
                <c:pt idx="371">
                  <c:v>157.98261242662676</c:v>
                </c:pt>
                <c:pt idx="372">
                  <c:v>157.97353495100407</c:v>
                </c:pt>
                <c:pt idx="373">
                  <c:v>157.82028226207362</c:v>
                </c:pt>
                <c:pt idx="374">
                  <c:v>157.89803127437918</c:v>
                </c:pt>
                <c:pt idx="375">
                  <c:v>158.0264825136523</c:v>
                </c:pt>
                <c:pt idx="376">
                  <c:v>158.27291702176944</c:v>
                </c:pt>
                <c:pt idx="377">
                  <c:v>158.39403847225904</c:v>
                </c:pt>
                <c:pt idx="378">
                  <c:v>158.48292810308192</c:v>
                </c:pt>
                <c:pt idx="379">
                  <c:v>158.61938182319267</c:v>
                </c:pt>
                <c:pt idx="380">
                  <c:v>158.84869301337224</c:v>
                </c:pt>
                <c:pt idx="381">
                  <c:v>159.06832198509508</c:v>
                </c:pt>
                <c:pt idx="382">
                  <c:v>159.09379407581147</c:v>
                </c:pt>
                <c:pt idx="383">
                  <c:v>158.8308293328744</c:v>
                </c:pt>
                <c:pt idx="384">
                  <c:v>161.29861316951468</c:v>
                </c:pt>
                <c:pt idx="385">
                  <c:v>162.70815595561831</c:v>
                </c:pt>
                <c:pt idx="386">
                  <c:v>163.9658921158051</c:v>
                </c:pt>
                <c:pt idx="387">
                  <c:v>165.03570844961675</c:v>
                </c:pt>
                <c:pt idx="388">
                  <c:v>166.90979238624274</c:v>
                </c:pt>
                <c:pt idx="389">
                  <c:v>168.7733489938131</c:v>
                </c:pt>
                <c:pt idx="390">
                  <c:v>170.40093389968629</c:v>
                </c:pt>
                <c:pt idx="391">
                  <c:v>171.42446329430385</c:v>
                </c:pt>
                <c:pt idx="392">
                  <c:v>171.88783504127954</c:v>
                </c:pt>
                <c:pt idx="393">
                  <c:v>172.50980648171353</c:v>
                </c:pt>
                <c:pt idx="394">
                  <c:v>173.07339156449203</c:v>
                </c:pt>
                <c:pt idx="395">
                  <c:v>173.18679909941687</c:v>
                </c:pt>
                <c:pt idx="396">
                  <c:v>173.53927833824511</c:v>
                </c:pt>
                <c:pt idx="397">
                  <c:v>174.27962586730015</c:v>
                </c:pt>
                <c:pt idx="398">
                  <c:v>174.78274380786974</c:v>
                </c:pt>
                <c:pt idx="399">
                  <c:v>175.08976286867457</c:v>
                </c:pt>
                <c:pt idx="400">
                  <c:v>175.51329819103969</c:v>
                </c:pt>
                <c:pt idx="401">
                  <c:v>175.91222777164273</c:v>
                </c:pt>
                <c:pt idx="402">
                  <c:v>176.04243127820075</c:v>
                </c:pt>
                <c:pt idx="403">
                  <c:v>174.95598953156579</c:v>
                </c:pt>
                <c:pt idx="404">
                  <c:v>175.72588030331235</c:v>
                </c:pt>
                <c:pt idx="405">
                  <c:v>176.19044474210406</c:v>
                </c:pt>
                <c:pt idx="406">
                  <c:v>176.98499302107516</c:v>
                </c:pt>
                <c:pt idx="407">
                  <c:v>177.5362016088626</c:v>
                </c:pt>
                <c:pt idx="408">
                  <c:v>178.58559669913762</c:v>
                </c:pt>
                <c:pt idx="409">
                  <c:v>179.74116993797884</c:v>
                </c:pt>
                <c:pt idx="410">
                  <c:v>180.75768398792937</c:v>
                </c:pt>
                <c:pt idx="411">
                  <c:v>181.66368121876141</c:v>
                </c:pt>
                <c:pt idx="412">
                  <c:v>182.06746844448381</c:v>
                </c:pt>
                <c:pt idx="413">
                  <c:v>182.23286293923402</c:v>
                </c:pt>
                <c:pt idx="414">
                  <c:v>182.23234669842066</c:v>
                </c:pt>
                <c:pt idx="415">
                  <c:v>181.41581943502206</c:v>
                </c:pt>
                <c:pt idx="416">
                  <c:v>180.98649057035888</c:v>
                </c:pt>
                <c:pt idx="417">
                  <c:v>181.10685186681266</c:v>
                </c:pt>
                <c:pt idx="418">
                  <c:v>181.06211797046254</c:v>
                </c:pt>
                <c:pt idx="419">
                  <c:v>180.9383810902292</c:v>
                </c:pt>
                <c:pt idx="420">
                  <c:v>180.75415551125354</c:v>
                </c:pt>
                <c:pt idx="421">
                  <c:v>180.70614993449408</c:v>
                </c:pt>
                <c:pt idx="422">
                  <c:v>180.56026540941991</c:v>
                </c:pt>
                <c:pt idx="423">
                  <c:v>180.12651306585161</c:v>
                </c:pt>
                <c:pt idx="424">
                  <c:v>180.04323538639736</c:v>
                </c:pt>
                <c:pt idx="425">
                  <c:v>179.86954296317828</c:v>
                </c:pt>
                <c:pt idx="426">
                  <c:v>179.861440481686</c:v>
                </c:pt>
                <c:pt idx="427">
                  <c:v>179.84496076364238</c:v>
                </c:pt>
                <c:pt idx="428">
                  <c:v>179.82494250245307</c:v>
                </c:pt>
                <c:pt idx="429">
                  <c:v>180.02040112781927</c:v>
                </c:pt>
                <c:pt idx="430">
                  <c:v>179.83714667125128</c:v>
                </c:pt>
                <c:pt idx="431">
                  <c:v>179.74874597008159</c:v>
                </c:pt>
                <c:pt idx="432">
                  <c:v>179.58399756445741</c:v>
                </c:pt>
                <c:pt idx="433">
                  <c:v>179.58834723635948</c:v>
                </c:pt>
                <c:pt idx="434">
                  <c:v>179.65678312699785</c:v>
                </c:pt>
                <c:pt idx="435">
                  <c:v>180.02600380511203</c:v>
                </c:pt>
                <c:pt idx="436">
                  <c:v>180.86990389014798</c:v>
                </c:pt>
                <c:pt idx="437">
                  <c:v>182.75976230330278</c:v>
                </c:pt>
                <c:pt idx="438">
                  <c:v>184.38615885557292</c:v>
                </c:pt>
                <c:pt idx="439">
                  <c:v>185.6598453158725</c:v>
                </c:pt>
                <c:pt idx="440">
                  <c:v>187.47834574303207</c:v>
                </c:pt>
                <c:pt idx="441">
                  <c:v>188.89035621551878</c:v>
                </c:pt>
                <c:pt idx="442">
                  <c:v>190.27613068215689</c:v>
                </c:pt>
                <c:pt idx="443">
                  <c:v>191.59496463748638</c:v>
                </c:pt>
                <c:pt idx="444">
                  <c:v>193.08059666971621</c:v>
                </c:pt>
                <c:pt idx="445">
                  <c:v>194.29215385000725</c:v>
                </c:pt>
                <c:pt idx="446">
                  <c:v>195.35436573172271</c:v>
                </c:pt>
                <c:pt idx="447">
                  <c:v>196.19189129071785</c:v>
                </c:pt>
                <c:pt idx="448">
                  <c:v>196.96267601280081</c:v>
                </c:pt>
                <c:pt idx="449">
                  <c:v>197.39791684713913</c:v>
                </c:pt>
                <c:pt idx="450">
                  <c:v>198.00140532403572</c:v>
                </c:pt>
                <c:pt idx="451">
                  <c:v>198.0928070473538</c:v>
                </c:pt>
                <c:pt idx="452">
                  <c:v>197.92286232762365</c:v>
                </c:pt>
                <c:pt idx="453">
                  <c:v>197.56112134114059</c:v>
                </c:pt>
                <c:pt idx="454">
                  <c:v>196.88514541893733</c:v>
                </c:pt>
                <c:pt idx="455">
                  <c:v>195.95906622251923</c:v>
                </c:pt>
                <c:pt idx="456">
                  <c:v>195.04359915677503</c:v>
                </c:pt>
                <c:pt idx="457">
                  <c:v>194.8407628891481</c:v>
                </c:pt>
                <c:pt idx="458">
                  <c:v>194.76511295694928</c:v>
                </c:pt>
                <c:pt idx="459">
                  <c:v>194.4742035998178</c:v>
                </c:pt>
                <c:pt idx="460">
                  <c:v>194.46455279211452</c:v>
                </c:pt>
                <c:pt idx="461">
                  <c:v>194.68388087344553</c:v>
                </c:pt>
                <c:pt idx="462">
                  <c:v>194.82293095653765</c:v>
                </c:pt>
                <c:pt idx="463">
                  <c:v>195.02786914807083</c:v>
                </c:pt>
                <c:pt idx="464">
                  <c:v>194.99368053077302</c:v>
                </c:pt>
                <c:pt idx="465">
                  <c:v>194.98228680340009</c:v>
                </c:pt>
                <c:pt idx="466">
                  <c:v>194.85647072191992</c:v>
                </c:pt>
                <c:pt idx="467">
                  <c:v>195.31568562049756</c:v>
                </c:pt>
                <c:pt idx="468">
                  <c:v>195.82622415429677</c:v>
                </c:pt>
                <c:pt idx="469">
                  <c:v>196.38190071692549</c:v>
                </c:pt>
                <c:pt idx="470">
                  <c:v>196.90713446429911</c:v>
                </c:pt>
                <c:pt idx="471">
                  <c:v>198.27404242922384</c:v>
                </c:pt>
                <c:pt idx="472">
                  <c:v>199.75884853064343</c:v>
                </c:pt>
                <c:pt idx="473">
                  <c:v>201.62743482153977</c:v>
                </c:pt>
                <c:pt idx="474">
                  <c:v>203.4159823503492</c:v>
                </c:pt>
                <c:pt idx="475">
                  <c:v>205.24696229717563</c:v>
                </c:pt>
                <c:pt idx="476">
                  <c:v>207.3320628604408</c:v>
                </c:pt>
                <c:pt idx="477">
                  <c:v>209.17146510088966</c:v>
                </c:pt>
                <c:pt idx="478">
                  <c:v>210.86509408140296</c:v>
                </c:pt>
                <c:pt idx="479">
                  <c:v>212.27303269354633</c:v>
                </c:pt>
                <c:pt idx="480">
                  <c:v>213.18587776999544</c:v>
                </c:pt>
                <c:pt idx="481">
                  <c:v>213.70072904951391</c:v>
                </c:pt>
                <c:pt idx="482">
                  <c:v>214.00836075653692</c:v>
                </c:pt>
                <c:pt idx="483">
                  <c:v>213.59004556418367</c:v>
                </c:pt>
                <c:pt idx="484">
                  <c:v>212.95882855787596</c:v>
                </c:pt>
                <c:pt idx="485">
                  <c:v>211.82008709362287</c:v>
                </c:pt>
                <c:pt idx="486">
                  <c:v>210.5137395804831</c:v>
                </c:pt>
                <c:pt idx="487">
                  <c:v>210.49819960633712</c:v>
                </c:pt>
                <c:pt idx="488">
                  <c:v>210.97959899554934</c:v>
                </c:pt>
                <c:pt idx="489">
                  <c:v>211.66202262414782</c:v>
                </c:pt>
                <c:pt idx="490">
                  <c:v>212.81161601000701</c:v>
                </c:pt>
                <c:pt idx="491">
                  <c:v>213.07479018464429</c:v>
                </c:pt>
                <c:pt idx="492">
                  <c:v>213.41328459539665</c:v>
                </c:pt>
                <c:pt idx="493">
                  <c:v>213.57482841361431</c:v>
                </c:pt>
                <c:pt idx="494">
                  <c:v>213.57633427208509</c:v>
                </c:pt>
                <c:pt idx="495">
                  <c:v>213.64860560881846</c:v>
                </c:pt>
                <c:pt idx="496">
                  <c:v>213.6411121102343</c:v>
                </c:pt>
                <c:pt idx="497">
                  <c:v>213.71497272252881</c:v>
                </c:pt>
                <c:pt idx="498">
                  <c:v>213.72034440047119</c:v>
                </c:pt>
                <c:pt idx="499">
                  <c:v>213.76228748962077</c:v>
                </c:pt>
                <c:pt idx="500">
                  <c:v>213.81002866283504</c:v>
                </c:pt>
                <c:pt idx="501">
                  <c:v>213.85561324201589</c:v>
                </c:pt>
                <c:pt idx="502">
                  <c:v>213.9196545197054</c:v>
                </c:pt>
                <c:pt idx="503">
                  <c:v>213.80534484470007</c:v>
                </c:pt>
                <c:pt idx="504">
                  <c:v>213.59905157489689</c:v>
                </c:pt>
                <c:pt idx="505">
                  <c:v>213.31971134518659</c:v>
                </c:pt>
                <c:pt idx="506">
                  <c:v>212.48941800292661</c:v>
                </c:pt>
                <c:pt idx="507">
                  <c:v>212.59873788341812</c:v>
                </c:pt>
                <c:pt idx="508">
                  <c:v>212.55711791952962</c:v>
                </c:pt>
                <c:pt idx="509">
                  <c:v>213.07897787597173</c:v>
                </c:pt>
                <c:pt idx="510">
                  <c:v>214.6104068252555</c:v>
                </c:pt>
                <c:pt idx="511">
                  <c:v>216.90423115629534</c:v>
                </c:pt>
                <c:pt idx="512">
                  <c:v>218.45041533091941</c:v>
                </c:pt>
                <c:pt idx="513">
                  <c:v>219.79931248322495</c:v>
                </c:pt>
                <c:pt idx="514">
                  <c:v>220.94803982877488</c:v>
                </c:pt>
                <c:pt idx="515">
                  <c:v>222.05373058417061</c:v>
                </c:pt>
                <c:pt idx="516">
                  <c:v>223.29294091133826</c:v>
                </c:pt>
                <c:pt idx="517">
                  <c:v>224.67894164836423</c:v>
                </c:pt>
                <c:pt idx="518">
                  <c:v>226.49472281341389</c:v>
                </c:pt>
                <c:pt idx="519">
                  <c:v>228.7821022730775</c:v>
                </c:pt>
                <c:pt idx="520">
                  <c:v>230.5734038487563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63-4907-A16F-9D06FD9DF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0339664"/>
        <c:axId val="590339184"/>
      </c:lineChart>
      <c:dateAx>
        <c:axId val="590339664"/>
        <c:scaling>
          <c:orientation val="minMax"/>
          <c:min val="4593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39184"/>
        <c:crosses val="autoZero"/>
        <c:auto val="0"/>
        <c:lblOffset val="100"/>
        <c:baseTimeUnit val="days"/>
      </c:dateAx>
      <c:valAx>
        <c:axId val="590339184"/>
        <c:scaling>
          <c:orientation val="minMax"/>
          <c:min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3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Weekly!$B$1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Weekly!$B$2:$B$120</c:f>
              <c:numCache>
                <c:formatCode>General</c:formatCode>
                <c:ptCount val="119"/>
                <c:pt idx="0">
                  <c:v>160.67500000000001</c:v>
                </c:pt>
                <c:pt idx="1">
                  <c:v>161.714</c:v>
                </c:pt>
                <c:pt idx="2">
                  <c:v>160.96</c:v>
                </c:pt>
                <c:pt idx="3">
                  <c:v>160.06</c:v>
                </c:pt>
                <c:pt idx="4">
                  <c:v>158.4</c:v>
                </c:pt>
                <c:pt idx="5">
                  <c:v>157</c:v>
                </c:pt>
                <c:pt idx="6">
                  <c:v>156.90600000000001</c:v>
                </c:pt>
                <c:pt idx="7">
                  <c:v>159.70750000000001</c:v>
                </c:pt>
                <c:pt idx="8">
                  <c:v>161.364</c:v>
                </c:pt>
                <c:pt idx="9">
                  <c:v>159.50800000000001</c:v>
                </c:pt>
                <c:pt idx="10">
                  <c:v>160.49199999999999</c:v>
                </c:pt>
                <c:pt idx="11">
                  <c:v>155.94200000000001</c:v>
                </c:pt>
                <c:pt idx="12">
                  <c:v>156.785</c:v>
                </c:pt>
                <c:pt idx="13">
                  <c:v>154.93199999999999</c:v>
                </c:pt>
                <c:pt idx="14">
                  <c:v>150.078</c:v>
                </c:pt>
                <c:pt idx="15">
                  <c:v>146.09200000000001</c:v>
                </c:pt>
                <c:pt idx="16">
                  <c:v>148.03399999999999</c:v>
                </c:pt>
                <c:pt idx="17">
                  <c:v>148.35599999999999</c:v>
                </c:pt>
                <c:pt idx="18">
                  <c:v>149.202</c:v>
                </c:pt>
                <c:pt idx="19">
                  <c:v>152.83799999999999</c:v>
                </c:pt>
                <c:pt idx="20">
                  <c:v>150.536</c:v>
                </c:pt>
                <c:pt idx="21">
                  <c:v>145.1925</c:v>
                </c:pt>
                <c:pt idx="22">
                  <c:v>147.00200000000001</c:v>
                </c:pt>
                <c:pt idx="23">
                  <c:v>146.05799999999999</c:v>
                </c:pt>
                <c:pt idx="24">
                  <c:v>147.0325</c:v>
                </c:pt>
                <c:pt idx="25">
                  <c:v>147.018</c:v>
                </c:pt>
                <c:pt idx="26">
                  <c:v>146.16</c:v>
                </c:pt>
                <c:pt idx="27">
                  <c:v>148.30799999999999</c:v>
                </c:pt>
                <c:pt idx="28">
                  <c:v>153.38800000000001</c:v>
                </c:pt>
                <c:pt idx="29">
                  <c:v>156.63</c:v>
                </c:pt>
                <c:pt idx="30">
                  <c:v>160.52799999999999</c:v>
                </c:pt>
                <c:pt idx="31">
                  <c:v>159.99199999999999</c:v>
                </c:pt>
                <c:pt idx="32">
                  <c:v>159.04599999999999</c:v>
                </c:pt>
                <c:pt idx="33">
                  <c:v>161.54</c:v>
                </c:pt>
                <c:pt idx="34">
                  <c:v>164.31399999999999</c:v>
                </c:pt>
                <c:pt idx="35">
                  <c:v>165.9725</c:v>
                </c:pt>
                <c:pt idx="36">
                  <c:v>165.79400000000001</c:v>
                </c:pt>
                <c:pt idx="37">
                  <c:v>165.83799999999999</c:v>
                </c:pt>
                <c:pt idx="38">
                  <c:v>161.87799999999999</c:v>
                </c:pt>
                <c:pt idx="39">
                  <c:v>161.202</c:v>
                </c:pt>
                <c:pt idx="40">
                  <c:v>160.36799999999999</c:v>
                </c:pt>
                <c:pt idx="41">
                  <c:v>163.91399999999999</c:v>
                </c:pt>
                <c:pt idx="42">
                  <c:v>163.33799999999999</c:v>
                </c:pt>
                <c:pt idx="43">
                  <c:v>160.458</c:v>
                </c:pt>
                <c:pt idx="44">
                  <c:v>157.334</c:v>
                </c:pt>
                <c:pt idx="45">
                  <c:v>153.358</c:v>
                </c:pt>
                <c:pt idx="46">
                  <c:v>154.31</c:v>
                </c:pt>
                <c:pt idx="47">
                  <c:v>155.17750000000001</c:v>
                </c:pt>
                <c:pt idx="48">
                  <c:v>151.292</c:v>
                </c:pt>
                <c:pt idx="49">
                  <c:v>147.666</c:v>
                </c:pt>
                <c:pt idx="50">
                  <c:v>144.61199999999999</c:v>
                </c:pt>
                <c:pt idx="51">
                  <c:v>145.4375</c:v>
                </c:pt>
                <c:pt idx="52">
                  <c:v>144.04250000000002</c:v>
                </c:pt>
                <c:pt idx="53">
                  <c:v>143.55500000000001</c:v>
                </c:pt>
                <c:pt idx="54">
                  <c:v>145.798</c:v>
                </c:pt>
                <c:pt idx="55">
                  <c:v>146.72</c:v>
                </c:pt>
                <c:pt idx="56">
                  <c:v>151.88800000000001</c:v>
                </c:pt>
                <c:pt idx="57">
                  <c:v>153.33600000000001</c:v>
                </c:pt>
                <c:pt idx="58">
                  <c:v>155.80600000000001</c:v>
                </c:pt>
                <c:pt idx="59">
                  <c:v>158.715</c:v>
                </c:pt>
                <c:pt idx="60">
                  <c:v>164.33199999999999</c:v>
                </c:pt>
                <c:pt idx="61">
                  <c:v>166.06800000000001</c:v>
                </c:pt>
                <c:pt idx="62">
                  <c:v>164.44200000000001</c:v>
                </c:pt>
                <c:pt idx="63">
                  <c:v>163.346</c:v>
                </c:pt>
                <c:pt idx="64">
                  <c:v>162.57400000000001</c:v>
                </c:pt>
                <c:pt idx="65">
                  <c:v>157.50200000000001</c:v>
                </c:pt>
                <c:pt idx="66">
                  <c:v>150.40199999999999</c:v>
                </c:pt>
                <c:pt idx="67">
                  <c:v>154.84</c:v>
                </c:pt>
                <c:pt idx="68">
                  <c:v>155.91200000000001</c:v>
                </c:pt>
                <c:pt idx="69">
                  <c:v>155.63</c:v>
                </c:pt>
                <c:pt idx="70">
                  <c:v>155.33000000000001</c:v>
                </c:pt>
                <c:pt idx="71">
                  <c:v>149.976</c:v>
                </c:pt>
                <c:pt idx="72">
                  <c:v>152.976</c:v>
                </c:pt>
                <c:pt idx="73">
                  <c:v>153.61750000000001</c:v>
                </c:pt>
                <c:pt idx="74">
                  <c:v>154.346</c:v>
                </c:pt>
                <c:pt idx="75">
                  <c:v>156.13999999999999</c:v>
                </c:pt>
                <c:pt idx="76">
                  <c:v>152.03</c:v>
                </c:pt>
                <c:pt idx="77">
                  <c:v>152.042</c:v>
                </c:pt>
                <c:pt idx="78">
                  <c:v>155.06</c:v>
                </c:pt>
                <c:pt idx="79">
                  <c:v>156.386</c:v>
                </c:pt>
                <c:pt idx="80">
                  <c:v>160.69</c:v>
                </c:pt>
                <c:pt idx="81">
                  <c:v>167.85</c:v>
                </c:pt>
                <c:pt idx="82">
                  <c:v>166.732</c:v>
                </c:pt>
                <c:pt idx="83">
                  <c:v>171.446</c:v>
                </c:pt>
                <c:pt idx="84">
                  <c:v>174.476</c:v>
                </c:pt>
                <c:pt idx="85">
                  <c:v>178.22200000000001</c:v>
                </c:pt>
                <c:pt idx="86">
                  <c:v>176.86199999999999</c:v>
                </c:pt>
                <c:pt idx="87">
                  <c:v>178.3125</c:v>
                </c:pt>
                <c:pt idx="88">
                  <c:v>177.488</c:v>
                </c:pt>
                <c:pt idx="89">
                  <c:v>176.28200000000001</c:v>
                </c:pt>
                <c:pt idx="90">
                  <c:v>176.98400000000001</c:v>
                </c:pt>
                <c:pt idx="91">
                  <c:v>185.542</c:v>
                </c:pt>
                <c:pt idx="92">
                  <c:v>189.708</c:v>
                </c:pt>
                <c:pt idx="93">
                  <c:v>191.65199999999999</c:v>
                </c:pt>
                <c:pt idx="94">
                  <c:v>192.28200000000001</c:v>
                </c:pt>
                <c:pt idx="95">
                  <c:v>188.35</c:v>
                </c:pt>
                <c:pt idx="96">
                  <c:v>186.53200000000001</c:v>
                </c:pt>
                <c:pt idx="97">
                  <c:v>193.56200000000001</c:v>
                </c:pt>
                <c:pt idx="98">
                  <c:v>201.81200000000001</c:v>
                </c:pt>
                <c:pt idx="99">
                  <c:v>206.8</c:v>
                </c:pt>
                <c:pt idx="100">
                  <c:v>204.1</c:v>
                </c:pt>
                <c:pt idx="101">
                  <c:v>205.94200000000001</c:v>
                </c:pt>
                <c:pt idx="102">
                  <c:v>209.696</c:v>
                </c:pt>
                <c:pt idx="103">
                  <c:v>207.1275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50-4EB9-BEB0-0DED78326F86}"/>
            </c:ext>
          </c:extLst>
        </c:ser>
        <c:ser>
          <c:idx val="1"/>
          <c:order val="1"/>
          <c:tx>
            <c:strRef>
              <c:f>Weekly!$C$1</c:f>
              <c:strCache>
                <c:ptCount val="1"/>
                <c:pt idx="0">
                  <c:v>Freeze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Weekly!$C$2:$C$120</c:f>
              <c:numCache>
                <c:formatCode>General</c:formatCode>
                <c:ptCount val="119"/>
                <c:pt idx="104">
                  <c:v>207.1925</c:v>
                </c:pt>
                <c:pt idx="105">
                  <c:v>205.346</c:v>
                </c:pt>
                <c:pt idx="106">
                  <c:v>216.03</c:v>
                </c:pt>
                <c:pt idx="107">
                  <c:v>218.71250000000001</c:v>
                </c:pt>
                <c:pt idx="108">
                  <c:v>225.63800000000001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50-4EB9-BEB0-0DED78326F86}"/>
            </c:ext>
          </c:extLst>
        </c:ser>
        <c:ser>
          <c:idx val="2"/>
          <c:order val="2"/>
          <c:tx>
            <c:strRef>
              <c:f>Weekly!$D$1</c:f>
              <c:strCache>
                <c:ptCount val="1"/>
                <c:pt idx="0">
                  <c:v>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Weekly!$D$2:$D$120</c:f>
              <c:numCache>
                <c:formatCode>General</c:formatCode>
                <c:ptCount val="119"/>
                <c:pt idx="104">
                  <c:v>207.46158238557558</c:v>
                </c:pt>
                <c:pt idx="105">
                  <c:v>207.81333097570618</c:v>
                </c:pt>
                <c:pt idx="106">
                  <c:v>208.185551642343</c:v>
                </c:pt>
                <c:pt idx="107">
                  <c:v>208.57704697728599</c:v>
                </c:pt>
                <c:pt idx="108">
                  <c:v>208.98709228922891</c:v>
                </c:pt>
                <c:pt idx="109">
                  <c:v>209.41219825602968</c:v>
                </c:pt>
                <c:pt idx="110">
                  <c:v>209.85104286606864</c:v>
                </c:pt>
                <c:pt idx="111">
                  <c:v>220.51777330360923</c:v>
                </c:pt>
                <c:pt idx="112">
                  <c:v>210.80144360078677</c:v>
                </c:pt>
                <c:pt idx="113">
                  <c:v>223.86306268074196</c:v>
                </c:pt>
                <c:pt idx="114">
                  <c:v>225.53564881950879</c:v>
                </c:pt>
                <c:pt idx="115">
                  <c:v>227.20866834161316</c:v>
                </c:pt>
                <c:pt idx="116">
                  <c:v>228.88128644234564</c:v>
                </c:pt>
                <c:pt idx="117">
                  <c:v>230.55420745317318</c:v>
                </c:pt>
                <c:pt idx="118">
                  <c:v>232.22760913226355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50-4EB9-BEB0-0DED78326F86}"/>
            </c:ext>
          </c:extLst>
        </c:ser>
        <c:ser>
          <c:idx val="3"/>
          <c:order val="3"/>
          <c:tx>
            <c:strRef>
              <c:f>Weekly!$F$1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Weekly!$F$2:$F$120</c:f>
              <c:numCache>
                <c:formatCode>General</c:formatCode>
                <c:ptCount val="119"/>
                <c:pt idx="104">
                  <c:v>201.36507993535645</c:v>
                </c:pt>
                <c:pt idx="105">
                  <c:v>199.15994728283079</c:v>
                </c:pt>
                <c:pt idx="106">
                  <c:v>197.5341395616874</c:v>
                </c:pt>
                <c:pt idx="107">
                  <c:v>196.21558113229696</c:v>
                </c:pt>
                <c:pt idx="108">
                  <c:v>195.35098358348284</c:v>
                </c:pt>
                <c:pt idx="109">
                  <c:v>194.40998151413942</c:v>
                </c:pt>
                <c:pt idx="110">
                  <c:v>193.5560362406795</c:v>
                </c:pt>
                <c:pt idx="111">
                  <c:v>196.77467566858994</c:v>
                </c:pt>
                <c:pt idx="112">
                  <c:v>192.22694100478421</c:v>
                </c:pt>
                <c:pt idx="113">
                  <c:v>195.00895815215466</c:v>
                </c:pt>
                <c:pt idx="114">
                  <c:v>194.00686717885361</c:v>
                </c:pt>
                <c:pt idx="115">
                  <c:v>193.31077923056577</c:v>
                </c:pt>
                <c:pt idx="116">
                  <c:v>192.19142644226915</c:v>
                </c:pt>
                <c:pt idx="117">
                  <c:v>191.06128102833847</c:v>
                </c:pt>
                <c:pt idx="118">
                  <c:v>190.42490105396001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A50-4EB9-BEB0-0DED78326F86}"/>
            </c:ext>
          </c:extLst>
        </c:ser>
        <c:ser>
          <c:idx val="4"/>
          <c:order val="4"/>
          <c:tx>
            <c:strRef>
              <c:f>Weekly!$G$1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Weekly!$A$2:$A$120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Weekly!$G$2:$G$120</c:f>
              <c:numCache>
                <c:formatCode>General</c:formatCode>
                <c:ptCount val="119"/>
                <c:pt idx="104">
                  <c:v>213.55808483579472</c:v>
                </c:pt>
                <c:pt idx="105">
                  <c:v>216.46671466858157</c:v>
                </c:pt>
                <c:pt idx="106">
                  <c:v>218.8369637229986</c:v>
                </c:pt>
                <c:pt idx="107">
                  <c:v>220.93851282227502</c:v>
                </c:pt>
                <c:pt idx="108">
                  <c:v>222.62320099497498</c:v>
                </c:pt>
                <c:pt idx="109">
                  <c:v>224.41441499791995</c:v>
                </c:pt>
                <c:pt idx="110">
                  <c:v>226.14604949145777</c:v>
                </c:pt>
                <c:pt idx="111">
                  <c:v>244.26087093862853</c:v>
                </c:pt>
                <c:pt idx="112">
                  <c:v>229.37594619678933</c:v>
                </c:pt>
                <c:pt idx="113">
                  <c:v>252.71716720932926</c:v>
                </c:pt>
                <c:pt idx="114">
                  <c:v>257.06443046016398</c:v>
                </c:pt>
                <c:pt idx="115">
                  <c:v>261.10655745266058</c:v>
                </c:pt>
                <c:pt idx="116">
                  <c:v>265.5711464424221</c:v>
                </c:pt>
                <c:pt idx="117">
                  <c:v>270.04713387800791</c:v>
                </c:pt>
                <c:pt idx="118">
                  <c:v>274.03031721056709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A50-4EB9-BEB0-0DED78326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498368"/>
        <c:axId val="150495968"/>
      </c:lineChart>
      <c:dateAx>
        <c:axId val="150498368"/>
        <c:scaling>
          <c:orientation val="minMax"/>
          <c:min val="4583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5968"/>
        <c:crosses val="autoZero"/>
        <c:auto val="1"/>
        <c:lblOffset val="100"/>
        <c:baseTimeUnit val="days"/>
      </c:dateAx>
      <c:valAx>
        <c:axId val="150495968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9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6</xdr:row>
      <xdr:rowOff>66675</xdr:rowOff>
    </xdr:from>
    <xdr:to>
      <xdr:col>11</xdr:col>
      <xdr:colOff>352425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AA511D-3F83-4549-951C-FDFADDCCC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561975</xdr:colOff>
      <xdr:row>20</xdr:row>
      <xdr:rowOff>123825</xdr:rowOff>
    </xdr:from>
    <xdr:to>
      <xdr:col>11</xdr:col>
      <xdr:colOff>390525</xdr:colOff>
      <xdr:row>35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F53F65-6DC2-4876-86F5-7A0E4B8D7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571499</xdr:colOff>
      <xdr:row>56</xdr:row>
      <xdr:rowOff>76200</xdr:rowOff>
    </xdr:from>
    <xdr:to>
      <xdr:col>11</xdr:col>
      <xdr:colOff>409575</xdr:colOff>
      <xdr:row>70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0478E2-7B62-4EBC-BE24-8C8ABA0A9B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590550</xdr:colOff>
      <xdr:row>37</xdr:row>
      <xdr:rowOff>0</xdr:rowOff>
    </xdr:from>
    <xdr:to>
      <xdr:col>11</xdr:col>
      <xdr:colOff>409576</xdr:colOff>
      <xdr:row>55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B11C1-E4D4-4B63-8B5C-EDA04CA7A8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571500</xdr:colOff>
      <xdr:row>72</xdr:row>
      <xdr:rowOff>66675</xdr:rowOff>
    </xdr:from>
    <xdr:to>
      <xdr:col>11</xdr:col>
      <xdr:colOff>447675</xdr:colOff>
      <xdr:row>86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1E02CC-74A4-4B1D-A833-3CD5187A8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E81C3C0-E689-44DD-B4C3-B664B6973B0D}" autoFormatId="16" applyNumberFormats="0" applyBorderFormats="0" applyFontFormats="0" applyPatternFormats="0" applyAlignmentFormats="0" applyWidthHeightFormats="0">
  <queryTableRefresh nextId="8" unboundColumnsRight="5">
    <queryTableFields count="7">
      <queryTableField id="1" name="Week " tableColumnId="1"/>
      <queryTableField id="2" name="Average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2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</a>
  <a r="1" c="522">
    <v>159.97</v>
    <v>160.97</v>
    <v>160.63</v>
    <v>161.13</v>
    <v>161.53</v>
    <v>161.63</v>
    <v>161.87</v>
    <v>161.15</v>
    <v>162.38999999999999</v>
    <v>160.52000000000001</v>
    <v>160.43</v>
    <v>161.21</v>
    <v>161.68</v>
    <v>162.47</v>
    <v>159.81</v>
    <v>158.96</v>
    <v>159.56</v>
    <v>159.5</v>
    <v>159.36000000000001</v>
    <v>158.77000000000001</v>
    <v>158.9</v>
    <v>158.36000000000001</v>
    <v>156.61000000000001</v>
    <v>155.80000000000001</v>
    <v>158.06</v>
    <v>157.97999999999999</v>
    <v>156.4</v>
    <v>156.76</v>
    <v>157.85</v>
    <v>156.47</v>
    <v>155.74</v>
    <v>157.91999999999999</v>
    <v>156.55000000000001</v>
    <v>157.86000000000001</v>
    <v>158.68</v>
    <v>160.44999999999999</v>
    <v>161.84</v>
    <v>160.79</v>
    <v>160.97999999999999</v>
    <v>161.55000000000001</v>
    <v>161.38</v>
    <v>162.12</v>
    <v>159.84</v>
    <v>159.97</v>
    <v>159.34</v>
    <v>158.87</v>
    <v>159.52000000000001</v>
    <v>161.22999999999999</v>
    <v>162.74</v>
    <v>161.1</v>
    <v>159.21</v>
    <v>158.18</v>
    <v>156.76</v>
    <v>156.21</v>
    <v>155.76</v>
    <v>155.75</v>
    <v>155.22999999999999</v>
    <v>155.22</v>
    <v>155.77000000000001</v>
    <v>157.96</v>
    <v>158.19</v>
    <v>157.78</v>
    <v>157.72999999999999</v>
    <v>154.26</v>
    <v>152.5</v>
    <v>152.38999999999999</v>
    <v>151.59</v>
    <v>152.29</v>
    <v>150.19999999999999</v>
    <v>148.79</v>
    <v>147.52000000000001</v>
    <v>147.59</v>
    <v>144.44999999999999</v>
    <v>144.77000000000001</v>
    <v>145.74</v>
    <v>147.91</v>
    <v>149.12</v>
    <v>149.56</v>
    <v>148.53</v>
    <v>146.82</v>
    <v>146.13999999999999</v>
    <v>146.82</v>
    <v>144.59</v>
    <v>151.18</v>
    <v>149.91999999999999</v>
    <v>149.27000000000001</v>
    <v>148.58000000000001</v>
    <v>148.72</v>
    <v>148.94999999999999</v>
    <v>149.85</v>
    <v>149.91</v>
    <v>151.22</v>
    <v>151.38</v>
    <v>152.66999999999999</v>
    <v>154.28</v>
    <v>154.63999999999999</v>
    <v>151.27000000000001</v>
    <v>151.24</v>
    <v>153.5</v>
    <v>149.69999999999999</v>
    <v>146.97</v>
    <v>144.38</v>
    <v>144.44</v>
    <v>145.28</v>
    <v>146.66999999999999</v>
    <v>147.74</v>
    <v>147.80000000000001</v>
    <v>145.97</v>
    <v>146.41999999999999</v>
    <v>147.08000000000001</v>
    <v>147.13</v>
    <v>146.76</v>
    <v>145.41</v>
    <v>145.44999999999999</v>
    <v>145.54</v>
    <v>145.94999999999999</v>
    <v>145.65</v>
    <v>147.78</v>
    <v>148.75</v>
    <v>149.12</v>
    <v>147.19</v>
    <v>146.82</v>
    <v>145.80000000000001</v>
    <v>146.16</v>
    <v>146.44</v>
    <v>146.03</v>
    <v>145.69</v>
    <v>146.47999999999999</v>
    <v>145.47999999999999</v>
    <v>147.05000000000001</v>
    <v>149.43</v>
    <v>149.69999999999999</v>
    <v>149.88</v>
    <v>149.24</v>
    <v>151.01</v>
    <v>156.58000000000001</v>
    <v>155.41999999999999</v>
    <v>154.69</v>
    <v>154.24</v>
    <v>152.35</v>
    <v>156.28</v>
    <v>159.63999999999999</v>
    <v>160.63999999999999</v>
    <v>158.56</v>
    <v>161.33000000000001</v>
    <v>157.85</v>
    <v>160.76</v>
    <v>164.14</v>
    <v>161.25</v>
    <v>158.97</v>
    <v>158.9</v>
    <v>160.22</v>
    <v>160.62</v>
    <v>159.88</v>
    <v>158.38999999999999</v>
    <v>158.47999999999999</v>
    <v>159.09</v>
    <v>159.38999999999999</v>
    <v>159.63</v>
    <v>160.16</v>
    <v>161.43</v>
    <v>162.35</v>
    <v>164.13</v>
    <v>164.61</v>
    <v>162.94999999999999</v>
    <v>163.92</v>
    <v>164.23</v>
    <v>165.86</v>
    <v>167.16</v>
    <v>167.36</v>
    <v>164.99</v>
    <v>164.38</v>
    <v>166.61</v>
    <v>167.38</v>
    <v>164.82</v>
    <v>164.64</v>
    <v>165.52</v>
    <v>166.99</v>
    <v>167.07</v>
    <v>166.15</v>
    <v>164.82</v>
    <v>164.16</v>
    <v>163.22</v>
    <v>162.78</v>
    <v>160.6</v>
    <v>161.38999999999999</v>
    <v>161.4</v>
    <v>162.06</v>
    <v>161.99</v>
    <v>161.16999999999999</v>
    <v>160.5</v>
    <v>160.29</v>
    <v>159.53</v>
    <v>159.69</v>
    <v>160.65</v>
    <v>160.51</v>
    <v>161.46</v>
    <v>161.6</v>
    <v>164.1</v>
    <v>164.28</v>
    <v>164.47</v>
    <v>165.12</v>
    <v>162.83000000000001</v>
    <v>163.44999999999999</v>
    <v>165.86</v>
    <v>163.66999999999999</v>
    <v>160.88</v>
    <v>161.6</v>
    <v>160.09</v>
    <v>160.61000000000001</v>
    <v>159.86000000000001</v>
    <v>160.13</v>
    <v>158.24</v>
    <v>158.35</v>
    <v>157.88</v>
    <v>156.72999999999999</v>
    <v>155.47</v>
    <v>155.04</v>
    <v>152.63999999999999</v>
    <v>153.24</v>
    <v>151.87</v>
    <v>154</v>
    <v>154.77000000000001</v>
    <v>153</v>
    <v>153.11000000000001</v>
    <v>155.5</v>
    <v>155.16999999999999</v>
    <v>155.78</v>
    <v>154.52000000000001</v>
    <v>155.4</v>
    <v>155.01</v>
    <v>154.80000000000001</v>
    <v>152.36000000000001</v>
    <v>150.47</v>
    <v>149.52000000000001</v>
    <v>149.31</v>
    <v>149.6</v>
    <v>149.22999999999999</v>
    <v>146.63999999999999</v>
    <v>146.24</v>
    <v>146.62</v>
    <v>143.85</v>
    <v>146.41</v>
    <v>144.75</v>
    <v>143.58000000000001</v>
    <v>144.47</v>
    <v>145.27000000000001</v>
    <v>145.85</v>
    <v>145.58000000000001</v>
    <v>145.05000000000001</v>
    <v>143.34</v>
    <v>144.62</v>
    <v>144.02000000000001</v>
    <v>144.19</v>
    <v>143.66</v>
    <v>146.22999999999999</v>
    <v>142.27000000000001</v>
    <v>142.06</v>
    <v>144.47</v>
    <v>144.75</v>
    <v>144.97</v>
    <v>147.77000000000001</v>
    <v>147.03</v>
    <v>148.15</v>
    <v>145.27000000000001</v>
    <v>146.63999999999999</v>
    <v>146.82</v>
    <v>152.88999999999999</v>
    <v>150.38</v>
    <v>151.15</v>
    <v>152.87</v>
    <v>152.15</v>
    <v>151.87</v>
    <v>153.49</v>
    <v>154.69</v>
    <v>153.51</v>
    <v>153.12</v>
    <v>154.24</v>
    <v>156.13</v>
    <v>155.26</v>
    <v>157.25</v>
    <v>156.15</v>
    <v>154.99</v>
    <v>157.88999999999999</v>
    <v>159.68</v>
    <v>162.30000000000001</v>
    <v>163.74</v>
    <v>166.09</v>
    <v>163.08000000000001</v>
    <v>163.72999999999999</v>
    <v>165.02</v>
    <v>167.28</v>
    <v>165.42</v>
    <v>165.12</v>
    <v>165.83</v>
    <v>166.69</v>
    <v>167.7</v>
    <v>165.86</v>
    <v>162.85</v>
    <v>162.99</v>
    <v>162.81</v>
    <v>162.84</v>
    <v>164.25</v>
    <v>162.99</v>
    <v>163.02000000000001</v>
    <v>163.63</v>
    <v>163.29</v>
    <v>161.02000000000001</v>
    <v>161.72</v>
    <v>163.13</v>
    <v>163.71</v>
    <v>165.84</v>
    <v>153.25</v>
    <v>155.36000000000001</v>
    <v>159.82</v>
    <v>153.24</v>
    <v>150.62</v>
    <v>150</v>
    <v>150.97</v>
    <v>148.69</v>
    <v>151.72999999999999</v>
    <v>154.36000000000001</v>
    <v>153.62</v>
    <v>153.91</v>
    <v>157.47</v>
    <v>156.91999999999999</v>
    <v>157.75</v>
    <v>155.38</v>
    <v>154.93</v>
    <v>154.58000000000001</v>
    <v>155.35</v>
    <v>155.91</v>
    <v>156.31</v>
    <v>154.46</v>
    <v>156.12</v>
    <v>155</v>
    <v>154.47</v>
    <v>157.30000000000001</v>
    <v>155.66</v>
    <v>154.22</v>
    <v>154.13999999999999</v>
    <v>148.44</v>
    <v>146.36000000000001</v>
    <v>149.61000000000001</v>
    <v>151.33000000000001</v>
    <v>152.49</v>
    <v>153.66</v>
    <v>153.18</v>
    <v>152.61000000000001</v>
    <v>152.94</v>
    <v>153.25</v>
    <v>152.43</v>
    <v>153.58000000000001</v>
    <v>155.21</v>
    <v>155.4</v>
    <v>154.41999999999999</v>
    <v>153.22</v>
    <v>153.66</v>
    <v>155.03</v>
    <v>155.22999999999999</v>
    <v>156.44999999999999</v>
    <v>155.26</v>
    <v>156.66</v>
    <v>157.1</v>
    <v>155.22</v>
    <v>152.38</v>
    <v>150.72999999999999</v>
    <v>149.79</v>
    <v>151.32</v>
    <v>152.19</v>
    <v>152.28</v>
    <v>152.01</v>
    <v>152.41</v>
    <v>152.75</v>
    <v>155.91999999999999</v>
    <v>155.56</v>
    <v>156.01</v>
    <v>155.27000000000001</v>
    <v>155.79</v>
    <v>156.28</v>
    <v>157.69</v>
    <v>156.9</v>
    <v>156.82</v>
    <v>155.16999999999999</v>
    <v>164.78</v>
    <v>162.97999999999999</v>
    <v>163.69999999999999</v>
    <v>164.36</v>
    <v>167.93</v>
    <v>169.1</v>
    <v>169.56</v>
    <v>168.3</v>
    <v>166.22</v>
    <v>168.11</v>
    <v>167.26</v>
    <v>164.74</v>
    <v>167.33</v>
    <v>171.04</v>
    <v>170.74</v>
    <v>170.59</v>
    <v>171.53</v>
    <v>173.33</v>
    <v>173.82</v>
    <v>172.78</v>
    <v>174.42</v>
    <v>174.72</v>
    <v>176.64</v>
    <v>176.25</v>
    <v>177.8</v>
    <v>178.84</v>
    <v>178.93</v>
    <v>179.29</v>
    <v>178.41</v>
    <v>176.49</v>
    <v>176.79</v>
    <v>175.45</v>
    <v>177.17</v>
    <v>178.06</v>
    <v>178</v>
    <v>178.76</v>
    <v>178.43</v>
    <v>178.13</v>
    <v>176.96</v>
    <v>175.79</v>
    <v>178.5</v>
    <v>178.06</v>
    <v>177.4</v>
    <v>176.46</v>
    <v>177.2</v>
    <v>174.16</v>
    <v>176.19</v>
    <v>174.21</v>
    <v>176.58</v>
    <v>176.69</v>
    <v>177.73</v>
    <v>179.71</v>
    <v>181.62</v>
    <v>185.42</v>
    <v>186.05</v>
    <v>185.98</v>
    <v>188.64</v>
    <v>188.16</v>
    <v>188.89</v>
    <v>189.69</v>
    <v>191.08</v>
    <v>190.72</v>
    <v>190.9</v>
    <v>190.85</v>
    <v>191.17</v>
    <v>192.12</v>
    <v>193.22</v>
    <v>193.72</v>
    <v>191.88</v>
    <v>192.94</v>
    <v>192.47</v>
    <v>190.4</v>
    <v>190.3</v>
    <v>186.93</v>
    <v>186.6</v>
    <v>189.05</v>
    <v>188.87</v>
    <v>186.26</v>
    <v>186.86</v>
    <v>186</v>
    <v>186.97</v>
    <v>186.57</v>
    <v>188.41</v>
    <v>193.83</v>
    <v>194.39</v>
    <v>195.25</v>
    <v>195.93</v>
    <v>199.58</v>
    <v>200</v>
    <v>202.51</v>
    <v>203.07</v>
    <v>203.9</v>
    <v>206.05</v>
    <v>206.67</v>
    <v>207.56</v>
    <v>206.92</v>
    <v>205.34</v>
    <v>205.42</v>
    <v>205.33</v>
    <v>202.48</v>
    <v>201.93</v>
    <v>201.62</v>
    <v>199.96</v>
    <v>206.54</v>
    <v>210.01</v>
    <v>211.58</v>
    <v>214.17</v>
    <v>209.3</v>
    <v>210.33</v>
    <v>208.31</v>
    <v>206.37</v>
    <v>207.32</v>
    <v>205.78</v>
    <v>207.78</v>
    <v>207.63</v>
    <v>207.56</v>
    <v>206.91</v>
    <v>206.95</v>
    <v>207.35</v>
    <v>204.31</v>
    <v>204.79</v>
    <v>207.49</v>
    <v>205.75</v>
    <v>204.39</v>
    <v>209.72</v>
    <v>213.65</v>
    <v>218.55</v>
    <v>219.57</v>
    <v>218.66</v>
    <v>218.21</v>
    <v>218.01</v>
    <v>218.49</v>
    <v>220.14</v>
    <v>221.49</v>
    <v>224.44</v>
    <v>227.72</v>
    <v>227.29</v>
    <v>227.25</v>
  </a>
  <a r="1" c="522">
    <v>9622108</v>
    <v>8231987</v>
    <v>6766641</v>
    <v>5602564</v>
    <v>6569810</v>
    <v>6357014</v>
    <v>4945088</v>
    <v>4946015</v>
    <v>4496942</v>
    <v>6923174</v>
    <v>5072104</v>
    <v>5368502</v>
    <v>7071320</v>
    <v>6824156</v>
    <v>9149777</v>
    <v>7247926</v>
    <v>5478898</v>
    <v>5591930</v>
    <v>6483190</v>
    <v>7200538</v>
    <v>8257029</v>
    <v>8012122</v>
    <v>8295916</v>
    <v>9121808</v>
    <v>9230611</v>
    <v>8690294</v>
    <v>9754960</v>
    <v>6529202</v>
    <v>6701508</v>
    <v>8621022</v>
    <v>9098805</v>
    <v>7462529</v>
    <v>8540961</v>
    <v>9501742</v>
    <v>7473300</v>
    <v>8065010</v>
    <v>6725963</v>
    <v>5465417</v>
    <v>5078650</v>
    <v>6071076</v>
    <v>9849270</v>
    <v>5670135</v>
    <v>8533083</v>
    <v>8298182</v>
    <v>5773683</v>
    <v>5188726</v>
    <v>5283951</v>
    <v>4620826</v>
    <v>8018736</v>
    <v>6260000</v>
    <v>6988264</v>
    <v>13165500</v>
    <v>6602255</v>
    <v>7840624</v>
    <v>5982304</v>
    <v>5915777</v>
    <v>7248622</v>
    <v>7498100</v>
    <v>6864099</v>
    <v>8461600</v>
    <v>6181503</v>
    <v>4364699</v>
    <v>6102497</v>
    <v>8098242</v>
    <v>6947423</v>
    <v>6783020</v>
    <v>5935415</v>
    <v>6135556</v>
    <v>6809519</v>
    <v>8374434</v>
    <v>7100178</v>
    <v>8502266</v>
    <v>12774859</v>
    <v>9378059</v>
    <v>9887704</v>
    <v>9750751</v>
    <v>10118694</v>
    <v>10110442</v>
    <v>9756259</v>
    <v>7642732</v>
    <v>6182982</v>
    <v>6461588</v>
    <v>8817719</v>
    <v>14473711</v>
    <v>8459796</v>
    <v>6532718</v>
    <v>5042757</v>
    <v>7333730</v>
    <v>7735148</v>
    <v>6546153</v>
    <v>5710566</v>
    <v>5628467</v>
    <v>8254171</v>
    <v>5547955</v>
    <v>7590959</v>
    <v>6521794</v>
    <v>7742280</v>
    <v>5492354</v>
    <v>6609788</v>
    <v>8000422</v>
    <v>9520576</v>
    <v>10499829</v>
    <v>8263810</v>
    <v>8491111</v>
    <v>14621203</v>
    <v>7329241</v>
    <v>8876441</v>
    <v>5891299</v>
    <v>5016301</v>
    <v>5111626</v>
    <v>5751309</v>
    <v>5661236</v>
    <v>6180493</v>
    <v>6840374</v>
    <v>4075342</v>
    <v>6666583</v>
    <v>6156572</v>
    <v>8749717</v>
    <v>15176869</v>
    <v>6914671</v>
    <v>6620303</v>
    <v>5267809</v>
    <v>5739246</v>
    <v>10495735</v>
    <v>5144443</v>
    <v>5491962</v>
    <v>3246157</v>
    <v>4888535</v>
    <v>5260229</v>
    <v>5892187</v>
    <v>6093187</v>
    <v>6352109</v>
    <v>5336394</v>
    <v>6711354</v>
    <v>6469582</v>
    <v>13801429</v>
    <v>10166247</v>
    <v>7398036</v>
    <v>6840609</v>
    <v>6261870</v>
    <v>7168217</v>
    <v>10019578</v>
    <v>8356878</v>
    <v>5625204</v>
    <v>6545677</v>
    <v>8293239</v>
    <v>7213419</v>
    <v>11280357</v>
    <v>12032209</v>
    <v>7607144</v>
    <v>5993028</v>
    <v>5094830</v>
    <v>4579186</v>
    <v>7605419</v>
    <v>9711395</v>
    <v>5141249</v>
    <v>7237785</v>
    <v>5012774</v>
    <v>4408517</v>
    <v>7275133</v>
    <v>5019375</v>
    <v>6552142</v>
    <v>7093429</v>
    <v>6870622</v>
    <v>4388728</v>
    <v>5187198</v>
    <v>7390125</v>
    <v>7971017</v>
    <v>6956452</v>
    <v>6939132</v>
    <v>4600392</v>
    <v>6016884</v>
    <v>7538233</v>
    <v>6559734</v>
    <v>5920165</v>
    <v>4541046</v>
    <v>3693548</v>
    <v>5187887</v>
    <v>5066586</v>
    <v>4722765</v>
    <v>4956119</v>
    <v>11838967</v>
    <v>4671645</v>
    <v>6041561</v>
    <v>5420011</v>
    <v>6122231</v>
    <v>7553905</v>
    <v>6010407</v>
    <v>4408019</v>
    <v>4684472</v>
    <v>4791223</v>
    <v>5331694</v>
    <v>4265971</v>
    <v>4766250</v>
    <v>6047269</v>
    <v>4793889</v>
    <v>5253459</v>
    <v>5963961</v>
    <v>10547966</v>
    <v>5982291</v>
    <v>4798238</v>
    <v>5908012</v>
    <v>6082736</v>
    <v>5680612</v>
    <v>7442026</v>
    <v>5386525</v>
    <v>6400449</v>
    <v>4842653</v>
    <v>5216879</v>
    <v>5820530</v>
    <v>8613860</v>
    <v>5256652</v>
    <v>4644011</v>
    <v>6547074</v>
    <v>8926601</v>
    <v>7522812</v>
    <v>8926134</v>
    <v>7146759</v>
    <v>7181408</v>
    <v>7162233</v>
    <v>7716385</v>
    <v>11328515</v>
    <v>7514177</v>
    <v>8233678</v>
    <v>9061274</v>
    <v>10141056</v>
    <v>8265961</v>
    <v>12256242</v>
    <v>5683499</v>
    <v>4140444</v>
    <v>5687821</v>
    <v>6946494</v>
    <v>8674415</v>
    <v>10333110</v>
    <v>7898098</v>
    <v>8389611</v>
    <v>8410303</v>
    <v>9398671</v>
    <v>13446656</v>
    <v>6176269</v>
    <v>8324900</v>
    <v>8732378</v>
    <v>10342958</v>
    <v>9336094</v>
    <v>9516653</v>
    <v>17702755</v>
    <v>8720824</v>
    <v>3164071</v>
    <v>4656981</v>
    <v>5588306</v>
    <v>6268692</v>
    <v>5811401</v>
    <v>6051330</v>
    <v>5879816</v>
    <v>7910493</v>
    <v>8422010</v>
    <v>11175552</v>
    <v>8821541</v>
    <v>10376377</v>
    <v>8681741</v>
    <v>7434562</v>
    <v>8964016</v>
    <v>10773054</v>
    <v>11111747</v>
    <v>16834747</v>
    <v>10506361</v>
    <v>9887682</v>
    <v>15152314</v>
    <v>10320613</v>
    <v>7156421</v>
    <v>8910983</v>
    <v>8458715</v>
    <v>6687487</v>
    <v>9645289</v>
    <v>8946957</v>
    <v>7418468</v>
    <v>6204916</v>
    <v>6936561</v>
    <v>7554811</v>
    <v>7746014</v>
    <v>10705077</v>
    <v>6411840</v>
    <v>9670657</v>
    <v>7974736</v>
    <v>7224030</v>
    <v>12546930</v>
    <v>10201917</v>
    <v>12303697</v>
    <v>11396410</v>
    <v>8364573</v>
    <v>12037415</v>
    <v>9191464</v>
    <v>11999962</v>
    <v>8745050</v>
    <v>8037888</v>
    <v>9637593</v>
    <v>17558982</v>
    <v>9890648</v>
    <v>8010692</v>
    <v>5286734</v>
    <v>6235797</v>
    <v>6669815</v>
    <v>7348974</v>
    <v>5936637</v>
    <v>7485930</v>
    <v>17047106</v>
    <v>8046565</v>
    <v>7456197</v>
    <v>7223773</v>
    <v>6752466</v>
    <v>5760545</v>
    <v>12481400</v>
    <v>23303065</v>
    <v>10356920</v>
    <v>13249313</v>
    <v>16601728</v>
    <v>18083040</v>
    <v>12018391</v>
    <v>18773742</v>
    <v>13830474</v>
    <v>9943851</v>
    <v>10685338</v>
    <v>10847653</v>
    <v>7987296</v>
    <v>10981067</v>
    <v>6285438</v>
    <v>7136321</v>
    <v>9099438</v>
    <v>8310425</v>
    <v>8643927</v>
    <v>5815179</v>
    <v>5246725</v>
    <v>9598156</v>
    <v>7325849</v>
    <v>5974539</v>
    <v>5464496</v>
    <v>8644189</v>
    <v>7854106</v>
    <v>7606095</v>
    <v>6520449</v>
    <v>9023782</v>
    <v>10549609</v>
    <v>10215952</v>
    <v>7945768</v>
    <v>8051150</v>
    <v>12639948</v>
    <v>7351451</v>
    <v>7032225</v>
    <v>7535335</v>
    <v>6727539</v>
    <v>6990694</v>
    <v>8459310</v>
    <v>6810982</v>
    <v>15529716</v>
    <v>6669669</v>
    <v>8209757</v>
    <v>6983861</v>
    <v>5296258</v>
    <v>5391841</v>
    <v>5319232</v>
    <v>6791881</v>
    <v>6016039</v>
    <v>7075511</v>
    <v>6587849</v>
    <v>7023995</v>
    <v>6407098</v>
    <v>8325237</v>
    <v>22605471</v>
    <v>7397853</v>
    <v>9544217</v>
    <v>7153708</v>
    <v>7156903</v>
    <v>10010787</v>
    <v>9039552</v>
    <v>10896676</v>
    <v>5544030</v>
    <v>3482521</v>
    <v>6270887</v>
    <v>6438221</v>
    <v>6147685</v>
    <v>6733128</v>
    <v>7872172</v>
    <v>10185632</v>
    <v>6873200</v>
    <v>22134769</v>
    <v>11295747</v>
    <v>9793046</v>
    <v>8254003</v>
    <v>9287991</v>
    <v>10617636</v>
    <v>6636918</v>
    <v>6255183</v>
    <v>8014640</v>
    <v>7663408</v>
    <v>6189161</v>
    <v>11036179</v>
    <v>8928229</v>
    <v>12679095</v>
    <v>7934442</v>
    <v>8957240</v>
    <v>9315942</v>
    <v>7686765</v>
    <v>7256778</v>
    <v>7917437</v>
    <v>5878666</v>
    <v>8241942</v>
    <v>9477559</v>
    <v>9284138</v>
    <v>9274182</v>
    <v>9030396</v>
    <v>8859552</v>
    <v>9524308</v>
    <v>6229149</v>
    <v>9145045</v>
    <v>5951099</v>
    <v>6424695</v>
    <v>6942311</v>
    <v>9049003</v>
    <v>7111689</v>
    <v>7854833</v>
    <v>9733803</v>
    <v>8382514</v>
    <v>6005703</v>
    <v>6891590</v>
    <v>5792527</v>
    <v>7220473</v>
    <v>4768547</v>
    <v>7959652</v>
    <v>6715188</v>
    <v>8200854</v>
    <v>25620954</v>
    <v>7193868</v>
    <v>8350743</v>
    <v>6676770</v>
    <v>8474975</v>
    <v>8634403</v>
    <v>8597083</v>
    <v>11569019</v>
    <v>13063788</v>
    <v>7728069</v>
    <v>8675087</v>
    <v>5806089</v>
    <v>8776784</v>
    <v>5751163</v>
    <v>7484764</v>
    <v>9598019</v>
    <v>7979476</v>
    <v>13613340</v>
    <v>9472995</v>
    <v>10611760</v>
    <v>7764449</v>
    <v>8034740</v>
    <v>6716360</v>
    <v>6343472</v>
    <v>8882491</v>
    <v>6903379</v>
    <v>7125956</v>
    <v>8329457</v>
    <v>10551079</v>
    <v>7072517</v>
    <v>8791666</v>
    <v>7542636</v>
    <v>7209395</v>
    <v>5049443</v>
    <v>6767417</v>
    <v>6959209</v>
    <v>5324077</v>
    <v>7465592</v>
    <v>8803005</v>
    <v>8631614</v>
    <v>8824847</v>
    <v>13256995</v>
    <v>12468619</v>
    <v>14690837</v>
    <v>10612550</v>
    <v>13189055</v>
    <v>14803873</v>
    <v>10275724</v>
    <v>6728994</v>
    <v>5638279</v>
    <v>8473726</v>
    <v>8393565</v>
    <v>8363292</v>
    <v>9049943</v>
    <v>7785552</v>
    <v>7785708</v>
    <v>7509402</v>
    <v>11599785</v>
    <v>9008960</v>
    <v>6922683</v>
    <v>8466964</v>
    <v>9949810</v>
    <v>8457560</v>
    <v>7499852</v>
    <v>24803920</v>
    <v>8187755</v>
    <v>7047346</v>
    <v>2376541</v>
    <v>2316730</v>
    <v>4348854</v>
    <v>3937395</v>
    <v>4084013</v>
    <v>6325672</v>
    <v>9476975</v>
    <v>8107853</v>
    <v>7545920</v>
    <v>6557776</v>
    <v>6154326</v>
    <v>11794339</v>
    <v>11379590</v>
    <v>11858784</v>
    <v>8492116</v>
    <v>10021515</v>
    <v>14057136</v>
    <v>14762883</v>
    <v>13160041</v>
    <v>6951040</v>
    <v>6857093</v>
    <v>8154489</v>
    <v>9026495</v>
    <v>9645348</v>
    <v>11045529</v>
  </a>
</arrayData>
</file>

<file path=xl/richData/rdrichvalue.xml><?xml version="1.0" encoding="utf-8"?>
<rvData xmlns="http://schemas.microsoft.com/office/spreadsheetml/2017/richdata" count="1534">
  <rv s="0">
    <fb>45293</fb>
    <v>0</v>
  </rv>
  <rv s="0">
    <fb>159.97</fb>
    <v>1</v>
  </rv>
  <rv s="0">
    <fb>9622108</fb>
    <v>2</v>
  </rv>
  <rv s="0">
    <fb>45294</fb>
    <v>0</v>
  </rv>
  <rv s="0">
    <fb>160.97</fb>
    <v>1</v>
  </rv>
  <rv s="0">
    <fb>8231987</fb>
    <v>2</v>
  </rv>
  <rv s="0">
    <fb>45295</fb>
    <v>0</v>
  </rv>
  <rv s="0">
    <fb>160.63</fb>
    <v>1</v>
  </rv>
  <rv s="0">
    <fb>6766641</fb>
    <v>2</v>
  </rv>
  <rv s="0">
    <fb>45296</fb>
    <v>0</v>
  </rv>
  <rv s="0">
    <fb>161.13</fb>
    <v>1</v>
  </rv>
  <rv s="0">
    <fb>5602564</fb>
    <v>2</v>
  </rv>
  <rv s="0">
    <fb>45299</fb>
    <v>0</v>
  </rv>
  <rv s="0">
    <fb>161.53</fb>
    <v>1</v>
  </rv>
  <rv s="0">
    <fb>6569810</fb>
    <v>2</v>
  </rv>
  <rv s="0">
    <fb>45300</fb>
    <v>0</v>
  </rv>
  <rv s="0">
    <fb>161.63</fb>
    <v>1</v>
  </rv>
  <rv s="0">
    <fb>6357014</fb>
    <v>2</v>
  </rv>
  <rv s="0">
    <fb>45301</fb>
    <v>0</v>
  </rv>
  <rv s="0">
    <fb>161.87</fb>
    <v>1</v>
  </rv>
  <rv s="0">
    <fb>4945088</fb>
    <v>2</v>
  </rv>
  <rv s="0">
    <fb>45302</fb>
    <v>0</v>
  </rv>
  <rv s="0">
    <fb>161.15</fb>
    <v>1</v>
  </rv>
  <rv s="0">
    <fb>4946015</fb>
    <v>2</v>
  </rv>
  <rv s="0">
    <fb>45303</fb>
    <v>0</v>
  </rv>
  <rv s="0">
    <fb>162.38999999999999</fb>
    <v>1</v>
  </rv>
  <rv s="0">
    <fb>4496942</fb>
    <v>2</v>
  </rv>
  <rv s="0">
    <fb>45307</fb>
    <v>0</v>
  </rv>
  <rv s="0">
    <fb>160.52000000000001</fb>
    <v>1</v>
  </rv>
  <rv s="0">
    <fb>6923174</fb>
    <v>2</v>
  </rv>
  <rv s="0">
    <fb>45308</fb>
    <v>0</v>
  </rv>
  <rv s="0">
    <fb>160.43</fb>
    <v>1</v>
  </rv>
  <rv s="0">
    <fb>5072104</fb>
    <v>2</v>
  </rv>
  <rv s="0">
    <fb>45309</fb>
    <v>0</v>
  </rv>
  <rv s="0">
    <fb>161.21</fb>
    <v>1</v>
  </rv>
  <rv s="0">
    <fb>5368502</fb>
    <v>2</v>
  </rv>
  <rv s="0">
    <fb>45310</fb>
    <v>0</v>
  </rv>
  <rv s="0">
    <fb>161.68</fb>
    <v>1</v>
  </rv>
  <rv s="0">
    <fb>7071320</fb>
    <v>2</v>
  </rv>
  <rv s="0">
    <fb>45313</fb>
    <v>0</v>
  </rv>
  <rv s="0">
    <fb>162.47</fb>
    <v>1</v>
  </rv>
  <rv s="0">
    <fb>6824156</fb>
    <v>2</v>
  </rv>
  <rv s="0">
    <fb>45314</fb>
    <v>0</v>
  </rv>
  <rv s="0">
    <fb>159.81</fb>
    <v>1</v>
  </rv>
  <rv s="0">
    <fb>9149777</fb>
    <v>2</v>
  </rv>
  <rv s="0">
    <fb>45315</fb>
    <v>0</v>
  </rv>
  <rv s="0">
    <fb>158.96</fb>
    <v>1</v>
  </rv>
  <rv s="0">
    <fb>7247926</fb>
    <v>2</v>
  </rv>
  <rv s="0">
    <fb>45316</fb>
    <v>0</v>
  </rv>
  <rv s="0">
    <fb>159.56</fb>
    <v>1</v>
  </rv>
  <rv s="0">
    <fb>5478898</fb>
    <v>2</v>
  </rv>
  <rv s="0">
    <fb>45317</fb>
    <v>0</v>
  </rv>
  <rv s="0">
    <fb>159.5</fb>
    <v>1</v>
  </rv>
  <rv s="0">
    <fb>5591930</fb>
    <v>2</v>
  </rv>
  <rv s="0">
    <fb>45320</fb>
    <v>0</v>
  </rv>
  <rv s="0">
    <fb>159.36000000000001</fb>
    <v>1</v>
  </rv>
  <rv s="0">
    <fb>6483190</fb>
    <v>2</v>
  </rv>
  <rv s="0">
    <fb>45321</fb>
    <v>0</v>
  </rv>
  <rv s="0">
    <fb>158.77000000000001</fb>
    <v>1</v>
  </rv>
  <rv s="0">
    <fb>7200538</fb>
    <v>2</v>
  </rv>
  <rv s="0">
    <fb>45322</fb>
    <v>0</v>
  </rv>
  <rv s="0">
    <fb>158.9</fb>
    <v>1</v>
  </rv>
  <rv s="0">
    <fb>8257029</fb>
    <v>2</v>
  </rv>
  <rv s="0">
    <fb>45323</fb>
    <v>0</v>
  </rv>
  <rv s="0">
    <fb>158.36000000000001</fb>
    <v>1</v>
  </rv>
  <rv s="0">
    <fb>8012122</fb>
    <v>2</v>
  </rv>
  <rv s="0">
    <fb>45324</fb>
    <v>0</v>
  </rv>
  <rv s="0">
    <fb>156.61000000000001</fb>
    <v>1</v>
  </rv>
  <rv s="0">
    <fb>8295916</fb>
    <v>2</v>
  </rv>
  <rv s="0">
    <fb>45327</fb>
    <v>0</v>
  </rv>
  <rv s="0">
    <fb>155.80000000000001</fb>
    <v>1</v>
  </rv>
  <rv s="0">
    <fb>9121808</fb>
    <v>2</v>
  </rv>
  <rv s="0">
    <fb>45328</fb>
    <v>0</v>
  </rv>
  <rv s="0">
    <fb>158.06</fb>
    <v>1</v>
  </rv>
  <rv s="0">
    <fb>9230611</fb>
    <v>2</v>
  </rv>
  <rv s="0">
    <fb>45329</fb>
    <v>0</v>
  </rv>
  <rv s="0">
    <fb>157.97999999999999</fb>
    <v>1</v>
  </rv>
  <rv s="0">
    <fb>8690294</fb>
    <v>2</v>
  </rv>
  <rv s="0">
    <fb>45330</fb>
    <v>0</v>
  </rv>
  <rv s="0">
    <fb>156.4</fb>
    <v>1</v>
  </rv>
  <rv s="0">
    <fb>9754960</fb>
    <v>2</v>
  </rv>
  <rv s="0">
    <fb>45331</fb>
    <v>0</v>
  </rv>
  <rv s="0">
    <fb>156.76</fb>
    <v>1</v>
  </rv>
  <rv s="0">
    <fb>6529202</fb>
    <v>2</v>
  </rv>
  <rv s="0">
    <fb>45334</fb>
    <v>0</v>
  </rv>
  <rv s="0">
    <fb>157.85</fb>
    <v>1</v>
  </rv>
  <rv s="0">
    <fb>6701508</fb>
    <v>2</v>
  </rv>
  <rv s="0">
    <fb>45335</fb>
    <v>0</v>
  </rv>
  <rv s="0">
    <fb>156.47</fb>
    <v>1</v>
  </rv>
  <rv s="0">
    <fb>8621022</fb>
    <v>2</v>
  </rv>
  <rv s="0">
    <fb>45336</fb>
    <v>0</v>
  </rv>
  <rv s="0">
    <fb>155.74</fb>
    <v>1</v>
  </rv>
  <rv s="0">
    <fb>9098805</fb>
    <v>2</v>
  </rv>
  <rv s="0">
    <fb>45337</fb>
    <v>0</v>
  </rv>
  <rv s="0">
    <fb>157.91999999999999</fb>
    <v>1</v>
  </rv>
  <rv s="0">
    <fb>7462529</fb>
    <v>2</v>
  </rv>
  <rv s="0">
    <fb>45338</fb>
    <v>0</v>
  </rv>
  <rv s="0">
    <fb>156.55000000000001</fb>
    <v>1</v>
  </rv>
  <rv s="0">
    <fb>8540961</fb>
    <v>2</v>
  </rv>
  <rv s="0">
    <fb>45342</fb>
    <v>0</v>
  </rv>
  <rv s="0">
    <fb>157.86000000000001</fb>
    <v>1</v>
  </rv>
  <rv s="0">
    <fb>9501742</fb>
    <v>2</v>
  </rv>
  <rv s="0">
    <fb>45343</fb>
    <v>0</v>
  </rv>
  <rv s="0">
    <fb>158.68</fb>
    <v>1</v>
  </rv>
  <rv s="0">
    <fb>7473300</fb>
    <v>2</v>
  </rv>
  <rv s="0">
    <fb>45344</fb>
    <v>0</v>
  </rv>
  <rv s="0">
    <fb>160.44999999999999</fb>
    <v>1</v>
  </rv>
  <rv s="0">
    <fb>8065010</fb>
    <v>2</v>
  </rv>
  <rv s="0">
    <fb>45345</fb>
    <v>0</v>
  </rv>
  <rv s="0">
    <fb>161.84</fb>
    <v>1</v>
  </rv>
  <rv s="0">
    <fb>6725963</fb>
    <v>2</v>
  </rv>
  <rv s="0">
    <fb>45348</fb>
    <v>0</v>
  </rv>
  <rv s="0">
    <fb>160.79</fb>
    <v>1</v>
  </rv>
  <rv s="0">
    <fb>5465417</fb>
    <v>2</v>
  </rv>
  <rv s="0">
    <fb>45349</fb>
    <v>0</v>
  </rv>
  <rv s="0">
    <fb>160.97999999999999</fb>
    <v>1</v>
  </rv>
  <rv s="0">
    <fb>5078650</fb>
    <v>2</v>
  </rv>
  <rv s="0">
    <fb>45350</fb>
    <v>0</v>
  </rv>
  <rv s="0">
    <fb>161.55000000000001</fb>
    <v>1</v>
  </rv>
  <rv s="0">
    <fb>6071076</fb>
    <v>2</v>
  </rv>
  <rv s="0">
    <fb>45351</fb>
    <v>0</v>
  </rv>
  <rv s="0">
    <fb>161.38</fb>
    <v>1</v>
  </rv>
  <rv s="0">
    <fb>9849270</fb>
    <v>2</v>
  </rv>
  <rv s="0">
    <fb>45352</fb>
    <v>0</v>
  </rv>
  <rv s="0">
    <fb>162.12</fb>
    <v>1</v>
  </rv>
  <rv s="0">
    <fb>5670135</fb>
    <v>2</v>
  </rv>
  <rv s="0">
    <fb>45355</fb>
    <v>0</v>
  </rv>
  <rv s="0">
    <fb>159.84</fb>
    <v>1</v>
  </rv>
  <rv s="0">
    <fb>8533083</fb>
    <v>2</v>
  </rv>
  <rv s="0">
    <fb>45356</fb>
    <v>0</v>
  </rv>
  <rv s="0">
    <fb>8298182</fb>
    <v>2</v>
  </rv>
  <rv s="0">
    <fb>45357</fb>
    <v>0</v>
  </rv>
  <rv s="0">
    <fb>159.34</fb>
    <v>1</v>
  </rv>
  <rv s="0">
    <fb>5773683</fb>
    <v>2</v>
  </rv>
  <rv s="0">
    <fb>45358</fb>
    <v>0</v>
  </rv>
  <rv s="0">
    <fb>158.87</fb>
    <v>1</v>
  </rv>
  <rv s="0">
    <fb>5188726</fb>
    <v>2</v>
  </rv>
  <rv s="0">
    <fb>45359</fb>
    <v>0</v>
  </rv>
  <rv s="0">
    <fb>159.52000000000001</fb>
    <v>1</v>
  </rv>
  <rv s="0">
    <fb>5283951</fb>
    <v>2</v>
  </rv>
  <rv s="0">
    <fb>45362</fb>
    <v>0</v>
  </rv>
  <rv s="0">
    <fb>161.22999999999999</fb>
    <v>1</v>
  </rv>
  <rv s="0">
    <fb>4620826</fb>
    <v>2</v>
  </rv>
  <rv s="0">
    <fb>45363</fb>
    <v>0</v>
  </rv>
  <rv s="0">
    <fb>162.74</fb>
    <v>1</v>
  </rv>
  <rv s="0">
    <fb>8018736</fb>
    <v>2</v>
  </rv>
  <rv s="0">
    <fb>45364</fb>
    <v>0</v>
  </rv>
  <rv s="0">
    <fb>161.1</fb>
    <v>1</v>
  </rv>
  <rv s="0">
    <fb>6260000</fb>
    <v>2</v>
  </rv>
  <rv s="0">
    <fb>45365</fb>
    <v>0</v>
  </rv>
  <rv s="0">
    <fb>159.21</fb>
    <v>1</v>
  </rv>
  <rv s="0">
    <fb>6988264</fb>
    <v>2</v>
  </rv>
  <rv s="0">
    <fb>45366</fb>
    <v>0</v>
  </rv>
  <rv s="0">
    <fb>158.18</fb>
    <v>1</v>
  </rv>
  <rv s="0">
    <fb>13165500</fb>
    <v>2</v>
  </rv>
  <rv s="0">
    <fb>45369</fb>
    <v>0</v>
  </rv>
  <rv s="0">
    <fb>6602255</fb>
    <v>2</v>
  </rv>
  <rv s="0">
    <fb>45370</fb>
    <v>0</v>
  </rv>
  <rv s="0">
    <fb>156.21</fb>
    <v>1</v>
  </rv>
  <rv s="0">
    <fb>7840624</fb>
    <v>2</v>
  </rv>
  <rv s="0">
    <fb>45371</fb>
    <v>0</v>
  </rv>
  <rv s="0">
    <fb>155.76</fb>
    <v>1</v>
  </rv>
  <rv s="0">
    <fb>5982304</fb>
    <v>2</v>
  </rv>
  <rv s="0">
    <fb>45372</fb>
    <v>0</v>
  </rv>
  <rv s="0">
    <fb>155.75</fb>
    <v>1</v>
  </rv>
  <rv s="0">
    <fb>5915777</fb>
    <v>2</v>
  </rv>
  <rv s="0">
    <fb>45373</fb>
    <v>0</v>
  </rv>
  <rv s="0">
    <fb>155.22999999999999</fb>
    <v>1</v>
  </rv>
  <rv s="0">
    <fb>7248622</fb>
    <v>2</v>
  </rv>
  <rv s="0">
    <fb>45376</fb>
    <v>0</v>
  </rv>
  <rv s="0">
    <fb>155.22</fb>
    <v>1</v>
  </rv>
  <rv s="0">
    <fb>7498100</fb>
    <v>2</v>
  </rv>
  <rv s="0">
    <fb>45377</fb>
    <v>0</v>
  </rv>
  <rv s="0">
    <fb>155.77000000000001</fb>
    <v>1</v>
  </rv>
  <rv s="0">
    <fb>6864099</fb>
    <v>2</v>
  </rv>
  <rv s="0">
    <fb>45378</fb>
    <v>0</v>
  </rv>
  <rv s="0">
    <fb>157.96</fb>
    <v>1</v>
  </rv>
  <rv s="0">
    <fb>8461600</fb>
    <v>2</v>
  </rv>
  <rv s="0">
    <fb>45379</fb>
    <v>0</v>
  </rv>
  <rv s="0">
    <fb>158.19</fb>
    <v>1</v>
  </rv>
  <rv s="0">
    <fb>6181503</fb>
    <v>2</v>
  </rv>
  <rv s="0">
    <fb>45383</fb>
    <v>0</v>
  </rv>
  <rv s="0">
    <fb>157.78</fb>
    <v>1</v>
  </rv>
  <rv s="0">
    <fb>4364699</fb>
    <v>2</v>
  </rv>
  <rv s="0">
    <fb>45384</fb>
    <v>0</v>
  </rv>
  <rv s="0">
    <fb>157.72999999999999</fb>
    <v>1</v>
  </rv>
  <rv s="0">
    <fb>6102497</fb>
    <v>2</v>
  </rv>
  <rv s="0">
    <fb>45385</fb>
    <v>0</v>
  </rv>
  <rv s="0">
    <fb>154.26</fb>
    <v>1</v>
  </rv>
  <rv s="0">
    <fb>8098242</fb>
    <v>2</v>
  </rv>
  <rv s="0">
    <fb>45386</fb>
    <v>0</v>
  </rv>
  <rv s="0">
    <fb>152.5</fb>
    <v>1</v>
  </rv>
  <rv s="0">
    <fb>6947423</fb>
    <v>2</v>
  </rv>
  <rv s="0">
    <fb>45387</fb>
    <v>0</v>
  </rv>
  <rv s="0">
    <fb>152.38999999999999</fb>
    <v>1</v>
  </rv>
  <rv s="0">
    <fb>6783020</fb>
    <v>2</v>
  </rv>
  <rv s="0">
    <fb>45390</fb>
    <v>0</v>
  </rv>
  <rv s="0">
    <fb>151.59</fb>
    <v>1</v>
  </rv>
  <rv s="0">
    <fb>5935415</fb>
    <v>2</v>
  </rv>
  <rv s="0">
    <fb>45391</fb>
    <v>0</v>
  </rv>
  <rv s="0">
    <fb>152.29</fb>
    <v>1</v>
  </rv>
  <rv s="0">
    <fb>6135556</fb>
    <v>2</v>
  </rv>
  <rv s="0">
    <fb>45392</fb>
    <v>0</v>
  </rv>
  <rv s="0">
    <fb>150.19999999999999</fb>
    <v>1</v>
  </rv>
  <rv s="0">
    <fb>6809519</fb>
    <v>2</v>
  </rv>
  <rv s="0">
    <fb>45393</fb>
    <v>0</v>
  </rv>
  <rv s="0">
    <fb>148.79</fb>
    <v>1</v>
  </rv>
  <rv s="0">
    <fb>8374434</fb>
    <v>2</v>
  </rv>
  <rv s="0">
    <fb>45394</fb>
    <v>0</v>
  </rv>
  <rv s="0">
    <fb>147.52000000000001</fb>
    <v>1</v>
  </rv>
  <rv s="0">
    <fb>7100178</fb>
    <v>2</v>
  </rv>
  <rv s="0">
    <fb>45397</fb>
    <v>0</v>
  </rv>
  <rv s="0">
    <fb>147.59</fb>
    <v>1</v>
  </rv>
  <rv s="0">
    <fb>8502266</fb>
    <v>2</v>
  </rv>
  <rv s="0">
    <fb>45398</fb>
    <v>0</v>
  </rv>
  <rv s="0">
    <fb>144.44999999999999</fb>
    <v>1</v>
  </rv>
  <rv s="0">
    <fb>12774859</fb>
    <v>2</v>
  </rv>
  <rv s="0">
    <fb>45399</fb>
    <v>0</v>
  </rv>
  <rv s="0">
    <fb>144.77000000000001</fb>
    <v>1</v>
  </rv>
  <rv s="0">
    <fb>9378059</fb>
    <v>2</v>
  </rv>
  <rv s="0">
    <fb>45400</fb>
    <v>0</v>
  </rv>
  <rv s="0">
    <fb>145.74</fb>
    <v>1</v>
  </rv>
  <rv s="0">
    <fb>9887704</fb>
    <v>2</v>
  </rv>
  <rv s="0">
    <fb>45401</fb>
    <v>0</v>
  </rv>
  <rv s="0">
    <fb>147.91</fb>
    <v>1</v>
  </rv>
  <rv s="0">
    <fb>9750751</fb>
    <v>2</v>
  </rv>
  <rv s="0">
    <fb>45404</fb>
    <v>0</v>
  </rv>
  <rv s="0">
    <fb>149.12</fb>
    <v>1</v>
  </rv>
  <rv s="0">
    <fb>10118694</fb>
    <v>2</v>
  </rv>
  <rv s="0">
    <fb>45405</fb>
    <v>0</v>
  </rv>
  <rv s="0">
    <fb>149.56</fb>
    <v>1</v>
  </rv>
  <rv s="0">
    <fb>10110442</fb>
    <v>2</v>
  </rv>
  <rv s="0">
    <fb>45406</fb>
    <v>0</v>
  </rv>
  <rv s="0">
    <fb>148.53</fb>
    <v>1</v>
  </rv>
  <rv s="0">
    <fb>9756259</fb>
    <v>2</v>
  </rv>
  <rv s="0">
    <fb>45407</fb>
    <v>0</v>
  </rv>
  <rv s="0">
    <fb>146.82</fb>
    <v>1</v>
  </rv>
  <rv s="0">
    <fb>7642732</fb>
    <v>2</v>
  </rv>
  <rv s="0">
    <fb>45408</fb>
    <v>0</v>
  </rv>
  <rv s="0">
    <fb>146.13999999999999</fb>
    <v>1</v>
  </rv>
  <rv s="0">
    <fb>6182982</fb>
    <v>2</v>
  </rv>
  <rv s="0">
    <fb>45411</fb>
    <v>0</v>
  </rv>
  <rv s="0">
    <fb>6461588</fb>
    <v>2</v>
  </rv>
  <rv s="0">
    <fb>45412</fb>
    <v>0</v>
  </rv>
  <rv s="0">
    <fb>144.59</fb>
    <v>1</v>
  </rv>
  <rv s="0">
    <fb>8817719</fb>
    <v>2</v>
  </rv>
  <rv s="0">
    <fb>45413</fb>
    <v>0</v>
  </rv>
  <rv s="0">
    <fb>151.18</fb>
    <v>1</v>
  </rv>
  <rv s="0">
    <fb>14473711</fb>
    <v>2</v>
  </rv>
  <rv s="0">
    <fb>45414</fb>
    <v>0</v>
  </rv>
  <rv s="0">
    <fb>149.91999999999999</fb>
    <v>1</v>
  </rv>
  <rv s="0">
    <fb>8459796</fb>
    <v>2</v>
  </rv>
  <rv s="0">
    <fb>45415</fb>
    <v>0</v>
  </rv>
  <rv s="0">
    <fb>149.27000000000001</fb>
    <v>1</v>
  </rv>
  <rv s="0">
    <fb>6532718</fb>
    <v>2</v>
  </rv>
  <rv s="0">
    <fb>45418</fb>
    <v>0</v>
  </rv>
  <rv s="0">
    <fb>148.58000000000001</fb>
    <v>1</v>
  </rv>
  <rv s="0">
    <fb>5042757</fb>
    <v>2</v>
  </rv>
  <rv s="0">
    <fb>45419</fb>
    <v>0</v>
  </rv>
  <rv s="0">
    <fb>148.72</fb>
    <v>1</v>
  </rv>
  <rv s="0">
    <fb>7333730</fb>
    <v>2</v>
  </rv>
  <rv s="0">
    <fb>45420</fb>
    <v>0</v>
  </rv>
  <rv s="0">
    <fb>148.94999999999999</fb>
    <v>1</v>
  </rv>
  <rv s="0">
    <fb>7735148</fb>
    <v>2</v>
  </rv>
  <rv s="0">
    <fb>45421</fb>
    <v>0</v>
  </rv>
  <rv s="0">
    <fb>149.85</fb>
    <v>1</v>
  </rv>
  <rv s="0">
    <fb>6546153</fb>
    <v>2</v>
  </rv>
  <rv s="0">
    <fb>45422</fb>
    <v>0</v>
  </rv>
  <rv s="0">
    <fb>149.91</fb>
    <v>1</v>
  </rv>
  <rv s="0">
    <fb>5710566</fb>
    <v>2</v>
  </rv>
  <rv s="0">
    <fb>45425</fb>
    <v>0</v>
  </rv>
  <rv s="0">
    <fb>151.22</fb>
    <v>1</v>
  </rv>
  <rv s="0">
    <fb>5628467</fb>
    <v>2</v>
  </rv>
  <rv s="0">
    <fb>45426</fb>
    <v>0</v>
  </rv>
  <rv s="0">
    <fb>151.38</fb>
    <v>1</v>
  </rv>
  <rv s="0">
    <fb>8254171</fb>
    <v>2</v>
  </rv>
  <rv s="0">
    <fb>45427</fb>
    <v>0</v>
  </rv>
  <rv s="0">
    <fb>152.66999999999999</fb>
    <v>1</v>
  </rv>
  <rv s="0">
    <fb>5547955</fb>
    <v>2</v>
  </rv>
  <rv s="0">
    <fb>45428</fb>
    <v>0</v>
  </rv>
  <rv s="0">
    <fb>154.28</fb>
    <v>1</v>
  </rv>
  <rv s="0">
    <fb>7590959</fb>
    <v>2</v>
  </rv>
  <rv s="0">
    <fb>45429</fb>
    <v>0</v>
  </rv>
  <rv s="0">
    <fb>154.63999999999999</fb>
    <v>1</v>
  </rv>
  <rv s="0">
    <fb>6521794</fb>
    <v>2</v>
  </rv>
  <rv s="0">
    <fb>45432</fb>
    <v>0</v>
  </rv>
  <rv s="0">
    <fb>151.27000000000001</fb>
    <v>1</v>
  </rv>
  <rv s="0">
    <fb>7742280</fb>
    <v>2</v>
  </rv>
  <rv s="0">
    <fb>45433</fb>
    <v>0</v>
  </rv>
  <rv s="0">
    <fb>151.24</fb>
    <v>1</v>
  </rv>
  <rv s="0">
    <fb>5492354</fb>
    <v>2</v>
  </rv>
  <rv s="0">
    <fb>45434</fb>
    <v>0</v>
  </rv>
  <rv s="0">
    <fb>153.5</fb>
    <v>1</v>
  </rv>
  <rv s="0">
    <fb>6609788</fb>
    <v>2</v>
  </rv>
  <rv s="0">
    <fb>45435</fb>
    <v>0</v>
  </rv>
  <rv s="0">
    <fb>149.69999999999999</fb>
    <v>1</v>
  </rv>
  <rv s="0">
    <fb>8000422</fb>
    <v>2</v>
  </rv>
  <rv s="0">
    <fb>45436</fb>
    <v>0</v>
  </rv>
  <rv s="0">
    <fb>146.97</fb>
    <v>1</v>
  </rv>
  <rv s="0">
    <fb>9520576</fb>
    <v>2</v>
  </rv>
  <rv s="0">
    <fb>45440</fb>
    <v>0</v>
  </rv>
  <rv s="0">
    <fb>144.38</fb>
    <v>1</v>
  </rv>
  <rv s="0">
    <fb>10499829</fb>
    <v>2</v>
  </rv>
  <rv s="0">
    <fb>45441</fb>
    <v>0</v>
  </rv>
  <rv s="0">
    <fb>144.44</fb>
    <v>1</v>
  </rv>
  <rv s="0">
    <fb>8263810</fb>
    <v>2</v>
  </rv>
  <rv s="0">
    <fb>45442</fb>
    <v>0</v>
  </rv>
  <rv s="0">
    <fb>145.28</fb>
    <v>1</v>
  </rv>
  <rv s="0">
    <fb>8491111</fb>
    <v>2</v>
  </rv>
  <rv s="0">
    <fb>45443</fb>
    <v>0</v>
  </rv>
  <rv s="0">
    <fb>146.66999999999999</fb>
    <v>1</v>
  </rv>
  <rv s="0">
    <fb>14621203</fb>
    <v>2</v>
  </rv>
  <rv s="0">
    <fb>45446</fb>
    <v>0</v>
  </rv>
  <rv s="0">
    <fb>147.74</fb>
    <v>1</v>
  </rv>
  <rv s="0">
    <fb>7329241</fb>
    <v>2</v>
  </rv>
  <rv s="0">
    <fb>45447</fb>
    <v>0</v>
  </rv>
  <rv s="0">
    <fb>147.80000000000001</fb>
    <v>1</v>
  </rv>
  <rv s="0">
    <fb>8876441</fb>
    <v>2</v>
  </rv>
  <rv s="0">
    <fb>45448</fb>
    <v>0</v>
  </rv>
  <rv s="0">
    <fb>145.97</fb>
    <v>1</v>
  </rv>
  <rv s="0">
    <fb>5891299</fb>
    <v>2</v>
  </rv>
  <rv s="0">
    <fb>45449</fb>
    <v>0</v>
  </rv>
  <rv s="0">
    <fb>146.41999999999999</fb>
    <v>1</v>
  </rv>
  <rv s="0">
    <fb>5016301</fb>
    <v>2</v>
  </rv>
  <rv s="0">
    <fb>45450</fb>
    <v>0</v>
  </rv>
  <rv s="0">
    <fb>147.08000000000001</fb>
    <v>1</v>
  </rv>
  <rv s="0">
    <fb>5111626</fb>
    <v>2</v>
  </rv>
  <rv s="0">
    <fb>45453</fb>
    <v>0</v>
  </rv>
  <rv s="0">
    <fb>147.13</fb>
    <v>1</v>
  </rv>
  <rv s="0">
    <fb>5751309</fb>
    <v>2</v>
  </rv>
  <rv s="0">
    <fb>45454</fb>
    <v>0</v>
  </rv>
  <rv s="0">
    <fb>146.76</fb>
    <v>1</v>
  </rv>
  <rv s="0">
    <fb>5661236</fb>
    <v>2</v>
  </rv>
  <rv s="0">
    <fb>45455</fb>
    <v>0</v>
  </rv>
  <rv s="0">
    <fb>145.41</fb>
    <v>1</v>
  </rv>
  <rv s="0">
    <fb>6180493</fb>
    <v>2</v>
  </rv>
  <rv s="0">
    <fb>45456</fb>
    <v>0</v>
  </rv>
  <rv s="0">
    <fb>145.44999999999999</fb>
    <v>1</v>
  </rv>
  <rv s="0">
    <fb>6840374</fb>
    <v>2</v>
  </rv>
  <rv s="0">
    <fb>45457</fb>
    <v>0</v>
  </rv>
  <rv s="0">
    <fb>145.54</fb>
    <v>1</v>
  </rv>
  <rv s="0">
    <fb>4075342</fb>
    <v>2</v>
  </rv>
  <rv s="0">
    <fb>45460</fb>
    <v>0</v>
  </rv>
  <rv s="0">
    <fb>145.94999999999999</fb>
    <v>1</v>
  </rv>
  <rv s="0">
    <fb>6666583</fb>
    <v>2</v>
  </rv>
  <rv s="0">
    <fb>45461</fb>
    <v>0</v>
  </rv>
  <rv s="0">
    <fb>145.65</fb>
    <v>1</v>
  </rv>
  <rv s="0">
    <fb>6156572</fb>
    <v>2</v>
  </rv>
  <rv s="0">
    <fb>45463</fb>
    <v>0</v>
  </rv>
  <rv s="0">
    <fb>147.78</fb>
    <v>1</v>
  </rv>
  <rv s="0">
    <fb>8749717</fb>
    <v>2</v>
  </rv>
  <rv s="0">
    <fb>45464</fb>
    <v>0</v>
  </rv>
  <rv s="0">
    <fb>148.75</fb>
    <v>1</v>
  </rv>
  <rv s="0">
    <fb>15176869</fb>
    <v>2</v>
  </rv>
  <rv s="0">
    <fb>45467</fb>
    <v>0</v>
  </rv>
  <rv s="0">
    <fb>6914671</fb>
    <v>2</v>
  </rv>
  <rv s="0">
    <fb>45468</fb>
    <v>0</v>
  </rv>
  <rv s="0">
    <fb>147.19</fb>
    <v>1</v>
  </rv>
  <rv s="0">
    <fb>6620303</fb>
    <v>2</v>
  </rv>
  <rv s="0">
    <fb>45469</fb>
    <v>0</v>
  </rv>
  <rv s="0">
    <fb>5267809</fb>
    <v>2</v>
  </rv>
  <rv s="0">
    <fb>45470</fb>
    <v>0</v>
  </rv>
  <rv s="0">
    <fb>145.80000000000001</fb>
    <v>1</v>
  </rv>
  <rv s="0">
    <fb>5739246</fb>
    <v>2</v>
  </rv>
  <rv s="0">
    <fb>45471</fb>
    <v>0</v>
  </rv>
  <rv s="0">
    <fb>146.16</fb>
    <v>1</v>
  </rv>
  <rv s="0">
    <fb>10495735</fb>
    <v>2</v>
  </rv>
  <rv s="0">
    <fb>45474</fb>
    <v>0</v>
  </rv>
  <rv s="0">
    <fb>146.44</fb>
    <v>1</v>
  </rv>
  <rv s="0">
    <fb>5144443</fb>
    <v>2</v>
  </rv>
  <rv s="0">
    <fb>45475</fb>
    <v>0</v>
  </rv>
  <rv s="0">
    <fb>146.03</fb>
    <v>1</v>
  </rv>
  <rv s="0">
    <fb>5491962</fb>
    <v>2</v>
  </rv>
  <rv s="0">
    <fb>45476</fb>
    <v>0</v>
  </rv>
  <rv s="0">
    <fb>145.69</fb>
    <v>1</v>
  </rv>
  <rv s="0">
    <fb>3246157</fb>
    <v>2</v>
  </rv>
  <rv s="0">
    <fb>45478</fb>
    <v>0</v>
  </rv>
  <rv s="0">
    <fb>146.47999999999999</fb>
    <v>1</v>
  </rv>
  <rv s="0">
    <fb>4888535</fb>
    <v>2</v>
  </rv>
  <rv s="0">
    <fb>45481</fb>
    <v>0</v>
  </rv>
  <rv s="0">
    <fb>145.47999999999999</fb>
    <v>1</v>
  </rv>
  <rv s="0">
    <fb>5260229</fb>
    <v>2</v>
  </rv>
  <rv s="0">
    <fb>45482</fb>
    <v>0</v>
  </rv>
  <rv s="0">
    <fb>147.05000000000001</fb>
    <v>1</v>
  </rv>
  <rv s="0">
    <fb>5892187</fb>
    <v>2</v>
  </rv>
  <rv s="0">
    <fb>45483</fb>
    <v>0</v>
  </rv>
  <rv s="0">
    <fb>149.43</fb>
    <v>1</v>
  </rv>
  <rv s="0">
    <fb>6093187</fb>
    <v>2</v>
  </rv>
  <rv s="0">
    <fb>45484</fb>
    <v>0</v>
  </rv>
  <rv s="0">
    <fb>6352109</fb>
    <v>2</v>
  </rv>
  <rv s="0">
    <fb>45485</fb>
    <v>0</v>
  </rv>
  <rv s="0">
    <fb>149.88</fb>
    <v>1</v>
  </rv>
  <rv s="0">
    <fb>5336394</fb>
    <v>2</v>
  </rv>
  <rv s="0">
    <fb>45488</fb>
    <v>0</v>
  </rv>
  <rv s="0">
    <fb>149.24</fb>
    <v>1</v>
  </rv>
  <rv s="0">
    <fb>6711354</fb>
    <v>2</v>
  </rv>
  <rv s="0">
    <fb>45489</fb>
    <v>0</v>
  </rv>
  <rv s="0">
    <fb>151.01</fb>
    <v>1</v>
  </rv>
  <rv s="0">
    <fb>6469582</fb>
    <v>2</v>
  </rv>
  <rv s="0">
    <fb>45490</fb>
    <v>0</v>
  </rv>
  <rv s="0">
    <fb>156.58000000000001</fb>
    <v>1</v>
  </rv>
  <rv s="0">
    <fb>13801429</fb>
    <v>2</v>
  </rv>
  <rv s="0">
    <fb>45491</fb>
    <v>0</v>
  </rv>
  <rv s="0">
    <fb>155.41999999999999</fb>
    <v>1</v>
  </rv>
  <rv s="0">
    <fb>10166247</fb>
    <v>2</v>
  </rv>
  <rv s="0">
    <fb>45492</fb>
    <v>0</v>
  </rv>
  <rv s="0">
    <fb>154.69</fb>
    <v>1</v>
  </rv>
  <rv s="0">
    <fb>7398036</fb>
    <v>2</v>
  </rv>
  <rv s="0">
    <fb>45495</fb>
    <v>0</v>
  </rv>
  <rv s="0">
    <fb>154.24</fb>
    <v>1</v>
  </rv>
  <rv s="0">
    <fb>6840609</fb>
    <v>2</v>
  </rv>
  <rv s="0">
    <fb>45496</fb>
    <v>0</v>
  </rv>
  <rv s="0">
    <fb>152.35</fb>
    <v>1</v>
  </rv>
  <rv s="0">
    <fb>6261870</fb>
    <v>2</v>
  </rv>
  <rv s="0">
    <fb>45497</fb>
    <v>0</v>
  </rv>
  <rv s="0">
    <fb>156.28</fb>
    <v>1</v>
  </rv>
  <rv s="0">
    <fb>7168217</fb>
    <v>2</v>
  </rv>
  <rv s="0">
    <fb>45498</fb>
    <v>0</v>
  </rv>
  <rv s="0">
    <fb>159.63999999999999</fb>
    <v>1</v>
  </rv>
  <rv s="0">
    <fb>10019578</fb>
    <v>2</v>
  </rv>
  <rv s="0">
    <fb>45499</fb>
    <v>0</v>
  </rv>
  <rv s="0">
    <fb>160.63999999999999</fb>
    <v>1</v>
  </rv>
  <rv s="0">
    <fb>8356878</fb>
    <v>2</v>
  </rv>
  <rv s="0">
    <fb>45502</fb>
    <v>0</v>
  </rv>
  <rv s="0">
    <fb>158.56</fb>
    <v>1</v>
  </rv>
  <rv s="0">
    <fb>5625204</fb>
    <v>2</v>
  </rv>
  <rv s="0">
    <fb>45503</fb>
    <v>0</v>
  </rv>
  <rv s="0">
    <fb>161.33000000000001</fb>
    <v>1</v>
  </rv>
  <rv s="0">
    <fb>6545677</fb>
    <v>2</v>
  </rv>
  <rv s="0">
    <fb>45504</fb>
    <v>0</v>
  </rv>
  <rv s="0">
    <fb>8293239</fb>
    <v>2</v>
  </rv>
  <rv s="0">
    <fb>45505</fb>
    <v>0</v>
  </rv>
  <rv s="0">
    <fb>160.76</fb>
    <v>1</v>
  </rv>
  <rv s="0">
    <fb>7213419</fb>
    <v>2</v>
  </rv>
  <rv s="0">
    <fb>45506</fb>
    <v>0</v>
  </rv>
  <rv s="0">
    <fb>164.14</fb>
    <v>1</v>
  </rv>
  <rv s="0">
    <fb>11280357</fb>
    <v>2</v>
  </rv>
  <rv s="0">
    <fb>45509</fb>
    <v>0</v>
  </rv>
  <rv s="0">
    <fb>161.25</fb>
    <v>1</v>
  </rv>
  <rv s="0">
    <fb>12032209</fb>
    <v>2</v>
  </rv>
  <rv s="0">
    <fb>45510</fb>
    <v>0</v>
  </rv>
  <rv s="0">
    <fb>158.97</fb>
    <v>1</v>
  </rv>
  <rv s="0">
    <fb>7607144</fb>
    <v>2</v>
  </rv>
  <rv s="0">
    <fb>45511</fb>
    <v>0</v>
  </rv>
  <rv s="0">
    <fb>5993028</fb>
    <v>2</v>
  </rv>
  <rv s="0">
    <fb>45512</fb>
    <v>0</v>
  </rv>
  <rv s="0">
    <fb>160.22</fb>
    <v>1</v>
  </rv>
  <rv s="0">
    <fb>5094830</fb>
    <v>2</v>
  </rv>
  <rv s="0">
    <fb>45513</fb>
    <v>0</v>
  </rv>
  <rv s="0">
    <fb>160.62</fb>
    <v>1</v>
  </rv>
  <rv s="0">
    <fb>4579186</fb>
    <v>2</v>
  </rv>
  <rv s="0">
    <fb>45516</fb>
    <v>0</v>
  </rv>
  <rv s="0">
    <fb>159.88</fb>
    <v>1</v>
  </rv>
  <rv s="0">
    <fb>7605419</fb>
    <v>2</v>
  </rv>
  <rv s="0">
    <fb>45517</fb>
    <v>0</v>
  </rv>
  <rv s="0">
    <fb>158.38999999999999</fb>
    <v>1</v>
  </rv>
  <rv s="0">
    <fb>9711395</fb>
    <v>2</v>
  </rv>
  <rv s="0">
    <fb>45518</fb>
    <v>0</v>
  </rv>
  <rv s="0">
    <fb>158.47999999999999</fb>
    <v>1</v>
  </rv>
  <rv s="0">
    <fb>5141249</fb>
    <v>2</v>
  </rv>
  <rv s="0">
    <fb>45519</fb>
    <v>0</v>
  </rv>
  <rv s="0">
    <fb>159.09</fb>
    <v>1</v>
  </rv>
  <rv s="0">
    <fb>7237785</fb>
    <v>2</v>
  </rv>
  <rv s="0">
    <fb>45520</fb>
    <v>0</v>
  </rv>
  <rv s="0">
    <fb>159.38999999999999</fb>
    <v>1</v>
  </rv>
  <rv s="0">
    <fb>5012774</fb>
    <v>2</v>
  </rv>
  <rv s="0">
    <fb>45523</fb>
    <v>0</v>
  </rv>
  <rv s="0">
    <fb>159.63</fb>
    <v>1</v>
  </rv>
  <rv s="0">
    <fb>4408517</fb>
    <v>2</v>
  </rv>
  <rv s="0">
    <fb>45524</fb>
    <v>0</v>
  </rv>
  <rv s="0">
    <fb>160.16</fb>
    <v>1</v>
  </rv>
  <rv s="0">
    <fb>7275133</fb>
    <v>2</v>
  </rv>
  <rv s="0">
    <fb>45525</fb>
    <v>0</v>
  </rv>
  <rv s="0">
    <fb>161.43</fb>
    <v>1</v>
  </rv>
  <rv s="0">
    <fb>5019375</fb>
    <v>2</v>
  </rv>
  <rv s="0">
    <fb>45526</fb>
    <v>0</v>
  </rv>
  <rv s="0">
    <fb>162.35</fb>
    <v>1</v>
  </rv>
  <rv s="0">
    <fb>6552142</fb>
    <v>2</v>
  </rv>
  <rv s="0">
    <fb>45527</fb>
    <v>0</v>
  </rv>
  <rv s="0">
    <fb>164.13</fb>
    <v>1</v>
  </rv>
  <rv s="0">
    <fb>7093429</fb>
    <v>2</v>
  </rv>
  <rv s="0">
    <fb>45530</fb>
    <v>0</v>
  </rv>
  <rv s="0">
    <fb>164.61</fb>
    <v>1</v>
  </rv>
  <rv s="0">
    <fb>6870622</fb>
    <v>2</v>
  </rv>
  <rv s="0">
    <fb>45531</fb>
    <v>0</v>
  </rv>
  <rv s="0">
    <fb>162.94999999999999</fb>
    <v>1</v>
  </rv>
  <rv s="0">
    <fb>4388728</fb>
    <v>2</v>
  </rv>
  <rv s="0">
    <fb>45532</fb>
    <v>0</v>
  </rv>
  <rv s="0">
    <fb>163.92</fb>
    <v>1</v>
  </rv>
  <rv s="0">
    <fb>5187198</fb>
    <v>2</v>
  </rv>
  <rv s="0">
    <fb>45533</fb>
    <v>0</v>
  </rv>
  <rv s="0">
    <fb>164.23</fb>
    <v>1</v>
  </rv>
  <rv s="0">
    <fb>7390125</fb>
    <v>2</v>
  </rv>
  <rv s="0">
    <fb>45534</fb>
    <v>0</v>
  </rv>
  <rv s="0">
    <fb>165.86</fb>
    <v>1</v>
  </rv>
  <rv s="0">
    <fb>7971017</fb>
    <v>2</v>
  </rv>
  <rv s="0">
    <fb>45538</fb>
    <v>0</v>
  </rv>
  <rv s="0">
    <fb>167.16</fb>
    <v>1</v>
  </rv>
  <rv s="0">
    <fb>6956452</fb>
    <v>2</v>
  </rv>
  <rv s="0">
    <fb>45539</fb>
    <v>0</v>
  </rv>
  <rv s="0">
    <fb>167.36</fb>
    <v>1</v>
  </rv>
  <rv s="0">
    <fb>6939132</fb>
    <v>2</v>
  </rv>
  <rv s="0">
    <fb>45540</fb>
    <v>0</v>
  </rv>
  <rv s="0">
    <fb>164.99</fb>
    <v>1</v>
  </rv>
  <rv s="0">
    <fb>4600392</fb>
    <v>2</v>
  </rv>
  <rv s="0">
    <fb>45541</fb>
    <v>0</v>
  </rv>
  <rv s="0">
    <fb>164.38</fb>
    <v>1</v>
  </rv>
  <rv s="0">
    <fb>6016884</fb>
    <v>2</v>
  </rv>
  <rv s="0">
    <fb>45544</fb>
    <v>0</v>
  </rv>
  <rv s="0">
    <fb>166.61</fb>
    <v>1</v>
  </rv>
  <rv s="0">
    <fb>7538233</fb>
    <v>2</v>
  </rv>
  <rv s="0">
    <fb>45545</fb>
    <v>0</v>
  </rv>
  <rv s="0">
    <fb>167.38</fb>
    <v>1</v>
  </rv>
  <rv s="0">
    <fb>6559734</fb>
    <v>2</v>
  </rv>
  <rv s="0">
    <fb>45546</fb>
    <v>0</v>
  </rv>
  <rv s="0">
    <fb>164.82</fb>
    <v>1</v>
  </rv>
  <rv s="0">
    <fb>5920165</fb>
    <v>2</v>
  </rv>
  <rv s="0">
    <fb>45547</fb>
    <v>0</v>
  </rv>
  <rv s="0">
    <fb>164.64</fb>
    <v>1</v>
  </rv>
  <rv s="0">
    <fb>4541046</fb>
    <v>2</v>
  </rv>
  <rv s="0">
    <fb>45548</fb>
    <v>0</v>
  </rv>
  <rv s="0">
    <fb>165.52</fb>
    <v>1</v>
  </rv>
  <rv s="0">
    <fb>3693548</fb>
    <v>2</v>
  </rv>
  <rv s="0">
    <fb>45551</fb>
    <v>0</v>
  </rv>
  <rv s="0">
    <fb>166.99</fb>
    <v>1</v>
  </rv>
  <rv s="0">
    <fb>5187887</fb>
    <v>2</v>
  </rv>
  <rv s="0">
    <fb>45552</fb>
    <v>0</v>
  </rv>
  <rv s="0">
    <fb>167.07</fb>
    <v>1</v>
  </rv>
  <rv s="0">
    <fb>5066586</fb>
    <v>2</v>
  </rv>
  <rv s="0">
    <fb>45553</fb>
    <v>0</v>
  </rv>
  <rv s="0">
    <fb>166.15</fb>
    <v>1</v>
  </rv>
  <rv s="0">
    <fb>4722765</fb>
    <v>2</v>
  </rv>
  <rv s="0">
    <fb>45554</fb>
    <v>0</v>
  </rv>
  <rv s="0">
    <fb>4956119</fb>
    <v>2</v>
  </rv>
  <rv s="0">
    <fb>45555</fb>
    <v>0</v>
  </rv>
  <rv s="0">
    <fb>164.16</fb>
    <v>1</v>
  </rv>
  <rv s="0">
    <fb>11838967</fb>
    <v>2</v>
  </rv>
  <rv s="0">
    <fb>45558</fb>
    <v>0</v>
  </rv>
  <rv s="0">
    <fb>163.22</fb>
    <v>1</v>
  </rv>
  <rv s="0">
    <fb>4671645</fb>
    <v>2</v>
  </rv>
  <rv s="0">
    <fb>45559</fb>
    <v>0</v>
  </rv>
  <rv s="0">
    <fb>162.78</fb>
    <v>1</v>
  </rv>
  <rv s="0">
    <fb>6041561</fb>
    <v>2</v>
  </rv>
  <rv s="0">
    <fb>45560</fb>
    <v>0</v>
  </rv>
  <rv s="0">
    <fb>160.6</fb>
    <v>1</v>
  </rv>
  <rv s="0">
    <fb>5420011</fb>
    <v>2</v>
  </rv>
  <rv s="0">
    <fb>45561</fb>
    <v>0</v>
  </rv>
  <rv s="0">
    <fb>161.38999999999999</fb>
    <v>1</v>
  </rv>
  <rv s="0">
    <fb>6122231</fb>
    <v>2</v>
  </rv>
  <rv s="0">
    <fb>45562</fb>
    <v>0</v>
  </rv>
  <rv s="0">
    <fb>161.4</fb>
    <v>1</v>
  </rv>
  <rv s="0">
    <fb>7553905</fb>
    <v>2</v>
  </rv>
  <rv s="0">
    <fb>45565</fb>
    <v>0</v>
  </rv>
  <rv s="0">
    <fb>162.06</fb>
    <v>1</v>
  </rv>
  <rv s="0">
    <fb>6010407</fb>
    <v>2</v>
  </rv>
  <rv s="0">
    <fb>45566</fb>
    <v>0</v>
  </rv>
  <rv s="0">
    <fb>161.99</fb>
    <v>1</v>
  </rv>
  <rv s="0">
    <fb>4408019</fb>
    <v>2</v>
  </rv>
  <rv s="0">
    <fb>45567</fb>
    <v>0</v>
  </rv>
  <rv s="0">
    <fb>161.16999999999999</fb>
    <v>1</v>
  </rv>
  <rv s="0">
    <fb>4684472</fb>
    <v>2</v>
  </rv>
  <rv s="0">
    <fb>45568</fb>
    <v>0</v>
  </rv>
  <rv s="0">
    <fb>160.5</fb>
    <v>1</v>
  </rv>
  <rv s="0">
    <fb>4791223</fb>
    <v>2</v>
  </rv>
  <rv s="0">
    <fb>45569</fb>
    <v>0</v>
  </rv>
  <rv s="0">
    <fb>160.29</fb>
    <v>1</v>
  </rv>
  <rv s="0">
    <fb>5331694</fb>
    <v>2</v>
  </rv>
  <rv s="0">
    <fb>45572</fb>
    <v>0</v>
  </rv>
  <rv s="0">
    <fb>159.53</fb>
    <v>1</v>
  </rv>
  <rv s="0">
    <fb>4265971</fb>
    <v>2</v>
  </rv>
  <rv s="0">
    <fb>45573</fb>
    <v>0</v>
  </rv>
  <rv s="0">
    <fb>159.69</fb>
    <v>1</v>
  </rv>
  <rv s="0">
    <fb>4766250</fb>
    <v>2</v>
  </rv>
  <rv s="0">
    <fb>45574</fb>
    <v>0</v>
  </rv>
  <rv s="0">
    <fb>160.65</fb>
    <v>1</v>
  </rv>
  <rv s="0">
    <fb>6047269</fb>
    <v>2</v>
  </rv>
  <rv s="0">
    <fb>45575</fb>
    <v>0</v>
  </rv>
  <rv s="0">
    <fb>160.51</fb>
    <v>1</v>
  </rv>
  <rv s="0">
    <fb>4793889</fb>
    <v>2</v>
  </rv>
  <rv s="0">
    <fb>45576</fb>
    <v>0</v>
  </rv>
  <rv s="0">
    <fb>161.46</fb>
    <v>1</v>
  </rv>
  <rv s="0">
    <fb>5253459</fb>
    <v>2</v>
  </rv>
  <rv s="0">
    <fb>45579</fb>
    <v>0</v>
  </rv>
  <rv s="0">
    <fb>161.6</fb>
    <v>1</v>
  </rv>
  <rv s="0">
    <fb>5963961</fb>
    <v>2</v>
  </rv>
  <rv s="0">
    <fb>45580</fb>
    <v>0</v>
  </rv>
  <rv s="0">
    <fb>164.1</fb>
    <v>1</v>
  </rv>
  <rv s="0">
    <fb>10547966</fb>
    <v>2</v>
  </rv>
  <rv s="0">
    <fb>45581</fb>
    <v>0</v>
  </rv>
  <rv s="0">
    <fb>164.28</fb>
    <v>1</v>
  </rv>
  <rv s="0">
    <fb>5982291</fb>
    <v>2</v>
  </rv>
  <rv s="0">
    <fb>45582</fb>
    <v>0</v>
  </rv>
  <rv s="0">
    <fb>164.47</fb>
    <v>1</v>
  </rv>
  <rv s="0">
    <fb>4798238</fb>
    <v>2</v>
  </rv>
  <rv s="0">
    <fb>45583</fb>
    <v>0</v>
  </rv>
  <rv s="0">
    <fb>165.12</fb>
    <v>1</v>
  </rv>
  <rv s="0">
    <fb>5908012</fb>
    <v>2</v>
  </rv>
  <rv s="0">
    <fb>45586</fb>
    <v>0</v>
  </rv>
  <rv s="0">
    <fb>162.83000000000001</fb>
    <v>1</v>
  </rv>
  <rv s="0">
    <fb>6082736</fb>
    <v>2</v>
  </rv>
  <rv s="0">
    <fb>45587</fb>
    <v>0</v>
  </rv>
  <rv s="0">
    <fb>163.44999999999999</fb>
    <v>1</v>
  </rv>
  <rv s="0">
    <fb>5680612</fb>
    <v>2</v>
  </rv>
  <rv s="0">
    <fb>45588</fb>
    <v>0</v>
  </rv>
  <rv s="0">
    <fb>7442026</fb>
    <v>2</v>
  </rv>
  <rv s="0">
    <fb>45589</fb>
    <v>0</v>
  </rv>
  <rv s="0">
    <fb>163.66999999999999</fb>
    <v>1</v>
  </rv>
  <rv s="0">
    <fb>5386525</fb>
    <v>2</v>
  </rv>
  <rv s="0">
    <fb>45590</fb>
    <v>0</v>
  </rv>
  <rv s="0">
    <fb>160.88</fb>
    <v>1</v>
  </rv>
  <rv s="0">
    <fb>6400449</fb>
    <v>2</v>
  </rv>
  <rv s="0">
    <fb>45593</fb>
    <v>0</v>
  </rv>
  <rv s="0">
    <fb>4842653</fb>
    <v>2</v>
  </rv>
  <rv s="0">
    <fb>45594</fb>
    <v>0</v>
  </rv>
  <rv s="0">
    <fb>160.09</fb>
    <v>1</v>
  </rv>
  <rv s="0">
    <fb>5216879</fb>
    <v>2</v>
  </rv>
  <rv s="0">
    <fb>45595</fb>
    <v>0</v>
  </rv>
  <rv s="0">
    <fb>160.61000000000001</fb>
    <v>1</v>
  </rv>
  <rv s="0">
    <fb>5820530</fb>
    <v>2</v>
  </rv>
  <rv s="0">
    <fb>45596</fb>
    <v>0</v>
  </rv>
  <rv s="0">
    <fb>159.86000000000001</fb>
    <v>1</v>
  </rv>
  <rv s="0">
    <fb>8613860</fb>
    <v>2</v>
  </rv>
  <rv s="0">
    <fb>45597</fb>
    <v>0</v>
  </rv>
  <rv s="0">
    <fb>160.13</fb>
    <v>1</v>
  </rv>
  <rv s="0">
    <fb>5256652</fb>
    <v>2</v>
  </rv>
  <rv s="0">
    <fb>45600</fb>
    <v>0</v>
  </rv>
  <rv s="0">
    <fb>158.24</fb>
    <v>1</v>
  </rv>
  <rv s="0">
    <fb>4644011</fb>
    <v>2</v>
  </rv>
  <rv s="0">
    <fb>45601</fb>
    <v>0</v>
  </rv>
  <rv s="0">
    <fb>158.35</fb>
    <v>1</v>
  </rv>
  <rv s="0">
    <fb>6547074</fb>
    <v>2</v>
  </rv>
  <rv s="0">
    <fb>45602</fb>
    <v>0</v>
  </rv>
  <rv s="0">
    <fb>157.88</fb>
    <v>1</v>
  </rv>
  <rv s="0">
    <fb>8926601</fb>
    <v>2</v>
  </rv>
  <rv s="0">
    <fb>45603</fb>
    <v>0</v>
  </rv>
  <rv s="0">
    <fb>156.72999999999999</fb>
    <v>1</v>
  </rv>
  <rv s="0">
    <fb>7522812</fb>
    <v>2</v>
  </rv>
  <rv s="0">
    <fb>45604</fb>
    <v>0</v>
  </rv>
  <rv s="0">
    <fb>155.47</fb>
    <v>1</v>
  </rv>
  <rv s="0">
    <fb>8926134</fb>
    <v>2</v>
  </rv>
  <rv s="0">
    <fb>45607</fb>
    <v>0</v>
  </rv>
  <rv s="0">
    <fb>155.04</fb>
    <v>1</v>
  </rv>
  <rv s="0">
    <fb>7146759</fb>
    <v>2</v>
  </rv>
  <rv s="0">
    <fb>45608</fb>
    <v>0</v>
  </rv>
  <rv s="0">
    <fb>152.63999999999999</fb>
    <v>1</v>
  </rv>
  <rv s="0">
    <fb>7181408</fb>
    <v>2</v>
  </rv>
  <rv s="0">
    <fb>45609</fb>
    <v>0</v>
  </rv>
  <rv s="0">
    <fb>153.24</fb>
    <v>1</v>
  </rv>
  <rv s="0">
    <fb>7162233</fb>
    <v>2</v>
  </rv>
  <rv s="0">
    <fb>45610</fb>
    <v>0</v>
  </rv>
  <rv s="0">
    <fb>151.87</fb>
    <v>1</v>
  </rv>
  <rv s="0">
    <fb>7716385</fb>
    <v>2</v>
  </rv>
  <rv s="0">
    <fb>45611</fb>
    <v>0</v>
  </rv>
  <rv s="0">
    <fb>154</fb>
    <v>1</v>
  </rv>
  <rv s="0">
    <fb>11328515</fb>
    <v>2</v>
  </rv>
  <rv s="0">
    <fb>45614</fb>
    <v>0</v>
  </rv>
  <rv s="0">
    <fb>154.77000000000001</fb>
    <v>1</v>
  </rv>
  <rv s="0">
    <fb>7514177</fb>
    <v>2</v>
  </rv>
  <rv s="0">
    <fb>45615</fb>
    <v>0</v>
  </rv>
  <rv s="0">
    <fb>153</fb>
    <v>1</v>
  </rv>
  <rv s="0">
    <fb>8233678</fb>
    <v>2</v>
  </rv>
  <rv s="0">
    <fb>45616</fb>
    <v>0</v>
  </rv>
  <rv s="0">
    <fb>153.11000000000001</fb>
    <v>1</v>
  </rv>
  <rv s="0">
    <fb>9061274</fb>
    <v>2</v>
  </rv>
  <rv s="0">
    <fb>45617</fb>
    <v>0</v>
  </rv>
  <rv s="0">
    <fb>155.5</fb>
    <v>1</v>
  </rv>
  <rv s="0">
    <fb>10141056</fb>
    <v>2</v>
  </rv>
  <rv s="0">
    <fb>45618</fb>
    <v>0</v>
  </rv>
  <rv s="0">
    <fb>155.16999999999999</fb>
    <v>1</v>
  </rv>
  <rv s="0">
    <fb>8265961</fb>
    <v>2</v>
  </rv>
  <rv s="0">
    <fb>45621</fb>
    <v>0</v>
  </rv>
  <rv s="0">
    <fb>155.78</fb>
    <v>1</v>
  </rv>
  <rv s="0">
    <fb>12256242</fb>
    <v>2</v>
  </rv>
  <rv s="0">
    <fb>45622</fb>
    <v>0</v>
  </rv>
  <rv s="0">
    <fb>154.52000000000001</fb>
    <v>1</v>
  </rv>
  <rv s="0">
    <fb>5683499</fb>
    <v>2</v>
  </rv>
  <rv s="0">
    <fb>45623</fb>
    <v>0</v>
  </rv>
  <rv s="0">
    <fb>155.4</fb>
    <v>1</v>
  </rv>
  <rv s="0">
    <fb>4140444</fb>
    <v>2</v>
  </rv>
  <rv s="0">
    <fb>45625</fb>
    <v>0</v>
  </rv>
  <rv s="0">
    <fb>155.01</fb>
    <v>1</v>
  </rv>
  <rv s="0">
    <fb>5687821</fb>
    <v>2</v>
  </rv>
  <rv s="0">
    <fb>45628</fb>
    <v>0</v>
  </rv>
  <rv s="0">
    <fb>154.80000000000001</fb>
    <v>1</v>
  </rv>
  <rv s="0">
    <fb>6946494</fb>
    <v>2</v>
  </rv>
  <rv s="0">
    <fb>45629</fb>
    <v>0</v>
  </rv>
  <rv s="0">
    <fb>152.36000000000001</fb>
    <v>1</v>
  </rv>
  <rv s="0">
    <fb>8674415</fb>
    <v>2</v>
  </rv>
  <rv s="0">
    <fb>45630</fb>
    <v>0</v>
  </rv>
  <rv s="0">
    <fb>150.47</fb>
    <v>1</v>
  </rv>
  <rv s="0">
    <fb>10333110</fb>
    <v>2</v>
  </rv>
  <rv s="0">
    <fb>45631</fb>
    <v>0</v>
  </rv>
  <rv s="0">
    <fb>149.52000000000001</fb>
    <v>1</v>
  </rv>
  <rv s="0">
    <fb>7898098</fb>
    <v>2</v>
  </rv>
  <rv s="0">
    <fb>45632</fb>
    <v>0</v>
  </rv>
  <rv s="0">
    <fb>149.31</fb>
    <v>1</v>
  </rv>
  <rv s="0">
    <fb>8389611</fb>
    <v>2</v>
  </rv>
  <rv s="0">
    <fb>45635</fb>
    <v>0</v>
  </rv>
  <rv s="0">
    <fb>149.6</fb>
    <v>1</v>
  </rv>
  <rv s="0">
    <fb>8410303</fb>
    <v>2</v>
  </rv>
  <rv s="0">
    <fb>45636</fb>
    <v>0</v>
  </rv>
  <rv s="0">
    <fb>149.22999999999999</fb>
    <v>1</v>
  </rv>
  <rv s="0">
    <fb>9398671</fb>
    <v>2</v>
  </rv>
  <rv s="0">
    <fb>45637</fb>
    <v>0</v>
  </rv>
  <rv s="0">
    <fb>146.63999999999999</fb>
    <v>1</v>
  </rv>
  <rv s="0">
    <fb>13446656</fb>
    <v>2</v>
  </rv>
  <rv s="0">
    <fb>45638</fb>
    <v>0</v>
  </rv>
  <rv s="0">
    <fb>146.24</fb>
    <v>1</v>
  </rv>
  <rv s="0">
    <fb>6176269</fb>
    <v>2</v>
  </rv>
  <rv s="0">
    <fb>45639</fb>
    <v>0</v>
  </rv>
  <rv s="0">
    <fb>146.62</fb>
    <v>1</v>
  </rv>
  <rv s="0">
    <fb>8324900</fb>
    <v>2</v>
  </rv>
  <rv s="0">
    <fb>45642</fb>
    <v>0</v>
  </rv>
  <rv s="0">
    <fb>143.85</fb>
    <v>1</v>
  </rv>
  <rv s="0">
    <fb>8732378</fb>
    <v>2</v>
  </rv>
  <rv s="0">
    <fb>45643</fb>
    <v>0</v>
  </rv>
  <rv s="0">
    <fb>146.41</fb>
    <v>1</v>
  </rv>
  <rv s="0">
    <fb>10342958</fb>
    <v>2</v>
  </rv>
  <rv s="0">
    <fb>45644</fb>
    <v>0</v>
  </rv>
  <rv s="0">
    <fb>144.75</fb>
    <v>1</v>
  </rv>
  <rv s="0">
    <fb>9336094</fb>
    <v>2</v>
  </rv>
  <rv s="0">
    <fb>45645</fb>
    <v>0</v>
  </rv>
  <rv s="0">
    <fb>143.58000000000001</fb>
    <v>1</v>
  </rv>
  <rv s="0">
    <fb>9516653</fb>
    <v>2</v>
  </rv>
  <rv s="0">
    <fb>45646</fb>
    <v>0</v>
  </rv>
  <rv s="0">
    <fb>144.47</fb>
    <v>1</v>
  </rv>
  <rv s="0">
    <fb>17702755</fb>
    <v>2</v>
  </rv>
  <rv s="0">
    <fb>45649</fb>
    <v>0</v>
  </rv>
  <rv s="0">
    <fb>145.27000000000001</fb>
    <v>1</v>
  </rv>
  <rv s="0">
    <fb>8720824</fb>
    <v>2</v>
  </rv>
  <rv s="0">
    <fb>45650</fb>
    <v>0</v>
  </rv>
  <rv s="0">
    <fb>145.85</fb>
    <v>1</v>
  </rv>
  <rv s="0">
    <fb>3164071</fb>
    <v>2</v>
  </rv>
  <rv s="0">
    <fb>45652</fb>
    <v>0</v>
  </rv>
  <rv s="0">
    <fb>145.58000000000001</fb>
    <v>1</v>
  </rv>
  <rv s="0">
    <fb>4656981</fb>
    <v>2</v>
  </rv>
  <rv s="0">
    <fb>45653</fb>
    <v>0</v>
  </rv>
  <rv s="0">
    <fb>145.05000000000001</fb>
    <v>1</v>
  </rv>
  <rv s="0">
    <fb>5588306</fb>
    <v>2</v>
  </rv>
  <rv s="0">
    <fb>45656</fb>
    <v>0</v>
  </rv>
  <rv s="0">
    <fb>143.34</fb>
    <v>1</v>
  </rv>
  <rv s="0">
    <fb>6268692</fb>
    <v>2</v>
  </rv>
  <rv s="0">
    <fb>45657</fb>
    <v>0</v>
  </rv>
  <rv s="0">
    <fb>144.62</fb>
    <v>1</v>
  </rv>
  <rv s="0">
    <fb>5811401</fb>
    <v>2</v>
  </rv>
  <rv s="0">
    <fb>45659</fb>
    <v>0</v>
  </rv>
  <rv s="0">
    <fb>144.02000000000001</fb>
    <v>1</v>
  </rv>
  <rv s="0">
    <fb>6051330</fb>
    <v>2</v>
  </rv>
  <rv s="0">
    <fb>45660</fb>
    <v>0</v>
  </rv>
  <rv s="0">
    <fb>144.19</fb>
    <v>1</v>
  </rv>
  <rv s="0">
    <fb>5879816</fb>
    <v>2</v>
  </rv>
  <rv s="0">
    <fb>45663</fb>
    <v>0</v>
  </rv>
  <rv s="0">
    <fb>143.66</fb>
    <v>1</v>
  </rv>
  <rv s="0">
    <fb>7910493</fb>
    <v>2</v>
  </rv>
  <rv s="0">
    <fb>45664</fb>
    <v>0</v>
  </rv>
  <rv s="0">
    <fb>146.22999999999999</fb>
    <v>1</v>
  </rv>
  <rv s="0">
    <fb>8422010</fb>
    <v>2</v>
  </rv>
  <rv s="0">
    <fb>45665</fb>
    <v>0</v>
  </rv>
  <rv s="0">
    <fb>142.27000000000001</fb>
    <v>1</v>
  </rv>
  <rv s="0">
    <fb>11175552</fb>
    <v>2</v>
  </rv>
  <rv s="0">
    <fb>45667</fb>
    <v>0</v>
  </rv>
  <rv s="0">
    <fb>142.06</fb>
    <v>1</v>
  </rv>
  <rv s="0">
    <fb>8821541</fb>
    <v>2</v>
  </rv>
  <rv s="0">
    <fb>45670</fb>
    <v>0</v>
  </rv>
  <rv s="0">
    <fb>10376377</fb>
    <v>2</v>
  </rv>
  <rv s="0">
    <fb>45671</fb>
    <v>0</v>
  </rv>
  <rv s="0">
    <fb>8681741</fb>
    <v>2</v>
  </rv>
  <rv s="0">
    <fb>45672</fb>
    <v>0</v>
  </rv>
  <rv s="0">
    <fb>144.97</fb>
    <v>1</v>
  </rv>
  <rv s="0">
    <fb>7434562</fb>
    <v>2</v>
  </rv>
  <rv s="0">
    <fb>45673</fb>
    <v>0</v>
  </rv>
  <rv s="0">
    <fb>147.77000000000001</fb>
    <v>1</v>
  </rv>
  <rv s="0">
    <fb>8964016</fb>
    <v>2</v>
  </rv>
  <rv s="0">
    <fb>45674</fb>
    <v>0</v>
  </rv>
  <rv s="0">
    <fb>147.03</fb>
    <v>1</v>
  </rv>
  <rv s="0">
    <fb>10773054</fb>
    <v>2</v>
  </rv>
  <rv s="0">
    <fb>45678</fb>
    <v>0</v>
  </rv>
  <rv s="0">
    <fb>148.15</fb>
    <v>1</v>
  </rv>
  <rv s="0">
    <fb>11111747</fb>
    <v>2</v>
  </rv>
  <rv s="0">
    <fb>45679</fb>
    <v>0</v>
  </rv>
  <rv s="0">
    <fb>16834747</fb>
    <v>2</v>
  </rv>
  <rv s="0">
    <fb>45680</fb>
    <v>0</v>
  </rv>
  <rv s="0">
    <fb>10506361</fb>
    <v>2</v>
  </rv>
  <rv s="0">
    <fb>45681</fb>
    <v>0</v>
  </rv>
  <rv s="0">
    <fb>9887682</fb>
    <v>2</v>
  </rv>
  <rv s="0">
    <fb>45684</fb>
    <v>0</v>
  </rv>
  <rv s="0">
    <fb>152.88999999999999</fb>
    <v>1</v>
  </rv>
  <rv s="0">
    <fb>15152314</fb>
    <v>2</v>
  </rv>
  <rv s="0">
    <fb>45685</fb>
    <v>0</v>
  </rv>
  <rv s="0">
    <fb>150.38</fb>
    <v>1</v>
  </rv>
  <rv s="0">
    <fb>10320613</fb>
    <v>2</v>
  </rv>
  <rv s="0">
    <fb>45686</fb>
    <v>0</v>
  </rv>
  <rv s="0">
    <fb>151.15</fb>
    <v>1</v>
  </rv>
  <rv s="0">
    <fb>7156421</fb>
    <v>2</v>
  </rv>
  <rv s="0">
    <fb>45687</fb>
    <v>0</v>
  </rv>
  <rv s="0">
    <fb>152.87</fb>
    <v>1</v>
  </rv>
  <rv s="0">
    <fb>8910983</fb>
    <v>2</v>
  </rv>
  <rv s="0">
    <fb>45688</fb>
    <v>0</v>
  </rv>
  <rv s="0">
    <fb>152.15</fb>
    <v>1</v>
  </rv>
  <rv s="0">
    <fb>8458715</fb>
    <v>2</v>
  </rv>
  <rv s="0">
    <fb>45691</fb>
    <v>0</v>
  </rv>
  <rv s="0">
    <fb>6687487</fb>
    <v>2</v>
  </rv>
  <rv s="0">
    <fb>45692</fb>
    <v>0</v>
  </rv>
  <rv s="0">
    <fb>153.49</fb>
    <v>1</v>
  </rv>
  <rv s="0">
    <fb>9645289</fb>
    <v>2</v>
  </rv>
  <rv s="0">
    <fb>45693</fb>
    <v>0</v>
  </rv>
  <rv s="0">
    <fb>8946957</fb>
    <v>2</v>
  </rv>
  <rv s="0">
    <fb>45694</fb>
    <v>0</v>
  </rv>
  <rv s="0">
    <fb>153.51</fb>
    <v>1</v>
  </rv>
  <rv s="0">
    <fb>7418468</fb>
    <v>2</v>
  </rv>
  <rv s="0">
    <fb>45695</fb>
    <v>0</v>
  </rv>
  <rv s="0">
    <fb>153.12</fb>
    <v>1</v>
  </rv>
  <rv s="0">
    <fb>6204916</fb>
    <v>2</v>
  </rv>
  <rv s="0">
    <fb>45698</fb>
    <v>0</v>
  </rv>
  <rv s="0">
    <fb>6936561</fb>
    <v>2</v>
  </rv>
  <rv s="0">
    <fb>45699</fb>
    <v>0</v>
  </rv>
  <rv s="0">
    <fb>156.13</fb>
    <v>1</v>
  </rv>
  <rv s="0">
    <fb>7554811</fb>
    <v>2</v>
  </rv>
  <rv s="0">
    <fb>45700</fb>
    <v>0</v>
  </rv>
  <rv s="0">
    <fb>155.26</fb>
    <v>1</v>
  </rv>
  <rv s="0">
    <fb>7746014</fb>
    <v>2</v>
  </rv>
  <rv s="0">
    <fb>45701</fb>
    <v>0</v>
  </rv>
  <rv s="0">
    <fb>157.25</fb>
    <v>1</v>
  </rv>
  <rv s="0">
    <fb>10705077</fb>
    <v>2</v>
  </rv>
  <rv s="0">
    <fb>45702</fb>
    <v>0</v>
  </rv>
  <rv s="0">
    <fb>156.15</fb>
    <v>1</v>
  </rv>
  <rv s="0">
    <fb>6411840</fb>
    <v>2</v>
  </rv>
  <rv s="0">
    <fb>45706</fb>
    <v>0</v>
  </rv>
  <rv s="0">
    <fb>154.99</fb>
    <v>1</v>
  </rv>
  <rv s="0">
    <fb>9670657</fb>
    <v>2</v>
  </rv>
  <rv s="0">
    <fb>45707</fb>
    <v>0</v>
  </rv>
  <rv s="0">
    <fb>157.88999999999999</fb>
    <v>1</v>
  </rv>
  <rv s="0">
    <fb>7974736</fb>
    <v>2</v>
  </rv>
  <rv s="0">
    <fb>45708</fb>
    <v>0</v>
  </rv>
  <rv s="0">
    <fb>159.68</fb>
    <v>1</v>
  </rv>
  <rv s="0">
    <fb>7224030</fb>
    <v>2</v>
  </rv>
  <rv s="0">
    <fb>45709</fb>
    <v>0</v>
  </rv>
  <rv s="0">
    <fb>162.30000000000001</fb>
    <v>1</v>
  </rv>
  <rv s="0">
    <fb>12546930</fb>
    <v>2</v>
  </rv>
  <rv s="0">
    <fb>45712</fb>
    <v>0</v>
  </rv>
  <rv s="0">
    <fb>163.74</fb>
    <v>1</v>
  </rv>
  <rv s="0">
    <fb>10201917</fb>
    <v>2</v>
  </rv>
  <rv s="0">
    <fb>45713</fb>
    <v>0</v>
  </rv>
  <rv s="0">
    <fb>166.09</fb>
    <v>1</v>
  </rv>
  <rv s="0">
    <fb>12303697</fb>
    <v>2</v>
  </rv>
  <rv s="0">
    <fb>45714</fb>
    <v>0</v>
  </rv>
  <rv s="0">
    <fb>163.08000000000001</fb>
    <v>1</v>
  </rv>
  <rv s="0">
    <fb>11396410</fb>
    <v>2</v>
  </rv>
  <rv s="0">
    <fb>45715</fb>
    <v>0</v>
  </rv>
  <rv s="0">
    <fb>163.72999999999999</fb>
    <v>1</v>
  </rv>
  <rv s="0">
    <fb>8364573</fb>
    <v>2</v>
  </rv>
  <rv s="0">
    <fb>45716</fb>
    <v>0</v>
  </rv>
  <rv s="0">
    <fb>165.02</fb>
    <v>1</v>
  </rv>
  <rv s="0">
    <fb>12037415</fb>
    <v>2</v>
  </rv>
  <rv s="0">
    <fb>45719</fb>
    <v>0</v>
  </rv>
  <rv s="0">
    <fb>167.28</fb>
    <v>1</v>
  </rv>
  <rv s="0">
    <fb>9191464</fb>
    <v>2</v>
  </rv>
  <rv s="0">
    <fb>45720</fb>
    <v>0</v>
  </rv>
  <rv s="0">
    <fb>165.42</fb>
    <v>1</v>
  </rv>
  <rv s="0">
    <fb>11999962</fb>
    <v>2</v>
  </rv>
  <rv s="0">
    <fb>45721</fb>
    <v>0</v>
  </rv>
  <rv s="0">
    <fb>8745050</fb>
    <v>2</v>
  </rv>
  <rv s="0">
    <fb>45722</fb>
    <v>0</v>
  </rv>
  <rv s="0">
    <fb>165.83</fb>
    <v>1</v>
  </rv>
  <rv s="0">
    <fb>8037888</fb>
    <v>2</v>
  </rv>
  <rv s="0">
    <fb>45723</fb>
    <v>0</v>
  </rv>
  <rv s="0">
    <fb>166.69</fb>
    <v>1</v>
  </rv>
  <rv s="0">
    <fb>9637593</fb>
    <v>2</v>
  </rv>
  <rv s="0">
    <fb>45726</fb>
    <v>0</v>
  </rv>
  <rv s="0">
    <fb>167.7</fb>
    <v>1</v>
  </rv>
  <rv s="0">
    <fb>17558982</fb>
    <v>2</v>
  </rv>
  <rv s="0">
    <fb>45727</fb>
    <v>0</v>
  </rv>
  <rv s="0">
    <fb>9890648</fb>
    <v>2</v>
  </rv>
  <rv s="0">
    <fb>45728</fb>
    <v>0</v>
  </rv>
  <rv s="0">
    <fb>162.85</fb>
    <v>1</v>
  </rv>
  <rv s="0">
    <fb>8010692</fb>
    <v>2</v>
  </rv>
  <rv s="0">
    <fb>45729</fb>
    <v>0</v>
  </rv>
  <rv s="0">
    <fb>162.99</fb>
    <v>1</v>
  </rv>
  <rv s="0">
    <fb>5286734</fb>
    <v>2</v>
  </rv>
  <rv s="0">
    <fb>45730</fb>
    <v>0</v>
  </rv>
  <rv s="0">
    <fb>162.81</fb>
    <v>1</v>
  </rv>
  <rv s="0">
    <fb>6235797</fb>
    <v>2</v>
  </rv>
  <rv s="0">
    <fb>45733</fb>
    <v>0</v>
  </rv>
  <rv s="0">
    <fb>162.84</fb>
    <v>1</v>
  </rv>
  <rv s="0">
    <fb>6669815</fb>
    <v>2</v>
  </rv>
  <rv s="0">
    <fb>45734</fb>
    <v>0</v>
  </rv>
  <rv s="0">
    <fb>164.25</fb>
    <v>1</v>
  </rv>
  <rv s="0">
    <fb>7348974</fb>
    <v>2</v>
  </rv>
  <rv s="0">
    <fb>45735</fb>
    <v>0</v>
  </rv>
  <rv s="0">
    <fb>5936637</fb>
    <v>2</v>
  </rv>
  <rv s="0">
    <fb>45736</fb>
    <v>0</v>
  </rv>
  <rv s="0">
    <fb>163.02000000000001</fb>
    <v>1</v>
  </rv>
  <rv s="0">
    <fb>7485930</fb>
    <v>2</v>
  </rv>
  <rv s="0">
    <fb>45737</fb>
    <v>0</v>
  </rv>
  <rv s="0">
    <fb>163.63</fb>
    <v>1</v>
  </rv>
  <rv s="0">
    <fb>17047106</fb>
    <v>2</v>
  </rv>
  <rv s="0">
    <fb>45740</fb>
    <v>0</v>
  </rv>
  <rv s="0">
    <fb>163.29</fb>
    <v>1</v>
  </rv>
  <rv s="0">
    <fb>8046565</fb>
    <v>2</v>
  </rv>
  <rv s="0">
    <fb>45741</fb>
    <v>0</v>
  </rv>
  <rv s="0">
    <fb>161.02000000000001</fb>
    <v>1</v>
  </rv>
  <rv s="0">
    <fb>7456197</fb>
    <v>2</v>
  </rv>
  <rv s="0">
    <fb>45742</fb>
    <v>0</v>
  </rv>
  <rv s="0">
    <fb>161.72</fb>
    <v>1</v>
  </rv>
  <rv s="0">
    <fb>7223773</fb>
    <v>2</v>
  </rv>
  <rv s="0">
    <fb>45743</fb>
    <v>0</v>
  </rv>
  <rv s="0">
    <fb>163.13</fb>
    <v>1</v>
  </rv>
  <rv s="0">
    <fb>6752466</fb>
    <v>2</v>
  </rv>
  <rv s="0">
    <fb>45744</fb>
    <v>0</v>
  </rv>
  <rv s="0">
    <fb>163.71</fb>
    <v>1</v>
  </rv>
  <rv s="0">
    <fb>5760545</fb>
    <v>2</v>
  </rv>
  <rv s="0">
    <fb>45747</fb>
    <v>0</v>
  </rv>
  <rv s="0">
    <fb>165.84</fb>
    <v>1</v>
  </rv>
  <rv s="0">
    <fb>12481400</fb>
    <v>2</v>
  </rv>
  <rv s="0">
    <fb>45748</fb>
    <v>0</v>
  </rv>
  <rv s="0">
    <fb>153.25</fb>
    <v>1</v>
  </rv>
  <rv s="0">
    <fb>23303065</fb>
    <v>2</v>
  </rv>
  <rv s="0">
    <fb>45749</fb>
    <v>0</v>
  </rv>
  <rv s="0">
    <fb>155.36000000000001</fb>
    <v>1</v>
  </rv>
  <rv s="0">
    <fb>10356920</fb>
    <v>2</v>
  </rv>
  <rv s="0">
    <fb>45750</fb>
    <v>0</v>
  </rv>
  <rv s="0">
    <fb>159.82</fb>
    <v>1</v>
  </rv>
  <rv s="0">
    <fb>13249313</fb>
    <v>2</v>
  </rv>
  <rv s="0">
    <fb>45751</fb>
    <v>0</v>
  </rv>
  <rv s="0">
    <fb>16601728</fb>
    <v>2</v>
  </rv>
  <rv s="0">
    <fb>45754</fb>
    <v>0</v>
  </rv>
  <rv s="0">
    <fb>150.62</fb>
    <v>1</v>
  </rv>
  <rv s="0">
    <fb>18083040</fb>
    <v>2</v>
  </rv>
  <rv s="0">
    <fb>45755</fb>
    <v>0</v>
  </rv>
  <rv s="0">
    <fb>150</fb>
    <v>1</v>
  </rv>
  <rv s="0">
    <fb>12018391</fb>
    <v>2</v>
  </rv>
  <rv s="0">
    <fb>45756</fb>
    <v>0</v>
  </rv>
  <rv s="0">
    <fb>150.97</fb>
    <v>1</v>
  </rv>
  <rv s="0">
    <fb>18773742</fb>
    <v>2</v>
  </rv>
  <rv s="0">
    <fb>45757</fb>
    <v>0</v>
  </rv>
  <rv s="0">
    <fb>148.69</fb>
    <v>1</v>
  </rv>
  <rv s="0">
    <fb>13830474</fb>
    <v>2</v>
  </rv>
  <rv s="0">
    <fb>45758</fb>
    <v>0</v>
  </rv>
  <rv s="0">
    <fb>151.72999999999999</fb>
    <v>1</v>
  </rv>
  <rv s="0">
    <fb>9943851</fb>
    <v>2</v>
  </rv>
  <rv s="0">
    <fb>45761</fb>
    <v>0</v>
  </rv>
  <rv s="0">
    <fb>154.36000000000001</fb>
    <v>1</v>
  </rv>
  <rv s="0">
    <fb>10685338</fb>
    <v>2</v>
  </rv>
  <rv s="0">
    <fb>45762</fb>
    <v>0</v>
  </rv>
  <rv s="0">
    <fb>153.62</fb>
    <v>1</v>
  </rv>
  <rv s="0">
    <fb>10847653</fb>
    <v>2</v>
  </rv>
  <rv s="0">
    <fb>45763</fb>
    <v>0</v>
  </rv>
  <rv s="0">
    <fb>153.91</fb>
    <v>1</v>
  </rv>
  <rv s="0">
    <fb>7987296</fb>
    <v>2</v>
  </rv>
  <rv s="0">
    <fb>45764</fb>
    <v>0</v>
  </rv>
  <rv s="0">
    <fb>157.47</fb>
    <v>1</v>
  </rv>
  <rv s="0">
    <fb>10981067</fb>
    <v>2</v>
  </rv>
  <rv s="0">
    <fb>45768</fb>
    <v>0</v>
  </rv>
  <rv s="0">
    <fb>156.91999999999999</fb>
    <v>1</v>
  </rv>
  <rv s="0">
    <fb>6285438</fb>
    <v>2</v>
  </rv>
  <rv s="0">
    <fb>45769</fb>
    <v>0</v>
  </rv>
  <rv s="0">
    <fb>157.75</fb>
    <v>1</v>
  </rv>
  <rv s="0">
    <fb>7136321</fb>
    <v>2</v>
  </rv>
  <rv s="0">
    <fb>45770</fb>
    <v>0</v>
  </rv>
  <rv s="0">
    <fb>155.38</fb>
    <v>1</v>
  </rv>
  <rv s="0">
    <fb>9099438</fb>
    <v>2</v>
  </rv>
  <rv s="0">
    <fb>45771</fb>
    <v>0</v>
  </rv>
  <rv s="0">
    <fb>154.93</fb>
    <v>1</v>
  </rv>
  <rv s="0">
    <fb>8310425</fb>
    <v>2</v>
  </rv>
  <rv s="0">
    <fb>45772</fb>
    <v>0</v>
  </rv>
  <rv s="0">
    <fb>154.58000000000001</fb>
    <v>1</v>
  </rv>
  <rv s="0">
    <fb>8643927</fb>
    <v>2</v>
  </rv>
  <rv s="0">
    <fb>45775</fb>
    <v>0</v>
  </rv>
  <rv s="0">
    <fb>155.35</fb>
    <v>1</v>
  </rv>
  <rv s="0">
    <fb>5815179</fb>
    <v>2</v>
  </rv>
  <rv s="0">
    <fb>45776</fb>
    <v>0</v>
  </rv>
  <rv s="0">
    <fb>155.91</fb>
    <v>1</v>
  </rv>
  <rv s="0">
    <fb>5246725</fb>
    <v>2</v>
  </rv>
  <rv s="0">
    <fb>45777</fb>
    <v>0</v>
  </rv>
  <rv s="0">
    <fb>156.31</fb>
    <v>1</v>
  </rv>
  <rv s="0">
    <fb>9598156</fb>
    <v>2</v>
  </rv>
  <rv s="0">
    <fb>45778</fb>
    <v>0</v>
  </rv>
  <rv s="0">
    <fb>154.46</fb>
    <v>1</v>
  </rv>
  <rv s="0">
    <fb>7325849</fb>
    <v>2</v>
  </rv>
  <rv s="0">
    <fb>45779</fb>
    <v>0</v>
  </rv>
  <rv s="0">
    <fb>156.12</fb>
    <v>1</v>
  </rv>
  <rv s="0">
    <fb>5974539</fb>
    <v>2</v>
  </rv>
  <rv s="0">
    <fb>45782</fb>
    <v>0</v>
  </rv>
  <rv s="0">
    <fb>155</fb>
    <v>1</v>
  </rv>
  <rv s="0">
    <fb>5464496</fb>
    <v>2</v>
  </rv>
  <rv s="0">
    <fb>45783</fb>
    <v>0</v>
  </rv>
  <rv s="0">
    <fb>154.47</fb>
    <v>1</v>
  </rv>
  <rv s="0">
    <fb>8644189</fb>
    <v>2</v>
  </rv>
  <rv s="0">
    <fb>45784</fb>
    <v>0</v>
  </rv>
  <rv s="0">
    <fb>157.30000000000001</fb>
    <v>1</v>
  </rv>
  <rv s="0">
    <fb>7854106</fb>
    <v>2</v>
  </rv>
  <rv s="0">
    <fb>45785</fb>
    <v>0</v>
  </rv>
  <rv s="0">
    <fb>155.66</fb>
    <v>1</v>
  </rv>
  <rv s="0">
    <fb>7606095</fb>
    <v>2</v>
  </rv>
  <rv s="0">
    <fb>45786</fb>
    <v>0</v>
  </rv>
  <rv s="0">
    <fb>154.22</fb>
    <v>1</v>
  </rv>
  <rv s="0">
    <fb>6520449</fb>
    <v>2</v>
  </rv>
  <rv s="0">
    <fb>45789</fb>
    <v>0</v>
  </rv>
  <rv s="0">
    <fb>154.13999999999999</fb>
    <v>1</v>
  </rv>
  <rv s="0">
    <fb>9023782</fb>
    <v>2</v>
  </rv>
  <rv s="0">
    <fb>45790</fb>
    <v>0</v>
  </rv>
  <rv s="0">
    <fb>148.44</fb>
    <v>1</v>
  </rv>
  <rv s="0">
    <fb>10549609</fb>
    <v>2</v>
  </rv>
  <rv s="0">
    <fb>45791</fb>
    <v>0</v>
  </rv>
  <rv s="0">
    <fb>146.36000000000001</fb>
    <v>1</v>
  </rv>
  <rv s="0">
    <fb>10215952</fb>
    <v>2</v>
  </rv>
  <rv s="0">
    <fb>45792</fb>
    <v>0</v>
  </rv>
  <rv s="0">
    <fb>149.61000000000001</fb>
    <v>1</v>
  </rv>
  <rv s="0">
    <fb>7945768</fb>
    <v>2</v>
  </rv>
  <rv s="0">
    <fb>45793</fb>
    <v>0</v>
  </rv>
  <rv s="0">
    <fb>151.33000000000001</fb>
    <v>1</v>
  </rv>
  <rv s="0">
    <fb>8051150</fb>
    <v>2</v>
  </rv>
  <rv s="0">
    <fb>45796</fb>
    <v>0</v>
  </rv>
  <rv s="0">
    <fb>152.49</fb>
    <v>1</v>
  </rv>
  <rv s="0">
    <fb>12639948</fb>
    <v>2</v>
  </rv>
  <rv s="0">
    <fb>45797</fb>
    <v>0</v>
  </rv>
  <rv s="0">
    <fb>153.66</fb>
    <v>1</v>
  </rv>
  <rv s="0">
    <fb>7351451</fb>
    <v>2</v>
  </rv>
  <rv s="0">
    <fb>45798</fb>
    <v>0</v>
  </rv>
  <rv s="0">
    <fb>153.18</fb>
    <v>1</v>
  </rv>
  <rv s="0">
    <fb>7032225</fb>
    <v>2</v>
  </rv>
  <rv s="0">
    <fb>45799</fb>
    <v>0</v>
  </rv>
  <rv s="0">
    <fb>152.61000000000001</fb>
    <v>1</v>
  </rv>
  <rv s="0">
    <fb>7535335</fb>
    <v>2</v>
  </rv>
  <rv s="0">
    <fb>45800</fb>
    <v>0</v>
  </rv>
  <rv s="0">
    <fb>152.94</fb>
    <v>1</v>
  </rv>
  <rv s="0">
    <fb>6727539</fb>
    <v>2</v>
  </rv>
  <rv s="0">
    <fb>45804</fb>
    <v>0</v>
  </rv>
  <rv s="0">
    <fb>6990694</fb>
    <v>2</v>
  </rv>
  <rv s="0">
    <fb>45805</fb>
    <v>0</v>
  </rv>
  <rv s="0">
    <fb>152.43</fb>
    <v>1</v>
  </rv>
  <rv s="0">
    <fb>8459310</fb>
    <v>2</v>
  </rv>
  <rv s="0">
    <fb>45806</fb>
    <v>0</v>
  </rv>
  <rv s="0">
    <fb>153.58000000000001</fb>
    <v>1</v>
  </rv>
  <rv s="0">
    <fb>6810982</fb>
    <v>2</v>
  </rv>
  <rv s="0">
    <fb>45807</fb>
    <v>0</v>
  </rv>
  <rv s="0">
    <fb>155.21</fb>
    <v>1</v>
  </rv>
  <rv s="0">
    <fb>15529716</fb>
    <v>2</v>
  </rv>
  <rv s="0">
    <fb>45810</fb>
    <v>0</v>
  </rv>
  <rv s="0">
    <fb>6669669</fb>
    <v>2</v>
  </rv>
  <rv s="0">
    <fb>45811</fb>
    <v>0</v>
  </rv>
  <rv s="0">
    <fb>154.41999999999999</fb>
    <v>1</v>
  </rv>
  <rv s="0">
    <fb>8209757</fb>
    <v>2</v>
  </rv>
  <rv s="0">
    <fb>45812</fb>
    <v>0</v>
  </rv>
  <rv s="0">
    <fb>153.22</fb>
    <v>1</v>
  </rv>
  <rv s="0">
    <fb>6983861</fb>
    <v>2</v>
  </rv>
  <rv s="0">
    <fb>45813</fb>
    <v>0</v>
  </rv>
  <rv s="0">
    <fb>5296258</fb>
    <v>2</v>
  </rv>
  <rv s="0">
    <fb>45814</fb>
    <v>0</v>
  </rv>
  <rv s="0">
    <fb>155.03</fb>
    <v>1</v>
  </rv>
  <rv s="0">
    <fb>5391841</fb>
    <v>2</v>
  </rv>
  <rv s="0">
    <fb>45817</fb>
    <v>0</v>
  </rv>
  <rv s="0">
    <fb>5319232</fb>
    <v>2</v>
  </rv>
  <rv s="0">
    <fb>45818</fb>
    <v>0</v>
  </rv>
  <rv s="0">
    <fb>156.44999999999999</fb>
    <v>1</v>
  </rv>
  <rv s="0">
    <fb>6791881</fb>
    <v>2</v>
  </rv>
  <rv s="0">
    <fb>45819</fb>
    <v>0</v>
  </rv>
  <rv s="0">
    <fb>6016039</fb>
    <v>2</v>
  </rv>
  <rv s="0">
    <fb>45820</fb>
    <v>0</v>
  </rv>
  <rv s="0">
    <fb>156.66</fb>
    <v>1</v>
  </rv>
  <rv s="0">
    <fb>7075511</fb>
    <v>2</v>
  </rv>
  <rv s="0">
    <fb>45821</fb>
    <v>0</v>
  </rv>
  <rv s="0">
    <fb>157.1</fb>
    <v>1</v>
  </rv>
  <rv s="0">
    <fb>6587849</fb>
    <v>2</v>
  </rv>
  <rv s="0">
    <fb>45824</fb>
    <v>0</v>
  </rv>
  <rv s="0">
    <fb>7023995</fb>
    <v>2</v>
  </rv>
  <rv s="0">
    <fb>45825</fb>
    <v>0</v>
  </rv>
  <rv s="0">
    <fb>152.38</fb>
    <v>1</v>
  </rv>
  <rv s="0">
    <fb>6407098</fb>
    <v>2</v>
  </rv>
  <rv s="0">
    <fb>45826</fb>
    <v>0</v>
  </rv>
  <rv s="0">
    <fb>150.72999999999999</fb>
    <v>1</v>
  </rv>
  <rv s="0">
    <fb>8325237</fb>
    <v>2</v>
  </rv>
  <rv s="0">
    <fb>45828</fb>
    <v>0</v>
  </rv>
  <rv s="0">
    <fb>149.79</fb>
    <v>1</v>
  </rv>
  <rv s="0">
    <fb>22605471</fb>
    <v>2</v>
  </rv>
  <rv s="0">
    <fb>45831</fb>
    <v>0</v>
  </rv>
  <rv s="0">
    <fb>151.32</fb>
    <v>1</v>
  </rv>
  <rv s="0">
    <fb>7397853</fb>
    <v>2</v>
  </rv>
  <rv s="0">
    <fb>45832</fb>
    <v>0</v>
  </rv>
  <rv s="0">
    <fb>152.19</fb>
    <v>1</v>
  </rv>
  <rv s="0">
    <fb>9544217</fb>
    <v>2</v>
  </rv>
  <rv s="0">
    <fb>45833</fb>
    <v>0</v>
  </rv>
  <rv s="0">
    <fb>152.28</fb>
    <v>1</v>
  </rv>
  <rv s="0">
    <fb>7153708</fb>
    <v>2</v>
  </rv>
  <rv s="0">
    <fb>45834</fb>
    <v>0</v>
  </rv>
  <rv s="0">
    <fb>152.01</fb>
    <v>1</v>
  </rv>
  <rv s="0">
    <fb>7156903</fb>
    <v>2</v>
  </rv>
  <rv s="0">
    <fb>45835</fb>
    <v>0</v>
  </rv>
  <rv s="0">
    <fb>152.41</fb>
    <v>1</v>
  </rv>
  <rv s="0">
    <fb>10010787</fb>
    <v>2</v>
  </rv>
  <rv s="0">
    <fb>45838</fb>
    <v>0</v>
  </rv>
  <rv s="0">
    <fb>152.75</fb>
    <v>1</v>
  </rv>
  <rv s="0">
    <fb>9039552</fb>
    <v>2</v>
  </rv>
  <rv s="0">
    <fb>45839</fb>
    <v>0</v>
  </rv>
  <rv s="0">
    <fb>155.91999999999999</fb>
    <v>1</v>
  </rv>
  <rv s="0">
    <fb>10896676</fb>
    <v>2</v>
  </rv>
  <rv s="0">
    <fb>45840</fb>
    <v>0</v>
  </rv>
  <rv s="0">
    <fb>155.56</fb>
    <v>1</v>
  </rv>
  <rv s="0">
    <fb>5544030</fb>
    <v>2</v>
  </rv>
  <rv s="0">
    <fb>45841</fb>
    <v>0</v>
  </rv>
  <rv s="0">
    <fb>156.01</fb>
    <v>1</v>
  </rv>
  <rv s="0">
    <fb>3482521</fb>
    <v>2</v>
  </rv>
  <rv s="0">
    <fb>45845</fb>
    <v>0</v>
  </rv>
  <rv s="0">
    <fb>155.27000000000001</fb>
    <v>1</v>
  </rv>
  <rv s="0">
    <fb>6270887</fb>
    <v>2</v>
  </rv>
  <rv s="0">
    <fb>45846</fb>
    <v>0</v>
  </rv>
  <rv s="0">
    <fb>155.79</fb>
    <v>1</v>
  </rv>
  <rv s="0">
    <fb>6438221</fb>
    <v>2</v>
  </rv>
  <rv s="0">
    <fb>45847</fb>
    <v>0</v>
  </rv>
  <rv s="0">
    <fb>6147685</fb>
    <v>2</v>
  </rv>
  <rv s="0">
    <fb>45848</fb>
    <v>0</v>
  </rv>
  <rv s="0">
    <fb>157.69</fb>
    <v>1</v>
  </rv>
  <rv s="0">
    <fb>6733128</fb>
    <v>2</v>
  </rv>
  <rv s="0">
    <fb>45849</fb>
    <v>0</v>
  </rv>
  <rv s="0">
    <fb>156.9</fb>
    <v>1</v>
  </rv>
  <rv s="0">
    <fb>7872172</fb>
    <v>2</v>
  </rv>
  <rv s="0">
    <fb>45852</fb>
    <v>0</v>
  </rv>
  <rv s="0">
    <fb>156.82</fb>
    <v>1</v>
  </rv>
  <rv s="0">
    <fb>10185632</fb>
    <v>2</v>
  </rv>
  <rv s="0">
    <fb>45853</fb>
    <v>0</v>
  </rv>
  <rv s="0">
    <fb>6873200</fb>
    <v>2</v>
  </rv>
  <rv s="0">
    <fb>45854</fb>
    <v>0</v>
  </rv>
  <rv s="0">
    <fb>164.78</fb>
    <v>1</v>
  </rv>
  <rv s="0">
    <fb>22134769</fb>
    <v>2</v>
  </rv>
  <rv s="0">
    <fb>45855</fb>
    <v>0</v>
  </rv>
  <rv s="0">
    <fb>162.97999999999999</fb>
    <v>1</v>
  </rv>
  <rv s="0">
    <fb>11295747</fb>
    <v>2</v>
  </rv>
  <rv s="0">
    <fb>45856</fb>
    <v>0</v>
  </rv>
  <rv s="0">
    <fb>163.69999999999999</fb>
    <v>1</v>
  </rv>
  <rv s="0">
    <fb>9793046</fb>
    <v>2</v>
  </rv>
  <rv s="0">
    <fb>45859</fb>
    <v>0</v>
  </rv>
  <rv s="0">
    <fb>164.36</fb>
    <v>1</v>
  </rv>
  <rv s="0">
    <fb>8254003</fb>
    <v>2</v>
  </rv>
  <rv s="0">
    <fb>45860</fb>
    <v>0</v>
  </rv>
  <rv s="0">
    <fb>167.93</fb>
    <v>1</v>
  </rv>
  <rv s="0">
    <fb>9287991</fb>
    <v>2</v>
  </rv>
  <rv s="0">
    <fb>45861</fb>
    <v>0</v>
  </rv>
  <rv s="0">
    <fb>169.1</fb>
    <v>1</v>
  </rv>
  <rv s="0">
    <fb>10617636</fb>
    <v>2</v>
  </rv>
  <rv s="0">
    <fb>45862</fb>
    <v>0</v>
  </rv>
  <rv s="0">
    <fb>169.56</fb>
    <v>1</v>
  </rv>
  <rv s="0">
    <fb>6636918</fb>
    <v>2</v>
  </rv>
  <rv s="0">
    <fb>45863</fb>
    <v>0</v>
  </rv>
  <rv s="0">
    <fb>168.3</fb>
    <v>1</v>
  </rv>
  <rv s="0">
    <fb>6255183</fb>
    <v>2</v>
  </rv>
  <rv s="0">
    <fb>45866</fb>
    <v>0</v>
  </rv>
  <rv s="0">
    <fb>166.22</fb>
    <v>1</v>
  </rv>
  <rv s="0">
    <fb>8014640</fb>
    <v>2</v>
  </rv>
  <rv s="0">
    <fb>45867</fb>
    <v>0</v>
  </rv>
  <rv s="0">
    <fb>168.11</fb>
    <v>1</v>
  </rv>
  <rv s="0">
    <fb>7663408</fb>
    <v>2</v>
  </rv>
  <rv s="0">
    <fb>45868</fb>
    <v>0</v>
  </rv>
  <rv s="0">
    <fb>167.26</fb>
    <v>1</v>
  </rv>
  <rv s="0">
    <fb>6189161</fb>
    <v>2</v>
  </rv>
  <rv s="0">
    <fb>45869</fb>
    <v>0</v>
  </rv>
  <rv s="0">
    <fb>164.74</fb>
    <v>1</v>
  </rv>
  <rv s="0">
    <fb>11036179</fb>
    <v>2</v>
  </rv>
  <rv s="0">
    <fb>45870</fb>
    <v>0</v>
  </rv>
  <rv s="0">
    <fb>167.33</fb>
    <v>1</v>
  </rv>
  <rv s="0">
    <fb>8928229</fb>
    <v>2</v>
  </rv>
  <rv s="0">
    <fb>45873</fb>
    <v>0</v>
  </rv>
  <rv s="0">
    <fb>171.04</fb>
    <v>1</v>
  </rv>
  <rv s="0">
    <fb>12679095</fb>
    <v>2</v>
  </rv>
  <rv s="0">
    <fb>45874</fb>
    <v>0</v>
  </rv>
  <rv s="0">
    <fb>170.74</fb>
    <v>1</v>
  </rv>
  <rv s="0">
    <fb>7934442</fb>
    <v>2</v>
  </rv>
  <rv s="0">
    <fb>45875</fb>
    <v>0</v>
  </rv>
  <rv s="0">
    <fb>170.59</fb>
    <v>1</v>
  </rv>
  <rv s="0">
    <fb>8957240</fb>
    <v>2</v>
  </rv>
  <rv s="0">
    <fb>45876</fb>
    <v>0</v>
  </rv>
  <rv s="0">
    <fb>171.53</fb>
    <v>1</v>
  </rv>
  <rv s="0">
    <fb>9315942</fb>
    <v>2</v>
  </rv>
  <rv s="0">
    <fb>45877</fb>
    <v>0</v>
  </rv>
  <rv s="0">
    <fb>173.33</fb>
    <v>1</v>
  </rv>
  <rv s="0">
    <fb>7686765</fb>
    <v>2</v>
  </rv>
  <rv s="0">
    <fb>45880</fb>
    <v>0</v>
  </rv>
  <rv s="0">
    <fb>173.82</fb>
    <v>1</v>
  </rv>
  <rv s="0">
    <fb>7256778</fb>
    <v>2</v>
  </rv>
  <rv s="0">
    <fb>45881</fb>
    <v>0</v>
  </rv>
  <rv s="0">
    <fb>172.78</fb>
    <v>1</v>
  </rv>
  <rv s="0">
    <fb>7917437</fb>
    <v>2</v>
  </rv>
  <rv s="0">
    <fb>45882</fb>
    <v>0</v>
  </rv>
  <rv s="0">
    <fb>174.42</fb>
    <v>1</v>
  </rv>
  <rv s="0">
    <fb>5878666</fb>
    <v>2</v>
  </rv>
  <rv s="0">
    <fb>45883</fb>
    <v>0</v>
  </rv>
  <rv s="0">
    <fb>174.72</fb>
    <v>1</v>
  </rv>
  <rv s="0">
    <fb>8241942</fb>
    <v>2</v>
  </rv>
  <rv s="0">
    <fb>45884</fb>
    <v>0</v>
  </rv>
  <rv s="0">
    <fb>176.64</fb>
    <v>1</v>
  </rv>
  <rv s="0">
    <fb>9477559</fb>
    <v>2</v>
  </rv>
  <rv s="0">
    <fb>45887</fb>
    <v>0</v>
  </rv>
  <rv s="0">
    <fb>176.25</fb>
    <v>1</v>
  </rv>
  <rv s="0">
    <fb>9284138</fb>
    <v>2</v>
  </rv>
  <rv s="0">
    <fb>45888</fb>
    <v>0</v>
  </rv>
  <rv s="0">
    <fb>177.8</fb>
    <v>1</v>
  </rv>
  <rv s="0">
    <fb>9274182</fb>
    <v>2</v>
  </rv>
  <rv s="0">
    <fb>45889</fb>
    <v>0</v>
  </rv>
  <rv s="0">
    <fb>178.84</fb>
    <v>1</v>
  </rv>
  <rv s="0">
    <fb>9030396</fb>
    <v>2</v>
  </rv>
  <rv s="0">
    <fb>45890</fb>
    <v>0</v>
  </rv>
  <rv s="0">
    <fb>178.93</fb>
    <v>1</v>
  </rv>
  <rv s="0">
    <fb>8859552</fb>
    <v>2</v>
  </rv>
  <rv s="0">
    <fb>45891</fb>
    <v>0</v>
  </rv>
  <rv s="0">
    <fb>179.29</fb>
    <v>1</v>
  </rv>
  <rv s="0">
    <fb>9524308</fb>
    <v>2</v>
  </rv>
  <rv s="0">
    <fb>45894</fb>
    <v>0</v>
  </rv>
  <rv s="0">
    <fb>178.41</fb>
    <v>1</v>
  </rv>
  <rv s="0">
    <fb>6229149</fb>
    <v>2</v>
  </rv>
  <rv s="0">
    <fb>45895</fb>
    <v>0</v>
  </rv>
  <rv s="0">
    <fb>176.49</fb>
    <v>1</v>
  </rv>
  <rv s="0">
    <fb>9145045</fb>
    <v>2</v>
  </rv>
  <rv s="0">
    <fb>45896</fb>
    <v>0</v>
  </rv>
  <rv s="0">
    <fb>176.79</fb>
    <v>1</v>
  </rv>
  <rv s="0">
    <fb>5951099</fb>
    <v>2</v>
  </rv>
  <rv s="0">
    <fb>45897</fb>
    <v>0</v>
  </rv>
  <rv s="0">
    <fb>175.45</fb>
    <v>1</v>
  </rv>
  <rv s="0">
    <fb>6424695</fb>
    <v>2</v>
  </rv>
  <rv s="0">
    <fb>45898</fb>
    <v>0</v>
  </rv>
  <rv s="0">
    <fb>177.17</fb>
    <v>1</v>
  </rv>
  <rv s="0">
    <fb>6942311</fb>
    <v>2</v>
  </rv>
  <rv s="0">
    <fb>45902</fb>
    <v>0</v>
  </rv>
  <rv s="0">
    <fb>178.06</fb>
    <v>1</v>
  </rv>
  <rv s="0">
    <fb>9049003</fb>
    <v>2</v>
  </rv>
  <rv s="0">
    <fb>45903</fb>
    <v>0</v>
  </rv>
  <rv s="0">
    <fb>178</fb>
    <v>1</v>
  </rv>
  <rv s="0">
    <fb>7111689</fb>
    <v>2</v>
  </rv>
  <rv s="0">
    <fb>45904</fb>
    <v>0</v>
  </rv>
  <rv s="0">
    <fb>178.76</fb>
    <v>1</v>
  </rv>
  <rv s="0">
    <fb>7854833</fb>
    <v>2</v>
  </rv>
  <rv s="0">
    <fb>45905</fb>
    <v>0</v>
  </rv>
  <rv s="0">
    <fb>178.43</fb>
    <v>1</v>
  </rv>
  <rv s="0">
    <fb>9733803</fb>
    <v>2</v>
  </rv>
  <rv s="0">
    <fb>45908</fb>
    <v>0</v>
  </rv>
  <rv s="0">
    <fb>178.13</fb>
    <v>1</v>
  </rv>
  <rv s="0">
    <fb>8382514</fb>
    <v>2</v>
  </rv>
  <rv s="0">
    <fb>45909</fb>
    <v>0</v>
  </rv>
  <rv s="0">
    <fb>176.96</fb>
    <v>1</v>
  </rv>
  <rv s="0">
    <fb>6005703</fb>
    <v>2</v>
  </rv>
  <rv s="0">
    <fb>45910</fb>
    <v>0</v>
  </rv>
  <rv s="0">
    <fb>175.79</fb>
    <v>1</v>
  </rv>
  <rv s="0">
    <fb>6891590</fb>
    <v>2</v>
  </rv>
  <rv s="0">
    <fb>45911</fb>
    <v>0</v>
  </rv>
  <rv s="0">
    <fb>178.5</fb>
    <v>1</v>
  </rv>
  <rv s="0">
    <fb>5792527</fb>
    <v>2</v>
  </rv>
  <rv s="0">
    <fb>45912</fb>
    <v>0</v>
  </rv>
  <rv s="0">
    <fb>7220473</fb>
    <v>2</v>
  </rv>
  <rv s="0">
    <fb>45915</fb>
    <v>0</v>
  </rv>
  <rv s="0">
    <fb>177.4</fb>
    <v>1</v>
  </rv>
  <rv s="0">
    <fb>4768547</fb>
    <v>2</v>
  </rv>
  <rv s="0">
    <fb>45916</fb>
    <v>0</v>
  </rv>
  <rv s="0">
    <fb>176.46</fb>
    <v>1</v>
  </rv>
  <rv s="0">
    <fb>7959652</fb>
    <v>2</v>
  </rv>
  <rv s="0">
    <fb>45917</fb>
    <v>0</v>
  </rv>
  <rv s="0">
    <fb>177.2</fb>
    <v>1</v>
  </rv>
  <rv s="0">
    <fb>6715188</fb>
    <v>2</v>
  </rv>
  <rv s="0">
    <fb>45918</fb>
    <v>0</v>
  </rv>
  <rv s="0">
    <fb>174.16</fb>
    <v>1</v>
  </rv>
  <rv s="0">
    <fb>8200854</fb>
    <v>2</v>
  </rv>
  <rv s="0">
    <fb>45919</fb>
    <v>0</v>
  </rv>
  <rv s="0">
    <fb>176.19</fb>
    <v>1</v>
  </rv>
  <rv s="0">
    <fb>25620954</fb>
    <v>2</v>
  </rv>
  <rv s="0">
    <fb>45922</fb>
    <v>0</v>
  </rv>
  <rv s="0">
    <fb>174.21</fb>
    <v>1</v>
  </rv>
  <rv s="0">
    <fb>7193868</fb>
    <v>2</v>
  </rv>
  <rv s="0">
    <fb>45923</fb>
    <v>0</v>
  </rv>
  <rv s="0">
    <fb>176.58</fb>
    <v>1</v>
  </rv>
  <rv s="0">
    <fb>8350743</fb>
    <v>2</v>
  </rv>
  <rv s="0">
    <fb>45924</fb>
    <v>0</v>
  </rv>
  <rv s="0">
    <fb>176.69</fb>
    <v>1</v>
  </rv>
  <rv s="0">
    <fb>6676770</fb>
    <v>2</v>
  </rv>
  <rv s="0">
    <fb>45925</fb>
    <v>0</v>
  </rv>
  <rv s="0">
    <fb>177.73</fb>
    <v>1</v>
  </rv>
  <rv s="0">
    <fb>8474975</fb>
    <v>2</v>
  </rv>
  <rv s="0">
    <fb>45926</fb>
    <v>0</v>
  </rv>
  <rv s="0">
    <fb>179.71</fb>
    <v>1</v>
  </rv>
  <rv s="0">
    <fb>8634403</fb>
    <v>2</v>
  </rv>
  <rv s="0">
    <fb>45929</fb>
    <v>0</v>
  </rv>
  <rv s="0">
    <fb>181.62</fb>
    <v>1</v>
  </rv>
  <rv s="0">
    <fb>8597083</fb>
    <v>2</v>
  </rv>
  <rv s="0">
    <fb>45930</fb>
    <v>0</v>
  </rv>
  <rv s="0">
    <fb>185.42</fb>
    <v>1</v>
  </rv>
  <rv s="0">
    <fb>11569019</fb>
    <v>2</v>
  </rv>
  <rv s="0">
    <fb>45931</fb>
    <v>0</v>
  </rv>
  <rv s="0">
    <fb>186.05</fb>
    <v>1</v>
  </rv>
  <rv s="0">
    <fb>13063788</fb>
    <v>2</v>
  </rv>
  <rv s="0">
    <fb>45932</fb>
    <v>0</v>
  </rv>
  <rv s="0">
    <fb>185.98</fb>
    <v>1</v>
  </rv>
  <rv s="0">
    <fb>7728069</fb>
    <v>2</v>
  </rv>
  <rv s="0">
    <fb>45933</fb>
    <v>0</v>
  </rv>
  <rv s="0">
    <fb>188.64</fb>
    <v>1</v>
  </rv>
  <rv s="0">
    <fb>8675087</fb>
    <v>2</v>
  </rv>
  <rv s="0">
    <fb>45936</fb>
    <v>0</v>
  </rv>
  <rv s="0">
    <fb>188.16</fb>
    <v>1</v>
  </rv>
  <rv s="0">
    <fb>5806089</fb>
    <v>2</v>
  </rv>
  <rv s="0">
    <fb>45937</fb>
    <v>0</v>
  </rv>
  <rv s="0">
    <fb>188.89</fb>
    <v>1</v>
  </rv>
  <rv s="0">
    <fb>8776784</fb>
    <v>2</v>
  </rv>
  <rv s="0">
    <fb>45938</fb>
    <v>0</v>
  </rv>
  <rv s="0">
    <fb>189.69</fb>
    <v>1</v>
  </rv>
  <rv s="0">
    <fb>5751163</fb>
    <v>2</v>
  </rv>
  <rv s="0">
    <fb>45939</fb>
    <v>0</v>
  </rv>
  <rv s="0">
    <fb>191.08</fb>
    <v>1</v>
  </rv>
  <rv s="0">
    <fb>7484764</fb>
    <v>2</v>
  </rv>
  <rv s="0">
    <fb>45940</fb>
    <v>0</v>
  </rv>
  <rv s="0">
    <fb>190.72</fb>
    <v>1</v>
  </rv>
  <rv s="0">
    <fb>9598019</fb>
    <v>2</v>
  </rv>
  <rv s="0">
    <fb>45943</fb>
    <v>0</v>
  </rv>
  <rv s="0">
    <fb>190.9</fb>
    <v>1</v>
  </rv>
  <rv s="0">
    <fb>7979476</fb>
    <v>2</v>
  </rv>
  <rv s="0">
    <fb>45944</fb>
    <v>0</v>
  </rv>
  <rv s="0">
    <fb>190.85</fb>
    <v>1</v>
  </rv>
  <rv s="0">
    <fb>13613340</fb>
    <v>2</v>
  </rv>
  <rv s="0">
    <fb>45945</fb>
    <v>0</v>
  </rv>
  <rv s="0">
    <fb>191.17</fb>
    <v>1</v>
  </rv>
  <rv s="0">
    <fb>9472995</fb>
    <v>2</v>
  </rv>
  <rv s="0">
    <fb>45946</fb>
    <v>0</v>
  </rv>
  <rv s="0">
    <fb>192.12</fb>
    <v>1</v>
  </rv>
  <rv s="0">
    <fb>10611760</fb>
    <v>2</v>
  </rv>
  <rv s="0">
    <fb>45947</fb>
    <v>0</v>
  </rv>
  <rv s="0">
    <fb>193.22</fb>
    <v>1</v>
  </rv>
  <rv s="0">
    <fb>7764449</fb>
    <v>2</v>
  </rv>
  <rv s="0">
    <fb>45950</fb>
    <v>0</v>
  </rv>
  <rv s="0">
    <fb>193.72</fb>
    <v>1</v>
  </rv>
  <rv s="0">
    <fb>8034740</fb>
    <v>2</v>
  </rv>
  <rv s="0">
    <fb>45951</fb>
    <v>0</v>
  </rv>
  <rv s="0">
    <fb>191.88</fb>
    <v>1</v>
  </rv>
  <rv s="0">
    <fb>6716360</fb>
    <v>2</v>
  </rv>
  <rv s="0">
    <fb>45952</fb>
    <v>0</v>
  </rv>
  <rv s="0">
    <fb>192.94</fb>
    <v>1</v>
  </rv>
  <rv s="0">
    <fb>6343472</fb>
    <v>2</v>
  </rv>
  <rv s="0">
    <fb>45953</fb>
    <v>0</v>
  </rv>
  <rv s="0">
    <fb>192.47</fb>
    <v>1</v>
  </rv>
  <rv s="0">
    <fb>8882491</fb>
    <v>2</v>
  </rv>
  <rv s="0">
    <fb>45954</fb>
    <v>0</v>
  </rv>
  <rv s="0">
    <fb>190.4</fb>
    <v>1</v>
  </rv>
  <rv s="0">
    <fb>6903379</fb>
    <v>2</v>
  </rv>
  <rv s="0">
    <fb>45957</fb>
    <v>0</v>
  </rv>
  <rv s="0">
    <fb>190.3</fb>
    <v>1</v>
  </rv>
  <rv s="0">
    <fb>7125956</fb>
    <v>2</v>
  </rv>
  <rv s="0">
    <fb>45958</fb>
    <v>0</v>
  </rv>
  <rv s="0">
    <fb>186.93</fb>
    <v>1</v>
  </rv>
  <rv s="0">
    <fb>8329457</fb>
    <v>2</v>
  </rv>
  <rv s="0">
    <fb>45959</fb>
    <v>0</v>
  </rv>
  <rv s="0">
    <fb>186.6</fb>
    <v>1</v>
  </rv>
  <rv s="0">
    <fb>10551079</fb>
    <v>2</v>
  </rv>
  <rv s="0">
    <fb>45960</fb>
    <v>0</v>
  </rv>
  <rv s="0">
    <fb>189.05</fb>
    <v>1</v>
  </rv>
  <rv s="0">
    <fb>7072517</fb>
    <v>2</v>
  </rv>
  <rv s="0">
    <fb>45961</fb>
    <v>0</v>
  </rv>
  <rv s="0">
    <fb>188.87</fb>
    <v>1</v>
  </rv>
  <rv s="0">
    <fb>8791666</fb>
    <v>2</v>
  </rv>
  <rv s="0">
    <fb>45964</fb>
    <v>0</v>
  </rv>
  <rv s="0">
    <fb>186.26</fb>
    <v>1</v>
  </rv>
  <rv s="0">
    <fb>7542636</fb>
    <v>2</v>
  </rv>
  <rv s="0">
    <fb>45965</fb>
    <v>0</v>
  </rv>
  <rv s="0">
    <fb>186.86</fb>
    <v>1</v>
  </rv>
  <rv s="0">
    <fb>7209395</fb>
    <v>2</v>
  </rv>
  <rv s="0">
    <fb>45966</fb>
    <v>0</v>
  </rv>
  <rv s="0">
    <fb>186</fb>
    <v>1</v>
  </rv>
  <rv s="0">
    <fb>5049443</fb>
    <v>2</v>
  </rv>
  <rv s="0">
    <fb>45967</fb>
    <v>0</v>
  </rv>
  <rv s="0">
    <fb>186.97</fb>
    <v>1</v>
  </rv>
  <rv s="0">
    <fb>6767417</fb>
    <v>2</v>
  </rv>
  <rv s="0">
    <fb>45968</fb>
    <v>0</v>
  </rv>
  <rv s="0">
    <fb>186.57</fb>
    <v>1</v>
  </rv>
  <rv s="0">
    <fb>6959209</fb>
    <v>2</v>
  </rv>
  <rv s="0">
    <fb>45971</fb>
    <v>0</v>
  </rv>
  <rv s="0">
    <fb>188.41</fb>
    <v>1</v>
  </rv>
  <rv s="0">
    <fb>5324077</fb>
    <v>2</v>
  </rv>
  <rv s="0">
    <fb>45972</fb>
    <v>0</v>
  </rv>
  <rv s="0">
    <fb>193.83</fb>
    <v>1</v>
  </rv>
  <rv s="0">
    <fb>7465592</fb>
    <v>2</v>
  </rv>
  <rv s="0">
    <fb>45973</fb>
    <v>0</v>
  </rv>
  <rv s="0">
    <fb>194.39</fb>
    <v>1</v>
  </rv>
  <rv s="0">
    <fb>8803005</fb>
    <v>2</v>
  </rv>
  <rv s="0">
    <fb>45974</fb>
    <v>0</v>
  </rv>
  <rv s="0">
    <fb>195.25</fb>
    <v>1</v>
  </rv>
  <rv s="0">
    <fb>8631614</fb>
    <v>2</v>
  </rv>
  <rv s="0">
    <fb>45975</fb>
    <v>0</v>
  </rv>
  <rv s="0">
    <fb>195.93</fb>
    <v>1</v>
  </rv>
  <rv s="0">
    <fb>8824847</fb>
    <v>2</v>
  </rv>
  <rv s="0">
    <fb>45978</fb>
    <v>0</v>
  </rv>
  <rv s="0">
    <fb>199.58</fb>
    <v>1</v>
  </rv>
  <rv s="0">
    <fb>13256995</fb>
    <v>2</v>
  </rv>
  <rv s="0">
    <fb>45979</fb>
    <v>0</v>
  </rv>
  <rv s="0">
    <fb>200</fb>
    <v>1</v>
  </rv>
  <rv s="0">
    <fb>12468619</fb>
    <v>2</v>
  </rv>
  <rv s="0">
    <fb>45980</fb>
    <v>0</v>
  </rv>
  <rv s="0">
    <fb>202.51</fb>
    <v>1</v>
  </rv>
  <rv s="0">
    <fb>14690837</fb>
    <v>2</v>
  </rv>
  <rv s="0">
    <fb>45981</fb>
    <v>0</v>
  </rv>
  <rv s="0">
    <fb>203.07</fb>
    <v>1</v>
  </rv>
  <rv s="0">
    <fb>10612550</fb>
    <v>2</v>
  </rv>
  <rv s="0">
    <fb>45982</fb>
    <v>0</v>
  </rv>
  <rv s="0">
    <fb>203.9</fb>
    <v>1</v>
  </rv>
  <rv s="0">
    <fb>13189055</fb>
    <v>2</v>
  </rv>
  <rv s="0">
    <fb>45985</fb>
    <v>0</v>
  </rv>
  <rv s="0">
    <fb>206.05</fb>
    <v>1</v>
  </rv>
  <rv s="0">
    <fb>14803873</fb>
    <v>2</v>
  </rv>
  <rv s="0">
    <fb>45986</fb>
    <v>0</v>
  </rv>
  <rv s="0">
    <fb>206.67</fb>
    <v>1</v>
  </rv>
  <rv s="0">
    <fb>10275724</fb>
    <v>2</v>
  </rv>
  <rv s="0">
    <fb>45987</fb>
    <v>0</v>
  </rv>
  <rv s="0">
    <fb>207.56</fb>
    <v>1</v>
  </rv>
  <rv s="0">
    <fb>6728994</fb>
    <v>2</v>
  </rv>
  <rv s="0">
    <fb>45989</fb>
    <v>0</v>
  </rv>
  <rv s="0">
    <fb>206.92</fb>
    <v>1</v>
  </rv>
  <rv s="0">
    <fb>5638279</fb>
    <v>2</v>
  </rv>
  <rv s="0">
    <fb>45992</fb>
    <v>0</v>
  </rv>
  <rv s="0">
    <fb>205.34</fb>
    <v>1</v>
  </rv>
  <rv s="0">
    <fb>8473726</fb>
    <v>2</v>
  </rv>
  <rv s="0">
    <fb>45993</fb>
    <v>0</v>
  </rv>
  <rv s="0">
    <fb>205.42</fb>
    <v>1</v>
  </rv>
  <rv s="0">
    <fb>8393565</fb>
    <v>2</v>
  </rv>
  <rv s="0">
    <fb>45994</fb>
    <v>0</v>
  </rv>
  <rv s="0">
    <fb>205.33</fb>
    <v>1</v>
  </rv>
  <rv s="0">
    <fb>8363292</fb>
    <v>2</v>
  </rv>
  <rv s="0">
    <fb>45995</fb>
    <v>0</v>
  </rv>
  <rv s="0">
    <fb>202.48</fb>
    <v>1</v>
  </rv>
  <rv s="0">
    <fb>9049943</fb>
    <v>2</v>
  </rv>
  <rv s="0">
    <fb>45996</fb>
    <v>0</v>
  </rv>
  <rv s="0">
    <fb>201.93</fb>
    <v>1</v>
  </rv>
  <rv s="0">
    <fb>7785552</fb>
    <v>2</v>
  </rv>
  <rv s="0">
    <fb>45999</fb>
    <v>0</v>
  </rv>
  <rv s="0">
    <fb>201.62</fb>
    <v>1</v>
  </rv>
  <rv s="0">
    <fb>7785708</fb>
    <v>2</v>
  </rv>
  <rv s="0">
    <fb>46000</fb>
    <v>0</v>
  </rv>
  <rv s="0">
    <fb>199.96</fb>
    <v>1</v>
  </rv>
  <rv s="0">
    <fb>7509402</fb>
    <v>2</v>
  </rv>
  <rv s="0">
    <fb>46001</fb>
    <v>0</v>
  </rv>
  <rv s="0">
    <fb>206.54</fb>
    <v>1</v>
  </rv>
  <rv s="0">
    <fb>11599785</fb>
    <v>2</v>
  </rv>
  <rv s="0">
    <fb>46002</fb>
    <v>0</v>
  </rv>
  <rv s="0">
    <fb>210.01</fb>
    <v>1</v>
  </rv>
  <rv s="0">
    <fb>9008960</fb>
    <v>2</v>
  </rv>
  <rv s="0">
    <fb>46003</fb>
    <v>0</v>
  </rv>
  <rv s="0">
    <fb>211.58</fb>
    <v>1</v>
  </rv>
  <rv s="0">
    <fb>6922683</fb>
    <v>2</v>
  </rv>
  <rv s="0">
    <fb>46006</fb>
    <v>0</v>
  </rv>
  <rv s="0">
    <fb>214.17</fb>
    <v>1</v>
  </rv>
  <rv s="0">
    <fb>8466964</fb>
    <v>2</v>
  </rv>
  <rv s="0">
    <fb>46007</fb>
    <v>0</v>
  </rv>
  <rv s="0">
    <fb>209.3</fb>
    <v>1</v>
  </rv>
  <rv s="0">
    <fb>9949810</fb>
    <v>2</v>
  </rv>
  <rv s="0">
    <fb>46008</fb>
    <v>0</v>
  </rv>
  <rv s="0">
    <fb>210.33</fb>
    <v>1</v>
  </rv>
  <rv s="0">
    <fb>8457560</fb>
    <v>2</v>
  </rv>
  <rv s="0">
    <fb>46009</fb>
    <v>0</v>
  </rv>
  <rv s="0">
    <fb>208.31</fb>
    <v>1</v>
  </rv>
  <rv s="0">
    <fb>7499852</fb>
    <v>2</v>
  </rv>
  <rv s="0">
    <fb>46010</fb>
    <v>0</v>
  </rv>
  <rv s="0">
    <fb>206.37</fb>
    <v>1</v>
  </rv>
  <rv s="0">
    <fb>24803920</fb>
    <v>2</v>
  </rv>
  <rv s="0">
    <fb>46013</fb>
    <v>0</v>
  </rv>
  <rv s="0">
    <fb>207.32</fb>
    <v>1</v>
  </rv>
  <rv s="0">
    <fb>8187755</fb>
    <v>2</v>
  </rv>
  <rv s="0">
    <fb>46014</fb>
    <v>0</v>
  </rv>
  <rv s="0">
    <fb>205.78</fb>
    <v>1</v>
  </rv>
  <rv s="0">
    <fb>7047346</fb>
    <v>2</v>
  </rv>
  <rv s="0">
    <fb>46015</fb>
    <v>0</v>
  </rv>
  <rv s="0">
    <fb>207.78</fb>
    <v>1</v>
  </rv>
  <rv s="0">
    <fb>2376541</fb>
    <v>2</v>
  </rv>
  <rv s="0">
    <fb>46017</fb>
    <v>0</v>
  </rv>
  <rv s="0">
    <fb>207.63</fb>
    <v>1</v>
  </rv>
  <rv s="0">
    <fb>2316730</fb>
    <v>2</v>
  </rv>
  <rv s="0">
    <fb>46020</fb>
    <v>0</v>
  </rv>
  <rv s="0">
    <fb>4348854</fb>
    <v>2</v>
  </rv>
  <rv s="0">
    <fb>46021</fb>
    <v>0</v>
  </rv>
  <rv s="0">
    <fb>206.91</fb>
    <v>1</v>
  </rv>
  <rv s="0">
    <fb>3937395</fb>
    <v>2</v>
  </rv>
  <rv s="0">
    <fb>46022</fb>
    <v>0</v>
  </rv>
  <rv s="0">
    <fb>206.95</fb>
    <v>1</v>
  </rv>
  <rv s="0">
    <fb>4084013</fb>
    <v>2</v>
  </rv>
  <rv s="0">
    <fb>46024</fb>
    <v>0</v>
  </rv>
  <rv s="0">
    <fb>207.35</fb>
    <v>1</v>
  </rv>
  <rv s="0">
    <fb>6325672</fb>
    <v>2</v>
  </rv>
  <rv s="0">
    <fb>46027</fb>
    <v>0</v>
  </rv>
  <rv s="0">
    <fb>204.31</fb>
    <v>1</v>
  </rv>
  <rv s="0">
    <fb>9476975</fb>
    <v>2</v>
  </rv>
  <rv s="0">
    <fb>46028</fb>
    <v>0</v>
  </rv>
  <rv s="0">
    <fb>204.79</fb>
    <v>1</v>
  </rv>
  <rv s="0">
    <fb>8107853</fb>
    <v>2</v>
  </rv>
  <rv s="0">
    <fb>46029</fb>
    <v>0</v>
  </rv>
  <rv s="0">
    <fb>207.49</fb>
    <v>1</v>
  </rv>
  <rv s="0">
    <fb>7545920</fb>
    <v>2</v>
  </rv>
  <rv s="0">
    <fb>46030</fb>
    <v>0</v>
  </rv>
  <rv s="0">
    <fb>205.75</fb>
    <v>1</v>
  </rv>
  <rv s="0">
    <fb>6557776</fb>
    <v>2</v>
  </rv>
  <rv s="0">
    <fb>46031</fb>
    <v>0</v>
  </rv>
  <rv s="0">
    <fb>204.39</fb>
    <v>1</v>
  </rv>
  <rv s="0">
    <fb>6154326</fb>
    <v>2</v>
  </rv>
  <rv s="0">
    <fb>46034</fb>
    <v>0</v>
  </rv>
  <rv s="0">
    <fb>209.72</fb>
    <v>1</v>
  </rv>
  <rv s="0">
    <fb>11794339</fb>
    <v>2</v>
  </rv>
  <rv s="0">
    <fb>46035</fb>
    <v>0</v>
  </rv>
  <rv s="0">
    <fb>213.65</fb>
    <v>1</v>
  </rv>
  <rv s="0">
    <fb>11379590</fb>
    <v>2</v>
  </rv>
  <rv s="0">
    <fb>46036</fb>
    <v>0</v>
  </rv>
  <rv s="0">
    <fb>218.55</fb>
    <v>1</v>
  </rv>
  <rv s="0">
    <fb>11858784</fb>
    <v>2</v>
  </rv>
  <rv s="0">
    <fb>46037</fb>
    <v>0</v>
  </rv>
  <rv s="0">
    <fb>219.57</fb>
    <v>1</v>
  </rv>
  <rv s="0">
    <fb>8492116</fb>
    <v>2</v>
  </rv>
  <rv s="0">
    <fb>46038</fb>
    <v>0</v>
  </rv>
  <rv s="0">
    <fb>218.66</fb>
    <v>1</v>
  </rv>
  <rv s="0">
    <fb>10021515</fb>
    <v>2</v>
  </rv>
  <rv s="0">
    <fb>46042</fb>
    <v>0</v>
  </rv>
  <rv s="0">
    <fb>218.21</fb>
    <v>1</v>
  </rv>
  <rv s="0">
    <fb>14057136</fb>
    <v>2</v>
  </rv>
  <rv s="0">
    <fb>46043</fb>
    <v>0</v>
  </rv>
  <rv s="0">
    <fb>218.01</fb>
    <v>1</v>
  </rv>
  <rv s="0">
    <fb>14762883</fb>
    <v>2</v>
  </rv>
  <rv s="0">
    <fb>46044</fb>
    <v>0</v>
  </rv>
  <rv s="0">
    <fb>218.49</fb>
    <v>1</v>
  </rv>
  <rv s="0">
    <fb>13160041</fb>
    <v>2</v>
  </rv>
  <rv s="0">
    <fb>46045</fb>
    <v>0</v>
  </rv>
  <rv s="0">
    <fb>220.14</fb>
    <v>1</v>
  </rv>
  <rv s="0">
    <fb>6951040</fb>
    <v>2</v>
  </rv>
  <rv s="0">
    <fb>46048</fb>
    <v>0</v>
  </rv>
  <rv s="0">
    <fb>221.49</fb>
    <v>1</v>
  </rv>
  <rv s="0">
    <fb>6857093</fb>
    <v>2</v>
  </rv>
  <rv s="0">
    <fb>46049</fb>
    <v>0</v>
  </rv>
  <rv s="0">
    <fb>224.44</fb>
    <v>1</v>
  </rv>
  <rv s="0">
    <fb>8154489</fb>
    <v>2</v>
  </rv>
  <rv s="0">
    <fb>46050</fb>
    <v>0</v>
  </rv>
  <rv s="0">
    <fb>227.72</fb>
    <v>1</v>
  </rv>
  <rv s="0">
    <fb>9026495</fb>
    <v>2</v>
  </rv>
  <rv s="0">
    <fb>46051</fb>
    <v>0</v>
  </rv>
  <rv s="0">
    <fb>227.29</fb>
    <v>1</v>
  </rv>
  <rv s="0">
    <fb>9645348</fb>
    <v>2</v>
  </rv>
  <rv s="0">
    <fb>46052</fb>
    <v>0</v>
  </rv>
  <rv s="0">
    <fb>227.25</fb>
    <v>1</v>
  </rv>
  <rv s="0">
    <fb>11045529</fb>
    <v>2</v>
  </rv>
  <rv s="1">
    <v>3</v>
    <v>JNJ</v>
    <v>Daily</v>
    <v>45292</v>
    <v>46053</v>
    <v>0</v>
    <v>1</v>
    <v>639053280000000000,639054864875699691,0</v>
    <v>0</v>
    <v>a1w8ec</v>
    <v>XNYS:JNJ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4019989-849C-4F41-ACF6-0E0DE650812C}" name="Weekly" displayName="Weekly" ref="A1:G120" tableType="queryTable" totalsRowShown="0">
  <autoFilter ref="A1:G120" xr:uid="{74019989-849C-4F41-ACF6-0E0DE650812C}"/>
  <tableColumns count="7">
    <tableColumn id="1" xr3:uid="{CFAB5A5C-7382-4B10-9DCD-249EB974FA8E}" uniqueName="1" name="Week " queryTableFieldId="1" dataDxfId="2"/>
    <tableColumn id="2" xr3:uid="{2B2C9EFB-8481-4CEB-88AF-728B95A7DE75}" uniqueName="2" name="Average" queryTableFieldId="2"/>
    <tableColumn id="3" xr3:uid="{2A665B09-2F67-4039-A01C-974121089E69}" uniqueName="3" name="Freeze" queryTableFieldId="3"/>
    <tableColumn id="4" xr3:uid="{82C7190D-A64B-4DF0-A254-8CC17A4C663A}" uniqueName="4" name="Forecast" queryTableFieldId="4"/>
    <tableColumn id="5" xr3:uid="{ADF769C7-B470-4086-B90B-48A090ED162A}" uniqueName="5" name="PI/CI" queryTableFieldId="5"/>
    <tableColumn id="6" xr3:uid="{F675A44C-F38D-4532-94AF-56E1A5DBCD32}" uniqueName="6" name="Lower" queryTableFieldId="6" dataDxfId="1">
      <calculatedColumnFormula>Weekly[[#This Row],[Forecast]]-Weekly[[#This Row],[PI/CI]]</calculatedColumnFormula>
    </tableColumn>
    <tableColumn id="7" xr3:uid="{58E69DCF-83DC-4CFF-8E81-60961F089971}" uniqueName="7" name="Upper" queryTableFieldId="7" dataDxfId="0">
      <calculatedColumnFormula>Weekly[[#This Row],[Forecast]]+Weekly[[#This Row],[PI/CI]]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FA94F1-DE8E-4EFE-BE7A-322B252F0717}" name="Table7" displayName="Table7" ref="A1:B523" totalsRowShown="0">
  <autoFilter ref="A1:B523" xr:uid="{02FA94F1-DE8E-4EFE-BE7A-322B252F0717}"/>
  <tableColumns count="2">
    <tableColumn id="1" xr3:uid="{2C65D446-94C3-44A3-8C96-7A3C3A8C77A8}" name="Week " dataDxfId="3"/>
    <tableColumn id="2" xr3:uid="{AC63A742-65AE-4FA0-8EAD-339B95817133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1EC6-011B-4E93-B7F2-012D4DB0A1AD}">
  <dimension ref="A1:M523"/>
  <sheetViews>
    <sheetView workbookViewId="0">
      <selection activeCell="C1" activeCellId="1" sqref="A1:A1048576 C1:C1048576"/>
    </sheetView>
  </sheetViews>
  <sheetFormatPr defaultRowHeight="15" x14ac:dyDescent="0.25"/>
  <cols>
    <col min="1" max="1" width="10.42578125" style="6" bestFit="1" customWidth="1"/>
    <col min="2" max="2" width="11.28515625" bestFit="1" customWidth="1"/>
    <col min="4" max="4" width="10.140625" bestFit="1" customWidth="1"/>
    <col min="5" max="7" width="10.5703125" customWidth="1"/>
    <col min="8" max="8" width="11.5703125" customWidth="1"/>
  </cols>
  <sheetData>
    <row r="1" spans="1:13" x14ac:dyDescent="0.25">
      <c r="A1" s="12" t="s">
        <v>7</v>
      </c>
      <c r="B1" s="3" t="str" cm="1">
        <f t="array" aca="1" ref="B1:D523" ca="1">_xlfn.STOCKHISTORY("JNJ","2024-01-01",TODAY(),0,1,0,1,5)</f>
        <v>Date</v>
      </c>
      <c r="C1" s="3" t="str">
        <f ca="1"/>
        <v>Close</v>
      </c>
      <c r="D1" s="3" t="str">
        <f ca="1"/>
        <v>Volume</v>
      </c>
      <c r="E1" s="3" t="s">
        <v>0</v>
      </c>
      <c r="F1" s="3" t="s">
        <v>1</v>
      </c>
      <c r="G1" s="3" t="s">
        <v>2</v>
      </c>
      <c r="H1" s="3" t="s">
        <v>3</v>
      </c>
      <c r="I1" s="3" t="s">
        <v>6</v>
      </c>
      <c r="J1" s="3" t="s">
        <v>5</v>
      </c>
      <c r="K1" s="3" t="s">
        <v>4</v>
      </c>
      <c r="L1" s="10" t="s">
        <v>13</v>
      </c>
      <c r="M1" s="10" t="s">
        <v>18</v>
      </c>
    </row>
    <row r="2" spans="1:13" x14ac:dyDescent="0.25">
      <c r="A2" s="6">
        <f ca="1">B2 - WEEKDAY(B2, 2) + 1</f>
        <v>45292</v>
      </c>
      <c r="B2" vm="1">
        <f ca="1"/>
        <v>45293</v>
      </c>
      <c r="C2" vm="2">
        <f ca="1"/>
        <v>159.97</v>
      </c>
      <c r="D2" vm="3">
        <f ca="1"/>
        <v>9622108</v>
      </c>
      <c r="L2" t="s">
        <v>14</v>
      </c>
      <c r="M2">
        <f ca="1">COUNT(C:C)</f>
        <v>522</v>
      </c>
    </row>
    <row r="3" spans="1:13" x14ac:dyDescent="0.25">
      <c r="A3" s="6">
        <f t="shared" ref="A3:A66" ca="1" si="0">B3 - WEEKDAY(B3, 2) + 1</f>
        <v>45292</v>
      </c>
      <c r="B3" vm="4">
        <f ca="1"/>
        <v>45294</v>
      </c>
      <c r="C3" vm="5">
        <f ca="1"/>
        <v>160.97</v>
      </c>
      <c r="D3" vm="6">
        <f ca="1"/>
        <v>8231987</v>
      </c>
      <c r="L3" t="s">
        <v>9</v>
      </c>
      <c r="M3">
        <f ca="1">MIN(C:C)</f>
        <v>142.06</v>
      </c>
    </row>
    <row r="4" spans="1:13" x14ac:dyDescent="0.25">
      <c r="A4" s="6">
        <f t="shared" ca="1" si="0"/>
        <v>45292</v>
      </c>
      <c r="B4" vm="7">
        <f ca="1"/>
        <v>45295</v>
      </c>
      <c r="C4" vm="8">
        <f ca="1"/>
        <v>160.63</v>
      </c>
      <c r="D4" vm="9">
        <f ca="1"/>
        <v>6766641</v>
      </c>
      <c r="L4" t="s">
        <v>10</v>
      </c>
      <c r="M4">
        <f ca="1">MAX(C:C)</f>
        <v>227.72</v>
      </c>
    </row>
    <row r="5" spans="1:13" x14ac:dyDescent="0.25">
      <c r="A5" s="6">
        <f t="shared" ca="1" si="0"/>
        <v>45292</v>
      </c>
      <c r="B5" vm="10">
        <f ca="1"/>
        <v>45296</v>
      </c>
      <c r="C5" vm="11">
        <f ca="1"/>
        <v>161.13</v>
      </c>
      <c r="D5" vm="12">
        <f ca="1"/>
        <v>5602564</v>
      </c>
      <c r="L5" t="s">
        <v>11</v>
      </c>
      <c r="M5">
        <f ca="1">MEDIAN(C:C)</f>
        <v>159.375</v>
      </c>
    </row>
    <row r="6" spans="1:13" x14ac:dyDescent="0.25">
      <c r="A6" s="6">
        <f t="shared" ca="1" si="0"/>
        <v>45299</v>
      </c>
      <c r="B6" vm="13">
        <f ca="1"/>
        <v>45299</v>
      </c>
      <c r="C6" vm="14">
        <f ca="1"/>
        <v>161.53</v>
      </c>
      <c r="D6" vm="15">
        <f ca="1"/>
        <v>6569810</v>
      </c>
      <c r="L6" t="s">
        <v>15</v>
      </c>
      <c r="M6">
        <f ca="1">AVERAGE(C:C)</f>
        <v>164.84632183908047</v>
      </c>
    </row>
    <row r="7" spans="1:13" x14ac:dyDescent="0.25">
      <c r="A7" s="6">
        <f t="shared" ca="1" si="0"/>
        <v>45299</v>
      </c>
      <c r="B7" vm="16">
        <f ca="1"/>
        <v>45300</v>
      </c>
      <c r="C7" vm="17">
        <f ca="1"/>
        <v>161.63</v>
      </c>
      <c r="D7" vm="18">
        <f ca="1"/>
        <v>6357014</v>
      </c>
    </row>
    <row r="8" spans="1:13" x14ac:dyDescent="0.25">
      <c r="A8" s="6">
        <f t="shared" ca="1" si="0"/>
        <v>45299</v>
      </c>
      <c r="B8" vm="19">
        <f ca="1"/>
        <v>45301</v>
      </c>
      <c r="C8" vm="20">
        <f ca="1"/>
        <v>161.87</v>
      </c>
      <c r="D8" vm="21">
        <f ca="1"/>
        <v>4945088</v>
      </c>
      <c r="H8" s="11"/>
    </row>
    <row r="9" spans="1:13" x14ac:dyDescent="0.25">
      <c r="A9" s="6">
        <f t="shared" ca="1" si="0"/>
        <v>45299</v>
      </c>
      <c r="B9" vm="22">
        <f ca="1"/>
        <v>45302</v>
      </c>
      <c r="C9" vm="23">
        <f ca="1"/>
        <v>161.15</v>
      </c>
      <c r="D9" vm="24">
        <f ca="1"/>
        <v>4946015</v>
      </c>
    </row>
    <row r="10" spans="1:13" x14ac:dyDescent="0.25">
      <c r="A10" s="6">
        <f t="shared" ca="1" si="0"/>
        <v>45299</v>
      </c>
      <c r="B10" vm="25">
        <f ca="1"/>
        <v>45303</v>
      </c>
      <c r="C10" vm="26">
        <f ca="1"/>
        <v>162.38999999999999</v>
      </c>
      <c r="D10" vm="27">
        <f ca="1"/>
        <v>4496942</v>
      </c>
      <c r="E10">
        <f ca="1">AVERAGE(C2:C10)</f>
        <v>161.25222222222223</v>
      </c>
    </row>
    <row r="11" spans="1:13" x14ac:dyDescent="0.25">
      <c r="A11" s="6">
        <f t="shared" ca="1" si="0"/>
        <v>45306</v>
      </c>
      <c r="B11" vm="28">
        <f ca="1"/>
        <v>45307</v>
      </c>
      <c r="C11" vm="29">
        <f ca="1"/>
        <v>160.52000000000001</v>
      </c>
      <c r="D11" vm="30">
        <f ca="1"/>
        <v>6923174</v>
      </c>
      <c r="E11">
        <f t="shared" ref="E11:E74" ca="1" si="1">AVERAGE(C3:C11)</f>
        <v>161.31333333333336</v>
      </c>
    </row>
    <row r="12" spans="1:13" x14ac:dyDescent="0.25">
      <c r="A12" s="6">
        <f t="shared" ca="1" si="0"/>
        <v>45306</v>
      </c>
      <c r="B12" vm="31">
        <f ca="1"/>
        <v>45308</v>
      </c>
      <c r="C12" vm="32">
        <f ca="1"/>
        <v>160.43</v>
      </c>
      <c r="D12" vm="33">
        <f ca="1"/>
        <v>5072104</v>
      </c>
      <c r="E12">
        <f t="shared" ca="1" si="1"/>
        <v>161.25333333333333</v>
      </c>
    </row>
    <row r="13" spans="1:13" x14ac:dyDescent="0.25">
      <c r="A13" s="6">
        <f t="shared" ca="1" si="0"/>
        <v>45306</v>
      </c>
      <c r="B13" vm="34">
        <f ca="1"/>
        <v>45309</v>
      </c>
      <c r="C13" vm="35">
        <f ca="1"/>
        <v>161.21</v>
      </c>
      <c r="D13" vm="36">
        <f ca="1"/>
        <v>5368502</v>
      </c>
      <c r="E13">
        <f t="shared" ca="1" si="1"/>
        <v>161.31777777777779</v>
      </c>
    </row>
    <row r="14" spans="1:13" x14ac:dyDescent="0.25">
      <c r="A14" s="6">
        <f t="shared" ca="1" si="0"/>
        <v>45306</v>
      </c>
      <c r="B14" vm="37">
        <f ca="1"/>
        <v>45310</v>
      </c>
      <c r="C14" vm="38">
        <f ca="1"/>
        <v>161.68</v>
      </c>
      <c r="D14" vm="39">
        <f ca="1"/>
        <v>7071320</v>
      </c>
      <c r="E14">
        <f t="shared" ca="1" si="1"/>
        <v>161.37888888888889</v>
      </c>
    </row>
    <row r="15" spans="1:13" x14ac:dyDescent="0.25">
      <c r="A15" s="6">
        <f t="shared" ca="1" si="0"/>
        <v>45313</v>
      </c>
      <c r="B15" vm="40">
        <f ca="1"/>
        <v>45313</v>
      </c>
      <c r="C15" vm="41">
        <f ca="1"/>
        <v>162.47</v>
      </c>
      <c r="D15" vm="42">
        <f ca="1"/>
        <v>6824156</v>
      </c>
      <c r="E15">
        <f t="shared" ca="1" si="1"/>
        <v>161.48333333333335</v>
      </c>
    </row>
    <row r="16" spans="1:13" x14ac:dyDescent="0.25">
      <c r="A16" s="6">
        <f t="shared" ca="1" si="0"/>
        <v>45313</v>
      </c>
      <c r="B16" vm="43">
        <f ca="1"/>
        <v>45314</v>
      </c>
      <c r="C16" vm="44">
        <f ca="1"/>
        <v>159.81</v>
      </c>
      <c r="D16" vm="45">
        <f ca="1"/>
        <v>9149777</v>
      </c>
      <c r="E16">
        <f t="shared" ca="1" si="1"/>
        <v>161.2811111111111</v>
      </c>
    </row>
    <row r="17" spans="1:11" x14ac:dyDescent="0.25">
      <c r="A17" s="6">
        <f t="shared" ca="1" si="0"/>
        <v>45313</v>
      </c>
      <c r="B17" vm="46">
        <f ca="1"/>
        <v>45315</v>
      </c>
      <c r="C17" vm="47">
        <f ca="1"/>
        <v>158.96</v>
      </c>
      <c r="D17" vm="48">
        <f ca="1"/>
        <v>7247926</v>
      </c>
      <c r="E17">
        <f t="shared" ca="1" si="1"/>
        <v>160.95777777777778</v>
      </c>
    </row>
    <row r="18" spans="1:11" x14ac:dyDescent="0.25">
      <c r="A18" s="6">
        <f t="shared" ca="1" si="0"/>
        <v>45313</v>
      </c>
      <c r="B18" vm="49">
        <f ca="1"/>
        <v>45316</v>
      </c>
      <c r="C18" vm="50">
        <f ca="1"/>
        <v>159.56</v>
      </c>
      <c r="D18" vm="51">
        <f ca="1"/>
        <v>5478898</v>
      </c>
      <c r="E18">
        <f t="shared" ca="1" si="1"/>
        <v>160.7811111111111</v>
      </c>
    </row>
    <row r="19" spans="1:11" x14ac:dyDescent="0.25">
      <c r="A19" s="6">
        <f t="shared" ca="1" si="0"/>
        <v>45313</v>
      </c>
      <c r="B19" vm="52">
        <f ca="1"/>
        <v>45317</v>
      </c>
      <c r="C19" vm="53">
        <f ca="1"/>
        <v>159.5</v>
      </c>
      <c r="D19" vm="54">
        <f ca="1"/>
        <v>5591930</v>
      </c>
      <c r="E19">
        <f t="shared" ca="1" si="1"/>
        <v>160.46</v>
      </c>
    </row>
    <row r="20" spans="1:11" x14ac:dyDescent="0.25">
      <c r="A20" s="6">
        <f t="shared" ca="1" si="0"/>
        <v>45320</v>
      </c>
      <c r="B20" vm="55">
        <f ca="1"/>
        <v>45320</v>
      </c>
      <c r="C20" vm="56">
        <f ca="1"/>
        <v>159.36000000000001</v>
      </c>
      <c r="D20" vm="57">
        <f ca="1"/>
        <v>6483190</v>
      </c>
      <c r="E20">
        <f t="shared" ca="1" si="1"/>
        <v>160.33111111111111</v>
      </c>
    </row>
    <row r="21" spans="1:11" x14ac:dyDescent="0.25">
      <c r="A21" s="6">
        <f t="shared" ca="1" si="0"/>
        <v>45320</v>
      </c>
      <c r="B21" vm="58">
        <f ca="1"/>
        <v>45321</v>
      </c>
      <c r="C21" vm="59">
        <f ca="1"/>
        <v>158.77000000000001</v>
      </c>
      <c r="D21" vm="60">
        <f ca="1"/>
        <v>7200538</v>
      </c>
      <c r="E21">
        <f t="shared" ca="1" si="1"/>
        <v>160.14666666666668</v>
      </c>
      <c r="F21">
        <f ca="1">AVERAGE(C2:C21)</f>
        <v>160.67699999999999</v>
      </c>
      <c r="I21">
        <f ca="1">_xlfn.STDEV.S(C2:C21)</f>
        <v>1.1075059700444971</v>
      </c>
      <c r="J21">
        <f ca="1">F21-2*I21</f>
        <v>158.46198805991099</v>
      </c>
      <c r="K21">
        <f ca="1">F21+2*I21</f>
        <v>162.89201194008899</v>
      </c>
    </row>
    <row r="22" spans="1:11" x14ac:dyDescent="0.25">
      <c r="A22" s="6">
        <f t="shared" ca="1" si="0"/>
        <v>45320</v>
      </c>
      <c r="B22" vm="61">
        <f ca="1"/>
        <v>45322</v>
      </c>
      <c r="C22" vm="62">
        <f ca="1"/>
        <v>158.9</v>
      </c>
      <c r="D22" vm="63">
        <f ca="1"/>
        <v>8257029</v>
      </c>
      <c r="E22">
        <f t="shared" ca="1" si="1"/>
        <v>159.89000000000001</v>
      </c>
      <c r="F22">
        <f t="shared" ref="F22:F85" ca="1" si="2">AVERAGE(C3:C22)</f>
        <v>160.62350000000001</v>
      </c>
      <c r="I22">
        <f t="shared" ref="I22:I85" ca="1" si="3">_xlfn.STDEV.S(C3:C22)</f>
        <v>1.1676664763535827</v>
      </c>
      <c r="J22">
        <f t="shared" ref="J22:J85" ca="1" si="4">F22-2*I22</f>
        <v>158.28816704729283</v>
      </c>
      <c r="K22">
        <f t="shared" ref="K22:K85" ca="1" si="5">F22+2*I22</f>
        <v>162.95883295270718</v>
      </c>
    </row>
    <row r="23" spans="1:11" x14ac:dyDescent="0.25">
      <c r="A23" s="6">
        <f t="shared" ca="1" si="0"/>
        <v>45320</v>
      </c>
      <c r="B23" vm="64">
        <f ca="1"/>
        <v>45323</v>
      </c>
      <c r="C23" vm="65">
        <f ca="1"/>
        <v>158.36000000000001</v>
      </c>
      <c r="D23" vm="66">
        <f ca="1"/>
        <v>8012122</v>
      </c>
      <c r="E23">
        <f t="shared" ca="1" si="1"/>
        <v>159.52111111111111</v>
      </c>
      <c r="F23">
        <f t="shared" ca="1" si="2"/>
        <v>160.49300000000002</v>
      </c>
      <c r="I23">
        <f t="shared" ca="1" si="3"/>
        <v>1.2684059619106636</v>
      </c>
      <c r="J23">
        <f t="shared" ca="1" si="4"/>
        <v>157.95618807617871</v>
      </c>
      <c r="K23">
        <f t="shared" ca="1" si="5"/>
        <v>163.02981192382134</v>
      </c>
    </row>
    <row r="24" spans="1:11" x14ac:dyDescent="0.25">
      <c r="A24" s="6">
        <f t="shared" ca="1" si="0"/>
        <v>45320</v>
      </c>
      <c r="B24" vm="67">
        <f ca="1"/>
        <v>45324</v>
      </c>
      <c r="C24" vm="68">
        <f ca="1"/>
        <v>156.61000000000001</v>
      </c>
      <c r="D24" vm="69">
        <f ca="1"/>
        <v>8295916</v>
      </c>
      <c r="E24">
        <f t="shared" ca="1" si="1"/>
        <v>158.87</v>
      </c>
      <c r="F24">
        <f t="shared" ca="1" si="2"/>
        <v>160.29200000000003</v>
      </c>
      <c r="I24">
        <f t="shared" ca="1" si="3"/>
        <v>1.5358714310226507</v>
      </c>
      <c r="J24">
        <f t="shared" ca="1" si="4"/>
        <v>157.22025713795472</v>
      </c>
      <c r="K24">
        <f t="shared" ca="1" si="5"/>
        <v>163.36374286204534</v>
      </c>
    </row>
    <row r="25" spans="1:11" x14ac:dyDescent="0.25">
      <c r="A25" s="6">
        <f t="shared" ca="1" si="0"/>
        <v>45327</v>
      </c>
      <c r="B25" vm="70">
        <f ca="1"/>
        <v>45327</v>
      </c>
      <c r="C25" vm="71">
        <f ca="1"/>
        <v>155.80000000000001</v>
      </c>
      <c r="D25" vm="72">
        <f ca="1"/>
        <v>9121808</v>
      </c>
      <c r="E25">
        <f t="shared" ca="1" si="1"/>
        <v>158.42444444444445</v>
      </c>
      <c r="F25">
        <f t="shared" ca="1" si="2"/>
        <v>160.02550000000002</v>
      </c>
      <c r="I25">
        <f t="shared" ca="1" si="3"/>
        <v>1.8191162544951338</v>
      </c>
      <c r="J25">
        <f t="shared" ca="1" si="4"/>
        <v>156.38726749100977</v>
      </c>
      <c r="K25">
        <f t="shared" ca="1" si="5"/>
        <v>163.66373250899028</v>
      </c>
    </row>
    <row r="26" spans="1:11" x14ac:dyDescent="0.25">
      <c r="A26" s="6">
        <f t="shared" ca="1" si="0"/>
        <v>45327</v>
      </c>
      <c r="B26" vm="73">
        <f ca="1"/>
        <v>45328</v>
      </c>
      <c r="C26" vm="74">
        <f ca="1"/>
        <v>158.06</v>
      </c>
      <c r="D26" vm="75">
        <f ca="1"/>
        <v>9230611</v>
      </c>
      <c r="E26">
        <f t="shared" ca="1" si="1"/>
        <v>158.32444444444442</v>
      </c>
      <c r="F26">
        <f t="shared" ca="1" si="2"/>
        <v>159.85200000000003</v>
      </c>
      <c r="I26">
        <f t="shared" ca="1" si="3"/>
        <v>1.8334913488521769</v>
      </c>
      <c r="J26">
        <f t="shared" ca="1" si="4"/>
        <v>156.18501730229568</v>
      </c>
      <c r="K26">
        <f t="shared" ca="1" si="5"/>
        <v>163.51898269770439</v>
      </c>
    </row>
    <row r="27" spans="1:11" x14ac:dyDescent="0.25">
      <c r="A27" s="6">
        <f t="shared" ca="1" si="0"/>
        <v>45327</v>
      </c>
      <c r="B27" vm="76">
        <f ca="1"/>
        <v>45329</v>
      </c>
      <c r="C27" vm="77">
        <f ca="1"/>
        <v>157.97999999999999</v>
      </c>
      <c r="D27" vm="78">
        <f ca="1"/>
        <v>8690294</v>
      </c>
      <c r="E27">
        <f t="shared" ca="1" si="1"/>
        <v>158.14888888888888</v>
      </c>
      <c r="F27">
        <f t="shared" ca="1" si="2"/>
        <v>159.66950000000003</v>
      </c>
      <c r="I27">
        <f t="shared" ca="1" si="3"/>
        <v>1.8288491491991092</v>
      </c>
      <c r="J27">
        <f t="shared" ca="1" si="4"/>
        <v>156.0118017016018</v>
      </c>
      <c r="K27">
        <f t="shared" ca="1" si="5"/>
        <v>163.32719829839826</v>
      </c>
    </row>
    <row r="28" spans="1:11" x14ac:dyDescent="0.25">
      <c r="A28" s="6">
        <f t="shared" ca="1" si="0"/>
        <v>45327</v>
      </c>
      <c r="B28" vm="79">
        <f ca="1"/>
        <v>45330</v>
      </c>
      <c r="C28" vm="80">
        <f ca="1"/>
        <v>156.4</v>
      </c>
      <c r="D28" vm="81">
        <f ca="1"/>
        <v>9754960</v>
      </c>
      <c r="E28">
        <f t="shared" ca="1" si="1"/>
        <v>157.80444444444444</v>
      </c>
      <c r="F28">
        <f t="shared" ca="1" si="2"/>
        <v>159.39600000000002</v>
      </c>
      <c r="I28">
        <f t="shared" ca="1" si="3"/>
        <v>1.8904257387382877</v>
      </c>
      <c r="J28">
        <f t="shared" ca="1" si="4"/>
        <v>155.61514852252344</v>
      </c>
      <c r="K28">
        <f t="shared" ca="1" si="5"/>
        <v>163.17685147747659</v>
      </c>
    </row>
    <row r="29" spans="1:11" x14ac:dyDescent="0.25">
      <c r="A29" s="6">
        <f t="shared" ca="1" si="0"/>
        <v>45327</v>
      </c>
      <c r="B29" vm="82">
        <f ca="1"/>
        <v>45331</v>
      </c>
      <c r="C29" vm="83">
        <f ca="1"/>
        <v>156.76</v>
      </c>
      <c r="D29" vm="84">
        <f ca="1"/>
        <v>6529202</v>
      </c>
      <c r="E29">
        <f t="shared" ca="1" si="1"/>
        <v>157.51555555555558</v>
      </c>
      <c r="F29">
        <f t="shared" ca="1" si="2"/>
        <v>159.17650000000003</v>
      </c>
      <c r="I29">
        <f t="shared" ca="1" si="3"/>
        <v>1.9304874623020107</v>
      </c>
      <c r="J29">
        <f t="shared" ca="1" si="4"/>
        <v>155.31552507539601</v>
      </c>
      <c r="K29">
        <f t="shared" ca="1" si="5"/>
        <v>163.03747492460406</v>
      </c>
    </row>
    <row r="30" spans="1:11" x14ac:dyDescent="0.25">
      <c r="A30" s="6">
        <f t="shared" ca="1" si="0"/>
        <v>45334</v>
      </c>
      <c r="B30" vm="85">
        <f ca="1"/>
        <v>45334</v>
      </c>
      <c r="C30" vm="86">
        <f ca="1"/>
        <v>157.85</v>
      </c>
      <c r="D30" vm="87">
        <f ca="1"/>
        <v>6701508</v>
      </c>
      <c r="E30">
        <f t="shared" ca="1" si="1"/>
        <v>157.41333333333333</v>
      </c>
      <c r="F30">
        <f t="shared" ca="1" si="2"/>
        <v>158.9495</v>
      </c>
      <c r="I30">
        <f t="shared" ca="1" si="3"/>
        <v>1.7948947337554808</v>
      </c>
      <c r="J30">
        <f t="shared" ca="1" si="4"/>
        <v>155.35971053248903</v>
      </c>
      <c r="K30">
        <f t="shared" ca="1" si="5"/>
        <v>162.53928946751097</v>
      </c>
    </row>
    <row r="31" spans="1:11" x14ac:dyDescent="0.25">
      <c r="A31" s="6">
        <f t="shared" ca="1" si="0"/>
        <v>45334</v>
      </c>
      <c r="B31" vm="88">
        <f ca="1"/>
        <v>45335</v>
      </c>
      <c r="C31" vm="89">
        <f ca="1"/>
        <v>156.47</v>
      </c>
      <c r="D31" vm="90">
        <f ca="1"/>
        <v>8621022</v>
      </c>
      <c r="E31">
        <f t="shared" ca="1" si="1"/>
        <v>157.14333333333332</v>
      </c>
      <c r="F31">
        <f t="shared" ca="1" si="2"/>
        <v>158.74700000000001</v>
      </c>
      <c r="I31">
        <f t="shared" ca="1" si="3"/>
        <v>1.8363668364176964</v>
      </c>
      <c r="J31">
        <f t="shared" ca="1" si="4"/>
        <v>155.07426632716462</v>
      </c>
      <c r="K31">
        <f t="shared" ca="1" si="5"/>
        <v>162.41973367283541</v>
      </c>
    </row>
    <row r="32" spans="1:11" x14ac:dyDescent="0.25">
      <c r="A32" s="6">
        <f t="shared" ca="1" si="0"/>
        <v>45334</v>
      </c>
      <c r="B32" vm="91">
        <f ca="1"/>
        <v>45336</v>
      </c>
      <c r="C32" vm="92">
        <f ca="1"/>
        <v>155.74</v>
      </c>
      <c r="D32" vm="93">
        <f ca="1"/>
        <v>9098805</v>
      </c>
      <c r="E32">
        <f t="shared" ca="1" si="1"/>
        <v>156.85222222222222</v>
      </c>
      <c r="F32">
        <f t="shared" ca="1" si="2"/>
        <v>158.51249999999999</v>
      </c>
      <c r="I32">
        <f t="shared" ca="1" si="3"/>
        <v>1.9081870012079389</v>
      </c>
      <c r="J32">
        <f t="shared" ca="1" si="4"/>
        <v>154.69612599758412</v>
      </c>
      <c r="K32">
        <f t="shared" ca="1" si="5"/>
        <v>162.32887400241586</v>
      </c>
    </row>
    <row r="33" spans="1:11" x14ac:dyDescent="0.25">
      <c r="A33" s="6">
        <f t="shared" ca="1" si="0"/>
        <v>45334</v>
      </c>
      <c r="B33" vm="94">
        <f ca="1"/>
        <v>45337</v>
      </c>
      <c r="C33" vm="95">
        <f ca="1"/>
        <v>157.91999999999999</v>
      </c>
      <c r="D33" vm="96">
        <f ca="1"/>
        <v>7462529</v>
      </c>
      <c r="E33">
        <f t="shared" ca="1" si="1"/>
        <v>156.99777777777777</v>
      </c>
      <c r="F33">
        <f t="shared" ca="1" si="2"/>
        <v>158.34800000000001</v>
      </c>
      <c r="I33">
        <f t="shared" ca="1" si="3"/>
        <v>1.8022751702982769</v>
      </c>
      <c r="J33">
        <f t="shared" ca="1" si="4"/>
        <v>154.74344965940347</v>
      </c>
      <c r="K33">
        <f t="shared" ca="1" si="5"/>
        <v>161.95255034059656</v>
      </c>
    </row>
    <row r="34" spans="1:11" x14ac:dyDescent="0.25">
      <c r="A34" s="6">
        <f t="shared" ca="1" si="0"/>
        <v>45334</v>
      </c>
      <c r="B34" vm="97">
        <f ca="1"/>
        <v>45338</v>
      </c>
      <c r="C34" vm="98">
        <f ca="1"/>
        <v>156.55000000000001</v>
      </c>
      <c r="D34" vm="99">
        <f ca="1"/>
        <v>8540961</v>
      </c>
      <c r="E34">
        <f t="shared" ca="1" si="1"/>
        <v>157.08111111111111</v>
      </c>
      <c r="F34">
        <f t="shared" ca="1" si="2"/>
        <v>158.0915</v>
      </c>
      <c r="I34">
        <f t="shared" ca="1" si="3"/>
        <v>1.662756984491023</v>
      </c>
      <c r="J34">
        <f t="shared" ca="1" si="4"/>
        <v>154.76598603101795</v>
      </c>
      <c r="K34">
        <f t="shared" ca="1" si="5"/>
        <v>161.41701396898205</v>
      </c>
    </row>
    <row r="35" spans="1:11" x14ac:dyDescent="0.25">
      <c r="A35" s="6">
        <f t="shared" ca="1" si="0"/>
        <v>45341</v>
      </c>
      <c r="B35" vm="100">
        <f ca="1"/>
        <v>45342</v>
      </c>
      <c r="C35" vm="101">
        <f ca="1"/>
        <v>157.86000000000001</v>
      </c>
      <c r="D35" vm="102">
        <f ca="1"/>
        <v>9501742</v>
      </c>
      <c r="E35">
        <f t="shared" ca="1" si="1"/>
        <v>157.0588888888889</v>
      </c>
      <c r="F35">
        <f t="shared" ca="1" si="2"/>
        <v>157.86099999999999</v>
      </c>
      <c r="I35">
        <f t="shared" ca="1" si="3"/>
        <v>1.3048528854363535</v>
      </c>
      <c r="J35">
        <f t="shared" ca="1" si="4"/>
        <v>155.2512942291273</v>
      </c>
      <c r="K35">
        <f t="shared" ca="1" si="5"/>
        <v>160.47070577087268</v>
      </c>
    </row>
    <row r="36" spans="1:11" x14ac:dyDescent="0.25">
      <c r="A36" s="6">
        <f t="shared" ca="1" si="0"/>
        <v>45341</v>
      </c>
      <c r="B36" vm="103">
        <f ca="1"/>
        <v>45343</v>
      </c>
      <c r="C36" vm="104">
        <f ca="1"/>
        <v>158.68</v>
      </c>
      <c r="D36" vm="105">
        <f ca="1"/>
        <v>7473300</v>
      </c>
      <c r="E36">
        <f t="shared" ca="1" si="1"/>
        <v>157.13666666666668</v>
      </c>
      <c r="F36">
        <f t="shared" ca="1" si="2"/>
        <v>157.80450000000002</v>
      </c>
      <c r="I36">
        <f t="shared" ca="1" si="3"/>
        <v>1.2388129929811629</v>
      </c>
      <c r="J36">
        <f t="shared" ca="1" si="4"/>
        <v>155.32687401403768</v>
      </c>
      <c r="K36">
        <f t="shared" ca="1" si="5"/>
        <v>160.28212598596235</v>
      </c>
    </row>
    <row r="37" spans="1:11" x14ac:dyDescent="0.25">
      <c r="A37" s="6">
        <f t="shared" ca="1" si="0"/>
        <v>45341</v>
      </c>
      <c r="B37" vm="106">
        <f ca="1"/>
        <v>45344</v>
      </c>
      <c r="C37" vm="107">
        <f ca="1"/>
        <v>160.44999999999999</v>
      </c>
      <c r="D37" vm="108">
        <f ca="1"/>
        <v>8065010</v>
      </c>
      <c r="E37">
        <f t="shared" ca="1" si="1"/>
        <v>157.5866666666667</v>
      </c>
      <c r="F37">
        <f t="shared" ca="1" si="2"/>
        <v>157.87899999999999</v>
      </c>
      <c r="I37">
        <f t="shared" ca="1" si="3"/>
        <v>1.3516263108605577</v>
      </c>
      <c r="J37">
        <f t="shared" ca="1" si="4"/>
        <v>155.17574737827888</v>
      </c>
      <c r="K37">
        <f t="shared" ca="1" si="5"/>
        <v>160.5822526217211</v>
      </c>
    </row>
    <row r="38" spans="1:11" x14ac:dyDescent="0.25">
      <c r="A38" s="6">
        <f t="shared" ca="1" si="0"/>
        <v>45341</v>
      </c>
      <c r="B38" vm="109">
        <f ca="1"/>
        <v>45345</v>
      </c>
      <c r="C38" vm="110">
        <f ca="1"/>
        <v>161.84</v>
      </c>
      <c r="D38" vm="111">
        <f ca="1"/>
        <v>6725963</v>
      </c>
      <c r="E38">
        <f t="shared" ca="1" si="1"/>
        <v>158.15111111111111</v>
      </c>
      <c r="F38">
        <f t="shared" ca="1" si="2"/>
        <v>157.99299999999999</v>
      </c>
      <c r="I38">
        <f t="shared" ca="1" si="3"/>
        <v>1.5780537646767681</v>
      </c>
      <c r="J38">
        <f t="shared" ca="1" si="4"/>
        <v>154.83689247064646</v>
      </c>
      <c r="K38">
        <f t="shared" ca="1" si="5"/>
        <v>161.14910752935353</v>
      </c>
    </row>
    <row r="39" spans="1:11" x14ac:dyDescent="0.25">
      <c r="A39" s="6">
        <f t="shared" ca="1" si="0"/>
        <v>45348</v>
      </c>
      <c r="B39" vm="112">
        <f ca="1"/>
        <v>45348</v>
      </c>
      <c r="C39" vm="113">
        <f ca="1"/>
        <v>160.79</v>
      </c>
      <c r="D39" vm="114">
        <f ca="1"/>
        <v>5465417</v>
      </c>
      <c r="E39">
        <f t="shared" ca="1" si="1"/>
        <v>158.47777777777776</v>
      </c>
      <c r="F39">
        <f t="shared" ca="1" si="2"/>
        <v>158.0575</v>
      </c>
      <c r="I39">
        <f t="shared" ca="1" si="3"/>
        <v>1.666761356959245</v>
      </c>
      <c r="J39">
        <f t="shared" ca="1" si="4"/>
        <v>154.72397728608152</v>
      </c>
      <c r="K39">
        <f t="shared" ca="1" si="5"/>
        <v>161.39102271391849</v>
      </c>
    </row>
    <row r="40" spans="1:11" x14ac:dyDescent="0.25">
      <c r="A40" s="6">
        <f t="shared" ca="1" si="0"/>
        <v>45348</v>
      </c>
      <c r="B40" vm="115">
        <f ca="1"/>
        <v>45349</v>
      </c>
      <c r="C40" vm="116">
        <f ca="1"/>
        <v>160.97999999999999</v>
      </c>
      <c r="D40" vm="117">
        <f ca="1"/>
        <v>5078650</v>
      </c>
      <c r="E40">
        <f t="shared" ca="1" si="1"/>
        <v>158.97888888888889</v>
      </c>
      <c r="F40">
        <f t="shared" ca="1" si="2"/>
        <v>158.13849999999999</v>
      </c>
      <c r="I40">
        <f t="shared" ca="1" si="3"/>
        <v>1.7695829868554929</v>
      </c>
      <c r="J40">
        <f t="shared" ca="1" si="4"/>
        <v>154.599334026289</v>
      </c>
      <c r="K40">
        <f t="shared" ca="1" si="5"/>
        <v>161.67766597371099</v>
      </c>
    </row>
    <row r="41" spans="1:11" x14ac:dyDescent="0.25">
      <c r="A41" s="6">
        <f t="shared" ca="1" si="0"/>
        <v>45348</v>
      </c>
      <c r="B41" vm="118">
        <f ca="1"/>
        <v>45350</v>
      </c>
      <c r="C41" vm="119">
        <f ca="1"/>
        <v>161.55000000000001</v>
      </c>
      <c r="D41" vm="120">
        <f ca="1"/>
        <v>6071076</v>
      </c>
      <c r="E41">
        <f t="shared" ca="1" si="1"/>
        <v>159.62444444444446</v>
      </c>
      <c r="F41">
        <f t="shared" ca="1" si="2"/>
        <v>158.2775</v>
      </c>
      <c r="I41">
        <f t="shared" ca="1" si="3"/>
        <v>1.9242247242652488</v>
      </c>
      <c r="J41">
        <f t="shared" ca="1" si="4"/>
        <v>154.42905055146952</v>
      </c>
      <c r="K41">
        <f t="shared" ca="1" si="5"/>
        <v>162.12594944853049</v>
      </c>
    </row>
    <row r="42" spans="1:11" x14ac:dyDescent="0.25">
      <c r="A42" s="6">
        <f t="shared" ca="1" si="0"/>
        <v>45348</v>
      </c>
      <c r="B42" vm="121">
        <f ca="1"/>
        <v>45351</v>
      </c>
      <c r="C42" vm="122">
        <f ca="1"/>
        <v>161.38</v>
      </c>
      <c r="D42" vm="123">
        <f ca="1"/>
        <v>9849270</v>
      </c>
      <c r="E42">
        <f t="shared" ca="1" si="1"/>
        <v>160.00888888888889</v>
      </c>
      <c r="F42">
        <f t="shared" ca="1" si="2"/>
        <v>158.4015</v>
      </c>
      <c r="I42">
        <f t="shared" ca="1" si="3"/>
        <v>2.0427104671567058</v>
      </c>
      <c r="J42">
        <f t="shared" ca="1" si="4"/>
        <v>154.31607906568658</v>
      </c>
      <c r="K42">
        <f t="shared" ca="1" si="5"/>
        <v>162.48692093431342</v>
      </c>
    </row>
    <row r="43" spans="1:11" x14ac:dyDescent="0.25">
      <c r="A43" s="6">
        <f t="shared" ca="1" si="0"/>
        <v>45348</v>
      </c>
      <c r="B43" vm="124">
        <f ca="1"/>
        <v>45352</v>
      </c>
      <c r="C43" vm="125">
        <f ca="1"/>
        <v>162.12</v>
      </c>
      <c r="D43" vm="126">
        <f ca="1"/>
        <v>5670135</v>
      </c>
      <c r="E43">
        <f t="shared" ca="1" si="1"/>
        <v>160.62777777777779</v>
      </c>
      <c r="F43">
        <f t="shared" ca="1" si="2"/>
        <v>158.58950000000002</v>
      </c>
      <c r="I43">
        <f t="shared" ca="1" si="3"/>
        <v>2.2052484643399421</v>
      </c>
      <c r="J43">
        <f t="shared" ca="1" si="4"/>
        <v>154.17900307132012</v>
      </c>
      <c r="K43">
        <f t="shared" ca="1" si="5"/>
        <v>162.99999692867991</v>
      </c>
    </row>
    <row r="44" spans="1:11" x14ac:dyDescent="0.25">
      <c r="A44" s="6">
        <f t="shared" ca="1" si="0"/>
        <v>45355</v>
      </c>
      <c r="B44" vm="127">
        <f ca="1"/>
        <v>45355</v>
      </c>
      <c r="C44" vm="128">
        <f ca="1"/>
        <v>159.84</v>
      </c>
      <c r="D44" vm="129">
        <f ca="1"/>
        <v>8533083</v>
      </c>
      <c r="E44">
        <f t="shared" ca="1" si="1"/>
        <v>160.84777777777776</v>
      </c>
      <c r="F44">
        <f t="shared" ca="1" si="2"/>
        <v>158.75100000000003</v>
      </c>
      <c r="I44">
        <f t="shared" ca="1" si="3"/>
        <v>2.170653309368789</v>
      </c>
      <c r="J44">
        <f t="shared" ca="1" si="4"/>
        <v>154.40969338126246</v>
      </c>
      <c r="K44">
        <f t="shared" ca="1" si="5"/>
        <v>163.09230661873761</v>
      </c>
    </row>
    <row r="45" spans="1:11" x14ac:dyDescent="0.25">
      <c r="A45" s="6">
        <f t="shared" ca="1" si="0"/>
        <v>45355</v>
      </c>
      <c r="B45" vm="130">
        <f ca="1"/>
        <v>45356</v>
      </c>
      <c r="C45" vm="2">
        <f ca="1"/>
        <v>159.97</v>
      </c>
      <c r="D45" vm="131">
        <f ca="1"/>
        <v>8298182</v>
      </c>
      <c r="E45">
        <f t="shared" ca="1" si="1"/>
        <v>160.99111111111108</v>
      </c>
      <c r="F45">
        <f t="shared" ca="1" si="2"/>
        <v>158.95950000000002</v>
      </c>
      <c r="I45">
        <f t="shared" ca="1" si="3"/>
        <v>2.0702287567472228</v>
      </c>
      <c r="J45">
        <f t="shared" ca="1" si="4"/>
        <v>154.81904248650557</v>
      </c>
      <c r="K45">
        <f t="shared" ca="1" si="5"/>
        <v>163.09995751349447</v>
      </c>
    </row>
    <row r="46" spans="1:11" x14ac:dyDescent="0.25">
      <c r="A46" s="6">
        <f t="shared" ca="1" si="0"/>
        <v>45355</v>
      </c>
      <c r="B46" vm="132">
        <f ca="1"/>
        <v>45357</v>
      </c>
      <c r="C46" vm="133">
        <f ca="1"/>
        <v>159.34</v>
      </c>
      <c r="D46" vm="134">
        <f ca="1"/>
        <v>5773683</v>
      </c>
      <c r="E46">
        <f t="shared" ca="1" si="1"/>
        <v>160.86777777777777</v>
      </c>
      <c r="F46">
        <f t="shared" ca="1" si="2"/>
        <v>159.02350000000004</v>
      </c>
      <c r="I46">
        <f t="shared" ca="1" si="3"/>
        <v>2.0607210669543488</v>
      </c>
      <c r="J46">
        <f t="shared" ca="1" si="4"/>
        <v>154.90205786609135</v>
      </c>
      <c r="K46">
        <f t="shared" ca="1" si="5"/>
        <v>163.14494213390873</v>
      </c>
    </row>
    <row r="47" spans="1:11" x14ac:dyDescent="0.25">
      <c r="A47" s="6">
        <f t="shared" ca="1" si="0"/>
        <v>45355</v>
      </c>
      <c r="B47" vm="135">
        <f ca="1"/>
        <v>45358</v>
      </c>
      <c r="C47" vm="136">
        <f ca="1"/>
        <v>158.87</v>
      </c>
      <c r="D47" vm="137">
        <f ca="1"/>
        <v>5188726</v>
      </c>
      <c r="E47">
        <f t="shared" ca="1" si="1"/>
        <v>160.53777777777779</v>
      </c>
      <c r="F47">
        <f t="shared" ca="1" si="2"/>
        <v>159.06800000000001</v>
      </c>
      <c r="I47">
        <f t="shared" ca="1" si="3"/>
        <v>2.0465622008884208</v>
      </c>
      <c r="J47">
        <f t="shared" ca="1" si="4"/>
        <v>154.97487559822318</v>
      </c>
      <c r="K47">
        <f t="shared" ca="1" si="5"/>
        <v>163.16112440177685</v>
      </c>
    </row>
    <row r="48" spans="1:11" x14ac:dyDescent="0.25">
      <c r="A48" s="6">
        <f t="shared" ca="1" si="0"/>
        <v>45355</v>
      </c>
      <c r="B48" vm="138">
        <f ca="1"/>
        <v>45359</v>
      </c>
      <c r="C48" vm="139">
        <f ca="1"/>
        <v>159.52000000000001</v>
      </c>
      <c r="D48" vm="140">
        <f ca="1"/>
        <v>5283951</v>
      </c>
      <c r="E48">
        <f t="shared" ca="1" si="1"/>
        <v>160.39666666666668</v>
      </c>
      <c r="F48">
        <f t="shared" ca="1" si="2"/>
        <v>159.22399999999999</v>
      </c>
      <c r="I48">
        <f t="shared" ca="1" si="3"/>
        <v>1.9490791347926861</v>
      </c>
      <c r="J48">
        <f t="shared" ca="1" si="4"/>
        <v>155.32584173041462</v>
      </c>
      <c r="K48">
        <f t="shared" ca="1" si="5"/>
        <v>163.12215826958536</v>
      </c>
    </row>
    <row r="49" spans="1:11" x14ac:dyDescent="0.25">
      <c r="A49" s="6">
        <f t="shared" ca="1" si="0"/>
        <v>45362</v>
      </c>
      <c r="B49" vm="141">
        <f ca="1"/>
        <v>45362</v>
      </c>
      <c r="C49" vm="142">
        <f ca="1"/>
        <v>161.22999999999999</v>
      </c>
      <c r="D49" vm="143">
        <f ca="1"/>
        <v>4620826</v>
      </c>
      <c r="E49">
        <f t="shared" ca="1" si="1"/>
        <v>160.42444444444448</v>
      </c>
      <c r="F49">
        <f t="shared" ca="1" si="2"/>
        <v>159.44749999999999</v>
      </c>
      <c r="I49">
        <f t="shared" ca="1" si="3"/>
        <v>1.9075056045996139</v>
      </c>
      <c r="J49">
        <f t="shared" ca="1" si="4"/>
        <v>155.63248879080075</v>
      </c>
      <c r="K49">
        <f t="shared" ca="1" si="5"/>
        <v>163.26251120919923</v>
      </c>
    </row>
    <row r="50" spans="1:11" x14ac:dyDescent="0.25">
      <c r="A50" s="6">
        <f t="shared" ca="1" si="0"/>
        <v>45362</v>
      </c>
      <c r="B50" vm="144">
        <f ca="1"/>
        <v>45363</v>
      </c>
      <c r="C50" vm="145">
        <f ca="1"/>
        <v>162.74</v>
      </c>
      <c r="D50" vm="146">
        <f ca="1"/>
        <v>8018736</v>
      </c>
      <c r="E50">
        <f t="shared" ca="1" si="1"/>
        <v>160.5566666666667</v>
      </c>
      <c r="F50">
        <f t="shared" ca="1" si="2"/>
        <v>159.69200000000001</v>
      </c>
      <c r="I50">
        <f t="shared" ca="1" si="3"/>
        <v>2.0029704257217036</v>
      </c>
      <c r="J50">
        <f t="shared" ca="1" si="4"/>
        <v>155.68605914855661</v>
      </c>
      <c r="K50">
        <f t="shared" ca="1" si="5"/>
        <v>163.69794085144341</v>
      </c>
    </row>
    <row r="51" spans="1:11" x14ac:dyDescent="0.25">
      <c r="A51" s="6">
        <f t="shared" ca="1" si="0"/>
        <v>45362</v>
      </c>
      <c r="B51" vm="147">
        <f ca="1"/>
        <v>45364</v>
      </c>
      <c r="C51" vm="148">
        <f ca="1"/>
        <v>161.1</v>
      </c>
      <c r="D51" vm="149">
        <f ca="1"/>
        <v>6260000</v>
      </c>
      <c r="E51">
        <f t="shared" ca="1" si="1"/>
        <v>160.52555555555557</v>
      </c>
      <c r="F51">
        <f t="shared" ca="1" si="2"/>
        <v>159.92349999999999</v>
      </c>
      <c r="G51">
        <f ca="1">AVERAGE(C2:C51)</f>
        <v>159.70400000000001</v>
      </c>
      <c r="I51">
        <f t="shared" ca="1" si="3"/>
        <v>1.8744157686287748</v>
      </c>
      <c r="J51">
        <f t="shared" ca="1" si="4"/>
        <v>156.17466846274243</v>
      </c>
      <c r="K51">
        <f t="shared" ca="1" si="5"/>
        <v>163.67233153725755</v>
      </c>
    </row>
    <row r="52" spans="1:11" x14ac:dyDescent="0.25">
      <c r="A52" s="6">
        <f t="shared" ca="1" si="0"/>
        <v>45362</v>
      </c>
      <c r="B52" vm="150">
        <f ca="1"/>
        <v>45365</v>
      </c>
      <c r="C52" vm="151">
        <f ca="1"/>
        <v>159.21</v>
      </c>
      <c r="D52" vm="152">
        <f ca="1"/>
        <v>6988264</v>
      </c>
      <c r="E52">
        <f t="shared" ca="1" si="1"/>
        <v>160.20222222222222</v>
      </c>
      <c r="F52">
        <f t="shared" ca="1" si="2"/>
        <v>160.09700000000001</v>
      </c>
      <c r="G52">
        <f t="shared" ref="G52:G115" ca="1" si="6">AVERAGE(C3:C52)</f>
        <v>159.68880000000001</v>
      </c>
      <c r="I52">
        <f t="shared" ca="1" si="3"/>
        <v>1.6085400376215606</v>
      </c>
      <c r="J52">
        <f t="shared" ca="1" si="4"/>
        <v>156.87991992475688</v>
      </c>
      <c r="K52">
        <f t="shared" ca="1" si="5"/>
        <v>163.31408007524314</v>
      </c>
    </row>
    <row r="53" spans="1:11" x14ac:dyDescent="0.25">
      <c r="A53" s="6">
        <f t="shared" ca="1" si="0"/>
        <v>45362</v>
      </c>
      <c r="B53" vm="153">
        <f ca="1"/>
        <v>45366</v>
      </c>
      <c r="C53" vm="154">
        <f ca="1"/>
        <v>158.18</v>
      </c>
      <c r="D53" vm="155">
        <f ca="1"/>
        <v>13165500</v>
      </c>
      <c r="E53">
        <f t="shared" ca="1" si="1"/>
        <v>160.01777777777778</v>
      </c>
      <c r="F53">
        <f t="shared" ca="1" si="2"/>
        <v>160.10999999999999</v>
      </c>
      <c r="G53">
        <f t="shared" ca="1" si="6"/>
        <v>159.63300000000004</v>
      </c>
      <c r="I53">
        <f t="shared" ca="1" si="3"/>
        <v>1.5909745441081042</v>
      </c>
      <c r="J53">
        <f t="shared" ca="1" si="4"/>
        <v>156.92805091178377</v>
      </c>
      <c r="K53">
        <f t="shared" ca="1" si="5"/>
        <v>163.2919490882162</v>
      </c>
    </row>
    <row r="54" spans="1:11" x14ac:dyDescent="0.25">
      <c r="A54" s="6">
        <f t="shared" ca="1" si="0"/>
        <v>45369</v>
      </c>
      <c r="B54" vm="156">
        <f ca="1"/>
        <v>45369</v>
      </c>
      <c r="C54" vm="83">
        <f ca="1"/>
        <v>156.76</v>
      </c>
      <c r="D54" vm="157">
        <f ca="1"/>
        <v>6602255</v>
      </c>
      <c r="E54">
        <f t="shared" ca="1" si="1"/>
        <v>159.66111111111113</v>
      </c>
      <c r="F54">
        <f t="shared" ca="1" si="2"/>
        <v>160.12049999999999</v>
      </c>
      <c r="G54">
        <f t="shared" ca="1" si="6"/>
        <v>159.55560000000006</v>
      </c>
      <c r="I54">
        <f t="shared" ca="1" si="3"/>
        <v>1.566751500129453</v>
      </c>
      <c r="J54">
        <f t="shared" ca="1" si="4"/>
        <v>156.98699699974108</v>
      </c>
      <c r="K54">
        <f t="shared" ca="1" si="5"/>
        <v>163.2540030002589</v>
      </c>
    </row>
    <row r="55" spans="1:11" x14ac:dyDescent="0.25">
      <c r="A55" s="6">
        <f t="shared" ca="1" si="0"/>
        <v>45369</v>
      </c>
      <c r="B55" vm="158">
        <f ca="1"/>
        <v>45370</v>
      </c>
      <c r="C55" vm="159">
        <f ca="1"/>
        <v>156.21</v>
      </c>
      <c r="D55" vm="160">
        <f ca="1"/>
        <v>7840624</v>
      </c>
      <c r="E55">
        <f t="shared" ca="1" si="1"/>
        <v>159.31333333333336</v>
      </c>
      <c r="F55">
        <f t="shared" ca="1" si="2"/>
        <v>160.03800000000001</v>
      </c>
      <c r="G55">
        <f t="shared" ca="1" si="6"/>
        <v>159.45720000000003</v>
      </c>
      <c r="I55">
        <f t="shared" ca="1" si="3"/>
        <v>1.7272661697180978</v>
      </c>
      <c r="J55">
        <f t="shared" ca="1" si="4"/>
        <v>156.58346766056383</v>
      </c>
      <c r="K55">
        <f t="shared" ca="1" si="5"/>
        <v>163.4925323394362</v>
      </c>
    </row>
    <row r="56" spans="1:11" x14ac:dyDescent="0.25">
      <c r="A56" s="6">
        <f t="shared" ca="1" si="0"/>
        <v>45369</v>
      </c>
      <c r="B56" vm="161">
        <f ca="1"/>
        <v>45371</v>
      </c>
      <c r="C56" vm="162">
        <f ca="1"/>
        <v>155.76</v>
      </c>
      <c r="D56" vm="163">
        <f ca="1"/>
        <v>5982304</v>
      </c>
      <c r="E56">
        <f t="shared" ca="1" si="1"/>
        <v>158.96777777777777</v>
      </c>
      <c r="F56">
        <f t="shared" ca="1" si="2"/>
        <v>159.892</v>
      </c>
      <c r="G56">
        <f t="shared" ca="1" si="6"/>
        <v>159.34180000000003</v>
      </c>
      <c r="I56">
        <f t="shared" ca="1" si="3"/>
        <v>1.9563166248953945</v>
      </c>
      <c r="J56">
        <f t="shared" ca="1" si="4"/>
        <v>155.97936675020921</v>
      </c>
      <c r="K56">
        <f t="shared" ca="1" si="5"/>
        <v>163.80463324979078</v>
      </c>
    </row>
    <row r="57" spans="1:11" x14ac:dyDescent="0.25">
      <c r="A57" s="6">
        <f t="shared" ca="1" si="0"/>
        <v>45369</v>
      </c>
      <c r="B57" vm="164">
        <f ca="1"/>
        <v>45372</v>
      </c>
      <c r="C57" vm="165">
        <f ca="1"/>
        <v>155.75</v>
      </c>
      <c r="D57" vm="166">
        <f ca="1"/>
        <v>5915777</v>
      </c>
      <c r="E57">
        <f t="shared" ca="1" si="1"/>
        <v>158.54888888888888</v>
      </c>
      <c r="F57">
        <f t="shared" ca="1" si="2"/>
        <v>159.65700000000001</v>
      </c>
      <c r="G57">
        <f t="shared" ca="1" si="6"/>
        <v>159.22420000000002</v>
      </c>
      <c r="I57">
        <f t="shared" ca="1" si="3"/>
        <v>2.1576866266785291</v>
      </c>
      <c r="J57">
        <f t="shared" ca="1" si="4"/>
        <v>155.34162674664296</v>
      </c>
      <c r="K57">
        <f t="shared" ca="1" si="5"/>
        <v>163.97237325335706</v>
      </c>
    </row>
    <row r="58" spans="1:11" x14ac:dyDescent="0.25">
      <c r="A58" s="6">
        <f t="shared" ca="1" si="0"/>
        <v>45369</v>
      </c>
      <c r="B58" vm="167">
        <f ca="1"/>
        <v>45373</v>
      </c>
      <c r="C58" vm="168">
        <f ca="1"/>
        <v>155.22999999999999</v>
      </c>
      <c r="D58" vm="169">
        <f ca="1"/>
        <v>7248622</v>
      </c>
      <c r="E58">
        <f t="shared" ca="1" si="1"/>
        <v>157.88222222222223</v>
      </c>
      <c r="F58">
        <f t="shared" ca="1" si="2"/>
        <v>159.32650000000001</v>
      </c>
      <c r="G58">
        <f t="shared" ca="1" si="6"/>
        <v>159.09140000000002</v>
      </c>
      <c r="I58">
        <f t="shared" ca="1" si="3"/>
        <v>2.306796080691734</v>
      </c>
      <c r="J58">
        <f t="shared" ca="1" si="4"/>
        <v>154.71290783861653</v>
      </c>
      <c r="K58">
        <f t="shared" ca="1" si="5"/>
        <v>163.94009216138349</v>
      </c>
    </row>
    <row r="59" spans="1:11" x14ac:dyDescent="0.25">
      <c r="A59" s="6">
        <f t="shared" ca="1" si="0"/>
        <v>45376</v>
      </c>
      <c r="B59" vm="170">
        <f ca="1"/>
        <v>45376</v>
      </c>
      <c r="C59" vm="171">
        <f ca="1"/>
        <v>155.22</v>
      </c>
      <c r="D59" vm="172">
        <f ca="1"/>
        <v>7498100</v>
      </c>
      <c r="E59">
        <f t="shared" ca="1" si="1"/>
        <v>157.04666666666668</v>
      </c>
      <c r="F59">
        <f t="shared" ca="1" si="2"/>
        <v>159.048</v>
      </c>
      <c r="G59">
        <f t="shared" ca="1" si="6"/>
        <v>158.97280000000003</v>
      </c>
      <c r="I59">
        <f t="shared" ca="1" si="3"/>
        <v>2.4524436792717603</v>
      </c>
      <c r="J59">
        <f t="shared" ca="1" si="4"/>
        <v>154.14311264145647</v>
      </c>
      <c r="K59">
        <f t="shared" ca="1" si="5"/>
        <v>163.95288735854353</v>
      </c>
    </row>
    <row r="60" spans="1:11" x14ac:dyDescent="0.25">
      <c r="A60" s="6">
        <f t="shared" ca="1" si="0"/>
        <v>45376</v>
      </c>
      <c r="B60" vm="173">
        <f ca="1"/>
        <v>45377</v>
      </c>
      <c r="C60" vm="174">
        <f ca="1"/>
        <v>155.77000000000001</v>
      </c>
      <c r="D60" vm="175">
        <f ca="1"/>
        <v>6864099</v>
      </c>
      <c r="E60">
        <f t="shared" ca="1" si="1"/>
        <v>156.45444444444445</v>
      </c>
      <c r="F60">
        <f t="shared" ca="1" si="2"/>
        <v>158.78750000000002</v>
      </c>
      <c r="G60">
        <f t="shared" ca="1" si="6"/>
        <v>158.84040000000002</v>
      </c>
      <c r="I60">
        <f t="shared" ca="1" si="3"/>
        <v>2.5123963712590811</v>
      </c>
      <c r="J60">
        <f t="shared" ca="1" si="4"/>
        <v>153.76270725748185</v>
      </c>
      <c r="K60">
        <f t="shared" ca="1" si="5"/>
        <v>163.8122927425182</v>
      </c>
    </row>
    <row r="61" spans="1:11" x14ac:dyDescent="0.25">
      <c r="A61" s="6">
        <f t="shared" ca="1" si="0"/>
        <v>45376</v>
      </c>
      <c r="B61" vm="176">
        <f ca="1"/>
        <v>45378</v>
      </c>
      <c r="C61" vm="177">
        <f ca="1"/>
        <v>157.96</v>
      </c>
      <c r="D61" vm="178">
        <f ca="1"/>
        <v>8461600</v>
      </c>
      <c r="E61">
        <f t="shared" ca="1" si="1"/>
        <v>156.31555555555553</v>
      </c>
      <c r="F61">
        <f t="shared" ca="1" si="2"/>
        <v>158.608</v>
      </c>
      <c r="G61">
        <f t="shared" ca="1" si="6"/>
        <v>158.78920000000005</v>
      </c>
      <c r="I61">
        <f t="shared" ca="1" si="3"/>
        <v>2.4315851446719847</v>
      </c>
      <c r="J61">
        <f t="shared" ca="1" si="4"/>
        <v>153.74482971065603</v>
      </c>
      <c r="K61">
        <f t="shared" ca="1" si="5"/>
        <v>163.47117028934397</v>
      </c>
    </row>
    <row r="62" spans="1:11" x14ac:dyDescent="0.25">
      <c r="A62" s="6">
        <f t="shared" ca="1" si="0"/>
        <v>45376</v>
      </c>
      <c r="B62" vm="179">
        <f ca="1"/>
        <v>45379</v>
      </c>
      <c r="C62" vm="180">
        <f ca="1"/>
        <v>158.19</v>
      </c>
      <c r="D62" vm="181">
        <f ca="1"/>
        <v>6181503</v>
      </c>
      <c r="E62">
        <f t="shared" ca="1" si="1"/>
        <v>156.31666666666669</v>
      </c>
      <c r="F62">
        <f t="shared" ca="1" si="2"/>
        <v>158.44850000000002</v>
      </c>
      <c r="G62">
        <f t="shared" ca="1" si="6"/>
        <v>158.74440000000001</v>
      </c>
      <c r="I62">
        <f t="shared" ca="1" si="3"/>
        <v>2.3432035538418017</v>
      </c>
      <c r="J62">
        <f t="shared" ca="1" si="4"/>
        <v>153.76209289231642</v>
      </c>
      <c r="K62">
        <f t="shared" ca="1" si="5"/>
        <v>163.13490710768363</v>
      </c>
    </row>
    <row r="63" spans="1:11" x14ac:dyDescent="0.25">
      <c r="A63" s="6">
        <f t="shared" ca="1" si="0"/>
        <v>45383</v>
      </c>
      <c r="B63" vm="182">
        <f ca="1"/>
        <v>45383</v>
      </c>
      <c r="C63" vm="183">
        <f ca="1"/>
        <v>157.78</v>
      </c>
      <c r="D63" vm="184">
        <f ca="1"/>
        <v>4364699</v>
      </c>
      <c r="E63">
        <f t="shared" ca="1" si="1"/>
        <v>156.43</v>
      </c>
      <c r="F63">
        <f t="shared" ca="1" si="2"/>
        <v>158.23150000000001</v>
      </c>
      <c r="G63">
        <f t="shared" ca="1" si="6"/>
        <v>158.67580000000001</v>
      </c>
      <c r="I63">
        <f t="shared" ca="1" si="3"/>
        <v>2.1806162214528175</v>
      </c>
      <c r="J63">
        <f t="shared" ca="1" si="4"/>
        <v>153.87026755709437</v>
      </c>
      <c r="K63">
        <f t="shared" ca="1" si="5"/>
        <v>162.59273244290566</v>
      </c>
    </row>
    <row r="64" spans="1:11" x14ac:dyDescent="0.25">
      <c r="A64" s="6">
        <f t="shared" ca="1" si="0"/>
        <v>45383</v>
      </c>
      <c r="B64" vm="185">
        <f ca="1"/>
        <v>45384</v>
      </c>
      <c r="C64" vm="186">
        <f ca="1"/>
        <v>157.72999999999999</v>
      </c>
      <c r="D64" vm="187">
        <f ca="1"/>
        <v>6102497</v>
      </c>
      <c r="E64">
        <f t="shared" ca="1" si="1"/>
        <v>156.59888888888889</v>
      </c>
      <c r="F64">
        <f t="shared" ca="1" si="2"/>
        <v>158.12600000000003</v>
      </c>
      <c r="G64">
        <f t="shared" ca="1" si="6"/>
        <v>158.5968</v>
      </c>
      <c r="I64">
        <f t="shared" ca="1" si="3"/>
        <v>2.1495198974360972</v>
      </c>
      <c r="J64">
        <f t="shared" ca="1" si="4"/>
        <v>153.82696020512785</v>
      </c>
      <c r="K64">
        <f t="shared" ca="1" si="5"/>
        <v>162.42503979487222</v>
      </c>
    </row>
    <row r="65" spans="1:11" x14ac:dyDescent="0.25">
      <c r="A65" s="6">
        <f t="shared" ca="1" si="0"/>
        <v>45383</v>
      </c>
      <c r="B65" vm="188">
        <f ca="1"/>
        <v>45385</v>
      </c>
      <c r="C65" vm="189">
        <f ca="1"/>
        <v>154.26</v>
      </c>
      <c r="D65" vm="190">
        <f ca="1"/>
        <v>8098242</v>
      </c>
      <c r="E65">
        <f t="shared" ca="1" si="1"/>
        <v>156.43222222222224</v>
      </c>
      <c r="F65">
        <f t="shared" ca="1" si="2"/>
        <v>157.84050000000002</v>
      </c>
      <c r="G65">
        <f t="shared" ca="1" si="6"/>
        <v>158.43260000000001</v>
      </c>
      <c r="I65">
        <f t="shared" ca="1" si="3"/>
        <v>2.2676639382505765</v>
      </c>
      <c r="J65">
        <f t="shared" ca="1" si="4"/>
        <v>153.30517212349886</v>
      </c>
      <c r="K65">
        <f t="shared" ca="1" si="5"/>
        <v>162.37582787650118</v>
      </c>
    </row>
    <row r="66" spans="1:11" x14ac:dyDescent="0.25">
      <c r="A66" s="6">
        <f t="shared" ca="1" si="0"/>
        <v>45383</v>
      </c>
      <c r="B66" vm="191">
        <f ca="1"/>
        <v>45386</v>
      </c>
      <c r="C66" vm="192">
        <f ca="1"/>
        <v>152.5</v>
      </c>
      <c r="D66" vm="193">
        <f ca="1"/>
        <v>6947423</v>
      </c>
      <c r="E66">
        <f t="shared" ca="1" si="1"/>
        <v>156.07111111111112</v>
      </c>
      <c r="F66">
        <f t="shared" ca="1" si="2"/>
        <v>157.49850000000001</v>
      </c>
      <c r="G66">
        <f t="shared" ca="1" si="6"/>
        <v>158.28640000000001</v>
      </c>
      <c r="I66">
        <f t="shared" ca="1" si="3"/>
        <v>2.5302054732456241</v>
      </c>
      <c r="J66">
        <f t="shared" ca="1" si="4"/>
        <v>152.43808905350875</v>
      </c>
      <c r="K66">
        <f t="shared" ca="1" si="5"/>
        <v>162.55891094649127</v>
      </c>
    </row>
    <row r="67" spans="1:11" x14ac:dyDescent="0.25">
      <c r="A67" s="6">
        <f t="shared" ref="A67:A130" ca="1" si="7">B67 - WEEKDAY(B67, 2) + 1</f>
        <v>45383</v>
      </c>
      <c r="B67" vm="194">
        <f ca="1"/>
        <v>45387</v>
      </c>
      <c r="C67" vm="195">
        <f ca="1"/>
        <v>152.38999999999999</v>
      </c>
      <c r="D67" vm="196">
        <f ca="1"/>
        <v>6783020</v>
      </c>
      <c r="E67">
        <f t="shared" ca="1" si="1"/>
        <v>155.75555555555559</v>
      </c>
      <c r="F67">
        <f t="shared" ca="1" si="2"/>
        <v>157.17450000000002</v>
      </c>
      <c r="G67">
        <f t="shared" ca="1" si="6"/>
        <v>158.15500000000003</v>
      </c>
      <c r="I67">
        <f t="shared" ca="1" si="3"/>
        <v>2.7506276317271783</v>
      </c>
      <c r="J67">
        <f t="shared" ca="1" si="4"/>
        <v>151.67324473654566</v>
      </c>
      <c r="K67">
        <f t="shared" ca="1" si="5"/>
        <v>162.67575526345439</v>
      </c>
    </row>
    <row r="68" spans="1:11" x14ac:dyDescent="0.25">
      <c r="A68" s="6">
        <f t="shared" ca="1" si="7"/>
        <v>45390</v>
      </c>
      <c r="B68" vm="197">
        <f ca="1"/>
        <v>45390</v>
      </c>
      <c r="C68" vm="198">
        <f ca="1"/>
        <v>151.59</v>
      </c>
      <c r="D68" vm="199">
        <f ca="1"/>
        <v>5935415</v>
      </c>
      <c r="E68">
        <f t="shared" ca="1" si="1"/>
        <v>155.3522222222222</v>
      </c>
      <c r="F68">
        <f t="shared" ca="1" si="2"/>
        <v>156.77799999999999</v>
      </c>
      <c r="G68">
        <f t="shared" ca="1" si="6"/>
        <v>157.99560000000002</v>
      </c>
      <c r="I68">
        <f t="shared" ca="1" si="3"/>
        <v>2.9584323729406372</v>
      </c>
      <c r="J68">
        <f t="shared" ca="1" si="4"/>
        <v>150.86113525411872</v>
      </c>
      <c r="K68">
        <f t="shared" ca="1" si="5"/>
        <v>162.69486474588126</v>
      </c>
    </row>
    <row r="69" spans="1:11" x14ac:dyDescent="0.25">
      <c r="A69" s="6">
        <f t="shared" ca="1" si="7"/>
        <v>45390</v>
      </c>
      <c r="B69" vm="200">
        <f ca="1"/>
        <v>45391</v>
      </c>
      <c r="C69" vm="201">
        <f ca="1"/>
        <v>152.29</v>
      </c>
      <c r="D69" vm="202">
        <f ca="1"/>
        <v>6135556</v>
      </c>
      <c r="E69">
        <f t="shared" ca="1" si="1"/>
        <v>154.96555555555554</v>
      </c>
      <c r="F69">
        <f t="shared" ca="1" si="2"/>
        <v>156.33100000000002</v>
      </c>
      <c r="G69">
        <f t="shared" ca="1" si="6"/>
        <v>157.85140000000004</v>
      </c>
      <c r="I69">
        <f t="shared" ca="1" si="3"/>
        <v>2.9255658921777341</v>
      </c>
      <c r="J69">
        <f t="shared" ca="1" si="4"/>
        <v>150.47986821564456</v>
      </c>
      <c r="K69">
        <f t="shared" ca="1" si="5"/>
        <v>162.18213178435548</v>
      </c>
    </row>
    <row r="70" spans="1:11" x14ac:dyDescent="0.25">
      <c r="A70" s="6">
        <f t="shared" ca="1" si="7"/>
        <v>45390</v>
      </c>
      <c r="B70" vm="203">
        <f ca="1"/>
        <v>45392</v>
      </c>
      <c r="C70" vm="204">
        <f ca="1"/>
        <v>150.19999999999999</v>
      </c>
      <c r="D70" vm="205">
        <f ca="1"/>
        <v>6809519</v>
      </c>
      <c r="E70">
        <f t="shared" ca="1" si="1"/>
        <v>154.10333333333335</v>
      </c>
      <c r="F70">
        <f t="shared" ca="1" si="2"/>
        <v>155.70399999999998</v>
      </c>
      <c r="G70">
        <f t="shared" ca="1" si="6"/>
        <v>157.66820000000001</v>
      </c>
      <c r="I70">
        <f t="shared" ca="1" si="3"/>
        <v>2.8216370761445737</v>
      </c>
      <c r="J70">
        <f t="shared" ca="1" si="4"/>
        <v>150.06072584771084</v>
      </c>
      <c r="K70">
        <f t="shared" ca="1" si="5"/>
        <v>161.34727415228912</v>
      </c>
    </row>
    <row r="71" spans="1:11" x14ac:dyDescent="0.25">
      <c r="A71" s="6">
        <f t="shared" ca="1" si="7"/>
        <v>45390</v>
      </c>
      <c r="B71" vm="206">
        <f ca="1"/>
        <v>45393</v>
      </c>
      <c r="C71" vm="207">
        <f ca="1"/>
        <v>148.79</v>
      </c>
      <c r="D71" vm="208">
        <f ca="1"/>
        <v>8374434</v>
      </c>
      <c r="E71">
        <f t="shared" ca="1" si="1"/>
        <v>153.05888888888887</v>
      </c>
      <c r="F71">
        <f t="shared" ca="1" si="2"/>
        <v>155.08850000000001</v>
      </c>
      <c r="G71">
        <f t="shared" ca="1" si="6"/>
        <v>157.46860000000004</v>
      </c>
      <c r="I71">
        <f t="shared" ca="1" si="3"/>
        <v>2.9234159453409472</v>
      </c>
      <c r="J71">
        <f t="shared" ca="1" si="4"/>
        <v>149.24166810931811</v>
      </c>
      <c r="K71">
        <f t="shared" ca="1" si="5"/>
        <v>160.93533189068191</v>
      </c>
    </row>
    <row r="72" spans="1:11" x14ac:dyDescent="0.25">
      <c r="A72" s="6">
        <f t="shared" ca="1" si="7"/>
        <v>45390</v>
      </c>
      <c r="B72" vm="209">
        <f ca="1"/>
        <v>45394</v>
      </c>
      <c r="C72" vm="210">
        <f ca="1"/>
        <v>147.52000000000001</v>
      </c>
      <c r="D72" vm="211">
        <f ca="1"/>
        <v>7100178</v>
      </c>
      <c r="E72">
        <f t="shared" ca="1" si="1"/>
        <v>151.91888888888889</v>
      </c>
      <c r="F72">
        <f t="shared" ca="1" si="2"/>
        <v>154.50399999999999</v>
      </c>
      <c r="G72">
        <f t="shared" ca="1" si="6"/>
        <v>157.24100000000001</v>
      </c>
      <c r="I72">
        <f t="shared" ca="1" si="3"/>
        <v>3.210537584104471</v>
      </c>
      <c r="J72">
        <f t="shared" ca="1" si="4"/>
        <v>148.08292483179105</v>
      </c>
      <c r="K72">
        <f t="shared" ca="1" si="5"/>
        <v>160.92507516820893</v>
      </c>
    </row>
    <row r="73" spans="1:11" x14ac:dyDescent="0.25">
      <c r="A73" s="6">
        <f t="shared" ca="1" si="7"/>
        <v>45397</v>
      </c>
      <c r="B73" vm="212">
        <f ca="1"/>
        <v>45397</v>
      </c>
      <c r="C73" vm="213">
        <f ca="1"/>
        <v>147.59</v>
      </c>
      <c r="D73" vm="214">
        <f ca="1"/>
        <v>8502266</v>
      </c>
      <c r="E73">
        <f t="shared" ca="1" si="1"/>
        <v>150.79222222222222</v>
      </c>
      <c r="F73">
        <f t="shared" ca="1" si="2"/>
        <v>153.97450000000001</v>
      </c>
      <c r="G73">
        <f t="shared" ca="1" si="6"/>
        <v>157.02560000000003</v>
      </c>
      <c r="I73">
        <f t="shared" ca="1" si="3"/>
        <v>3.4376131177560425</v>
      </c>
      <c r="J73">
        <f t="shared" ca="1" si="4"/>
        <v>147.09927376448792</v>
      </c>
      <c r="K73">
        <f t="shared" ca="1" si="5"/>
        <v>160.84972623551209</v>
      </c>
    </row>
    <row r="74" spans="1:11" x14ac:dyDescent="0.25">
      <c r="A74" s="6">
        <f t="shared" ca="1" si="7"/>
        <v>45397</v>
      </c>
      <c r="B74" vm="215">
        <f ca="1"/>
        <v>45398</v>
      </c>
      <c r="C74" vm="216">
        <f ca="1"/>
        <v>144.44999999999999</v>
      </c>
      <c r="D74" vm="217">
        <f ca="1"/>
        <v>12774859</v>
      </c>
      <c r="E74">
        <f t="shared" ca="1" si="1"/>
        <v>149.70222222222222</v>
      </c>
      <c r="F74">
        <f t="shared" ca="1" si="2"/>
        <v>153.35899999999998</v>
      </c>
      <c r="G74">
        <f t="shared" ca="1" si="6"/>
        <v>156.78240000000002</v>
      </c>
      <c r="I74">
        <f t="shared" ca="1" si="3"/>
        <v>3.9729796586971173</v>
      </c>
      <c r="J74">
        <f t="shared" ca="1" si="4"/>
        <v>145.41304068260575</v>
      </c>
      <c r="K74">
        <f t="shared" ca="1" si="5"/>
        <v>161.30495931739421</v>
      </c>
    </row>
    <row r="75" spans="1:11" x14ac:dyDescent="0.25">
      <c r="A75" s="6">
        <f t="shared" ca="1" si="7"/>
        <v>45397</v>
      </c>
      <c r="B75" vm="218">
        <f ca="1"/>
        <v>45399</v>
      </c>
      <c r="C75" vm="219">
        <f ca="1"/>
        <v>144.77000000000001</v>
      </c>
      <c r="D75" vm="220">
        <f ca="1"/>
        <v>9378059</v>
      </c>
      <c r="E75">
        <f t="shared" ref="E75:E138" ca="1" si="8">AVERAGE(C67:C75)</f>
        <v>148.84333333333333</v>
      </c>
      <c r="F75">
        <f t="shared" ca="1" si="2"/>
        <v>152.78699999999998</v>
      </c>
      <c r="G75">
        <f t="shared" ca="1" si="6"/>
        <v>156.56180000000003</v>
      </c>
      <c r="I75">
        <f t="shared" ca="1" si="3"/>
        <v>4.3468428954696225</v>
      </c>
      <c r="J75">
        <f t="shared" ca="1" si="4"/>
        <v>144.09331420906074</v>
      </c>
      <c r="K75">
        <f t="shared" ca="1" si="5"/>
        <v>161.48068579093922</v>
      </c>
    </row>
    <row r="76" spans="1:11" x14ac:dyDescent="0.25">
      <c r="A76" s="6">
        <f t="shared" ca="1" si="7"/>
        <v>45397</v>
      </c>
      <c r="B76" vm="221">
        <f ca="1"/>
        <v>45400</v>
      </c>
      <c r="C76" vm="222">
        <f ca="1"/>
        <v>145.74</v>
      </c>
      <c r="D76" vm="223">
        <f ca="1"/>
        <v>9887704</v>
      </c>
      <c r="E76">
        <f t="shared" ca="1" si="8"/>
        <v>148.10444444444445</v>
      </c>
      <c r="F76">
        <f t="shared" ca="1" si="2"/>
        <v>152.286</v>
      </c>
      <c r="G76">
        <f t="shared" ca="1" si="6"/>
        <v>156.31540000000004</v>
      </c>
      <c r="I76">
        <f t="shared" ca="1" si="3"/>
        <v>4.5584350962052511</v>
      </c>
      <c r="J76">
        <f t="shared" ca="1" si="4"/>
        <v>143.16912980758951</v>
      </c>
      <c r="K76">
        <f t="shared" ca="1" si="5"/>
        <v>161.40287019241049</v>
      </c>
    </row>
    <row r="77" spans="1:11" x14ac:dyDescent="0.25">
      <c r="A77" s="6">
        <f t="shared" ca="1" si="7"/>
        <v>45397</v>
      </c>
      <c r="B77" vm="224">
        <f ca="1"/>
        <v>45401</v>
      </c>
      <c r="C77" vm="225">
        <f ca="1"/>
        <v>147.91</v>
      </c>
      <c r="D77" vm="226">
        <f ca="1"/>
        <v>9750751</v>
      </c>
      <c r="E77">
        <f t="shared" ca="1" si="8"/>
        <v>147.69555555555556</v>
      </c>
      <c r="F77">
        <f t="shared" ca="1" si="2"/>
        <v>151.89400000000001</v>
      </c>
      <c r="G77">
        <f t="shared" ca="1" si="6"/>
        <v>156.114</v>
      </c>
      <c r="I77">
        <f t="shared" ca="1" si="3"/>
        <v>4.5819099671827264</v>
      </c>
      <c r="J77">
        <f t="shared" ca="1" si="4"/>
        <v>142.73018006563456</v>
      </c>
      <c r="K77">
        <f t="shared" ca="1" si="5"/>
        <v>161.05781993436545</v>
      </c>
    </row>
    <row r="78" spans="1:11" x14ac:dyDescent="0.25">
      <c r="A78" s="6">
        <f t="shared" ca="1" si="7"/>
        <v>45404</v>
      </c>
      <c r="B78" vm="227">
        <f ca="1"/>
        <v>45404</v>
      </c>
      <c r="C78" vm="228">
        <f ca="1"/>
        <v>149.12</v>
      </c>
      <c r="D78" vm="229">
        <f ca="1"/>
        <v>10118694</v>
      </c>
      <c r="E78">
        <f t="shared" ca="1" si="8"/>
        <v>147.34333333333336</v>
      </c>
      <c r="F78">
        <f t="shared" ca="1" si="2"/>
        <v>151.58849999999998</v>
      </c>
      <c r="G78">
        <f t="shared" ca="1" si="6"/>
        <v>155.9684</v>
      </c>
      <c r="I78">
        <f t="shared" ca="1" si="3"/>
        <v>4.5513656423678279</v>
      </c>
      <c r="J78">
        <f t="shared" ca="1" si="4"/>
        <v>142.48576871526433</v>
      </c>
      <c r="K78">
        <f t="shared" ca="1" si="5"/>
        <v>160.69123128473564</v>
      </c>
    </row>
    <row r="79" spans="1:11" x14ac:dyDescent="0.25">
      <c r="A79" s="6">
        <f t="shared" ca="1" si="7"/>
        <v>45404</v>
      </c>
      <c r="B79" vm="230">
        <f ca="1"/>
        <v>45405</v>
      </c>
      <c r="C79" vm="231">
        <f ca="1"/>
        <v>149.56</v>
      </c>
      <c r="D79" vm="232">
        <f ca="1"/>
        <v>10110442</v>
      </c>
      <c r="E79">
        <f t="shared" ca="1" si="8"/>
        <v>147.27222222222221</v>
      </c>
      <c r="F79">
        <f t="shared" ca="1" si="2"/>
        <v>151.30549999999997</v>
      </c>
      <c r="G79">
        <f t="shared" ca="1" si="6"/>
        <v>155.8244</v>
      </c>
      <c r="I79">
        <f t="shared" ca="1" si="3"/>
        <v>4.4892203929905357</v>
      </c>
      <c r="J79">
        <f t="shared" ca="1" si="4"/>
        <v>142.3270592140189</v>
      </c>
      <c r="K79">
        <f t="shared" ca="1" si="5"/>
        <v>160.28394078598103</v>
      </c>
    </row>
    <row r="80" spans="1:11" x14ac:dyDescent="0.25">
      <c r="A80" s="6">
        <f t="shared" ca="1" si="7"/>
        <v>45404</v>
      </c>
      <c r="B80" vm="233">
        <f ca="1"/>
        <v>45406</v>
      </c>
      <c r="C80" vm="234">
        <f ca="1"/>
        <v>148.53</v>
      </c>
      <c r="D80" vm="235">
        <f ca="1"/>
        <v>9756259</v>
      </c>
      <c r="E80">
        <f t="shared" ca="1" si="8"/>
        <v>147.24333333333331</v>
      </c>
      <c r="F80">
        <f t="shared" ca="1" si="2"/>
        <v>150.9435</v>
      </c>
      <c r="G80">
        <f t="shared" ca="1" si="6"/>
        <v>155.63800000000001</v>
      </c>
      <c r="I80">
        <f t="shared" ca="1" si="3"/>
        <v>4.4013135300127919</v>
      </c>
      <c r="J80">
        <f t="shared" ca="1" si="4"/>
        <v>142.14087293997443</v>
      </c>
      <c r="K80">
        <f t="shared" ca="1" si="5"/>
        <v>159.74612706002557</v>
      </c>
    </row>
    <row r="81" spans="1:11" x14ac:dyDescent="0.25">
      <c r="A81" s="6">
        <f t="shared" ca="1" si="7"/>
        <v>45404</v>
      </c>
      <c r="B81" vm="236">
        <f ca="1"/>
        <v>45407</v>
      </c>
      <c r="C81" vm="237">
        <f ca="1"/>
        <v>146.82</v>
      </c>
      <c r="D81" vm="238">
        <f ca="1"/>
        <v>7642732</v>
      </c>
      <c r="E81">
        <f t="shared" ca="1" si="8"/>
        <v>147.16555555555553</v>
      </c>
      <c r="F81">
        <f t="shared" ca="1" si="2"/>
        <v>150.38650000000001</v>
      </c>
      <c r="G81">
        <f t="shared" ca="1" si="6"/>
        <v>155.44499999999999</v>
      </c>
      <c r="I81">
        <f t="shared" ca="1" si="3"/>
        <v>4.1651856280110078</v>
      </c>
      <c r="J81">
        <f t="shared" ca="1" si="4"/>
        <v>142.05612874397801</v>
      </c>
      <c r="K81">
        <f t="shared" ca="1" si="5"/>
        <v>158.71687125602202</v>
      </c>
    </row>
    <row r="82" spans="1:11" x14ac:dyDescent="0.25">
      <c r="A82" s="6">
        <f t="shared" ca="1" si="7"/>
        <v>45404</v>
      </c>
      <c r="B82" vm="239">
        <f ca="1"/>
        <v>45408</v>
      </c>
      <c r="C82" vm="240">
        <f ca="1"/>
        <v>146.13999999999999</v>
      </c>
      <c r="D82" vm="241">
        <f ca="1"/>
        <v>6182982</v>
      </c>
      <c r="E82">
        <f t="shared" ca="1" si="8"/>
        <v>147.00444444444443</v>
      </c>
      <c r="F82">
        <f t="shared" ca="1" si="2"/>
        <v>149.78399999999999</v>
      </c>
      <c r="G82">
        <f t="shared" ca="1" si="6"/>
        <v>155.25300000000001</v>
      </c>
      <c r="I82">
        <f t="shared" ca="1" si="3"/>
        <v>3.8354625055629126</v>
      </c>
      <c r="J82">
        <f t="shared" ca="1" si="4"/>
        <v>142.11307498887416</v>
      </c>
      <c r="K82">
        <f t="shared" ca="1" si="5"/>
        <v>157.45492501112582</v>
      </c>
    </row>
    <row r="83" spans="1:11" x14ac:dyDescent="0.25">
      <c r="A83" s="6">
        <f t="shared" ca="1" si="7"/>
        <v>45411</v>
      </c>
      <c r="B83" vm="242">
        <f ca="1"/>
        <v>45411</v>
      </c>
      <c r="C83" vm="237">
        <f ca="1"/>
        <v>146.82</v>
      </c>
      <c r="D83" vm="243">
        <f ca="1"/>
        <v>6461588</v>
      </c>
      <c r="E83">
        <f t="shared" ca="1" si="8"/>
        <v>147.26777777777772</v>
      </c>
      <c r="F83">
        <f t="shared" ca="1" si="2"/>
        <v>149.23600000000002</v>
      </c>
      <c r="G83">
        <f t="shared" ca="1" si="6"/>
        <v>155.03100000000001</v>
      </c>
      <c r="I83">
        <f t="shared" ca="1" si="3"/>
        <v>3.389984319168823</v>
      </c>
      <c r="J83">
        <f t="shared" ca="1" si="4"/>
        <v>142.45603136166238</v>
      </c>
      <c r="K83">
        <f t="shared" ca="1" si="5"/>
        <v>156.01596863833765</v>
      </c>
    </row>
    <row r="84" spans="1:11" x14ac:dyDescent="0.25">
      <c r="A84" s="6">
        <f t="shared" ca="1" si="7"/>
        <v>45411</v>
      </c>
      <c r="B84" vm="244">
        <f ca="1"/>
        <v>45412</v>
      </c>
      <c r="C84" vm="245">
        <f ca="1"/>
        <v>144.59</v>
      </c>
      <c r="D84" vm="246">
        <f ca="1"/>
        <v>8817719</v>
      </c>
      <c r="E84">
        <f t="shared" ca="1" si="8"/>
        <v>147.24777777777774</v>
      </c>
      <c r="F84">
        <f t="shared" ca="1" si="2"/>
        <v>148.57900000000001</v>
      </c>
      <c r="G84">
        <f t="shared" ca="1" si="6"/>
        <v>154.79179999999999</v>
      </c>
      <c r="I84">
        <f t="shared" ca="1" si="3"/>
        <v>2.8942063724475098</v>
      </c>
      <c r="J84">
        <f t="shared" ca="1" si="4"/>
        <v>142.79058725510498</v>
      </c>
      <c r="K84">
        <f t="shared" ca="1" si="5"/>
        <v>154.36741274489503</v>
      </c>
    </row>
    <row r="85" spans="1:11" x14ac:dyDescent="0.25">
      <c r="A85" s="6">
        <f t="shared" ca="1" si="7"/>
        <v>45411</v>
      </c>
      <c r="B85" vm="247">
        <f ca="1"/>
        <v>45413</v>
      </c>
      <c r="C85" vm="248">
        <f ca="1"/>
        <v>151.18</v>
      </c>
      <c r="D85" vm="249">
        <f ca="1"/>
        <v>14473711</v>
      </c>
      <c r="E85">
        <f t="shared" ca="1" si="8"/>
        <v>147.85222222222222</v>
      </c>
      <c r="F85">
        <f t="shared" ca="1" si="2"/>
        <v>148.42500000000001</v>
      </c>
      <c r="G85">
        <f t="shared" ca="1" si="6"/>
        <v>154.65819999999999</v>
      </c>
      <c r="I85">
        <f t="shared" ca="1" si="3"/>
        <v>2.6474347067143662</v>
      </c>
      <c r="J85">
        <f t="shared" ca="1" si="4"/>
        <v>143.13013058657128</v>
      </c>
      <c r="K85">
        <f t="shared" ca="1" si="5"/>
        <v>153.71986941342874</v>
      </c>
    </row>
    <row r="86" spans="1:11" x14ac:dyDescent="0.25">
      <c r="A86" s="6">
        <f t="shared" ca="1" si="7"/>
        <v>45411</v>
      </c>
      <c r="B86" vm="250">
        <f ca="1"/>
        <v>45414</v>
      </c>
      <c r="C86" vm="251">
        <f ca="1"/>
        <v>149.91999999999999</v>
      </c>
      <c r="D86" vm="252">
        <f ca="1"/>
        <v>8459796</v>
      </c>
      <c r="E86">
        <f t="shared" ca="1" si="8"/>
        <v>148.07555555555555</v>
      </c>
      <c r="F86">
        <f t="shared" ref="F86:F149" ca="1" si="9">AVERAGE(C67:C86)</f>
        <v>148.29600000000002</v>
      </c>
      <c r="G86">
        <f t="shared" ca="1" si="6"/>
        <v>154.483</v>
      </c>
      <c r="I86">
        <f t="shared" ref="I86:I149" ca="1" si="10">_xlfn.STDEV.S(C67:C86)</f>
        <v>2.4970074721132627</v>
      </c>
      <c r="J86">
        <f t="shared" ref="J86:J149" ca="1" si="11">F86-2*I86</f>
        <v>143.30198505577349</v>
      </c>
      <c r="K86">
        <f t="shared" ref="K86:K149" ca="1" si="12">F86+2*I86</f>
        <v>153.29001494422656</v>
      </c>
    </row>
    <row r="87" spans="1:11" x14ac:dyDescent="0.25">
      <c r="A87" s="6">
        <f t="shared" ca="1" si="7"/>
        <v>45411</v>
      </c>
      <c r="B87" vm="253">
        <f ca="1"/>
        <v>45415</v>
      </c>
      <c r="C87" vm="254">
        <f ca="1"/>
        <v>149.27000000000001</v>
      </c>
      <c r="D87" vm="255">
        <f ca="1"/>
        <v>6532718</v>
      </c>
      <c r="E87">
        <f t="shared" ca="1" si="8"/>
        <v>148.0922222222222</v>
      </c>
      <c r="F87">
        <f t="shared" ca="1" si="9"/>
        <v>148.14000000000001</v>
      </c>
      <c r="G87">
        <f t="shared" ca="1" si="6"/>
        <v>154.25940000000003</v>
      </c>
      <c r="I87">
        <f t="shared" ca="1" si="10"/>
        <v>2.3188813092342149</v>
      </c>
      <c r="J87">
        <f t="shared" ca="1" si="11"/>
        <v>143.50223738153159</v>
      </c>
      <c r="K87">
        <f t="shared" ca="1" si="12"/>
        <v>152.77776261846844</v>
      </c>
    </row>
    <row r="88" spans="1:11" x14ac:dyDescent="0.25">
      <c r="A88" s="6">
        <f t="shared" ca="1" si="7"/>
        <v>45418</v>
      </c>
      <c r="B88" vm="256">
        <f ca="1"/>
        <v>45418</v>
      </c>
      <c r="C88" vm="257">
        <f ca="1"/>
        <v>148.58000000000001</v>
      </c>
      <c r="D88" vm="258">
        <f ca="1"/>
        <v>5042757</v>
      </c>
      <c r="E88">
        <f t="shared" ca="1" si="8"/>
        <v>147.98333333333332</v>
      </c>
      <c r="F88">
        <f t="shared" ca="1" si="9"/>
        <v>147.98949999999999</v>
      </c>
      <c r="G88">
        <f t="shared" ca="1" si="6"/>
        <v>153.99420000000003</v>
      </c>
      <c r="I88">
        <f t="shared" ca="1" si="10"/>
        <v>2.1764903544830818</v>
      </c>
      <c r="J88">
        <f t="shared" ca="1" si="11"/>
        <v>143.63651929103384</v>
      </c>
      <c r="K88">
        <f t="shared" ca="1" si="12"/>
        <v>152.34248070896615</v>
      </c>
    </row>
    <row r="89" spans="1:11" x14ac:dyDescent="0.25">
      <c r="A89" s="6">
        <f t="shared" ca="1" si="7"/>
        <v>45418</v>
      </c>
      <c r="B89" vm="259">
        <f ca="1"/>
        <v>45419</v>
      </c>
      <c r="C89" vm="260">
        <f ca="1"/>
        <v>148.72</v>
      </c>
      <c r="D89" vm="261">
        <f ca="1"/>
        <v>7333730</v>
      </c>
      <c r="E89">
        <f t="shared" ca="1" si="8"/>
        <v>148.00444444444443</v>
      </c>
      <c r="F89">
        <f t="shared" ca="1" si="9"/>
        <v>147.81099999999998</v>
      </c>
      <c r="G89">
        <f t="shared" ca="1" si="6"/>
        <v>153.75280000000004</v>
      </c>
      <c r="I89">
        <f t="shared" ca="1" si="10"/>
        <v>1.9386264806761893</v>
      </c>
      <c r="J89">
        <f t="shared" ca="1" si="11"/>
        <v>143.9337470386476</v>
      </c>
      <c r="K89">
        <f t="shared" ca="1" si="12"/>
        <v>151.68825296135236</v>
      </c>
    </row>
    <row r="90" spans="1:11" x14ac:dyDescent="0.25">
      <c r="A90" s="6">
        <f t="shared" ca="1" si="7"/>
        <v>45418</v>
      </c>
      <c r="B90" vm="262">
        <f ca="1"/>
        <v>45420</v>
      </c>
      <c r="C90" vm="263">
        <f ca="1"/>
        <v>148.94999999999999</v>
      </c>
      <c r="D90" vm="264">
        <f ca="1"/>
        <v>7735148</v>
      </c>
      <c r="E90">
        <f t="shared" ca="1" si="8"/>
        <v>148.24111111111111</v>
      </c>
      <c r="F90">
        <f t="shared" ca="1" si="9"/>
        <v>147.74849999999995</v>
      </c>
      <c r="G90">
        <f t="shared" ca="1" si="6"/>
        <v>153.51220000000004</v>
      </c>
      <c r="I90">
        <f t="shared" ca="1" si="10"/>
        <v>1.876714023583719</v>
      </c>
      <c r="J90">
        <f t="shared" ca="1" si="11"/>
        <v>143.99507195283252</v>
      </c>
      <c r="K90">
        <f t="shared" ca="1" si="12"/>
        <v>151.50192804716738</v>
      </c>
    </row>
    <row r="91" spans="1:11" x14ac:dyDescent="0.25">
      <c r="A91" s="6">
        <f t="shared" ca="1" si="7"/>
        <v>45418</v>
      </c>
      <c r="B91" vm="265">
        <f ca="1"/>
        <v>45421</v>
      </c>
      <c r="C91" vm="266">
        <f ca="1"/>
        <v>149.85</v>
      </c>
      <c r="D91" vm="267">
        <f ca="1"/>
        <v>6546153</v>
      </c>
      <c r="E91">
        <f t="shared" ca="1" si="8"/>
        <v>148.65333333333331</v>
      </c>
      <c r="F91">
        <f t="shared" ca="1" si="9"/>
        <v>147.80149999999995</v>
      </c>
      <c r="G91">
        <f t="shared" ca="1" si="6"/>
        <v>153.27820000000006</v>
      </c>
      <c r="I91">
        <f t="shared" ca="1" si="10"/>
        <v>1.9220939102967896</v>
      </c>
      <c r="J91">
        <f t="shared" ca="1" si="11"/>
        <v>143.95731217940636</v>
      </c>
      <c r="K91">
        <f t="shared" ca="1" si="12"/>
        <v>151.64568782059354</v>
      </c>
    </row>
    <row r="92" spans="1:11" x14ac:dyDescent="0.25">
      <c r="A92" s="6">
        <f t="shared" ca="1" si="7"/>
        <v>45418</v>
      </c>
      <c r="B92" vm="268">
        <f ca="1"/>
        <v>45422</v>
      </c>
      <c r="C92" vm="269">
        <f ca="1"/>
        <v>149.91</v>
      </c>
      <c r="D92" vm="270">
        <f ca="1"/>
        <v>5710566</v>
      </c>
      <c r="E92">
        <f t="shared" ca="1" si="8"/>
        <v>148.99666666666667</v>
      </c>
      <c r="F92">
        <f t="shared" ca="1" si="9"/>
        <v>147.92099999999994</v>
      </c>
      <c r="G92">
        <f t="shared" ca="1" si="6"/>
        <v>153.04880000000006</v>
      </c>
      <c r="I92">
        <f t="shared" ca="1" si="10"/>
        <v>1.9771774139706813</v>
      </c>
      <c r="J92">
        <f t="shared" ca="1" si="11"/>
        <v>143.96664517205858</v>
      </c>
      <c r="K92">
        <f t="shared" ca="1" si="12"/>
        <v>151.87535482794129</v>
      </c>
    </row>
    <row r="93" spans="1:11" x14ac:dyDescent="0.25">
      <c r="A93" s="6">
        <f t="shared" ca="1" si="7"/>
        <v>45425</v>
      </c>
      <c r="B93" vm="271">
        <f ca="1"/>
        <v>45425</v>
      </c>
      <c r="C93" vm="272">
        <f ca="1"/>
        <v>151.22</v>
      </c>
      <c r="D93" vm="273">
        <f ca="1"/>
        <v>5628467</v>
      </c>
      <c r="E93">
        <f t="shared" ca="1" si="8"/>
        <v>149.73333333333335</v>
      </c>
      <c r="F93">
        <f t="shared" ca="1" si="9"/>
        <v>148.10249999999996</v>
      </c>
      <c r="G93">
        <f t="shared" ca="1" si="6"/>
        <v>152.83080000000004</v>
      </c>
      <c r="I93">
        <f t="shared" ca="1" si="10"/>
        <v>2.1075100674043119</v>
      </c>
      <c r="J93">
        <f t="shared" ca="1" si="11"/>
        <v>143.88747986519135</v>
      </c>
      <c r="K93">
        <f t="shared" ca="1" si="12"/>
        <v>152.31752013480857</v>
      </c>
    </row>
    <row r="94" spans="1:11" x14ac:dyDescent="0.25">
      <c r="A94" s="6">
        <f t="shared" ca="1" si="7"/>
        <v>45425</v>
      </c>
      <c r="B94" vm="274">
        <f ca="1"/>
        <v>45426</v>
      </c>
      <c r="C94" vm="275">
        <f ca="1"/>
        <v>151.38</v>
      </c>
      <c r="D94" vm="276">
        <f ca="1"/>
        <v>8254171</v>
      </c>
      <c r="E94">
        <f t="shared" ca="1" si="8"/>
        <v>149.75555555555559</v>
      </c>
      <c r="F94">
        <f t="shared" ca="1" si="9"/>
        <v>148.44899999999996</v>
      </c>
      <c r="G94">
        <f t="shared" ca="1" si="6"/>
        <v>152.66160000000005</v>
      </c>
      <c r="I94">
        <f t="shared" ca="1" si="10"/>
        <v>2.0441235414307952</v>
      </c>
      <c r="J94">
        <f t="shared" ca="1" si="11"/>
        <v>144.36075291713837</v>
      </c>
      <c r="K94">
        <f t="shared" ca="1" si="12"/>
        <v>152.53724708286154</v>
      </c>
    </row>
    <row r="95" spans="1:11" x14ac:dyDescent="0.25">
      <c r="A95" s="6">
        <f t="shared" ca="1" si="7"/>
        <v>45425</v>
      </c>
      <c r="B95" vm="277">
        <f ca="1"/>
        <v>45427</v>
      </c>
      <c r="C95" vm="278">
        <f ca="1"/>
        <v>152.66999999999999</v>
      </c>
      <c r="D95" vm="279">
        <f ca="1"/>
        <v>5547955</v>
      </c>
      <c r="E95">
        <f t="shared" ca="1" si="8"/>
        <v>150.06111111111113</v>
      </c>
      <c r="F95">
        <f t="shared" ca="1" si="9"/>
        <v>148.84399999999997</v>
      </c>
      <c r="G95">
        <f t="shared" ca="1" si="6"/>
        <v>152.51560000000003</v>
      </c>
      <c r="I95">
        <f t="shared" ca="1" si="10"/>
        <v>2.0590196952101145</v>
      </c>
      <c r="J95">
        <f t="shared" ca="1" si="11"/>
        <v>144.72596060957974</v>
      </c>
      <c r="K95">
        <f t="shared" ca="1" si="12"/>
        <v>152.96203939042019</v>
      </c>
    </row>
    <row r="96" spans="1:11" x14ac:dyDescent="0.25">
      <c r="A96" s="6">
        <f t="shared" ca="1" si="7"/>
        <v>45425</v>
      </c>
      <c r="B96" vm="280">
        <f ca="1"/>
        <v>45428</v>
      </c>
      <c r="C96" vm="281">
        <f ca="1"/>
        <v>154.28</v>
      </c>
      <c r="D96" vm="282">
        <f ca="1"/>
        <v>7590959</v>
      </c>
      <c r="E96">
        <f t="shared" ca="1" si="8"/>
        <v>150.6177777777778</v>
      </c>
      <c r="F96">
        <f t="shared" ca="1" si="9"/>
        <v>149.27100000000002</v>
      </c>
      <c r="G96">
        <f t="shared" ca="1" si="6"/>
        <v>152.41440000000003</v>
      </c>
      <c r="I96">
        <f t="shared" ca="1" si="10"/>
        <v>2.2573899693416313</v>
      </c>
      <c r="J96">
        <f t="shared" ca="1" si="11"/>
        <v>144.75622006131675</v>
      </c>
      <c r="K96">
        <f t="shared" ca="1" si="12"/>
        <v>153.78577993868328</v>
      </c>
    </row>
    <row r="97" spans="1:11" x14ac:dyDescent="0.25">
      <c r="A97" s="6">
        <f t="shared" ca="1" si="7"/>
        <v>45425</v>
      </c>
      <c r="B97" vm="283">
        <f ca="1"/>
        <v>45429</v>
      </c>
      <c r="C97" vm="284">
        <f ca="1"/>
        <v>154.63999999999999</v>
      </c>
      <c r="D97" vm="285">
        <f ca="1"/>
        <v>6521794</v>
      </c>
      <c r="E97">
        <f t="shared" ca="1" si="8"/>
        <v>151.29111111111109</v>
      </c>
      <c r="F97">
        <f t="shared" ca="1" si="9"/>
        <v>149.60750000000002</v>
      </c>
      <c r="G97">
        <f t="shared" ca="1" si="6"/>
        <v>152.32980000000003</v>
      </c>
      <c r="I97">
        <f t="shared" ca="1" si="10"/>
        <v>2.5290894450478865</v>
      </c>
      <c r="J97">
        <f t="shared" ca="1" si="11"/>
        <v>144.54932110990424</v>
      </c>
      <c r="K97">
        <f t="shared" ca="1" si="12"/>
        <v>154.66567889009579</v>
      </c>
    </row>
    <row r="98" spans="1:11" x14ac:dyDescent="0.25">
      <c r="A98" s="6">
        <f t="shared" ca="1" si="7"/>
        <v>45432</v>
      </c>
      <c r="B98" vm="286">
        <f ca="1"/>
        <v>45432</v>
      </c>
      <c r="C98" vm="287">
        <f ca="1"/>
        <v>151.27000000000001</v>
      </c>
      <c r="D98" vm="288">
        <f ca="1"/>
        <v>7742280</v>
      </c>
      <c r="E98">
        <f t="shared" ca="1" si="8"/>
        <v>151.57444444444445</v>
      </c>
      <c r="F98">
        <f t="shared" ca="1" si="9"/>
        <v>149.71499999999997</v>
      </c>
      <c r="G98">
        <f t="shared" ca="1" si="6"/>
        <v>152.16480000000004</v>
      </c>
      <c r="I98">
        <f t="shared" ca="1" si="10"/>
        <v>2.5528590783049907</v>
      </c>
      <c r="J98">
        <f t="shared" ca="1" si="11"/>
        <v>144.60928184338999</v>
      </c>
      <c r="K98">
        <f t="shared" ca="1" si="12"/>
        <v>154.82071815660996</v>
      </c>
    </row>
    <row r="99" spans="1:11" x14ac:dyDescent="0.25">
      <c r="A99" s="6">
        <f t="shared" ca="1" si="7"/>
        <v>45432</v>
      </c>
      <c r="B99" vm="289">
        <f ca="1"/>
        <v>45433</v>
      </c>
      <c r="C99" vm="290">
        <f ca="1"/>
        <v>151.24</v>
      </c>
      <c r="D99" vm="291">
        <f ca="1"/>
        <v>5492354</v>
      </c>
      <c r="E99">
        <f t="shared" ca="1" si="8"/>
        <v>151.82888888888886</v>
      </c>
      <c r="F99">
        <f t="shared" ca="1" si="9"/>
        <v>149.79900000000004</v>
      </c>
      <c r="G99">
        <f t="shared" ca="1" si="6"/>
        <v>151.96500000000003</v>
      </c>
      <c r="I99">
        <f t="shared" ca="1" si="10"/>
        <v>2.5750337759665252</v>
      </c>
      <c r="J99">
        <f t="shared" ca="1" si="11"/>
        <v>144.64893244806697</v>
      </c>
      <c r="K99">
        <f t="shared" ca="1" si="12"/>
        <v>154.9490675519331</v>
      </c>
    </row>
    <row r="100" spans="1:11" x14ac:dyDescent="0.25">
      <c r="A100" s="6">
        <f t="shared" ca="1" si="7"/>
        <v>45432</v>
      </c>
      <c r="B100" vm="292">
        <f ca="1"/>
        <v>45434</v>
      </c>
      <c r="C100" vm="293">
        <f ca="1"/>
        <v>153.5</v>
      </c>
      <c r="D100" vm="294">
        <f ca="1"/>
        <v>6609788</v>
      </c>
      <c r="E100">
        <f t="shared" ca="1" si="8"/>
        <v>152.23444444444442</v>
      </c>
      <c r="F100">
        <f t="shared" ca="1" si="9"/>
        <v>150.04749999999999</v>
      </c>
      <c r="G100">
        <f t="shared" ca="1" si="6"/>
        <v>151.78020000000004</v>
      </c>
      <c r="I100">
        <f t="shared" ca="1" si="10"/>
        <v>2.6836461351950573</v>
      </c>
      <c r="J100">
        <f t="shared" ca="1" si="11"/>
        <v>144.68020772960986</v>
      </c>
      <c r="K100">
        <f t="shared" ca="1" si="12"/>
        <v>155.41479227039011</v>
      </c>
    </row>
    <row r="101" spans="1:11" x14ac:dyDescent="0.25">
      <c r="A101" s="6">
        <f t="shared" ca="1" si="7"/>
        <v>45432</v>
      </c>
      <c r="B101" vm="295">
        <f ca="1"/>
        <v>45435</v>
      </c>
      <c r="C101" vm="296">
        <f ca="1"/>
        <v>149.69999999999999</v>
      </c>
      <c r="D101" vm="297">
        <f ca="1"/>
        <v>8000422</v>
      </c>
      <c r="E101">
        <f t="shared" ca="1" si="8"/>
        <v>152.21111111111111</v>
      </c>
      <c r="F101">
        <f t="shared" ca="1" si="9"/>
        <v>150.19149999999999</v>
      </c>
      <c r="G101">
        <f t="shared" ca="1" si="6"/>
        <v>151.55220000000003</v>
      </c>
      <c r="H101">
        <f ca="1">AVERAGE(C1:C101)</f>
        <v>155.62810000000002</v>
      </c>
      <c r="I101">
        <f t="shared" ca="1" si="10"/>
        <v>2.5764771440251919</v>
      </c>
      <c r="J101">
        <f t="shared" ca="1" si="11"/>
        <v>145.03854571194961</v>
      </c>
      <c r="K101">
        <f t="shared" ca="1" si="12"/>
        <v>155.34445428805037</v>
      </c>
    </row>
    <row r="102" spans="1:11" x14ac:dyDescent="0.25">
      <c r="A102" s="6">
        <f t="shared" ca="1" si="7"/>
        <v>45432</v>
      </c>
      <c r="B102" vm="298">
        <f ca="1"/>
        <v>45436</v>
      </c>
      <c r="C102" vm="299">
        <f ca="1"/>
        <v>146.97</v>
      </c>
      <c r="D102" vm="300">
        <f ca="1"/>
        <v>9520576</v>
      </c>
      <c r="E102">
        <f t="shared" ca="1" si="8"/>
        <v>151.73888888888891</v>
      </c>
      <c r="F102">
        <f t="shared" ca="1" si="9"/>
        <v>150.23299999999998</v>
      </c>
      <c r="G102">
        <f t="shared" ca="1" si="6"/>
        <v>151.30740000000003</v>
      </c>
      <c r="H102">
        <f t="shared" ref="H102:H165" ca="1" si="13">AVERAGE(C2:C102)</f>
        <v>155.54237623762378</v>
      </c>
      <c r="I102">
        <f t="shared" ca="1" si="10"/>
        <v>2.5137037048525563</v>
      </c>
      <c r="J102">
        <f t="shared" ca="1" si="11"/>
        <v>145.20559259029486</v>
      </c>
      <c r="K102">
        <f t="shared" ca="1" si="12"/>
        <v>155.2604074097051</v>
      </c>
    </row>
    <row r="103" spans="1:11" x14ac:dyDescent="0.25">
      <c r="A103" s="6">
        <f t="shared" ca="1" si="7"/>
        <v>45439</v>
      </c>
      <c r="B103" vm="301">
        <f ca="1"/>
        <v>45440</v>
      </c>
      <c r="C103" vm="302">
        <f ca="1"/>
        <v>144.38</v>
      </c>
      <c r="D103" vm="303">
        <f ca="1"/>
        <v>10499829</v>
      </c>
      <c r="E103">
        <f t="shared" ca="1" si="8"/>
        <v>150.96111111111111</v>
      </c>
      <c r="F103">
        <f t="shared" ca="1" si="9"/>
        <v>150.11099999999999</v>
      </c>
      <c r="G103">
        <f t="shared" ca="1" si="6"/>
        <v>151.03140000000002</v>
      </c>
      <c r="H103">
        <f t="shared" ca="1" si="13"/>
        <v>155.38801980198022</v>
      </c>
      <c r="I103">
        <f t="shared" ca="1" si="10"/>
        <v>2.7373323548762993</v>
      </c>
      <c r="J103">
        <f t="shared" ca="1" si="11"/>
        <v>144.63633529024739</v>
      </c>
      <c r="K103">
        <f t="shared" ca="1" si="12"/>
        <v>155.58566470975259</v>
      </c>
    </row>
    <row r="104" spans="1:11" x14ac:dyDescent="0.25">
      <c r="A104" s="6">
        <f t="shared" ca="1" si="7"/>
        <v>45439</v>
      </c>
      <c r="B104" vm="304">
        <f ca="1"/>
        <v>45441</v>
      </c>
      <c r="C104" vm="305">
        <f ca="1"/>
        <v>144.44</v>
      </c>
      <c r="D104" vm="306">
        <f ca="1"/>
        <v>8263810</v>
      </c>
      <c r="E104">
        <f t="shared" ca="1" si="8"/>
        <v>150.04666666666668</v>
      </c>
      <c r="F104">
        <f t="shared" ca="1" si="9"/>
        <v>150.1035</v>
      </c>
      <c r="G104">
        <f t="shared" ca="1" si="6"/>
        <v>150.78500000000003</v>
      </c>
      <c r="H104">
        <f t="shared" ca="1" si="13"/>
        <v>155.22435643564361</v>
      </c>
      <c r="I104">
        <f t="shared" ca="1" si="10"/>
        <v>2.7534137185071108</v>
      </c>
      <c r="J104">
        <f t="shared" ca="1" si="11"/>
        <v>144.59667256298579</v>
      </c>
      <c r="K104">
        <f t="shared" ca="1" si="12"/>
        <v>155.61032743701421</v>
      </c>
    </row>
    <row r="105" spans="1:11" x14ac:dyDescent="0.25">
      <c r="A105" s="6">
        <f t="shared" ca="1" si="7"/>
        <v>45439</v>
      </c>
      <c r="B105" vm="307">
        <f ca="1"/>
        <v>45442</v>
      </c>
      <c r="C105" vm="308">
        <f ca="1"/>
        <v>145.28</v>
      </c>
      <c r="D105" vm="309">
        <f ca="1"/>
        <v>8491111</v>
      </c>
      <c r="E105">
        <f t="shared" ca="1" si="8"/>
        <v>149.04666666666665</v>
      </c>
      <c r="F105">
        <f t="shared" ca="1" si="9"/>
        <v>149.80850000000004</v>
      </c>
      <c r="G105">
        <f t="shared" ca="1" si="6"/>
        <v>150.56640000000002</v>
      </c>
      <c r="H105">
        <f t="shared" ca="1" si="13"/>
        <v>155.07237623762381</v>
      </c>
      <c r="I105">
        <f t="shared" ca="1" si="10"/>
        <v>2.9416362704060499</v>
      </c>
      <c r="J105">
        <f t="shared" ca="1" si="11"/>
        <v>143.92522745918794</v>
      </c>
      <c r="K105">
        <f t="shared" ca="1" si="12"/>
        <v>155.69177254081214</v>
      </c>
    </row>
    <row r="106" spans="1:11" x14ac:dyDescent="0.25">
      <c r="A106" s="6">
        <f t="shared" ca="1" si="7"/>
        <v>45439</v>
      </c>
      <c r="B106" vm="310">
        <f ca="1"/>
        <v>45443</v>
      </c>
      <c r="C106" vm="311">
        <f ca="1"/>
        <v>146.66999999999999</v>
      </c>
      <c r="D106" vm="312">
        <f ca="1"/>
        <v>14621203</v>
      </c>
      <c r="E106">
        <f t="shared" ca="1" si="8"/>
        <v>148.16111111111113</v>
      </c>
      <c r="F106">
        <f t="shared" ca="1" si="9"/>
        <v>149.64600000000002</v>
      </c>
      <c r="G106">
        <f t="shared" ca="1" si="6"/>
        <v>150.38460000000003</v>
      </c>
      <c r="H106">
        <f t="shared" ca="1" si="13"/>
        <v>154.92920792079212</v>
      </c>
      <c r="I106">
        <f t="shared" ca="1" si="10"/>
        <v>3.023773174450477</v>
      </c>
      <c r="J106">
        <f t="shared" ca="1" si="11"/>
        <v>143.59845365109905</v>
      </c>
      <c r="K106">
        <f t="shared" ca="1" si="12"/>
        <v>155.69354634890098</v>
      </c>
    </row>
    <row r="107" spans="1:11" x14ac:dyDescent="0.25">
      <c r="A107" s="6">
        <f t="shared" ca="1" si="7"/>
        <v>45446</v>
      </c>
      <c r="B107" vm="313">
        <f ca="1"/>
        <v>45446</v>
      </c>
      <c r="C107" vm="314">
        <f ca="1"/>
        <v>147.74</v>
      </c>
      <c r="D107" vm="315">
        <f ca="1"/>
        <v>7329241</v>
      </c>
      <c r="E107">
        <f t="shared" ca="1" si="8"/>
        <v>147.76888888888891</v>
      </c>
      <c r="F107">
        <f t="shared" ca="1" si="9"/>
        <v>149.56950000000001</v>
      </c>
      <c r="G107">
        <f t="shared" ca="1" si="6"/>
        <v>150.22440000000003</v>
      </c>
      <c r="H107">
        <f t="shared" ca="1" si="13"/>
        <v>154.79267326732679</v>
      </c>
      <c r="I107">
        <f t="shared" ca="1" si="10"/>
        <v>3.0529993449065782</v>
      </c>
      <c r="J107">
        <f t="shared" ca="1" si="11"/>
        <v>143.46350131018684</v>
      </c>
      <c r="K107">
        <f t="shared" ca="1" si="12"/>
        <v>155.67549868981317</v>
      </c>
    </row>
    <row r="108" spans="1:11" x14ac:dyDescent="0.25">
      <c r="A108" s="6">
        <f t="shared" ca="1" si="7"/>
        <v>45446</v>
      </c>
      <c r="B108" vm="316">
        <f ca="1"/>
        <v>45447</v>
      </c>
      <c r="C108" vm="317">
        <f ca="1"/>
        <v>147.80000000000001</v>
      </c>
      <c r="D108" vm="318">
        <f ca="1"/>
        <v>8876441</v>
      </c>
      <c r="E108">
        <f t="shared" ca="1" si="8"/>
        <v>147.38666666666666</v>
      </c>
      <c r="F108">
        <f t="shared" ca="1" si="9"/>
        <v>149.53050000000002</v>
      </c>
      <c r="G108">
        <f t="shared" ca="1" si="6"/>
        <v>150.07580000000002</v>
      </c>
      <c r="H108">
        <f t="shared" ca="1" si="13"/>
        <v>154.65574257425746</v>
      </c>
      <c r="I108">
        <f t="shared" ca="1" si="10"/>
        <v>3.0712323516619078</v>
      </c>
      <c r="J108">
        <f t="shared" ca="1" si="11"/>
        <v>143.38803529667621</v>
      </c>
      <c r="K108">
        <f t="shared" ca="1" si="12"/>
        <v>155.67296470332383</v>
      </c>
    </row>
    <row r="109" spans="1:11" x14ac:dyDescent="0.25">
      <c r="A109" s="6">
        <f t="shared" ca="1" si="7"/>
        <v>45446</v>
      </c>
      <c r="B109" vm="319">
        <f ca="1"/>
        <v>45448</v>
      </c>
      <c r="C109" vm="320">
        <f ca="1"/>
        <v>145.97</v>
      </c>
      <c r="D109" vm="321">
        <f ca="1"/>
        <v>5891299</v>
      </c>
      <c r="E109">
        <f t="shared" ca="1" si="8"/>
        <v>146.54999999999998</v>
      </c>
      <c r="F109">
        <f t="shared" ca="1" si="9"/>
        <v>149.393</v>
      </c>
      <c r="G109">
        <f t="shared" ca="1" si="6"/>
        <v>149.89080000000001</v>
      </c>
      <c r="H109">
        <f t="shared" ca="1" si="13"/>
        <v>154.49831683168321</v>
      </c>
      <c r="I109">
        <f t="shared" ca="1" si="10"/>
        <v>3.169418176723823</v>
      </c>
      <c r="J109">
        <f t="shared" ca="1" si="11"/>
        <v>143.05416364655235</v>
      </c>
      <c r="K109">
        <f t="shared" ca="1" si="12"/>
        <v>155.73183635344765</v>
      </c>
    </row>
    <row r="110" spans="1:11" x14ac:dyDescent="0.25">
      <c r="A110" s="6">
        <f t="shared" ca="1" si="7"/>
        <v>45446</v>
      </c>
      <c r="B110" vm="322">
        <f ca="1"/>
        <v>45449</v>
      </c>
      <c r="C110" vm="323">
        <f ca="1"/>
        <v>146.41999999999999</v>
      </c>
      <c r="D110" vm="324">
        <f ca="1"/>
        <v>5016301</v>
      </c>
      <c r="E110">
        <f t="shared" ca="1" si="8"/>
        <v>146.18555555555557</v>
      </c>
      <c r="F110">
        <f t="shared" ca="1" si="9"/>
        <v>149.26650000000001</v>
      </c>
      <c r="G110">
        <f t="shared" ca="1" si="6"/>
        <v>149.70380000000003</v>
      </c>
      <c r="H110">
        <f t="shared" ca="1" si="13"/>
        <v>154.35247524752478</v>
      </c>
      <c r="I110">
        <f t="shared" ca="1" si="10"/>
        <v>3.2377823388369098</v>
      </c>
      <c r="J110">
        <f t="shared" ca="1" si="11"/>
        <v>142.79093532232619</v>
      </c>
      <c r="K110">
        <f t="shared" ca="1" si="12"/>
        <v>155.74206467767382</v>
      </c>
    </row>
    <row r="111" spans="1:11" x14ac:dyDescent="0.25">
      <c r="A111" s="6">
        <f t="shared" ca="1" si="7"/>
        <v>45446</v>
      </c>
      <c r="B111" vm="325">
        <f ca="1"/>
        <v>45450</v>
      </c>
      <c r="C111" vm="326">
        <f ca="1"/>
        <v>147.08000000000001</v>
      </c>
      <c r="D111" vm="327">
        <f ca="1"/>
        <v>5111626</v>
      </c>
      <c r="E111">
        <f t="shared" ca="1" si="8"/>
        <v>146.19777777777779</v>
      </c>
      <c r="F111">
        <f t="shared" ca="1" si="9"/>
        <v>149.12799999999999</v>
      </c>
      <c r="G111">
        <f t="shared" ca="1" si="6"/>
        <v>149.4862</v>
      </c>
      <c r="H111">
        <f t="shared" ca="1" si="13"/>
        <v>154.20089108910895</v>
      </c>
      <c r="I111">
        <f t="shared" ca="1" si="10"/>
        <v>3.2705875860301816</v>
      </c>
      <c r="J111">
        <f t="shared" ca="1" si="11"/>
        <v>142.58682482793961</v>
      </c>
      <c r="K111">
        <f t="shared" ca="1" si="12"/>
        <v>155.66917517206036</v>
      </c>
    </row>
    <row r="112" spans="1:11" x14ac:dyDescent="0.25">
      <c r="A112" s="6">
        <f t="shared" ca="1" si="7"/>
        <v>45453</v>
      </c>
      <c r="B112" vm="328">
        <f ca="1"/>
        <v>45453</v>
      </c>
      <c r="C112" vm="329">
        <f ca="1"/>
        <v>147.13</v>
      </c>
      <c r="D112" vm="330">
        <f ca="1"/>
        <v>5751309</v>
      </c>
      <c r="E112">
        <f t="shared" ca="1" si="8"/>
        <v>146.50333333333336</v>
      </c>
      <c r="F112">
        <f t="shared" ca="1" si="9"/>
        <v>148.989</v>
      </c>
      <c r="G112">
        <f t="shared" ca="1" si="6"/>
        <v>149.26500000000001</v>
      </c>
      <c r="H112">
        <f t="shared" ca="1" si="13"/>
        <v>154.06831683168321</v>
      </c>
      <c r="I112">
        <f t="shared" ca="1" si="10"/>
        <v>3.2945903027778569</v>
      </c>
      <c r="J112">
        <f t="shared" ca="1" si="11"/>
        <v>142.39981939444428</v>
      </c>
      <c r="K112">
        <f t="shared" ca="1" si="12"/>
        <v>155.57818060555573</v>
      </c>
    </row>
    <row r="113" spans="1:11" x14ac:dyDescent="0.25">
      <c r="A113" s="6">
        <f t="shared" ca="1" si="7"/>
        <v>45453</v>
      </c>
      <c r="B113" vm="331">
        <f ca="1"/>
        <v>45454</v>
      </c>
      <c r="C113" vm="332">
        <f ca="1"/>
        <v>146.76</v>
      </c>
      <c r="D113" vm="333">
        <f ca="1"/>
        <v>5661236</v>
      </c>
      <c r="E113">
        <f t="shared" ca="1" si="8"/>
        <v>146.76111111111112</v>
      </c>
      <c r="F113">
        <f t="shared" ca="1" si="9"/>
        <v>148.76600000000002</v>
      </c>
      <c r="G113">
        <f t="shared" ca="1" si="6"/>
        <v>149.0446</v>
      </c>
      <c r="H113">
        <f t="shared" ca="1" si="13"/>
        <v>153.93297029702973</v>
      </c>
      <c r="I113">
        <f t="shared" ca="1" si="10"/>
        <v>3.2865649961143633</v>
      </c>
      <c r="J113">
        <f t="shared" ca="1" si="11"/>
        <v>142.19287000777129</v>
      </c>
      <c r="K113">
        <f t="shared" ca="1" si="12"/>
        <v>155.33912999222875</v>
      </c>
    </row>
    <row r="114" spans="1:11" x14ac:dyDescent="0.25">
      <c r="A114" s="6">
        <f t="shared" ca="1" si="7"/>
        <v>45453</v>
      </c>
      <c r="B114" vm="334">
        <f ca="1"/>
        <v>45455</v>
      </c>
      <c r="C114" vm="335">
        <f ca="1"/>
        <v>145.41</v>
      </c>
      <c r="D114" vm="336">
        <f ca="1"/>
        <v>6180493</v>
      </c>
      <c r="E114">
        <f t="shared" ca="1" si="8"/>
        <v>146.77555555555557</v>
      </c>
      <c r="F114">
        <f t="shared" ca="1" si="9"/>
        <v>148.46750000000003</v>
      </c>
      <c r="G114">
        <f t="shared" ca="1" si="6"/>
        <v>148.79820000000001</v>
      </c>
      <c r="H114">
        <f t="shared" ca="1" si="13"/>
        <v>153.77653465346538</v>
      </c>
      <c r="I114">
        <f t="shared" ca="1" si="10"/>
        <v>3.3076973625326218</v>
      </c>
      <c r="J114">
        <f t="shared" ca="1" si="11"/>
        <v>141.85210527493479</v>
      </c>
      <c r="K114">
        <f t="shared" ca="1" si="12"/>
        <v>155.08289472506527</v>
      </c>
    </row>
    <row r="115" spans="1:11" x14ac:dyDescent="0.25">
      <c r="A115" s="6">
        <f t="shared" ca="1" si="7"/>
        <v>45453</v>
      </c>
      <c r="B115" vm="337">
        <f ca="1"/>
        <v>45456</v>
      </c>
      <c r="C115" vm="338">
        <f ca="1"/>
        <v>145.44999999999999</v>
      </c>
      <c r="D115" vm="339">
        <f ca="1"/>
        <v>6840374</v>
      </c>
      <c r="E115">
        <f t="shared" ca="1" si="8"/>
        <v>146.64000000000001</v>
      </c>
      <c r="F115">
        <f t="shared" ca="1" si="9"/>
        <v>148.10650000000001</v>
      </c>
      <c r="G115">
        <f t="shared" ca="1" si="6"/>
        <v>148.62200000000001</v>
      </c>
      <c r="H115">
        <f t="shared" ca="1" si="13"/>
        <v>153.61584158415843</v>
      </c>
      <c r="I115">
        <f t="shared" ca="1" si="10"/>
        <v>3.2176671428389336</v>
      </c>
      <c r="J115">
        <f t="shared" ca="1" si="11"/>
        <v>141.67116571432214</v>
      </c>
      <c r="K115">
        <f t="shared" ca="1" si="12"/>
        <v>154.54183428567788</v>
      </c>
    </row>
    <row r="116" spans="1:11" x14ac:dyDescent="0.25">
      <c r="A116" s="6">
        <f t="shared" ca="1" si="7"/>
        <v>45453</v>
      </c>
      <c r="B116" vm="340">
        <f ca="1"/>
        <v>45457</v>
      </c>
      <c r="C116" vm="341">
        <f ca="1"/>
        <v>145.54</v>
      </c>
      <c r="D116" vm="342">
        <f ca="1"/>
        <v>4075342</v>
      </c>
      <c r="E116">
        <f t="shared" ca="1" si="8"/>
        <v>146.39555555555555</v>
      </c>
      <c r="F116">
        <f t="shared" ca="1" si="9"/>
        <v>147.66949999999997</v>
      </c>
      <c r="G116">
        <f t="shared" ref="G116:G179" ca="1" si="14">AVERAGE(C67:C116)</f>
        <v>148.4828</v>
      </c>
      <c r="H116">
        <f t="shared" ca="1" si="13"/>
        <v>153.44821782178221</v>
      </c>
      <c r="I116">
        <f t="shared" ca="1" si="10"/>
        <v>2.9142995457065273</v>
      </c>
      <c r="J116">
        <f t="shared" ca="1" si="11"/>
        <v>141.84090090858692</v>
      </c>
      <c r="K116">
        <f t="shared" ca="1" si="12"/>
        <v>153.49809909141302</v>
      </c>
    </row>
    <row r="117" spans="1:11" x14ac:dyDescent="0.25">
      <c r="A117" s="6">
        <f t="shared" ca="1" si="7"/>
        <v>45460</v>
      </c>
      <c r="B117" vm="343">
        <f ca="1"/>
        <v>45460</v>
      </c>
      <c r="C117" vm="344">
        <f ca="1"/>
        <v>145.94999999999999</v>
      </c>
      <c r="D117" vm="345">
        <f ca="1"/>
        <v>6666583</v>
      </c>
      <c r="E117">
        <f t="shared" ca="1" si="8"/>
        <v>146.19</v>
      </c>
      <c r="F117">
        <f t="shared" ca="1" si="9"/>
        <v>147.23499999999999</v>
      </c>
      <c r="G117">
        <f t="shared" ca="1" si="14"/>
        <v>148.35399999999998</v>
      </c>
      <c r="H117">
        <f t="shared" ca="1" si="13"/>
        <v>153.31099009900996</v>
      </c>
      <c r="I117">
        <f t="shared" ca="1" si="10"/>
        <v>2.4275035909778886</v>
      </c>
      <c r="J117">
        <f t="shared" ca="1" si="11"/>
        <v>142.3799928180442</v>
      </c>
      <c r="K117">
        <f t="shared" ca="1" si="12"/>
        <v>152.09000718195577</v>
      </c>
    </row>
    <row r="118" spans="1:11" x14ac:dyDescent="0.25">
      <c r="A118" s="6">
        <f t="shared" ca="1" si="7"/>
        <v>45460</v>
      </c>
      <c r="B118" vm="346">
        <f ca="1"/>
        <v>45461</v>
      </c>
      <c r="C118" vm="347">
        <f ca="1"/>
        <v>145.65</v>
      </c>
      <c r="D118" vm="348">
        <f ca="1"/>
        <v>6156572</v>
      </c>
      <c r="E118">
        <f t="shared" ca="1" si="8"/>
        <v>146.15444444444447</v>
      </c>
      <c r="F118">
        <f t="shared" ca="1" si="9"/>
        <v>146.95399999999998</v>
      </c>
      <c r="G118">
        <f t="shared" ca="1" si="14"/>
        <v>148.23519999999999</v>
      </c>
      <c r="H118">
        <f t="shared" ca="1" si="13"/>
        <v>153.17920792079212</v>
      </c>
      <c r="I118">
        <f t="shared" ca="1" si="10"/>
        <v>2.2549883883468129</v>
      </c>
      <c r="J118">
        <f t="shared" ca="1" si="11"/>
        <v>142.44402322330635</v>
      </c>
      <c r="K118">
        <f t="shared" ca="1" si="12"/>
        <v>151.46397677669361</v>
      </c>
    </row>
    <row r="119" spans="1:11" x14ac:dyDescent="0.25">
      <c r="A119" s="6">
        <f t="shared" ca="1" si="7"/>
        <v>45460</v>
      </c>
      <c r="B119" vm="349">
        <f ca="1"/>
        <v>45463</v>
      </c>
      <c r="C119" vm="350">
        <f ca="1"/>
        <v>147.78</v>
      </c>
      <c r="D119" vm="351">
        <f ca="1"/>
        <v>8749717</v>
      </c>
      <c r="E119">
        <f t="shared" ca="1" si="8"/>
        <v>146.30555555555554</v>
      </c>
      <c r="F119">
        <f t="shared" ca="1" si="9"/>
        <v>146.78100000000001</v>
      </c>
      <c r="G119">
        <f t="shared" ca="1" si="14"/>
        <v>148.14499999999998</v>
      </c>
      <c r="H119">
        <f t="shared" ca="1" si="13"/>
        <v>153.06257425742578</v>
      </c>
      <c r="I119">
        <f t="shared" ca="1" si="10"/>
        <v>2.0304054560085967</v>
      </c>
      <c r="J119">
        <f t="shared" ca="1" si="11"/>
        <v>142.72018908798282</v>
      </c>
      <c r="K119">
        <f t="shared" ca="1" si="12"/>
        <v>150.84181091201719</v>
      </c>
    </row>
    <row r="120" spans="1:11" x14ac:dyDescent="0.25">
      <c r="A120" s="6">
        <f t="shared" ca="1" si="7"/>
        <v>45460</v>
      </c>
      <c r="B120" vm="352">
        <f ca="1"/>
        <v>45464</v>
      </c>
      <c r="C120" vm="353">
        <f ca="1"/>
        <v>148.75</v>
      </c>
      <c r="D120" vm="354">
        <f ca="1"/>
        <v>15176869</v>
      </c>
      <c r="E120">
        <f t="shared" ca="1" si="8"/>
        <v>146.49111111111111</v>
      </c>
      <c r="F120">
        <f t="shared" ca="1" si="9"/>
        <v>146.54349999999999</v>
      </c>
      <c r="G120">
        <f t="shared" ca="1" si="14"/>
        <v>148.11599999999996</v>
      </c>
      <c r="H120">
        <f t="shared" ca="1" si="13"/>
        <v>152.95613861386141</v>
      </c>
      <c r="I120">
        <f t="shared" ca="1" si="10"/>
        <v>1.3751986459379157</v>
      </c>
      <c r="J120">
        <f t="shared" ca="1" si="11"/>
        <v>143.79310270812417</v>
      </c>
      <c r="K120">
        <f t="shared" ca="1" si="12"/>
        <v>149.29389729187582</v>
      </c>
    </row>
    <row r="121" spans="1:11" x14ac:dyDescent="0.25">
      <c r="A121" s="6">
        <f t="shared" ca="1" si="7"/>
        <v>45467</v>
      </c>
      <c r="B121" vm="355">
        <f ca="1"/>
        <v>45467</v>
      </c>
      <c r="C121" vm="228">
        <f ca="1"/>
        <v>149.12</v>
      </c>
      <c r="D121" vm="356">
        <f ca="1"/>
        <v>6914671</v>
      </c>
      <c r="E121">
        <f t="shared" ca="1" si="8"/>
        <v>146.71222222222221</v>
      </c>
      <c r="F121">
        <f t="shared" ca="1" si="9"/>
        <v>146.51450000000003</v>
      </c>
      <c r="G121">
        <f t="shared" ca="1" si="14"/>
        <v>148.12259999999995</v>
      </c>
      <c r="H121">
        <f t="shared" ca="1" si="13"/>
        <v>152.85475247524755</v>
      </c>
      <c r="I121">
        <f t="shared" ca="1" si="10"/>
        <v>1.3096864831747079</v>
      </c>
      <c r="J121">
        <f t="shared" ca="1" si="11"/>
        <v>143.89512703365062</v>
      </c>
      <c r="K121">
        <f t="shared" ca="1" si="12"/>
        <v>149.13387296634943</v>
      </c>
    </row>
    <row r="122" spans="1:11" x14ac:dyDescent="0.25">
      <c r="A122" s="6">
        <f t="shared" ca="1" si="7"/>
        <v>45467</v>
      </c>
      <c r="B122" vm="357">
        <f ca="1"/>
        <v>45468</v>
      </c>
      <c r="C122" vm="358">
        <f ca="1"/>
        <v>147.19</v>
      </c>
      <c r="D122" vm="359">
        <f ca="1"/>
        <v>6620303</v>
      </c>
      <c r="E122">
        <f t="shared" ca="1" si="8"/>
        <v>146.75999999999996</v>
      </c>
      <c r="F122">
        <f t="shared" ca="1" si="9"/>
        <v>146.52550000000002</v>
      </c>
      <c r="G122">
        <f t="shared" ca="1" si="14"/>
        <v>148.11599999999996</v>
      </c>
      <c r="H122">
        <f t="shared" ca="1" si="13"/>
        <v>152.74009900990103</v>
      </c>
      <c r="I122">
        <f t="shared" ca="1" si="10"/>
        <v>1.3146281243238203</v>
      </c>
      <c r="J122">
        <f t="shared" ca="1" si="11"/>
        <v>143.89624375135239</v>
      </c>
      <c r="K122">
        <f t="shared" ca="1" si="12"/>
        <v>149.15475624864766</v>
      </c>
    </row>
    <row r="123" spans="1:11" x14ac:dyDescent="0.25">
      <c r="A123" s="6">
        <f t="shared" ca="1" si="7"/>
        <v>45467</v>
      </c>
      <c r="B123" vm="360">
        <f ca="1"/>
        <v>45469</v>
      </c>
      <c r="C123" vm="237">
        <f ca="1"/>
        <v>146.82</v>
      </c>
      <c r="D123" vm="361">
        <f ca="1"/>
        <v>5267809</v>
      </c>
      <c r="E123">
        <f t="shared" ca="1" si="8"/>
        <v>146.91666666666666</v>
      </c>
      <c r="F123">
        <f t="shared" ca="1" si="9"/>
        <v>146.64750000000004</v>
      </c>
      <c r="G123">
        <f t="shared" ca="1" si="14"/>
        <v>148.10059999999996</v>
      </c>
      <c r="H123">
        <f t="shared" ca="1" si="13"/>
        <v>152.62049504950497</v>
      </c>
      <c r="I123">
        <f t="shared" ca="1" si="10"/>
        <v>1.2144432339228788</v>
      </c>
      <c r="J123">
        <f t="shared" ca="1" si="11"/>
        <v>144.21861353215428</v>
      </c>
      <c r="K123">
        <f t="shared" ca="1" si="12"/>
        <v>149.07638646784579</v>
      </c>
    </row>
    <row r="124" spans="1:11" x14ac:dyDescent="0.25">
      <c r="A124" s="6">
        <f t="shared" ca="1" si="7"/>
        <v>45467</v>
      </c>
      <c r="B124" vm="362">
        <f ca="1"/>
        <v>45470</v>
      </c>
      <c r="C124" vm="363">
        <f ca="1"/>
        <v>145.80000000000001</v>
      </c>
      <c r="D124" vm="364">
        <f ca="1"/>
        <v>5739246</v>
      </c>
      <c r="E124">
        <f t="shared" ca="1" si="8"/>
        <v>146.95555555555555</v>
      </c>
      <c r="F124">
        <f t="shared" ca="1" si="9"/>
        <v>146.71550000000005</v>
      </c>
      <c r="G124">
        <f t="shared" ca="1" si="14"/>
        <v>148.12759999999994</v>
      </c>
      <c r="H124">
        <f t="shared" ca="1" si="13"/>
        <v>152.4961386138614</v>
      </c>
      <c r="I124">
        <f t="shared" ca="1" si="10"/>
        <v>1.1186292128267881</v>
      </c>
      <c r="J124">
        <f t="shared" ca="1" si="11"/>
        <v>144.47824157434647</v>
      </c>
      <c r="K124">
        <f t="shared" ca="1" si="12"/>
        <v>148.95275842565363</v>
      </c>
    </row>
    <row r="125" spans="1:11" x14ac:dyDescent="0.25">
      <c r="A125" s="6">
        <f t="shared" ca="1" si="7"/>
        <v>45467</v>
      </c>
      <c r="B125" vm="365">
        <f ca="1"/>
        <v>45471</v>
      </c>
      <c r="C125" vm="366">
        <f ca="1"/>
        <v>146.16</v>
      </c>
      <c r="D125" vm="367">
        <f ca="1"/>
        <v>10495735</v>
      </c>
      <c r="E125">
        <f t="shared" ca="1" si="8"/>
        <v>147.02444444444444</v>
      </c>
      <c r="F125">
        <f t="shared" ca="1" si="9"/>
        <v>146.75950000000003</v>
      </c>
      <c r="G125">
        <f t="shared" ca="1" si="14"/>
        <v>148.15539999999993</v>
      </c>
      <c r="H125">
        <f t="shared" ca="1" si="13"/>
        <v>152.39267326732676</v>
      </c>
      <c r="I125">
        <f t="shared" ca="1" si="10"/>
        <v>1.075675919694465</v>
      </c>
      <c r="J125">
        <f t="shared" ca="1" si="11"/>
        <v>144.60814816061111</v>
      </c>
      <c r="K125">
        <f t="shared" ca="1" si="12"/>
        <v>148.91085183938895</v>
      </c>
    </row>
    <row r="126" spans="1:11" x14ac:dyDescent="0.25">
      <c r="A126" s="6">
        <f t="shared" ca="1" si="7"/>
        <v>45474</v>
      </c>
      <c r="B126" vm="368">
        <f ca="1"/>
        <v>45474</v>
      </c>
      <c r="C126" vm="369">
        <f ca="1"/>
        <v>146.44</v>
      </c>
      <c r="D126" vm="370">
        <f ca="1"/>
        <v>5144443</v>
      </c>
      <c r="E126">
        <f t="shared" ca="1" si="8"/>
        <v>147.07888888888888</v>
      </c>
      <c r="F126">
        <f t="shared" ca="1" si="9"/>
        <v>146.74800000000002</v>
      </c>
      <c r="G126">
        <f t="shared" ca="1" si="14"/>
        <v>148.16939999999994</v>
      </c>
      <c r="H126">
        <f t="shared" ca="1" si="13"/>
        <v>152.30000000000004</v>
      </c>
      <c r="I126">
        <f t="shared" ca="1" si="10"/>
        <v>1.0779102589342935</v>
      </c>
      <c r="J126">
        <f t="shared" ca="1" si="11"/>
        <v>144.59217948213143</v>
      </c>
      <c r="K126">
        <f t="shared" ca="1" si="12"/>
        <v>148.90382051786861</v>
      </c>
    </row>
    <row r="127" spans="1:11" x14ac:dyDescent="0.25">
      <c r="A127" s="6">
        <f t="shared" ca="1" si="7"/>
        <v>45474</v>
      </c>
      <c r="B127" vm="371">
        <f ca="1"/>
        <v>45475</v>
      </c>
      <c r="C127" vm="372">
        <f ca="1"/>
        <v>146.03</v>
      </c>
      <c r="D127" vm="373">
        <f ca="1"/>
        <v>5491962</v>
      </c>
      <c r="E127">
        <f t="shared" ca="1" si="8"/>
        <v>147.12111111111111</v>
      </c>
      <c r="F127">
        <f t="shared" ca="1" si="9"/>
        <v>146.66250000000002</v>
      </c>
      <c r="G127">
        <f t="shared" ca="1" si="14"/>
        <v>148.13179999999994</v>
      </c>
      <c r="H127">
        <f t="shared" ca="1" si="13"/>
        <v>152.18089108910894</v>
      </c>
      <c r="I127">
        <f t="shared" ca="1" si="10"/>
        <v>1.062796088775168</v>
      </c>
      <c r="J127">
        <f t="shared" ca="1" si="11"/>
        <v>144.53690782244968</v>
      </c>
      <c r="K127">
        <f t="shared" ca="1" si="12"/>
        <v>148.78809217755037</v>
      </c>
    </row>
    <row r="128" spans="1:11" x14ac:dyDescent="0.25">
      <c r="A128" s="6">
        <f t="shared" ca="1" si="7"/>
        <v>45474</v>
      </c>
      <c r="B128" vm="374">
        <f ca="1"/>
        <v>45476</v>
      </c>
      <c r="C128" vm="375">
        <f ca="1"/>
        <v>145.69</v>
      </c>
      <c r="D128" vm="376">
        <f ca="1"/>
        <v>3246157</v>
      </c>
      <c r="E128">
        <f t="shared" ca="1" si="8"/>
        <v>146.88888888888889</v>
      </c>
      <c r="F128">
        <f t="shared" ca="1" si="9"/>
        <v>146.55700000000004</v>
      </c>
      <c r="G128">
        <f t="shared" ca="1" si="14"/>
        <v>148.06319999999994</v>
      </c>
      <c r="H128">
        <f t="shared" ca="1" si="13"/>
        <v>152.05920792079212</v>
      </c>
      <c r="I128">
        <f t="shared" ca="1" si="10"/>
        <v>1.0485684476817372</v>
      </c>
      <c r="J128">
        <f t="shared" ca="1" si="11"/>
        <v>144.45986310463658</v>
      </c>
      <c r="K128">
        <f t="shared" ca="1" si="12"/>
        <v>148.65413689536351</v>
      </c>
    </row>
    <row r="129" spans="1:11" x14ac:dyDescent="0.25">
      <c r="A129" s="6">
        <f t="shared" ca="1" si="7"/>
        <v>45474</v>
      </c>
      <c r="B129" vm="377">
        <f ca="1"/>
        <v>45478</v>
      </c>
      <c r="C129" vm="378">
        <f ca="1"/>
        <v>146.47999999999999</v>
      </c>
      <c r="D129" vm="379">
        <f ca="1"/>
        <v>4888535</v>
      </c>
      <c r="E129">
        <f t="shared" ca="1" si="8"/>
        <v>146.63666666666666</v>
      </c>
      <c r="F129">
        <f t="shared" ca="1" si="9"/>
        <v>146.58250000000004</v>
      </c>
      <c r="G129">
        <f t="shared" ca="1" si="14"/>
        <v>148.00159999999997</v>
      </c>
      <c r="H129">
        <f t="shared" ca="1" si="13"/>
        <v>151.9609900990099</v>
      </c>
      <c r="I129">
        <f t="shared" ca="1" si="10"/>
        <v>1.0397058035303741</v>
      </c>
      <c r="J129">
        <f t="shared" ca="1" si="11"/>
        <v>144.5030883929393</v>
      </c>
      <c r="K129">
        <f t="shared" ca="1" si="12"/>
        <v>148.66191160706077</v>
      </c>
    </row>
    <row r="130" spans="1:11" x14ac:dyDescent="0.25">
      <c r="A130" s="6">
        <f t="shared" ca="1" si="7"/>
        <v>45481</v>
      </c>
      <c r="B130" vm="380">
        <f ca="1"/>
        <v>45481</v>
      </c>
      <c r="C130" vm="381">
        <f ca="1"/>
        <v>145.47999999999999</v>
      </c>
      <c r="D130" vm="382">
        <f ca="1"/>
        <v>5260229</v>
      </c>
      <c r="E130">
        <f t="shared" ca="1" si="8"/>
        <v>146.23222222222225</v>
      </c>
      <c r="F130">
        <f t="shared" ca="1" si="9"/>
        <v>146.53550000000001</v>
      </c>
      <c r="G130">
        <f t="shared" ca="1" si="14"/>
        <v>147.94059999999993</v>
      </c>
      <c r="H130">
        <f t="shared" ca="1" si="13"/>
        <v>151.84930693069307</v>
      </c>
      <c r="I130">
        <f t="shared" ca="1" si="10"/>
        <v>1.0682916761180732</v>
      </c>
      <c r="J130">
        <f t="shared" ca="1" si="11"/>
        <v>144.39891664776385</v>
      </c>
      <c r="K130">
        <f t="shared" ca="1" si="12"/>
        <v>148.67208335223617</v>
      </c>
    </row>
    <row r="131" spans="1:11" x14ac:dyDescent="0.25">
      <c r="A131" s="6">
        <f t="shared" ref="A131:A194" ca="1" si="15">B131 - WEEKDAY(B131, 2) + 1</f>
        <v>45481</v>
      </c>
      <c r="B131" vm="383">
        <f ca="1"/>
        <v>45482</v>
      </c>
      <c r="C131" vm="384">
        <f ca="1"/>
        <v>147.05000000000001</v>
      </c>
      <c r="D131" vm="385">
        <f ca="1"/>
        <v>5892187</v>
      </c>
      <c r="E131">
        <f t="shared" ca="1" si="8"/>
        <v>146.21666666666667</v>
      </c>
      <c r="F131">
        <f t="shared" ca="1" si="9"/>
        <v>146.53400000000002</v>
      </c>
      <c r="G131">
        <f t="shared" ca="1" si="14"/>
        <v>147.94519999999994</v>
      </c>
      <c r="H131">
        <f t="shared" ca="1" si="13"/>
        <v>151.74237623762377</v>
      </c>
      <c r="I131">
        <f t="shared" ca="1" si="10"/>
        <v>1.0675076728431285</v>
      </c>
      <c r="J131">
        <f t="shared" ca="1" si="11"/>
        <v>144.39898465431375</v>
      </c>
      <c r="K131">
        <f t="shared" ca="1" si="12"/>
        <v>148.66901534568629</v>
      </c>
    </row>
    <row r="132" spans="1:11" x14ac:dyDescent="0.25">
      <c r="A132" s="6">
        <f t="shared" ca="1" si="15"/>
        <v>45481</v>
      </c>
      <c r="B132" vm="386">
        <f ca="1"/>
        <v>45483</v>
      </c>
      <c r="C132" vm="387">
        <f ca="1"/>
        <v>149.43</v>
      </c>
      <c r="D132" vm="388">
        <f ca="1"/>
        <v>6093187</v>
      </c>
      <c r="E132">
        <f t="shared" ca="1" si="8"/>
        <v>146.50666666666669</v>
      </c>
      <c r="F132">
        <f t="shared" ca="1" si="9"/>
        <v>146.649</v>
      </c>
      <c r="G132">
        <f t="shared" ca="1" si="14"/>
        <v>148.01099999999994</v>
      </c>
      <c r="H132">
        <f t="shared" ca="1" si="13"/>
        <v>151.67267326732673</v>
      </c>
      <c r="I132">
        <f t="shared" ca="1" si="10"/>
        <v>1.2443341064284383</v>
      </c>
      <c r="J132">
        <f t="shared" ca="1" si="11"/>
        <v>144.16033178714312</v>
      </c>
      <c r="K132">
        <f t="shared" ca="1" si="12"/>
        <v>149.13766821285688</v>
      </c>
    </row>
    <row r="133" spans="1:11" x14ac:dyDescent="0.25">
      <c r="A133" s="6">
        <f t="shared" ca="1" si="15"/>
        <v>45481</v>
      </c>
      <c r="B133" vm="389">
        <f ca="1"/>
        <v>45484</v>
      </c>
      <c r="C133" vm="296">
        <f ca="1"/>
        <v>149.69999999999999</v>
      </c>
      <c r="D133" vm="390">
        <f ca="1"/>
        <v>6352109</v>
      </c>
      <c r="E133">
        <f t="shared" ca="1" si="8"/>
        <v>146.94</v>
      </c>
      <c r="F133">
        <f t="shared" ca="1" si="9"/>
        <v>146.79599999999999</v>
      </c>
      <c r="G133">
        <f t="shared" ca="1" si="14"/>
        <v>148.06859999999995</v>
      </c>
      <c r="H133">
        <f t="shared" ca="1" si="13"/>
        <v>151.61287128712874</v>
      </c>
      <c r="I133">
        <f t="shared" ca="1" si="10"/>
        <v>1.4194713619402208</v>
      </c>
      <c r="J133">
        <f t="shared" ca="1" si="11"/>
        <v>143.95705727611954</v>
      </c>
      <c r="K133">
        <f t="shared" ca="1" si="12"/>
        <v>149.63494272388044</v>
      </c>
    </row>
    <row r="134" spans="1:11" x14ac:dyDescent="0.25">
      <c r="A134" s="6">
        <f t="shared" ca="1" si="15"/>
        <v>45481</v>
      </c>
      <c r="B134" vm="391">
        <f ca="1"/>
        <v>45485</v>
      </c>
      <c r="C134" vm="392">
        <f ca="1"/>
        <v>149.88</v>
      </c>
      <c r="D134" vm="393">
        <f ca="1"/>
        <v>5336394</v>
      </c>
      <c r="E134">
        <f t="shared" ca="1" si="8"/>
        <v>147.35333333333335</v>
      </c>
      <c r="F134">
        <f t="shared" ca="1" si="9"/>
        <v>147.01949999999999</v>
      </c>
      <c r="G134">
        <f t="shared" ca="1" si="14"/>
        <v>148.17439999999993</v>
      </c>
      <c r="H134">
        <f t="shared" ca="1" si="13"/>
        <v>151.53326732673267</v>
      </c>
      <c r="I134">
        <f t="shared" ca="1" si="10"/>
        <v>1.5368130900289123</v>
      </c>
      <c r="J134">
        <f t="shared" ca="1" si="11"/>
        <v>143.94587381994216</v>
      </c>
      <c r="K134">
        <f t="shared" ca="1" si="12"/>
        <v>150.09312618005782</v>
      </c>
    </row>
    <row r="135" spans="1:11" x14ac:dyDescent="0.25">
      <c r="A135" s="6">
        <f t="shared" ca="1" si="15"/>
        <v>45488</v>
      </c>
      <c r="B135" vm="394">
        <f ca="1"/>
        <v>45488</v>
      </c>
      <c r="C135" vm="395">
        <f ca="1"/>
        <v>149.24</v>
      </c>
      <c r="D135" vm="396">
        <f ca="1"/>
        <v>6711354</v>
      </c>
      <c r="E135">
        <f t="shared" ca="1" si="8"/>
        <v>147.66444444444448</v>
      </c>
      <c r="F135">
        <f t="shared" ca="1" si="9"/>
        <v>147.209</v>
      </c>
      <c r="G135">
        <f t="shared" ca="1" si="14"/>
        <v>148.13559999999995</v>
      </c>
      <c r="H135">
        <f t="shared" ca="1" si="13"/>
        <v>151.46089108910891</v>
      </c>
      <c r="I135">
        <f t="shared" ca="1" si="10"/>
        <v>1.5664774428466477</v>
      </c>
      <c r="J135">
        <f t="shared" ca="1" si="11"/>
        <v>144.07604511430671</v>
      </c>
      <c r="K135">
        <f t="shared" ca="1" si="12"/>
        <v>150.3419548856933</v>
      </c>
    </row>
    <row r="136" spans="1:11" x14ac:dyDescent="0.25">
      <c r="A136" s="6">
        <f t="shared" ca="1" si="15"/>
        <v>45488</v>
      </c>
      <c r="B136" vm="397">
        <f ca="1"/>
        <v>45489</v>
      </c>
      <c r="C136" vm="398">
        <f ca="1"/>
        <v>151.01</v>
      </c>
      <c r="D136" vm="399">
        <f ca="1"/>
        <v>6469582</v>
      </c>
      <c r="E136">
        <f t="shared" ca="1" si="8"/>
        <v>148.21777777777777</v>
      </c>
      <c r="F136">
        <f t="shared" ca="1" si="9"/>
        <v>147.48250000000002</v>
      </c>
      <c r="G136">
        <f t="shared" ca="1" si="14"/>
        <v>148.15739999999994</v>
      </c>
      <c r="H136">
        <f t="shared" ca="1" si="13"/>
        <v>151.3930693069307</v>
      </c>
      <c r="I136">
        <f t="shared" ca="1" si="10"/>
        <v>1.7288446857275588</v>
      </c>
      <c r="J136">
        <f t="shared" ca="1" si="11"/>
        <v>144.02481062854491</v>
      </c>
      <c r="K136">
        <f t="shared" ca="1" si="12"/>
        <v>150.94018937145512</v>
      </c>
    </row>
    <row r="137" spans="1:11" x14ac:dyDescent="0.25">
      <c r="A137" s="6">
        <f t="shared" ca="1" si="15"/>
        <v>45488</v>
      </c>
      <c r="B137" vm="400">
        <f ca="1"/>
        <v>45490</v>
      </c>
      <c r="C137" vm="401">
        <f ca="1"/>
        <v>156.58000000000001</v>
      </c>
      <c r="D137" vm="402">
        <f ca="1"/>
        <v>13801429</v>
      </c>
      <c r="E137">
        <f t="shared" ca="1" si="8"/>
        <v>149.42777777777781</v>
      </c>
      <c r="F137">
        <f t="shared" ca="1" si="9"/>
        <v>148.01399999999998</v>
      </c>
      <c r="G137">
        <f t="shared" ca="1" si="14"/>
        <v>148.30359999999993</v>
      </c>
      <c r="H137">
        <f t="shared" ca="1" si="13"/>
        <v>151.3722772277228</v>
      </c>
      <c r="I137">
        <f t="shared" ca="1" si="10"/>
        <v>2.631342263040513</v>
      </c>
      <c r="J137">
        <f t="shared" ca="1" si="11"/>
        <v>142.75131547391896</v>
      </c>
      <c r="K137">
        <f t="shared" ca="1" si="12"/>
        <v>153.276684526081</v>
      </c>
    </row>
    <row r="138" spans="1:11" x14ac:dyDescent="0.25">
      <c r="A138" s="6">
        <f t="shared" ca="1" si="15"/>
        <v>45488</v>
      </c>
      <c r="B138" vm="403">
        <f ca="1"/>
        <v>45491</v>
      </c>
      <c r="C138" vm="404">
        <f ca="1"/>
        <v>155.41999999999999</v>
      </c>
      <c r="D138" vm="405">
        <f ca="1"/>
        <v>10166247</v>
      </c>
      <c r="E138">
        <f t="shared" ca="1" si="8"/>
        <v>150.42111111111112</v>
      </c>
      <c r="F138">
        <f t="shared" ca="1" si="9"/>
        <v>148.5025</v>
      </c>
      <c r="G138">
        <f t="shared" ca="1" si="14"/>
        <v>148.44039999999993</v>
      </c>
      <c r="H138">
        <f t="shared" ca="1" si="13"/>
        <v>151.32247524752478</v>
      </c>
      <c r="I138">
        <f t="shared" ca="1" si="10"/>
        <v>3.0439151986942914</v>
      </c>
      <c r="J138">
        <f t="shared" ca="1" si="11"/>
        <v>142.41466960261141</v>
      </c>
      <c r="K138">
        <f t="shared" ca="1" si="12"/>
        <v>154.59033039738858</v>
      </c>
    </row>
    <row r="139" spans="1:11" x14ac:dyDescent="0.25">
      <c r="A139" s="6">
        <f t="shared" ca="1" si="15"/>
        <v>45488</v>
      </c>
      <c r="B139" vm="406">
        <f ca="1"/>
        <v>45492</v>
      </c>
      <c r="C139" vm="407">
        <f ca="1"/>
        <v>154.69</v>
      </c>
      <c r="D139" vm="408">
        <f ca="1"/>
        <v>7398036</v>
      </c>
      <c r="E139">
        <f t="shared" ref="E139:E202" ca="1" si="16">AVERAGE(C131:C139)</f>
        <v>151.44444444444446</v>
      </c>
      <c r="F139">
        <f t="shared" ca="1" si="9"/>
        <v>148.84800000000001</v>
      </c>
      <c r="G139">
        <f t="shared" ca="1" si="14"/>
        <v>148.55979999999991</v>
      </c>
      <c r="H139">
        <f t="shared" ca="1" si="13"/>
        <v>151.25168316831687</v>
      </c>
      <c r="I139">
        <f t="shared" ca="1" si="10"/>
        <v>3.3357609405698696</v>
      </c>
      <c r="J139">
        <f t="shared" ca="1" si="11"/>
        <v>142.17647811886027</v>
      </c>
      <c r="K139">
        <f t="shared" ca="1" si="12"/>
        <v>155.51952188113975</v>
      </c>
    </row>
    <row r="140" spans="1:11" x14ac:dyDescent="0.25">
      <c r="A140" s="6">
        <f t="shared" ca="1" si="15"/>
        <v>45495</v>
      </c>
      <c r="B140" vm="409">
        <f ca="1"/>
        <v>45495</v>
      </c>
      <c r="C140" vm="410">
        <f ca="1"/>
        <v>154.24</v>
      </c>
      <c r="D140" vm="411">
        <f ca="1"/>
        <v>6840609</v>
      </c>
      <c r="E140">
        <f t="shared" ca="1" si="16"/>
        <v>152.24333333333334</v>
      </c>
      <c r="F140">
        <f t="shared" ca="1" si="9"/>
        <v>149.12250000000003</v>
      </c>
      <c r="G140">
        <f t="shared" ca="1" si="14"/>
        <v>148.66559999999993</v>
      </c>
      <c r="H140">
        <f t="shared" ca="1" si="13"/>
        <v>151.18683168316835</v>
      </c>
      <c r="I140">
        <f t="shared" ca="1" si="10"/>
        <v>3.5465014265358836</v>
      </c>
      <c r="J140">
        <f t="shared" ca="1" si="11"/>
        <v>142.02949714692826</v>
      </c>
      <c r="K140">
        <f t="shared" ca="1" si="12"/>
        <v>156.2155028530718</v>
      </c>
    </row>
    <row r="141" spans="1:11" x14ac:dyDescent="0.25">
      <c r="A141" s="6">
        <f t="shared" ca="1" si="15"/>
        <v>45495</v>
      </c>
      <c r="B141" vm="412">
        <f ca="1"/>
        <v>45496</v>
      </c>
      <c r="C141" vm="413">
        <f ca="1"/>
        <v>152.35</v>
      </c>
      <c r="D141" vm="414">
        <f ca="1"/>
        <v>6261870</v>
      </c>
      <c r="E141">
        <f t="shared" ca="1" si="16"/>
        <v>152.56777777777776</v>
      </c>
      <c r="F141">
        <f t="shared" ca="1" si="9"/>
        <v>149.28400000000005</v>
      </c>
      <c r="G141">
        <f t="shared" ca="1" si="14"/>
        <v>148.71559999999994</v>
      </c>
      <c r="H141">
        <f t="shared" ca="1" si="13"/>
        <v>151.10138613861392</v>
      </c>
      <c r="I141">
        <f t="shared" ca="1" si="10"/>
        <v>3.6191804829852101</v>
      </c>
      <c r="J141">
        <f t="shared" ca="1" si="11"/>
        <v>142.04563903402962</v>
      </c>
      <c r="K141">
        <f t="shared" ca="1" si="12"/>
        <v>156.52236096597048</v>
      </c>
    </row>
    <row r="142" spans="1:11" x14ac:dyDescent="0.25">
      <c r="A142" s="6">
        <f t="shared" ca="1" si="15"/>
        <v>45495</v>
      </c>
      <c r="B142" vm="415">
        <f ca="1"/>
        <v>45497</v>
      </c>
      <c r="C142" vm="416">
        <f ca="1"/>
        <v>156.28</v>
      </c>
      <c r="D142" vm="417">
        <f ca="1"/>
        <v>7168217</v>
      </c>
      <c r="E142">
        <f t="shared" ca="1" si="16"/>
        <v>153.29888888888888</v>
      </c>
      <c r="F142">
        <f t="shared" ca="1" si="9"/>
        <v>149.73850000000002</v>
      </c>
      <c r="G142">
        <f t="shared" ca="1" si="14"/>
        <v>148.84299999999993</v>
      </c>
      <c r="H142">
        <f t="shared" ca="1" si="13"/>
        <v>151.04920792079213</v>
      </c>
      <c r="I142">
        <f t="shared" ca="1" si="10"/>
        <v>3.9020821365009741</v>
      </c>
      <c r="J142">
        <f t="shared" ca="1" si="11"/>
        <v>141.93433572699806</v>
      </c>
      <c r="K142">
        <f t="shared" ca="1" si="12"/>
        <v>157.54266427300198</v>
      </c>
    </row>
    <row r="143" spans="1:11" x14ac:dyDescent="0.25">
      <c r="A143" s="6">
        <f t="shared" ca="1" si="15"/>
        <v>45495</v>
      </c>
      <c r="B143" vm="418">
        <f ca="1"/>
        <v>45498</v>
      </c>
      <c r="C143" vm="419">
        <f ca="1"/>
        <v>159.63999999999999</v>
      </c>
      <c r="D143" vm="420">
        <f ca="1"/>
        <v>10019578</v>
      </c>
      <c r="E143">
        <f t="shared" ca="1" si="16"/>
        <v>154.38333333333333</v>
      </c>
      <c r="F143">
        <f t="shared" ca="1" si="9"/>
        <v>150.37950000000004</v>
      </c>
      <c r="G143">
        <f t="shared" ca="1" si="14"/>
        <v>149.01139999999995</v>
      </c>
      <c r="H143">
        <f t="shared" ca="1" si="13"/>
        <v>151.03198019801985</v>
      </c>
      <c r="I143">
        <f t="shared" ca="1" si="10"/>
        <v>4.416494769908776</v>
      </c>
      <c r="J143">
        <f t="shared" ca="1" si="11"/>
        <v>141.54651046018247</v>
      </c>
      <c r="K143">
        <f t="shared" ca="1" si="12"/>
        <v>159.2124895398176</v>
      </c>
    </row>
    <row r="144" spans="1:11" x14ac:dyDescent="0.25">
      <c r="A144" s="6">
        <f t="shared" ca="1" si="15"/>
        <v>45495</v>
      </c>
      <c r="B144" vm="421">
        <f ca="1"/>
        <v>45499</v>
      </c>
      <c r="C144" vm="422">
        <f ca="1"/>
        <v>160.63999999999999</v>
      </c>
      <c r="D144" vm="423">
        <f ca="1"/>
        <v>8356878</v>
      </c>
      <c r="E144">
        <f t="shared" ca="1" si="16"/>
        <v>155.64999999999998</v>
      </c>
      <c r="F144">
        <f t="shared" ca="1" si="9"/>
        <v>151.12150000000003</v>
      </c>
      <c r="G144">
        <f t="shared" ca="1" si="14"/>
        <v>149.19659999999996</v>
      </c>
      <c r="H144">
        <f t="shared" ca="1" si="13"/>
        <v>151.0173267326733</v>
      </c>
      <c r="I144">
        <f t="shared" ca="1" si="10"/>
        <v>4.8335333866644588</v>
      </c>
      <c r="J144">
        <f t="shared" ca="1" si="11"/>
        <v>141.45443322667111</v>
      </c>
      <c r="K144">
        <f t="shared" ca="1" si="12"/>
        <v>160.78856677332894</v>
      </c>
    </row>
    <row r="145" spans="1:11" x14ac:dyDescent="0.25">
      <c r="A145" s="6">
        <f t="shared" ca="1" si="15"/>
        <v>45502</v>
      </c>
      <c r="B145" vm="424">
        <f ca="1"/>
        <v>45502</v>
      </c>
      <c r="C145" vm="425">
        <f ca="1"/>
        <v>158.56</v>
      </c>
      <c r="D145" vm="426">
        <f ca="1"/>
        <v>5625204</v>
      </c>
      <c r="E145">
        <f t="shared" ca="1" si="16"/>
        <v>156.48888888888891</v>
      </c>
      <c r="F145">
        <f t="shared" ca="1" si="9"/>
        <v>151.74150000000003</v>
      </c>
      <c r="G145">
        <f t="shared" ca="1" si="14"/>
        <v>149.31439999999998</v>
      </c>
      <c r="H145">
        <f t="shared" ca="1" si="13"/>
        <v>151.00465346534656</v>
      </c>
      <c r="I145">
        <f t="shared" ca="1" si="10"/>
        <v>4.9573159917545357</v>
      </c>
      <c r="J145">
        <f t="shared" ca="1" si="11"/>
        <v>141.82686801649095</v>
      </c>
      <c r="K145">
        <f t="shared" ca="1" si="12"/>
        <v>161.65613198350911</v>
      </c>
    </row>
    <row r="146" spans="1:11" x14ac:dyDescent="0.25">
      <c r="A146" s="6">
        <f t="shared" ca="1" si="15"/>
        <v>45502</v>
      </c>
      <c r="B146" vm="427">
        <f ca="1"/>
        <v>45503</v>
      </c>
      <c r="C146" vm="428">
        <f ca="1"/>
        <v>161.33000000000001</v>
      </c>
      <c r="D146" vm="429">
        <f ca="1"/>
        <v>6545677</v>
      </c>
      <c r="E146">
        <f t="shared" ca="1" si="16"/>
        <v>157.01666666666665</v>
      </c>
      <c r="F146">
        <f t="shared" ca="1" si="9"/>
        <v>152.48599999999999</v>
      </c>
      <c r="G146">
        <f t="shared" ca="1" si="14"/>
        <v>149.45539999999997</v>
      </c>
      <c r="H146">
        <f t="shared" ca="1" si="13"/>
        <v>151.01811881188124</v>
      </c>
      <c r="I146">
        <f t="shared" ca="1" si="10"/>
        <v>5.2298358633799147</v>
      </c>
      <c r="J146">
        <f t="shared" ca="1" si="11"/>
        <v>142.02632827324015</v>
      </c>
      <c r="K146">
        <f t="shared" ca="1" si="12"/>
        <v>162.94567172675983</v>
      </c>
    </row>
    <row r="147" spans="1:11" x14ac:dyDescent="0.25">
      <c r="A147" s="6">
        <f t="shared" ca="1" si="15"/>
        <v>45502</v>
      </c>
      <c r="B147" vm="430">
        <f ca="1"/>
        <v>45504</v>
      </c>
      <c r="C147" vm="86">
        <f ca="1"/>
        <v>157.85</v>
      </c>
      <c r="D147" vm="431">
        <f ca="1"/>
        <v>8293239</v>
      </c>
      <c r="E147">
        <f t="shared" ca="1" si="16"/>
        <v>157.28666666666663</v>
      </c>
      <c r="F147">
        <f t="shared" ca="1" si="9"/>
        <v>153.077</v>
      </c>
      <c r="G147">
        <f t="shared" ca="1" si="14"/>
        <v>149.5196</v>
      </c>
      <c r="H147">
        <f t="shared" ca="1" si="13"/>
        <v>151.00336633663369</v>
      </c>
      <c r="I147">
        <f t="shared" ca="1" si="10"/>
        <v>5.1287600840749024</v>
      </c>
      <c r="J147">
        <f t="shared" ca="1" si="11"/>
        <v>142.8194798318502</v>
      </c>
      <c r="K147">
        <f t="shared" ca="1" si="12"/>
        <v>163.33452016814979</v>
      </c>
    </row>
    <row r="148" spans="1:11" x14ac:dyDescent="0.25">
      <c r="A148" s="6">
        <f t="shared" ca="1" si="15"/>
        <v>45502</v>
      </c>
      <c r="B148" vm="432">
        <f ca="1"/>
        <v>45505</v>
      </c>
      <c r="C148" vm="433">
        <f ca="1"/>
        <v>160.76</v>
      </c>
      <c r="D148" vm="434">
        <f ca="1"/>
        <v>7213419</v>
      </c>
      <c r="E148">
        <f t="shared" ca="1" si="16"/>
        <v>157.96111111111111</v>
      </c>
      <c r="F148">
        <f t="shared" ca="1" si="9"/>
        <v>153.83049999999997</v>
      </c>
      <c r="G148">
        <f t="shared" ca="1" si="14"/>
        <v>149.70939999999999</v>
      </c>
      <c r="H148">
        <f t="shared" ca="1" si="13"/>
        <v>151.02207920792083</v>
      </c>
      <c r="I148">
        <f t="shared" ca="1" si="10"/>
        <v>5.0932612600531195</v>
      </c>
      <c r="J148">
        <f t="shared" ca="1" si="11"/>
        <v>143.64397747989372</v>
      </c>
      <c r="K148">
        <f t="shared" ca="1" si="12"/>
        <v>164.01702252010622</v>
      </c>
    </row>
    <row r="149" spans="1:11" x14ac:dyDescent="0.25">
      <c r="A149" s="6">
        <f t="shared" ca="1" si="15"/>
        <v>45502</v>
      </c>
      <c r="B149" vm="435">
        <f ca="1"/>
        <v>45506</v>
      </c>
      <c r="C149" vm="436">
        <f ca="1"/>
        <v>164.14</v>
      </c>
      <c r="D149" vm="437">
        <f ca="1"/>
        <v>11280357</v>
      </c>
      <c r="E149">
        <f t="shared" ca="1" si="16"/>
        <v>159.06111111111113</v>
      </c>
      <c r="F149">
        <f t="shared" ca="1" si="9"/>
        <v>154.71349999999995</v>
      </c>
      <c r="G149">
        <f t="shared" ca="1" si="14"/>
        <v>149.96740000000003</v>
      </c>
      <c r="H149">
        <f t="shared" ca="1" si="13"/>
        <v>151.06782178217824</v>
      </c>
      <c r="I149">
        <f t="shared" ca="1" si="10"/>
        <v>5.2792895006410596</v>
      </c>
      <c r="J149">
        <f t="shared" ca="1" si="11"/>
        <v>144.15492099871784</v>
      </c>
      <c r="K149">
        <f t="shared" ca="1" si="12"/>
        <v>165.27207900128207</v>
      </c>
    </row>
    <row r="150" spans="1:11" x14ac:dyDescent="0.25">
      <c r="A150" s="6">
        <f t="shared" ca="1" si="15"/>
        <v>45509</v>
      </c>
      <c r="B150" vm="438">
        <f ca="1"/>
        <v>45509</v>
      </c>
      <c r="C150" vm="439">
        <f ca="1"/>
        <v>161.25</v>
      </c>
      <c r="D150" vm="440">
        <f ca="1"/>
        <v>12032209</v>
      </c>
      <c r="E150">
        <f t="shared" ca="1" si="16"/>
        <v>160.04999999999998</v>
      </c>
      <c r="F150">
        <f t="shared" ref="F150:F213" ca="1" si="17">AVERAGE(C131:C150)</f>
        <v>155.50199999999998</v>
      </c>
      <c r="G150">
        <f t="shared" ca="1" si="14"/>
        <v>150.12240000000003</v>
      </c>
      <c r="H150">
        <f t="shared" ca="1" si="13"/>
        <v>151.06801980198023</v>
      </c>
      <c r="I150">
        <f t="shared" ref="I150:I213" ca="1" si="18">_xlfn.STDEV.S(C131:C150)</f>
        <v>4.9977927759741023</v>
      </c>
      <c r="J150">
        <f t="shared" ref="J150:J213" ca="1" si="19">F150-2*I150</f>
        <v>145.50641444805177</v>
      </c>
      <c r="K150">
        <f t="shared" ref="K150:K213" ca="1" si="20">F150+2*I150</f>
        <v>165.49758555194819</v>
      </c>
    </row>
    <row r="151" spans="1:11" x14ac:dyDescent="0.25">
      <c r="A151" s="6">
        <f t="shared" ca="1" si="15"/>
        <v>45509</v>
      </c>
      <c r="B151" vm="441">
        <f ca="1"/>
        <v>45510</v>
      </c>
      <c r="C151" vm="442">
        <f ca="1"/>
        <v>158.97</v>
      </c>
      <c r="D151" vm="443">
        <f ca="1"/>
        <v>7607144</v>
      </c>
      <c r="E151">
        <f t="shared" ca="1" si="16"/>
        <v>160.34888888888889</v>
      </c>
      <c r="F151">
        <f t="shared" ca="1" si="17"/>
        <v>156.09799999999996</v>
      </c>
      <c r="G151">
        <f t="shared" ca="1" si="14"/>
        <v>150.30780000000004</v>
      </c>
      <c r="H151">
        <f t="shared" ca="1" si="13"/>
        <v>151.03069306930692</v>
      </c>
      <c r="I151">
        <f t="shared" ca="1" si="18"/>
        <v>4.6343518254557727</v>
      </c>
      <c r="J151">
        <f t="shared" ca="1" si="19"/>
        <v>146.82929634908842</v>
      </c>
      <c r="K151">
        <f t="shared" ca="1" si="20"/>
        <v>165.36670365091149</v>
      </c>
    </row>
    <row r="152" spans="1:11" x14ac:dyDescent="0.25">
      <c r="A152" s="6">
        <f t="shared" ca="1" si="15"/>
        <v>45509</v>
      </c>
      <c r="B152" vm="444">
        <f ca="1"/>
        <v>45511</v>
      </c>
      <c r="C152" vm="62">
        <f ca="1"/>
        <v>158.9</v>
      </c>
      <c r="D152" vm="445">
        <f ca="1"/>
        <v>5993028</v>
      </c>
      <c r="E152">
        <f t="shared" ca="1" si="16"/>
        <v>160.26666666666668</v>
      </c>
      <c r="F152">
        <f t="shared" ca="1" si="17"/>
        <v>156.57149999999996</v>
      </c>
      <c r="G152">
        <f t="shared" ca="1" si="14"/>
        <v>150.54640000000006</v>
      </c>
      <c r="H152">
        <f t="shared" ca="1" si="13"/>
        <v>151.0089108910891</v>
      </c>
      <c r="I152">
        <f t="shared" ca="1" si="18"/>
        <v>4.3948058756002544</v>
      </c>
      <c r="J152">
        <f t="shared" ca="1" si="19"/>
        <v>147.78188824879945</v>
      </c>
      <c r="K152">
        <f t="shared" ca="1" si="20"/>
        <v>165.36111175120047</v>
      </c>
    </row>
    <row r="153" spans="1:11" x14ac:dyDescent="0.25">
      <c r="A153" s="6">
        <f t="shared" ca="1" si="15"/>
        <v>45509</v>
      </c>
      <c r="B153" vm="446">
        <f ca="1"/>
        <v>45512</v>
      </c>
      <c r="C153" vm="447">
        <f ca="1"/>
        <v>160.22</v>
      </c>
      <c r="D153" vm="448">
        <f ca="1"/>
        <v>5094830</v>
      </c>
      <c r="E153">
        <f t="shared" ca="1" si="16"/>
        <v>160.22</v>
      </c>
      <c r="F153">
        <f t="shared" ca="1" si="17"/>
        <v>157.09749999999994</v>
      </c>
      <c r="G153">
        <f t="shared" ca="1" si="14"/>
        <v>150.86320000000006</v>
      </c>
      <c r="H153">
        <f t="shared" ca="1" si="13"/>
        <v>151.01891089108912</v>
      </c>
      <c r="I153">
        <f t="shared" ca="1" si="18"/>
        <v>4.1519340769028785</v>
      </c>
      <c r="J153">
        <f t="shared" ca="1" si="19"/>
        <v>148.79363184619419</v>
      </c>
      <c r="K153">
        <f t="shared" ca="1" si="20"/>
        <v>165.40136815380569</v>
      </c>
    </row>
    <row r="154" spans="1:11" x14ac:dyDescent="0.25">
      <c r="A154" s="6">
        <f t="shared" ca="1" si="15"/>
        <v>45509</v>
      </c>
      <c r="B154" vm="449">
        <f ca="1"/>
        <v>45513</v>
      </c>
      <c r="C154" vm="450">
        <f ca="1"/>
        <v>160.62</v>
      </c>
      <c r="D154" vm="451">
        <f ca="1"/>
        <v>4579186</v>
      </c>
      <c r="E154">
        <f t="shared" ca="1" si="16"/>
        <v>160.44888888888889</v>
      </c>
      <c r="F154">
        <f t="shared" ca="1" si="17"/>
        <v>157.63449999999995</v>
      </c>
      <c r="G154">
        <f t="shared" ca="1" si="14"/>
        <v>151.18680000000006</v>
      </c>
      <c r="H154">
        <f t="shared" ca="1" si="13"/>
        <v>151.0430693069307</v>
      </c>
      <c r="I154">
        <f t="shared" ca="1" si="18"/>
        <v>3.8530978309325121</v>
      </c>
      <c r="J154">
        <f t="shared" ca="1" si="19"/>
        <v>149.92830433813492</v>
      </c>
      <c r="K154">
        <f t="shared" ca="1" si="20"/>
        <v>165.34069566186497</v>
      </c>
    </row>
    <row r="155" spans="1:11" x14ac:dyDescent="0.25">
      <c r="A155" s="6">
        <f t="shared" ca="1" si="15"/>
        <v>45516</v>
      </c>
      <c r="B155" vm="452">
        <f ca="1"/>
        <v>45516</v>
      </c>
      <c r="C155" vm="453">
        <f ca="1"/>
        <v>159.88</v>
      </c>
      <c r="D155" vm="454">
        <f ca="1"/>
        <v>7605419</v>
      </c>
      <c r="E155">
        <f t="shared" ca="1" si="16"/>
        <v>160.28777777777779</v>
      </c>
      <c r="F155">
        <f t="shared" ca="1" si="17"/>
        <v>158.16649999999998</v>
      </c>
      <c r="G155">
        <f t="shared" ca="1" si="14"/>
        <v>151.47880000000004</v>
      </c>
      <c r="H155">
        <f t="shared" ca="1" si="13"/>
        <v>151.07396039603961</v>
      </c>
      <c r="I155">
        <f t="shared" ca="1" si="18"/>
        <v>3.3324169749202808</v>
      </c>
      <c r="J155">
        <f t="shared" ca="1" si="19"/>
        <v>151.50166605015943</v>
      </c>
      <c r="K155">
        <f t="shared" ca="1" si="20"/>
        <v>164.83133394984054</v>
      </c>
    </row>
    <row r="156" spans="1:11" x14ac:dyDescent="0.25">
      <c r="A156" s="6">
        <f t="shared" ca="1" si="15"/>
        <v>45516</v>
      </c>
      <c r="B156" vm="455">
        <f ca="1"/>
        <v>45517</v>
      </c>
      <c r="C156" vm="456">
        <f ca="1"/>
        <v>158.38999999999999</v>
      </c>
      <c r="D156" vm="457">
        <f ca="1"/>
        <v>9711395</v>
      </c>
      <c r="E156">
        <f t="shared" ca="1" si="16"/>
        <v>160.34777777777779</v>
      </c>
      <c r="F156">
        <f t="shared" ca="1" si="17"/>
        <v>158.53549999999998</v>
      </c>
      <c r="G156">
        <f t="shared" ca="1" si="14"/>
        <v>151.71320000000006</v>
      </c>
      <c r="H156">
        <f t="shared" ca="1" si="13"/>
        <v>151.09554455445544</v>
      </c>
      <c r="I156">
        <f t="shared" ca="1" si="18"/>
        <v>2.8755438387235626</v>
      </c>
      <c r="J156">
        <f t="shared" ca="1" si="19"/>
        <v>152.78441232255287</v>
      </c>
      <c r="K156">
        <f t="shared" ca="1" si="20"/>
        <v>164.2865876774471</v>
      </c>
    </row>
    <row r="157" spans="1:11" x14ac:dyDescent="0.25">
      <c r="A157" s="6">
        <f t="shared" ca="1" si="15"/>
        <v>45516</v>
      </c>
      <c r="B157" vm="458">
        <f ca="1"/>
        <v>45518</v>
      </c>
      <c r="C157" vm="459">
        <f ca="1"/>
        <v>158.47999999999999</v>
      </c>
      <c r="D157" vm="460">
        <f ca="1"/>
        <v>5141249</v>
      </c>
      <c r="E157">
        <f t="shared" ca="1" si="16"/>
        <v>160.09444444444443</v>
      </c>
      <c r="F157">
        <f t="shared" ca="1" si="17"/>
        <v>158.63049999999996</v>
      </c>
      <c r="G157">
        <f t="shared" ca="1" si="14"/>
        <v>151.92800000000005</v>
      </c>
      <c r="H157">
        <f t="shared" ca="1" si="13"/>
        <v>151.12247524752476</v>
      </c>
      <c r="I157">
        <f t="shared" ca="1" si="18"/>
        <v>2.8386884944320769</v>
      </c>
      <c r="J157">
        <f t="shared" ca="1" si="19"/>
        <v>152.9531230111358</v>
      </c>
      <c r="K157">
        <f t="shared" ca="1" si="20"/>
        <v>164.30787698886411</v>
      </c>
    </row>
    <row r="158" spans="1:11" x14ac:dyDescent="0.25">
      <c r="A158" s="6">
        <f t="shared" ca="1" si="15"/>
        <v>45516</v>
      </c>
      <c r="B158" vm="461">
        <f ca="1"/>
        <v>45519</v>
      </c>
      <c r="C158" vm="462">
        <f ca="1"/>
        <v>159.09</v>
      </c>
      <c r="D158" vm="463">
        <f ca="1"/>
        <v>7237785</v>
      </c>
      <c r="E158">
        <f t="shared" ca="1" si="16"/>
        <v>159.53333333333333</v>
      </c>
      <c r="F158">
        <f t="shared" ca="1" si="17"/>
        <v>158.81399999999996</v>
      </c>
      <c r="G158">
        <f t="shared" ca="1" si="14"/>
        <v>152.15380000000005</v>
      </c>
      <c r="H158">
        <f t="shared" ca="1" si="13"/>
        <v>151.15554455445545</v>
      </c>
      <c r="I158">
        <f t="shared" ca="1" si="18"/>
        <v>2.7370295077539408</v>
      </c>
      <c r="J158">
        <f t="shared" ca="1" si="19"/>
        <v>153.33994098449207</v>
      </c>
      <c r="K158">
        <f t="shared" ca="1" si="20"/>
        <v>164.28805901550786</v>
      </c>
    </row>
    <row r="159" spans="1:11" x14ac:dyDescent="0.25">
      <c r="A159" s="6">
        <f t="shared" ca="1" si="15"/>
        <v>45516</v>
      </c>
      <c r="B159" vm="464">
        <f ca="1"/>
        <v>45520</v>
      </c>
      <c r="C159" vm="465">
        <f ca="1"/>
        <v>159.38999999999999</v>
      </c>
      <c r="D159" vm="466">
        <f ca="1"/>
        <v>5012774</v>
      </c>
      <c r="E159">
        <f t="shared" ca="1" si="16"/>
        <v>159.32666666666668</v>
      </c>
      <c r="F159">
        <f t="shared" ca="1" si="17"/>
        <v>159.04899999999998</v>
      </c>
      <c r="G159">
        <f t="shared" ca="1" si="14"/>
        <v>152.42220000000006</v>
      </c>
      <c r="H159">
        <f t="shared" ca="1" si="13"/>
        <v>151.19673267326735</v>
      </c>
      <c r="I159">
        <f t="shared" ca="1" si="18"/>
        <v>2.5603780559662814</v>
      </c>
      <c r="J159">
        <f t="shared" ca="1" si="19"/>
        <v>153.92824388806741</v>
      </c>
      <c r="K159">
        <f t="shared" ca="1" si="20"/>
        <v>164.16975611193254</v>
      </c>
    </row>
    <row r="160" spans="1:11" x14ac:dyDescent="0.25">
      <c r="A160" s="6">
        <f t="shared" ca="1" si="15"/>
        <v>45523</v>
      </c>
      <c r="B160" vm="467">
        <f ca="1"/>
        <v>45523</v>
      </c>
      <c r="C160" vm="468">
        <f ca="1"/>
        <v>159.63</v>
      </c>
      <c r="D160" vm="469">
        <f ca="1"/>
        <v>4408517</v>
      </c>
      <c r="E160">
        <f t="shared" ca="1" si="16"/>
        <v>159.39999999999998</v>
      </c>
      <c r="F160">
        <f t="shared" ca="1" si="17"/>
        <v>159.31850000000003</v>
      </c>
      <c r="G160">
        <f t="shared" ca="1" si="14"/>
        <v>152.68640000000005</v>
      </c>
      <c r="H160">
        <f t="shared" ca="1" si="13"/>
        <v>151.24039603960398</v>
      </c>
      <c r="I160">
        <f t="shared" ca="1" si="18"/>
        <v>2.2977523914973035</v>
      </c>
      <c r="J160">
        <f t="shared" ca="1" si="19"/>
        <v>154.72299521700543</v>
      </c>
      <c r="K160">
        <f t="shared" ca="1" si="20"/>
        <v>163.91400478299462</v>
      </c>
    </row>
    <row r="161" spans="1:11" x14ac:dyDescent="0.25">
      <c r="A161" s="6">
        <f t="shared" ca="1" si="15"/>
        <v>45523</v>
      </c>
      <c r="B161" vm="470">
        <f ca="1"/>
        <v>45524</v>
      </c>
      <c r="C161" vm="471">
        <f ca="1"/>
        <v>160.16</v>
      </c>
      <c r="D161" vm="472">
        <f ca="1"/>
        <v>7275133</v>
      </c>
      <c r="E161">
        <f t="shared" ca="1" si="16"/>
        <v>159.54000000000005</v>
      </c>
      <c r="F161">
        <f t="shared" ca="1" si="17"/>
        <v>159.709</v>
      </c>
      <c r="G161">
        <f t="shared" ca="1" si="14"/>
        <v>152.94800000000004</v>
      </c>
      <c r="H161">
        <f t="shared" ca="1" si="13"/>
        <v>151.28386138613862</v>
      </c>
      <c r="I161">
        <f t="shared" ca="1" si="18"/>
        <v>1.6126470557179542</v>
      </c>
      <c r="J161">
        <f t="shared" ca="1" si="19"/>
        <v>156.48370588856409</v>
      </c>
      <c r="K161">
        <f t="shared" ca="1" si="20"/>
        <v>162.93429411143592</v>
      </c>
    </row>
    <row r="162" spans="1:11" x14ac:dyDescent="0.25">
      <c r="A162" s="6">
        <f t="shared" ca="1" si="15"/>
        <v>45523</v>
      </c>
      <c r="B162" vm="473">
        <f ca="1"/>
        <v>45525</v>
      </c>
      <c r="C162" vm="474">
        <f ca="1"/>
        <v>161.43</v>
      </c>
      <c r="D162" vm="475">
        <f ca="1"/>
        <v>5019375</v>
      </c>
      <c r="E162">
        <f t="shared" ca="1" si="16"/>
        <v>159.67444444444448</v>
      </c>
      <c r="F162">
        <f t="shared" ca="1" si="17"/>
        <v>159.9665</v>
      </c>
      <c r="G162">
        <f t="shared" ca="1" si="14"/>
        <v>153.23400000000007</v>
      </c>
      <c r="H162">
        <f t="shared" ca="1" si="13"/>
        <v>151.31821782178216</v>
      </c>
      <c r="I162">
        <f t="shared" ca="1" si="18"/>
        <v>1.4380113278230353</v>
      </c>
      <c r="J162">
        <f t="shared" ca="1" si="19"/>
        <v>157.09047734435393</v>
      </c>
      <c r="K162">
        <f t="shared" ca="1" si="20"/>
        <v>162.84252265564606</v>
      </c>
    </row>
    <row r="163" spans="1:11" x14ac:dyDescent="0.25">
      <c r="A163" s="6">
        <f t="shared" ca="1" si="15"/>
        <v>45523</v>
      </c>
      <c r="B163" vm="476">
        <f ca="1"/>
        <v>45526</v>
      </c>
      <c r="C163" vm="477">
        <f ca="1"/>
        <v>162.35</v>
      </c>
      <c r="D163" vm="478">
        <f ca="1"/>
        <v>6552142</v>
      </c>
      <c r="E163">
        <f t="shared" ca="1" si="16"/>
        <v>159.86666666666667</v>
      </c>
      <c r="F163">
        <f t="shared" ca="1" si="17"/>
        <v>160.102</v>
      </c>
      <c r="G163">
        <f t="shared" ca="1" si="14"/>
        <v>153.54580000000007</v>
      </c>
      <c r="H163">
        <f t="shared" ca="1" si="13"/>
        <v>151.35940594059403</v>
      </c>
      <c r="I163">
        <f t="shared" ca="1" si="18"/>
        <v>1.5303408633029232</v>
      </c>
      <c r="J163">
        <f t="shared" ca="1" si="19"/>
        <v>157.04131827339415</v>
      </c>
      <c r="K163">
        <f t="shared" ca="1" si="20"/>
        <v>163.16268172660585</v>
      </c>
    </row>
    <row r="164" spans="1:11" x14ac:dyDescent="0.25">
      <c r="A164" s="6">
        <f t="shared" ca="1" si="15"/>
        <v>45523</v>
      </c>
      <c r="B164" vm="479">
        <f ca="1"/>
        <v>45527</v>
      </c>
      <c r="C164" vm="480">
        <f ca="1"/>
        <v>164.13</v>
      </c>
      <c r="D164" vm="481">
        <f ca="1"/>
        <v>7093429</v>
      </c>
      <c r="E164">
        <f t="shared" ca="1" si="16"/>
        <v>160.33888888888885</v>
      </c>
      <c r="F164">
        <f t="shared" ca="1" si="17"/>
        <v>160.2765</v>
      </c>
      <c r="G164">
        <f t="shared" ca="1" si="14"/>
        <v>153.92020000000008</v>
      </c>
      <c r="H164">
        <f t="shared" ca="1" si="13"/>
        <v>151.42227722772273</v>
      </c>
      <c r="I164">
        <f t="shared" ca="1" si="18"/>
        <v>1.7744273353454214</v>
      </c>
      <c r="J164">
        <f t="shared" ca="1" si="19"/>
        <v>156.72764532930915</v>
      </c>
      <c r="K164">
        <f t="shared" ca="1" si="20"/>
        <v>163.82535467069084</v>
      </c>
    </row>
    <row r="165" spans="1:11" x14ac:dyDescent="0.25">
      <c r="A165" s="6">
        <f t="shared" ca="1" si="15"/>
        <v>45530</v>
      </c>
      <c r="B165" vm="482">
        <f ca="1"/>
        <v>45530</v>
      </c>
      <c r="C165" vm="483">
        <f ca="1"/>
        <v>164.61</v>
      </c>
      <c r="D165" vm="484">
        <f ca="1"/>
        <v>6870622</v>
      </c>
      <c r="E165">
        <f t="shared" ca="1" si="16"/>
        <v>161.03</v>
      </c>
      <c r="F165">
        <f t="shared" ca="1" si="17"/>
        <v>160.57900000000001</v>
      </c>
      <c r="G165">
        <f t="shared" ca="1" si="14"/>
        <v>154.30340000000007</v>
      </c>
      <c r="H165">
        <f t="shared" ca="1" si="13"/>
        <v>151.49039603960392</v>
      </c>
      <c r="I165">
        <f t="shared" ca="1" si="18"/>
        <v>1.9711869253667573</v>
      </c>
      <c r="J165">
        <f t="shared" ca="1" si="19"/>
        <v>156.6366261492665</v>
      </c>
      <c r="K165">
        <f t="shared" ca="1" si="20"/>
        <v>164.52137385073351</v>
      </c>
    </row>
    <row r="166" spans="1:11" x14ac:dyDescent="0.25">
      <c r="A166" s="6">
        <f t="shared" ca="1" si="15"/>
        <v>45530</v>
      </c>
      <c r="B166" vm="485">
        <f ca="1"/>
        <v>45531</v>
      </c>
      <c r="C166" vm="486">
        <f ca="1"/>
        <v>162.94999999999999</v>
      </c>
      <c r="D166" vm="487">
        <f ca="1"/>
        <v>4388728</v>
      </c>
      <c r="E166">
        <f t="shared" ca="1" si="16"/>
        <v>161.52666666666667</v>
      </c>
      <c r="F166">
        <f t="shared" ca="1" si="17"/>
        <v>160.66</v>
      </c>
      <c r="G166">
        <f t="shared" ca="1" si="14"/>
        <v>154.65160000000006</v>
      </c>
      <c r="H166">
        <f t="shared" ref="H166:H229" ca="1" si="21">AVERAGE(C66:C166)</f>
        <v>151.57643564356431</v>
      </c>
      <c r="I166">
        <f t="shared" ca="1" si="18"/>
        <v>2.0358937000479029</v>
      </c>
      <c r="J166">
        <f t="shared" ca="1" si="19"/>
        <v>156.58821259990418</v>
      </c>
      <c r="K166">
        <f t="shared" ca="1" si="20"/>
        <v>164.73178740009581</v>
      </c>
    </row>
    <row r="167" spans="1:11" x14ac:dyDescent="0.25">
      <c r="A167" s="6">
        <f t="shared" ca="1" si="15"/>
        <v>45530</v>
      </c>
      <c r="B167" vm="488">
        <f ca="1"/>
        <v>45532</v>
      </c>
      <c r="C167" vm="489">
        <f ca="1"/>
        <v>163.92</v>
      </c>
      <c r="D167" vm="490">
        <f ca="1"/>
        <v>5187198</v>
      </c>
      <c r="E167">
        <f t="shared" ca="1" si="16"/>
        <v>162.06333333333333</v>
      </c>
      <c r="F167">
        <f t="shared" ca="1" si="17"/>
        <v>160.96350000000001</v>
      </c>
      <c r="G167">
        <f t="shared" ca="1" si="14"/>
        <v>155.01100000000005</v>
      </c>
      <c r="H167">
        <f t="shared" ca="1" si="21"/>
        <v>151.68950495049498</v>
      </c>
      <c r="I167">
        <f t="shared" ca="1" si="18"/>
        <v>2.0473558685855227</v>
      </c>
      <c r="J167">
        <f t="shared" ca="1" si="19"/>
        <v>156.86878826282896</v>
      </c>
      <c r="K167">
        <f t="shared" ca="1" si="20"/>
        <v>165.05821173717106</v>
      </c>
    </row>
    <row r="168" spans="1:11" x14ac:dyDescent="0.25">
      <c r="A168" s="6">
        <f t="shared" ca="1" si="15"/>
        <v>45530</v>
      </c>
      <c r="B168" vm="491">
        <f ca="1"/>
        <v>45533</v>
      </c>
      <c r="C168" vm="492">
        <f ca="1"/>
        <v>164.23</v>
      </c>
      <c r="D168" vm="493">
        <f ca="1"/>
        <v>7390125</v>
      </c>
      <c r="E168">
        <f t="shared" ca="1" si="16"/>
        <v>162.60111111111112</v>
      </c>
      <c r="F168">
        <f t="shared" ca="1" si="17"/>
        <v>161.137</v>
      </c>
      <c r="G168">
        <f t="shared" ca="1" si="14"/>
        <v>155.38260000000002</v>
      </c>
      <c r="H168">
        <f t="shared" ca="1" si="21"/>
        <v>151.80673267326728</v>
      </c>
      <c r="I168">
        <f t="shared" ca="1" si="18"/>
        <v>2.1724134044881969</v>
      </c>
      <c r="J168">
        <f t="shared" ca="1" si="19"/>
        <v>156.79217319102361</v>
      </c>
      <c r="K168">
        <f t="shared" ca="1" si="20"/>
        <v>165.48182680897639</v>
      </c>
    </row>
    <row r="169" spans="1:11" x14ac:dyDescent="0.25">
      <c r="A169" s="6">
        <f t="shared" ca="1" si="15"/>
        <v>45530</v>
      </c>
      <c r="B169" vm="494">
        <f ca="1"/>
        <v>45534</v>
      </c>
      <c r="C169" vm="495">
        <f ca="1"/>
        <v>165.86</v>
      </c>
      <c r="D169" vm="496">
        <f ca="1"/>
        <v>7971017</v>
      </c>
      <c r="E169">
        <f t="shared" ca="1" si="16"/>
        <v>163.29333333333338</v>
      </c>
      <c r="F169">
        <f t="shared" ca="1" si="17"/>
        <v>161.22300000000001</v>
      </c>
      <c r="G169">
        <f t="shared" ca="1" si="14"/>
        <v>155.74420000000001</v>
      </c>
      <c r="H169">
        <f t="shared" ca="1" si="21"/>
        <v>151.94801980198014</v>
      </c>
      <c r="I169">
        <f t="shared" ca="1" si="18"/>
        <v>2.3261558530398578</v>
      </c>
      <c r="J169">
        <f t="shared" ca="1" si="19"/>
        <v>156.57068829392028</v>
      </c>
      <c r="K169">
        <f t="shared" ca="1" si="20"/>
        <v>165.87531170607974</v>
      </c>
    </row>
    <row r="170" spans="1:11" x14ac:dyDescent="0.25">
      <c r="A170" s="6">
        <f t="shared" ca="1" si="15"/>
        <v>45537</v>
      </c>
      <c r="B170" vm="497">
        <f ca="1"/>
        <v>45538</v>
      </c>
      <c r="C170" vm="498">
        <f ca="1"/>
        <v>167.16</v>
      </c>
      <c r="D170" vm="499">
        <f ca="1"/>
        <v>6956452</v>
      </c>
      <c r="E170">
        <f t="shared" ca="1" si="16"/>
        <v>164.07111111111112</v>
      </c>
      <c r="F170">
        <f t="shared" ca="1" si="17"/>
        <v>161.51850000000002</v>
      </c>
      <c r="G170">
        <f t="shared" ca="1" si="14"/>
        <v>156.11240000000001</v>
      </c>
      <c r="H170">
        <f t="shared" ca="1" si="21"/>
        <v>152.09524752475244</v>
      </c>
      <c r="I170">
        <f t="shared" ca="1" si="18"/>
        <v>2.67847025272577</v>
      </c>
      <c r="J170">
        <f t="shared" ca="1" si="19"/>
        <v>156.16155949454847</v>
      </c>
      <c r="K170">
        <f t="shared" ca="1" si="20"/>
        <v>166.87544050545156</v>
      </c>
    </row>
    <row r="171" spans="1:11" x14ac:dyDescent="0.25">
      <c r="A171" s="6">
        <f t="shared" ca="1" si="15"/>
        <v>45537</v>
      </c>
      <c r="B171" vm="500">
        <f ca="1"/>
        <v>45539</v>
      </c>
      <c r="C171" vm="501">
        <f ca="1"/>
        <v>167.36</v>
      </c>
      <c r="D171" vm="502">
        <f ca="1"/>
        <v>6939132</v>
      </c>
      <c r="E171">
        <f t="shared" ca="1" si="16"/>
        <v>164.73000000000002</v>
      </c>
      <c r="F171">
        <f t="shared" ca="1" si="17"/>
        <v>161.93800000000002</v>
      </c>
      <c r="G171">
        <f t="shared" ca="1" si="14"/>
        <v>156.47720000000001</v>
      </c>
      <c r="H171">
        <f t="shared" ca="1" si="21"/>
        <v>152.26514851485143</v>
      </c>
      <c r="I171">
        <f t="shared" ca="1" si="18"/>
        <v>2.9056978507752698</v>
      </c>
      <c r="J171">
        <f t="shared" ca="1" si="19"/>
        <v>156.12660429844948</v>
      </c>
      <c r="K171">
        <f t="shared" ca="1" si="20"/>
        <v>167.74939570155055</v>
      </c>
    </row>
    <row r="172" spans="1:11" x14ac:dyDescent="0.25">
      <c r="A172" s="6">
        <f t="shared" ca="1" si="15"/>
        <v>45537</v>
      </c>
      <c r="B172" vm="503">
        <f ca="1"/>
        <v>45540</v>
      </c>
      <c r="C172" vm="504">
        <f ca="1"/>
        <v>164.99</v>
      </c>
      <c r="D172" vm="505">
        <f ca="1"/>
        <v>4600392</v>
      </c>
      <c r="E172">
        <f t="shared" ca="1" si="16"/>
        <v>165.02333333333337</v>
      </c>
      <c r="F172">
        <f t="shared" ca="1" si="17"/>
        <v>162.24250000000001</v>
      </c>
      <c r="G172">
        <f t="shared" ca="1" si="14"/>
        <v>156.83320000000001</v>
      </c>
      <c r="H172">
        <f t="shared" ca="1" si="21"/>
        <v>152.42554455445537</v>
      </c>
      <c r="I172">
        <f t="shared" ca="1" si="18"/>
        <v>2.889630963507829</v>
      </c>
      <c r="J172">
        <f t="shared" ca="1" si="19"/>
        <v>156.46323807298435</v>
      </c>
      <c r="K172">
        <f t="shared" ca="1" si="20"/>
        <v>168.02176192701566</v>
      </c>
    </row>
    <row r="173" spans="1:11" x14ac:dyDescent="0.25">
      <c r="A173" s="6">
        <f t="shared" ca="1" si="15"/>
        <v>45537</v>
      </c>
      <c r="B173" vm="506">
        <f ca="1"/>
        <v>45541</v>
      </c>
      <c r="C173" vm="507">
        <f ca="1"/>
        <v>164.38</v>
      </c>
      <c r="D173" vm="508">
        <f ca="1"/>
        <v>6016884</v>
      </c>
      <c r="E173">
        <f t="shared" ca="1" si="16"/>
        <v>165.05111111111111</v>
      </c>
      <c r="F173">
        <f t="shared" ca="1" si="17"/>
        <v>162.45050000000001</v>
      </c>
      <c r="G173">
        <f t="shared" ca="1" si="14"/>
        <v>157.18440000000001</v>
      </c>
      <c r="H173">
        <f t="shared" ca="1" si="21"/>
        <v>152.59247524752467</v>
      </c>
      <c r="I173">
        <f t="shared" ca="1" si="18"/>
        <v>2.8861055074269251</v>
      </c>
      <c r="J173">
        <f t="shared" ca="1" si="19"/>
        <v>156.67828898514617</v>
      </c>
      <c r="K173">
        <f t="shared" ca="1" si="20"/>
        <v>168.22271101485384</v>
      </c>
    </row>
    <row r="174" spans="1:11" x14ac:dyDescent="0.25">
      <c r="A174" s="6">
        <f t="shared" ca="1" si="15"/>
        <v>45544</v>
      </c>
      <c r="B174" vm="509">
        <f ca="1"/>
        <v>45544</v>
      </c>
      <c r="C174" vm="510">
        <f ca="1"/>
        <v>166.61</v>
      </c>
      <c r="D174" vm="511">
        <f ca="1"/>
        <v>7538233</v>
      </c>
      <c r="E174">
        <f t="shared" ca="1" si="16"/>
        <v>165.27333333333334</v>
      </c>
      <c r="F174">
        <f t="shared" ca="1" si="17"/>
        <v>162.75000000000003</v>
      </c>
      <c r="G174">
        <f t="shared" ca="1" si="14"/>
        <v>157.60059999999999</v>
      </c>
      <c r="H174">
        <f t="shared" ca="1" si="21"/>
        <v>152.78079207920786</v>
      </c>
      <c r="I174">
        <f t="shared" ca="1" si="18"/>
        <v>2.9949009297383116</v>
      </c>
      <c r="J174">
        <f t="shared" ca="1" si="19"/>
        <v>156.76019814052341</v>
      </c>
      <c r="K174">
        <f t="shared" ca="1" si="20"/>
        <v>168.73980185947664</v>
      </c>
    </row>
    <row r="175" spans="1:11" x14ac:dyDescent="0.25">
      <c r="A175" s="6">
        <f t="shared" ca="1" si="15"/>
        <v>45544</v>
      </c>
      <c r="B175" vm="512">
        <f ca="1"/>
        <v>45545</v>
      </c>
      <c r="C175" vm="513">
        <f ca="1"/>
        <v>167.38</v>
      </c>
      <c r="D175" vm="514">
        <f ca="1"/>
        <v>6559734</v>
      </c>
      <c r="E175">
        <f t="shared" ca="1" si="16"/>
        <v>165.76555555555558</v>
      </c>
      <c r="F175">
        <f t="shared" ca="1" si="17"/>
        <v>163.12500000000003</v>
      </c>
      <c r="G175">
        <f t="shared" ca="1" si="14"/>
        <v>158.02499999999998</v>
      </c>
      <c r="H175">
        <f t="shared" ca="1" si="21"/>
        <v>153.00782178217813</v>
      </c>
      <c r="I175">
        <f t="shared" ca="1" si="18"/>
        <v>3.0848244853254116</v>
      </c>
      <c r="J175">
        <f t="shared" ca="1" si="19"/>
        <v>156.9553510293492</v>
      </c>
      <c r="K175">
        <f t="shared" ca="1" si="20"/>
        <v>169.29464897065085</v>
      </c>
    </row>
    <row r="176" spans="1:11" x14ac:dyDescent="0.25">
      <c r="A176" s="6">
        <f t="shared" ca="1" si="15"/>
        <v>45544</v>
      </c>
      <c r="B176" vm="515">
        <f ca="1"/>
        <v>45546</v>
      </c>
      <c r="C176" vm="516">
        <f ca="1"/>
        <v>164.82</v>
      </c>
      <c r="D176" vm="517">
        <f ca="1"/>
        <v>5920165</v>
      </c>
      <c r="E176">
        <f t="shared" ca="1" si="16"/>
        <v>165.86555555555557</v>
      </c>
      <c r="F176">
        <f t="shared" ca="1" si="17"/>
        <v>163.44650000000001</v>
      </c>
      <c r="G176">
        <f t="shared" ca="1" si="14"/>
        <v>158.39259999999996</v>
      </c>
      <c r="H176">
        <f t="shared" ca="1" si="21"/>
        <v>153.20633663366328</v>
      </c>
      <c r="I176">
        <f t="shared" ca="1" si="18"/>
        <v>2.8945707344686067</v>
      </c>
      <c r="J176">
        <f t="shared" ca="1" si="19"/>
        <v>157.65735853106281</v>
      </c>
      <c r="K176">
        <f t="shared" ca="1" si="20"/>
        <v>169.23564146893722</v>
      </c>
    </row>
    <row r="177" spans="1:11" x14ac:dyDescent="0.25">
      <c r="A177" s="6">
        <f t="shared" ca="1" si="15"/>
        <v>45544</v>
      </c>
      <c r="B177" vm="518">
        <f ca="1"/>
        <v>45547</v>
      </c>
      <c r="C177" vm="519">
        <f ca="1"/>
        <v>164.64</v>
      </c>
      <c r="D177" vm="520">
        <f ca="1"/>
        <v>4541046</v>
      </c>
      <c r="E177">
        <f t="shared" ca="1" si="16"/>
        <v>165.9111111111111</v>
      </c>
      <c r="F177">
        <f t="shared" ca="1" si="17"/>
        <v>163.75450000000004</v>
      </c>
      <c r="G177">
        <f t="shared" ca="1" si="14"/>
        <v>158.76479999999998</v>
      </c>
      <c r="H177">
        <f t="shared" ca="1" si="21"/>
        <v>153.39346534653455</v>
      </c>
      <c r="I177">
        <f t="shared" ca="1" si="18"/>
        <v>2.6562071792214148</v>
      </c>
      <c r="J177">
        <f t="shared" ca="1" si="19"/>
        <v>158.44208564155721</v>
      </c>
      <c r="K177">
        <f t="shared" ca="1" si="20"/>
        <v>169.06691435844286</v>
      </c>
    </row>
    <row r="178" spans="1:11" x14ac:dyDescent="0.25">
      <c r="A178" s="6">
        <f t="shared" ca="1" si="15"/>
        <v>45544</v>
      </c>
      <c r="B178" vm="521">
        <f ca="1"/>
        <v>45548</v>
      </c>
      <c r="C178" vm="522">
        <f ca="1"/>
        <v>165.52</v>
      </c>
      <c r="D178" vm="523">
        <f ca="1"/>
        <v>3693548</v>
      </c>
      <c r="E178">
        <f t="shared" ca="1" si="16"/>
        <v>165.87333333333333</v>
      </c>
      <c r="F178">
        <f t="shared" ca="1" si="17"/>
        <v>164.07600000000002</v>
      </c>
      <c r="G178">
        <f t="shared" ca="1" si="14"/>
        <v>159.16139999999999</v>
      </c>
      <c r="H178">
        <f t="shared" ca="1" si="21"/>
        <v>153.56782178217813</v>
      </c>
      <c r="I178">
        <f t="shared" ca="1" si="18"/>
        <v>2.4424478661677482</v>
      </c>
      <c r="J178">
        <f t="shared" ca="1" si="19"/>
        <v>159.19110426766451</v>
      </c>
      <c r="K178">
        <f t="shared" ca="1" si="20"/>
        <v>168.96089573233553</v>
      </c>
    </row>
    <row r="179" spans="1:11" x14ac:dyDescent="0.25">
      <c r="A179" s="6">
        <f t="shared" ca="1" si="15"/>
        <v>45551</v>
      </c>
      <c r="B179" vm="524">
        <f ca="1"/>
        <v>45551</v>
      </c>
      <c r="C179" vm="525">
        <f ca="1"/>
        <v>166.99</v>
      </c>
      <c r="D179" vm="526">
        <f ca="1"/>
        <v>5187887</v>
      </c>
      <c r="E179">
        <f t="shared" ca="1" si="16"/>
        <v>165.85444444444443</v>
      </c>
      <c r="F179">
        <f t="shared" ca="1" si="17"/>
        <v>164.45599999999999</v>
      </c>
      <c r="G179">
        <f t="shared" ca="1" si="14"/>
        <v>159.57159999999996</v>
      </c>
      <c r="H179">
        <f t="shared" ca="1" si="21"/>
        <v>153.74475247524745</v>
      </c>
      <c r="I179">
        <f t="shared" ca="1" si="18"/>
        <v>2.2593697304663052</v>
      </c>
      <c r="J179">
        <f t="shared" ca="1" si="19"/>
        <v>159.93726053906738</v>
      </c>
      <c r="K179">
        <f t="shared" ca="1" si="20"/>
        <v>168.9747394609326</v>
      </c>
    </row>
    <row r="180" spans="1:11" x14ac:dyDescent="0.25">
      <c r="A180" s="6">
        <f t="shared" ca="1" si="15"/>
        <v>45551</v>
      </c>
      <c r="B180" vm="527">
        <f ca="1"/>
        <v>45552</v>
      </c>
      <c r="C180" vm="528">
        <f ca="1"/>
        <v>167.07</v>
      </c>
      <c r="D180" vm="529">
        <f ca="1"/>
        <v>5066586</v>
      </c>
      <c r="E180">
        <f t="shared" ca="1" si="16"/>
        <v>165.82222222222222</v>
      </c>
      <c r="F180">
        <f t="shared" ca="1" si="17"/>
        <v>164.82800000000003</v>
      </c>
      <c r="G180">
        <f t="shared" ref="G180:G243" ca="1" si="22">AVERAGE(C131:C180)</f>
        <v>160.00339999999997</v>
      </c>
      <c r="H180">
        <f t="shared" ca="1" si="21"/>
        <v>153.91811881188113</v>
      </c>
      <c r="I180">
        <f t="shared" ca="1" si="18"/>
        <v>2.0230945551178228</v>
      </c>
      <c r="J180">
        <f t="shared" ca="1" si="19"/>
        <v>160.78181088976439</v>
      </c>
      <c r="K180">
        <f t="shared" ca="1" si="20"/>
        <v>168.87418911023568</v>
      </c>
    </row>
    <row r="181" spans="1:11" x14ac:dyDescent="0.25">
      <c r="A181" s="6">
        <f t="shared" ca="1" si="15"/>
        <v>45551</v>
      </c>
      <c r="B181" vm="530">
        <f ca="1"/>
        <v>45553</v>
      </c>
      <c r="C181" vm="531">
        <f ca="1"/>
        <v>166.15</v>
      </c>
      <c r="D181" vm="532">
        <f ca="1"/>
        <v>4722765</v>
      </c>
      <c r="E181">
        <f t="shared" ca="1" si="16"/>
        <v>165.95111111111112</v>
      </c>
      <c r="F181">
        <f t="shared" ca="1" si="17"/>
        <v>165.1275</v>
      </c>
      <c r="G181">
        <f t="shared" ca="1" si="22"/>
        <v>160.38539999999995</v>
      </c>
      <c r="H181">
        <f t="shared" ca="1" si="21"/>
        <v>154.09257425742567</v>
      </c>
      <c r="I181">
        <f t="shared" ca="1" si="18"/>
        <v>1.7156980319514608</v>
      </c>
      <c r="J181">
        <f t="shared" ca="1" si="19"/>
        <v>161.69610393609707</v>
      </c>
      <c r="K181">
        <f t="shared" ca="1" si="20"/>
        <v>168.55889606390292</v>
      </c>
    </row>
    <row r="182" spans="1:11" x14ac:dyDescent="0.25">
      <c r="A182" s="6">
        <f t="shared" ca="1" si="15"/>
        <v>45551</v>
      </c>
      <c r="B182" vm="533">
        <f ca="1"/>
        <v>45554</v>
      </c>
      <c r="C182" vm="516">
        <f ca="1"/>
        <v>164.82</v>
      </c>
      <c r="D182" vm="534">
        <f ca="1"/>
        <v>4956119</v>
      </c>
      <c r="E182">
        <f t="shared" ca="1" si="16"/>
        <v>166</v>
      </c>
      <c r="F182">
        <f t="shared" ca="1" si="17"/>
        <v>165.29700000000005</v>
      </c>
      <c r="G182">
        <f t="shared" ca="1" si="22"/>
        <v>160.69319999999993</v>
      </c>
      <c r="H182">
        <f t="shared" ca="1" si="21"/>
        <v>154.27079207920787</v>
      </c>
      <c r="I182">
        <f t="shared" ca="1" si="18"/>
        <v>1.4828354772636083</v>
      </c>
      <c r="J182">
        <f t="shared" ca="1" si="19"/>
        <v>162.33132904547284</v>
      </c>
      <c r="K182">
        <f t="shared" ca="1" si="20"/>
        <v>168.26267095452727</v>
      </c>
    </row>
    <row r="183" spans="1:11" x14ac:dyDescent="0.25">
      <c r="A183" s="6">
        <f t="shared" ca="1" si="15"/>
        <v>45551</v>
      </c>
      <c r="B183" vm="535">
        <f ca="1"/>
        <v>45555</v>
      </c>
      <c r="C183" vm="536">
        <f ca="1"/>
        <v>164.16</v>
      </c>
      <c r="D183" vm="537">
        <f ca="1"/>
        <v>11838967</v>
      </c>
      <c r="E183">
        <f t="shared" ca="1" si="16"/>
        <v>165.72777777777779</v>
      </c>
      <c r="F183">
        <f t="shared" ca="1" si="17"/>
        <v>165.38750000000002</v>
      </c>
      <c r="G183">
        <f t="shared" ca="1" si="22"/>
        <v>160.98239999999996</v>
      </c>
      <c r="H183">
        <f t="shared" ca="1" si="21"/>
        <v>154.44920792079199</v>
      </c>
      <c r="I183">
        <f t="shared" ca="1" si="18"/>
        <v>1.3420599837563194</v>
      </c>
      <c r="J183">
        <f t="shared" ca="1" si="19"/>
        <v>162.70338003248739</v>
      </c>
      <c r="K183">
        <f t="shared" ca="1" si="20"/>
        <v>168.07161996751265</v>
      </c>
    </row>
    <row r="184" spans="1:11" x14ac:dyDescent="0.25">
      <c r="A184" s="6">
        <f t="shared" ca="1" si="15"/>
        <v>45558</v>
      </c>
      <c r="B184" vm="538">
        <f ca="1"/>
        <v>45558</v>
      </c>
      <c r="C184" vm="539">
        <f ca="1"/>
        <v>163.22</v>
      </c>
      <c r="D184" vm="540">
        <f ca="1"/>
        <v>4671645</v>
      </c>
      <c r="E184">
        <f t="shared" ca="1" si="16"/>
        <v>165.26555555555558</v>
      </c>
      <c r="F184">
        <f t="shared" ca="1" si="17"/>
        <v>165.34200000000001</v>
      </c>
      <c r="G184">
        <f t="shared" ca="1" si="22"/>
        <v>161.24919999999992</v>
      </c>
      <c r="H184">
        <f t="shared" ca="1" si="21"/>
        <v>154.61158415841575</v>
      </c>
      <c r="I184">
        <f t="shared" ca="1" si="18"/>
        <v>1.4010657597550182</v>
      </c>
      <c r="J184">
        <f t="shared" ca="1" si="19"/>
        <v>162.53986848048999</v>
      </c>
      <c r="K184">
        <f t="shared" ca="1" si="20"/>
        <v>168.14413151951004</v>
      </c>
    </row>
    <row r="185" spans="1:11" x14ac:dyDescent="0.25">
      <c r="A185" s="6">
        <f t="shared" ca="1" si="15"/>
        <v>45558</v>
      </c>
      <c r="B185" vm="541">
        <f ca="1"/>
        <v>45559</v>
      </c>
      <c r="C185" vm="542">
        <f ca="1"/>
        <v>162.78</v>
      </c>
      <c r="D185" vm="543">
        <f ca="1"/>
        <v>6041561</v>
      </c>
      <c r="E185">
        <f t="shared" ca="1" si="16"/>
        <v>165.03888888888889</v>
      </c>
      <c r="F185">
        <f t="shared" ca="1" si="17"/>
        <v>165.25050000000005</v>
      </c>
      <c r="G185">
        <f t="shared" ca="1" si="22"/>
        <v>161.51999999999995</v>
      </c>
      <c r="H185">
        <f t="shared" ca="1" si="21"/>
        <v>154.79168316831672</v>
      </c>
      <c r="I185">
        <f t="shared" ca="1" si="18"/>
        <v>1.5071285873963713</v>
      </c>
      <c r="J185">
        <f t="shared" ca="1" si="19"/>
        <v>162.23624282520731</v>
      </c>
      <c r="K185">
        <f t="shared" ca="1" si="20"/>
        <v>168.26475717479278</v>
      </c>
    </row>
    <row r="186" spans="1:11" x14ac:dyDescent="0.25">
      <c r="A186" s="6">
        <f t="shared" ca="1" si="15"/>
        <v>45558</v>
      </c>
      <c r="B186" vm="544">
        <f ca="1"/>
        <v>45560</v>
      </c>
      <c r="C186" vm="545">
        <f ca="1"/>
        <v>160.6</v>
      </c>
      <c r="D186" vm="546">
        <f ca="1"/>
        <v>5420011</v>
      </c>
      <c r="E186">
        <f t="shared" ca="1" si="16"/>
        <v>164.58999999999997</v>
      </c>
      <c r="F186">
        <f t="shared" ca="1" si="17"/>
        <v>165.13300000000004</v>
      </c>
      <c r="G186">
        <f t="shared" ca="1" si="22"/>
        <v>161.71179999999995</v>
      </c>
      <c r="H186">
        <f t="shared" ca="1" si="21"/>
        <v>154.8849504950494</v>
      </c>
      <c r="I186">
        <f t="shared" ca="1" si="18"/>
        <v>1.7653987174513752</v>
      </c>
      <c r="J186">
        <f t="shared" ca="1" si="19"/>
        <v>161.60220256509729</v>
      </c>
      <c r="K186">
        <f t="shared" ca="1" si="20"/>
        <v>168.66379743490279</v>
      </c>
    </row>
    <row r="187" spans="1:11" x14ac:dyDescent="0.25">
      <c r="A187" s="6">
        <f t="shared" ca="1" si="15"/>
        <v>45558</v>
      </c>
      <c r="B187" vm="547">
        <f ca="1"/>
        <v>45561</v>
      </c>
      <c r="C187" vm="548">
        <f ca="1"/>
        <v>161.38999999999999</v>
      </c>
      <c r="D187" vm="549">
        <f ca="1"/>
        <v>6122231</v>
      </c>
      <c r="E187">
        <f t="shared" ca="1" si="16"/>
        <v>164.1311111111111</v>
      </c>
      <c r="F187">
        <f t="shared" ca="1" si="17"/>
        <v>165.00650000000002</v>
      </c>
      <c r="G187">
        <f t="shared" ca="1" si="22"/>
        <v>161.80799999999994</v>
      </c>
      <c r="H187">
        <f t="shared" ca="1" si="21"/>
        <v>154.99851485148506</v>
      </c>
      <c r="I187">
        <f t="shared" ca="1" si="18"/>
        <v>1.9389994028391404</v>
      </c>
      <c r="J187">
        <f t="shared" ca="1" si="19"/>
        <v>161.12850119432173</v>
      </c>
      <c r="K187">
        <f t="shared" ca="1" si="20"/>
        <v>168.88449880567831</v>
      </c>
    </row>
    <row r="188" spans="1:11" x14ac:dyDescent="0.25">
      <c r="A188" s="6">
        <f t="shared" ca="1" si="15"/>
        <v>45558</v>
      </c>
      <c r="B188" vm="550">
        <f ca="1"/>
        <v>45562</v>
      </c>
      <c r="C188" vm="551">
        <f ca="1"/>
        <v>161.4</v>
      </c>
      <c r="D188" vm="552">
        <f ca="1"/>
        <v>7553905</v>
      </c>
      <c r="E188">
        <f t="shared" ca="1" si="16"/>
        <v>163.51000000000002</v>
      </c>
      <c r="F188">
        <f t="shared" ca="1" si="17"/>
        <v>164.86499999999998</v>
      </c>
      <c r="G188">
        <f t="shared" ca="1" si="22"/>
        <v>161.92759999999993</v>
      </c>
      <c r="H188">
        <f t="shared" ca="1" si="21"/>
        <v>155.11861386138602</v>
      </c>
      <c r="I188">
        <f t="shared" ca="1" si="18"/>
        <v>2.0955855857894319</v>
      </c>
      <c r="J188">
        <f t="shared" ca="1" si="19"/>
        <v>160.67382882842111</v>
      </c>
      <c r="K188">
        <f t="shared" ca="1" si="20"/>
        <v>169.05617117157885</v>
      </c>
    </row>
    <row r="189" spans="1:11" x14ac:dyDescent="0.25">
      <c r="A189" s="6">
        <f t="shared" ca="1" si="15"/>
        <v>45565</v>
      </c>
      <c r="B189" vm="553">
        <f ca="1"/>
        <v>45565</v>
      </c>
      <c r="C189" vm="554">
        <f ca="1"/>
        <v>162.06</v>
      </c>
      <c r="D189" vm="555">
        <f ca="1"/>
        <v>6010407</v>
      </c>
      <c r="E189">
        <f t="shared" ca="1" si="16"/>
        <v>162.95333333333332</v>
      </c>
      <c r="F189">
        <f t="shared" ca="1" si="17"/>
        <v>164.67500000000001</v>
      </c>
      <c r="G189">
        <f t="shared" ca="1" si="22"/>
        <v>162.07499999999993</v>
      </c>
      <c r="H189">
        <f t="shared" ca="1" si="21"/>
        <v>155.25207920792067</v>
      </c>
      <c r="I189">
        <f t="shared" ca="1" si="18"/>
        <v>2.1715153573871939</v>
      </c>
      <c r="J189">
        <f t="shared" ca="1" si="19"/>
        <v>160.33196928522563</v>
      </c>
      <c r="K189">
        <f t="shared" ca="1" si="20"/>
        <v>169.0180307147744</v>
      </c>
    </row>
    <row r="190" spans="1:11" x14ac:dyDescent="0.25">
      <c r="A190" s="6">
        <f t="shared" ca="1" si="15"/>
        <v>45565</v>
      </c>
      <c r="B190" vm="556">
        <f ca="1"/>
        <v>45566</v>
      </c>
      <c r="C190" vm="557">
        <f ca="1"/>
        <v>161.99</v>
      </c>
      <c r="D190" vm="558">
        <f ca="1"/>
        <v>4408019</v>
      </c>
      <c r="E190">
        <f t="shared" ca="1" si="16"/>
        <v>162.49111111111111</v>
      </c>
      <c r="F190">
        <f t="shared" ca="1" si="17"/>
        <v>164.41649999999998</v>
      </c>
      <c r="G190">
        <f t="shared" ca="1" si="22"/>
        <v>162.22999999999996</v>
      </c>
      <c r="H190">
        <f t="shared" ca="1" si="21"/>
        <v>155.38346534653454</v>
      </c>
      <c r="I190">
        <f t="shared" ca="1" si="18"/>
        <v>2.1678470401469045</v>
      </c>
      <c r="J190">
        <f t="shared" ca="1" si="19"/>
        <v>160.08080591970617</v>
      </c>
      <c r="K190">
        <f t="shared" ca="1" si="20"/>
        <v>168.7521940802938</v>
      </c>
    </row>
    <row r="191" spans="1:11" x14ac:dyDescent="0.25">
      <c r="A191" s="6">
        <f t="shared" ca="1" si="15"/>
        <v>45565</v>
      </c>
      <c r="B191" vm="559">
        <f ca="1"/>
        <v>45567</v>
      </c>
      <c r="C191" vm="560">
        <f ca="1"/>
        <v>161.16999999999999</v>
      </c>
      <c r="D191" vm="561">
        <f ca="1"/>
        <v>4684472</v>
      </c>
      <c r="E191">
        <f t="shared" ca="1" si="16"/>
        <v>162.08555555555554</v>
      </c>
      <c r="F191">
        <f t="shared" ca="1" si="17"/>
        <v>164.10700000000003</v>
      </c>
      <c r="G191">
        <f t="shared" ca="1" si="22"/>
        <v>162.40639999999996</v>
      </c>
      <c r="H191">
        <f t="shared" ca="1" si="21"/>
        <v>155.50445544554447</v>
      </c>
      <c r="I191">
        <f t="shared" ca="1" si="18"/>
        <v>2.1673585669876472</v>
      </c>
      <c r="J191">
        <f t="shared" ca="1" si="19"/>
        <v>159.77228286602474</v>
      </c>
      <c r="K191">
        <f t="shared" ca="1" si="20"/>
        <v>168.44171713397532</v>
      </c>
    </row>
    <row r="192" spans="1:11" x14ac:dyDescent="0.25">
      <c r="A192" s="6">
        <f t="shared" ca="1" si="15"/>
        <v>45565</v>
      </c>
      <c r="B192" vm="562">
        <f ca="1"/>
        <v>45568</v>
      </c>
      <c r="C192" vm="563">
        <f ca="1"/>
        <v>160.5</v>
      </c>
      <c r="D192" vm="564">
        <f ca="1"/>
        <v>4791223</v>
      </c>
      <c r="E192">
        <f t="shared" ca="1" si="16"/>
        <v>161.67888888888891</v>
      </c>
      <c r="F192">
        <f t="shared" ca="1" si="17"/>
        <v>163.88250000000002</v>
      </c>
      <c r="G192">
        <f t="shared" ca="1" si="22"/>
        <v>162.49079999999995</v>
      </c>
      <c r="H192">
        <f t="shared" ca="1" si="21"/>
        <v>155.60990099009894</v>
      </c>
      <c r="I192">
        <f t="shared" ca="1" si="18"/>
        <v>2.2995900664431956</v>
      </c>
      <c r="J192">
        <f t="shared" ca="1" si="19"/>
        <v>159.28331986711362</v>
      </c>
      <c r="K192">
        <f t="shared" ca="1" si="20"/>
        <v>168.48168013288642</v>
      </c>
    </row>
    <row r="193" spans="1:11" x14ac:dyDescent="0.25">
      <c r="A193" s="6">
        <f t="shared" ca="1" si="15"/>
        <v>45565</v>
      </c>
      <c r="B193" vm="565">
        <f ca="1"/>
        <v>45569</v>
      </c>
      <c r="C193" vm="566">
        <f ca="1"/>
        <v>160.29</v>
      </c>
      <c r="D193" vm="567">
        <f ca="1"/>
        <v>5331694</v>
      </c>
      <c r="E193">
        <f t="shared" ca="1" si="16"/>
        <v>161.35333333333335</v>
      </c>
      <c r="F193">
        <f t="shared" ca="1" si="17"/>
        <v>163.67800000000003</v>
      </c>
      <c r="G193">
        <f t="shared" ca="1" si="22"/>
        <v>162.50379999999998</v>
      </c>
      <c r="H193">
        <f t="shared" ca="1" si="21"/>
        <v>155.71267326732666</v>
      </c>
      <c r="I193">
        <f t="shared" ca="1" si="18"/>
        <v>2.4311175684402757</v>
      </c>
      <c r="J193">
        <f t="shared" ca="1" si="19"/>
        <v>158.81576486311948</v>
      </c>
      <c r="K193">
        <f t="shared" ca="1" si="20"/>
        <v>168.54023513688057</v>
      </c>
    </row>
    <row r="194" spans="1:11" x14ac:dyDescent="0.25">
      <c r="A194" s="6">
        <f t="shared" ca="1" si="15"/>
        <v>45572</v>
      </c>
      <c r="B194" vm="568">
        <f ca="1"/>
        <v>45572</v>
      </c>
      <c r="C194" vm="569">
        <f ca="1"/>
        <v>159.53</v>
      </c>
      <c r="D194" vm="570">
        <f ca="1"/>
        <v>4265971</v>
      </c>
      <c r="E194">
        <f t="shared" ca="1" si="16"/>
        <v>160.99222222222224</v>
      </c>
      <c r="F194">
        <f t="shared" ca="1" si="17"/>
        <v>163.32400000000001</v>
      </c>
      <c r="G194">
        <f t="shared" ca="1" si="22"/>
        <v>162.48159999999999</v>
      </c>
      <c r="H194">
        <f t="shared" ca="1" si="21"/>
        <v>155.79495049504945</v>
      </c>
      <c r="I194">
        <f t="shared" ca="1" si="18"/>
        <v>2.4963054806316443</v>
      </c>
      <c r="J194">
        <f t="shared" ca="1" si="19"/>
        <v>158.33138903873672</v>
      </c>
      <c r="K194">
        <f t="shared" ca="1" si="20"/>
        <v>168.31661096126331</v>
      </c>
    </row>
    <row r="195" spans="1:11" x14ac:dyDescent="0.25">
      <c r="A195" s="6">
        <f t="shared" ref="A195:A258" ca="1" si="23">B195 - WEEKDAY(B195, 2) + 1</f>
        <v>45572</v>
      </c>
      <c r="B195" vm="571">
        <f ca="1"/>
        <v>45573</v>
      </c>
      <c r="C195" vm="572">
        <f ca="1"/>
        <v>159.69</v>
      </c>
      <c r="D195" vm="573">
        <f ca="1"/>
        <v>4766250</v>
      </c>
      <c r="E195">
        <f t="shared" ca="1" si="16"/>
        <v>160.89111111111112</v>
      </c>
      <c r="F195">
        <f t="shared" ca="1" si="17"/>
        <v>162.93950000000001</v>
      </c>
      <c r="G195">
        <f t="shared" ca="1" si="22"/>
        <v>162.50419999999997</v>
      </c>
      <c r="H195">
        <f t="shared" ca="1" si="21"/>
        <v>155.87722772277223</v>
      </c>
      <c r="I195">
        <f t="shared" ca="1" si="18"/>
        <v>2.4300454295081995</v>
      </c>
      <c r="J195">
        <f t="shared" ca="1" si="19"/>
        <v>158.07940914098361</v>
      </c>
      <c r="K195">
        <f t="shared" ca="1" si="20"/>
        <v>167.7995908590164</v>
      </c>
    </row>
    <row r="196" spans="1:11" x14ac:dyDescent="0.25">
      <c r="A196" s="6">
        <f t="shared" ca="1" si="23"/>
        <v>45572</v>
      </c>
      <c r="B196" vm="574">
        <f ca="1"/>
        <v>45574</v>
      </c>
      <c r="C196" vm="575">
        <f ca="1"/>
        <v>160.65</v>
      </c>
      <c r="D196" vm="576">
        <f ca="1"/>
        <v>6047269</v>
      </c>
      <c r="E196">
        <f t="shared" ca="1" si="16"/>
        <v>160.8088888888889</v>
      </c>
      <c r="F196">
        <f t="shared" ca="1" si="17"/>
        <v>162.73100000000002</v>
      </c>
      <c r="G196">
        <f t="shared" ca="1" si="22"/>
        <v>162.49059999999997</v>
      </c>
      <c r="H196">
        <f t="shared" ca="1" si="21"/>
        <v>155.95623762376232</v>
      </c>
      <c r="I196">
        <f t="shared" ca="1" si="18"/>
        <v>2.4390828733681644</v>
      </c>
      <c r="J196">
        <f t="shared" ca="1" si="19"/>
        <v>157.85283425326369</v>
      </c>
      <c r="K196">
        <f t="shared" ca="1" si="20"/>
        <v>167.60916574673635</v>
      </c>
    </row>
    <row r="197" spans="1:11" x14ac:dyDescent="0.25">
      <c r="A197" s="6">
        <f t="shared" ca="1" si="23"/>
        <v>45572</v>
      </c>
      <c r="B197" vm="577">
        <f ca="1"/>
        <v>45575</v>
      </c>
      <c r="C197" vm="578">
        <f ca="1"/>
        <v>160.51</v>
      </c>
      <c r="D197" vm="579">
        <f ca="1"/>
        <v>4793889</v>
      </c>
      <c r="E197">
        <f t="shared" ca="1" si="16"/>
        <v>160.71</v>
      </c>
      <c r="F197">
        <f t="shared" ca="1" si="17"/>
        <v>162.52449999999999</v>
      </c>
      <c r="G197">
        <f t="shared" ca="1" si="22"/>
        <v>162.54379999999998</v>
      </c>
      <c r="H197">
        <f t="shared" ca="1" si="21"/>
        <v>156.01792079207917</v>
      </c>
      <c r="I197">
        <f t="shared" ca="1" si="18"/>
        <v>2.4437793745710676</v>
      </c>
      <c r="J197">
        <f t="shared" ca="1" si="19"/>
        <v>157.63694125085786</v>
      </c>
      <c r="K197">
        <f t="shared" ca="1" si="20"/>
        <v>167.41205874914212</v>
      </c>
    </row>
    <row r="198" spans="1:11" x14ac:dyDescent="0.25">
      <c r="A198" s="6">
        <f t="shared" ca="1" si="23"/>
        <v>45572</v>
      </c>
      <c r="B198" vm="580">
        <f ca="1"/>
        <v>45576</v>
      </c>
      <c r="C198" vm="581">
        <f ca="1"/>
        <v>161.46</v>
      </c>
      <c r="D198" vm="582">
        <f ca="1"/>
        <v>5253459</v>
      </c>
      <c r="E198">
        <f t="shared" ca="1" si="16"/>
        <v>160.64333333333332</v>
      </c>
      <c r="F198">
        <f t="shared" ca="1" si="17"/>
        <v>162.32150000000001</v>
      </c>
      <c r="G198">
        <f t="shared" ca="1" si="22"/>
        <v>162.55779999999996</v>
      </c>
      <c r="H198">
        <f t="shared" ca="1" si="21"/>
        <v>156.0854455445544</v>
      </c>
      <c r="I198">
        <f t="shared" ca="1" si="18"/>
        <v>2.3486284351331084</v>
      </c>
      <c r="J198">
        <f t="shared" ca="1" si="19"/>
        <v>157.6242431297338</v>
      </c>
      <c r="K198">
        <f t="shared" ca="1" si="20"/>
        <v>167.01875687026623</v>
      </c>
    </row>
    <row r="199" spans="1:11" x14ac:dyDescent="0.25">
      <c r="A199" s="6">
        <f t="shared" ca="1" si="23"/>
        <v>45579</v>
      </c>
      <c r="B199" vm="583">
        <f ca="1"/>
        <v>45579</v>
      </c>
      <c r="C199" vm="584">
        <f ca="1"/>
        <v>161.6</v>
      </c>
      <c r="D199" vm="585">
        <f ca="1"/>
        <v>5963961</v>
      </c>
      <c r="E199">
        <f t="shared" ca="1" si="16"/>
        <v>160.59999999999997</v>
      </c>
      <c r="F199">
        <f t="shared" ca="1" si="17"/>
        <v>162.05200000000002</v>
      </c>
      <c r="G199">
        <f t="shared" ca="1" si="22"/>
        <v>162.50699999999998</v>
      </c>
      <c r="H199">
        <f t="shared" ca="1" si="21"/>
        <v>156.18772277227717</v>
      </c>
      <c r="I199">
        <f t="shared" ca="1" si="18"/>
        <v>2.0784371659089382</v>
      </c>
      <c r="J199">
        <f t="shared" ca="1" si="19"/>
        <v>157.89512566818215</v>
      </c>
      <c r="K199">
        <f t="shared" ca="1" si="20"/>
        <v>166.2088743318179</v>
      </c>
    </row>
    <row r="200" spans="1:11" x14ac:dyDescent="0.25">
      <c r="A200" s="6">
        <f t="shared" ca="1" si="23"/>
        <v>45579</v>
      </c>
      <c r="B200" vm="586">
        <f ca="1"/>
        <v>45580</v>
      </c>
      <c r="C200" vm="587">
        <f ca="1"/>
        <v>164.1</v>
      </c>
      <c r="D200" vm="588">
        <f ca="1"/>
        <v>10547966</v>
      </c>
      <c r="E200">
        <f t="shared" ca="1" si="16"/>
        <v>160.92555555555552</v>
      </c>
      <c r="F200">
        <f t="shared" ca="1" si="17"/>
        <v>161.90350000000004</v>
      </c>
      <c r="G200">
        <f t="shared" ca="1" si="22"/>
        <v>162.56400000000002</v>
      </c>
      <c r="H200">
        <f t="shared" ca="1" si="21"/>
        <v>156.31504950495048</v>
      </c>
      <c r="I200">
        <f t="shared" ca="1" si="18"/>
        <v>1.7866619124707639</v>
      </c>
      <c r="J200">
        <f t="shared" ca="1" si="19"/>
        <v>158.33017617505851</v>
      </c>
      <c r="K200">
        <f t="shared" ca="1" si="20"/>
        <v>165.47682382494156</v>
      </c>
    </row>
    <row r="201" spans="1:11" x14ac:dyDescent="0.25">
      <c r="A201" s="6">
        <f t="shared" ca="1" si="23"/>
        <v>45579</v>
      </c>
      <c r="B201" vm="589">
        <f ca="1"/>
        <v>45581</v>
      </c>
      <c r="C201" vm="590">
        <f ca="1"/>
        <v>164.28</v>
      </c>
      <c r="D201" vm="591">
        <f ca="1"/>
        <v>5982291</v>
      </c>
      <c r="E201">
        <f t="shared" ca="1" si="16"/>
        <v>161.34555555555553</v>
      </c>
      <c r="F201">
        <f t="shared" ca="1" si="17"/>
        <v>161.81</v>
      </c>
      <c r="G201">
        <f t="shared" ca="1" si="22"/>
        <v>162.67019999999999</v>
      </c>
      <c r="H201">
        <f t="shared" ca="1" si="21"/>
        <v>156.4217821782178</v>
      </c>
      <c r="I201">
        <f t="shared" ca="1" si="18"/>
        <v>1.5909480788113997</v>
      </c>
      <c r="J201">
        <f t="shared" ca="1" si="19"/>
        <v>158.62810384237721</v>
      </c>
      <c r="K201">
        <f t="shared" ca="1" si="20"/>
        <v>164.99189615762279</v>
      </c>
    </row>
    <row r="202" spans="1:11" x14ac:dyDescent="0.25">
      <c r="A202" s="6">
        <f t="shared" ca="1" si="23"/>
        <v>45579</v>
      </c>
      <c r="B202" vm="592">
        <f ca="1"/>
        <v>45582</v>
      </c>
      <c r="C202" vm="593">
        <f ca="1"/>
        <v>164.47</v>
      </c>
      <c r="D202" vm="594">
        <f ca="1"/>
        <v>4798238</v>
      </c>
      <c r="E202">
        <f t="shared" ca="1" si="16"/>
        <v>161.81</v>
      </c>
      <c r="F202">
        <f t="shared" ca="1" si="17"/>
        <v>161.79249999999996</v>
      </c>
      <c r="G202">
        <f t="shared" ca="1" si="22"/>
        <v>162.7816</v>
      </c>
      <c r="H202">
        <f t="shared" ca="1" si="21"/>
        <v>156.5680198019802</v>
      </c>
      <c r="I202">
        <f t="shared" ca="1" si="18"/>
        <v>1.5576732817351591</v>
      </c>
      <c r="J202">
        <f t="shared" ca="1" si="19"/>
        <v>158.67715343652964</v>
      </c>
      <c r="K202">
        <f t="shared" ca="1" si="20"/>
        <v>164.90784656347029</v>
      </c>
    </row>
    <row r="203" spans="1:11" x14ac:dyDescent="0.25">
      <c r="A203" s="6">
        <f t="shared" ca="1" si="23"/>
        <v>45579</v>
      </c>
      <c r="B203" vm="595">
        <f ca="1"/>
        <v>45583</v>
      </c>
      <c r="C203" vm="596">
        <f ca="1"/>
        <v>165.12</v>
      </c>
      <c r="D203" vm="597">
        <f ca="1"/>
        <v>5908012</v>
      </c>
      <c r="E203">
        <f t="shared" ref="E203:E266" ca="1" si="24">AVERAGE(C195:C203)</f>
        <v>162.43111111111114</v>
      </c>
      <c r="F203">
        <f t="shared" ca="1" si="17"/>
        <v>161.84049999999996</v>
      </c>
      <c r="G203">
        <f t="shared" ca="1" si="22"/>
        <v>162.87959999999998</v>
      </c>
      <c r="H203">
        <f t="shared" ca="1" si="21"/>
        <v>156.74772277227726</v>
      </c>
      <c r="I203">
        <f t="shared" ca="1" si="18"/>
        <v>1.6467143522465397</v>
      </c>
      <c r="J203">
        <f t="shared" ca="1" si="19"/>
        <v>158.5470712955069</v>
      </c>
      <c r="K203">
        <f t="shared" ca="1" si="20"/>
        <v>165.13392870449303</v>
      </c>
    </row>
    <row r="204" spans="1:11" x14ac:dyDescent="0.25">
      <c r="A204" s="6">
        <f t="shared" ca="1" si="23"/>
        <v>45586</v>
      </c>
      <c r="B204" vm="598">
        <f ca="1"/>
        <v>45586</v>
      </c>
      <c r="C204" vm="599">
        <f ca="1"/>
        <v>162.83000000000001</v>
      </c>
      <c r="D204" vm="600">
        <f ca="1"/>
        <v>6082736</v>
      </c>
      <c r="E204">
        <f t="shared" ca="1" si="24"/>
        <v>162.78</v>
      </c>
      <c r="F204">
        <f t="shared" ca="1" si="17"/>
        <v>161.821</v>
      </c>
      <c r="G204">
        <f t="shared" ca="1" si="22"/>
        <v>162.9238</v>
      </c>
      <c r="H204">
        <f t="shared" ca="1" si="21"/>
        <v>156.93039603960398</v>
      </c>
      <c r="I204">
        <f t="shared" ca="1" si="18"/>
        <v>1.6317601087879261</v>
      </c>
      <c r="J204">
        <f t="shared" ca="1" si="19"/>
        <v>158.55747978242414</v>
      </c>
      <c r="K204">
        <f t="shared" ca="1" si="20"/>
        <v>165.08452021757586</v>
      </c>
    </row>
    <row r="205" spans="1:11" x14ac:dyDescent="0.25">
      <c r="A205" s="6">
        <f t="shared" ca="1" si="23"/>
        <v>45586</v>
      </c>
      <c r="B205" vm="601">
        <f ca="1"/>
        <v>45587</v>
      </c>
      <c r="C205" vm="602">
        <f ca="1"/>
        <v>163.44999999999999</v>
      </c>
      <c r="D205" vm="603">
        <f ca="1"/>
        <v>5680612</v>
      </c>
      <c r="E205">
        <f t="shared" ca="1" si="24"/>
        <v>163.0911111111111</v>
      </c>
      <c r="F205">
        <f t="shared" ca="1" si="17"/>
        <v>161.85449999999997</v>
      </c>
      <c r="G205">
        <f t="shared" ca="1" si="22"/>
        <v>162.99520000000001</v>
      </c>
      <c r="H205">
        <f t="shared" ca="1" si="21"/>
        <v>157.11861386138617</v>
      </c>
      <c r="I205">
        <f t="shared" ca="1" si="18"/>
        <v>1.6591325412617546</v>
      </c>
      <c r="J205">
        <f t="shared" ca="1" si="19"/>
        <v>158.53623491747646</v>
      </c>
      <c r="K205">
        <f t="shared" ca="1" si="20"/>
        <v>165.17276508252348</v>
      </c>
    </row>
    <row r="206" spans="1:11" x14ac:dyDescent="0.25">
      <c r="A206" s="6">
        <f t="shared" ca="1" si="23"/>
        <v>45586</v>
      </c>
      <c r="B206" vm="604">
        <f ca="1"/>
        <v>45588</v>
      </c>
      <c r="C206" vm="495">
        <f ca="1"/>
        <v>165.86</v>
      </c>
      <c r="D206" vm="605">
        <f ca="1"/>
        <v>7442026</v>
      </c>
      <c r="E206">
        <f t="shared" ca="1" si="24"/>
        <v>163.68555555555557</v>
      </c>
      <c r="F206">
        <f t="shared" ca="1" si="17"/>
        <v>162.11750000000001</v>
      </c>
      <c r="G206">
        <f t="shared" ca="1" si="22"/>
        <v>163.1446</v>
      </c>
      <c r="H206">
        <f t="shared" ca="1" si="21"/>
        <v>157.32237623762379</v>
      </c>
      <c r="I206">
        <f t="shared" ca="1" si="18"/>
        <v>1.8551290918338892</v>
      </c>
      <c r="J206">
        <f t="shared" ca="1" si="19"/>
        <v>158.40724181633223</v>
      </c>
      <c r="K206">
        <f t="shared" ca="1" si="20"/>
        <v>165.82775818366778</v>
      </c>
    </row>
    <row r="207" spans="1:11" x14ac:dyDescent="0.25">
      <c r="A207" s="6">
        <f t="shared" ca="1" si="23"/>
        <v>45586</v>
      </c>
      <c r="B207" vm="606">
        <f ca="1"/>
        <v>45589</v>
      </c>
      <c r="C207" vm="607">
        <f ca="1"/>
        <v>163.66999999999999</v>
      </c>
      <c r="D207" vm="608">
        <f ca="1"/>
        <v>5386525</v>
      </c>
      <c r="E207">
        <f t="shared" ca="1" si="24"/>
        <v>163.93111111111114</v>
      </c>
      <c r="F207">
        <f t="shared" ca="1" si="17"/>
        <v>162.23150000000001</v>
      </c>
      <c r="G207">
        <f t="shared" ca="1" si="22"/>
        <v>163.2484</v>
      </c>
      <c r="H207">
        <f t="shared" ca="1" si="21"/>
        <v>157.49069306930696</v>
      </c>
      <c r="I207">
        <f t="shared" ca="1" si="18"/>
        <v>1.8779840114783799</v>
      </c>
      <c r="J207">
        <f t="shared" ca="1" si="19"/>
        <v>158.47553197704326</v>
      </c>
      <c r="K207">
        <f t="shared" ca="1" si="20"/>
        <v>165.98746802295676</v>
      </c>
    </row>
    <row r="208" spans="1:11" x14ac:dyDescent="0.25">
      <c r="A208" s="6">
        <f t="shared" ca="1" si="23"/>
        <v>45586</v>
      </c>
      <c r="B208" vm="609">
        <f ca="1"/>
        <v>45590</v>
      </c>
      <c r="C208" vm="610">
        <f ca="1"/>
        <v>160.88</v>
      </c>
      <c r="D208" vm="611">
        <f ca="1"/>
        <v>6400449</v>
      </c>
      <c r="E208">
        <f t="shared" ca="1" si="24"/>
        <v>163.85111111111115</v>
      </c>
      <c r="F208">
        <f t="shared" ca="1" si="17"/>
        <v>162.20549999999997</v>
      </c>
      <c r="G208">
        <f t="shared" ca="1" si="22"/>
        <v>163.28420000000003</v>
      </c>
      <c r="H208">
        <f t="shared" ca="1" si="21"/>
        <v>157.62079207920797</v>
      </c>
      <c r="I208">
        <f t="shared" ca="1" si="18"/>
        <v>1.8936360874199021</v>
      </c>
      <c r="J208">
        <f t="shared" ca="1" si="19"/>
        <v>158.41822782516016</v>
      </c>
      <c r="K208">
        <f t="shared" ca="1" si="20"/>
        <v>165.99277217483979</v>
      </c>
    </row>
    <row r="209" spans="1:11" x14ac:dyDescent="0.25">
      <c r="A209" s="6">
        <f t="shared" ca="1" si="23"/>
        <v>45593</v>
      </c>
      <c r="B209" vm="612">
        <f ca="1"/>
        <v>45593</v>
      </c>
      <c r="C209" vm="584">
        <f ca="1"/>
        <v>161.6</v>
      </c>
      <c r="D209" vm="613">
        <f ca="1"/>
        <v>4842653</v>
      </c>
      <c r="E209">
        <f t="shared" ca="1" si="24"/>
        <v>163.57333333333332</v>
      </c>
      <c r="F209">
        <f t="shared" ca="1" si="17"/>
        <v>162.18249999999998</v>
      </c>
      <c r="G209">
        <f t="shared" ca="1" si="22"/>
        <v>163.32839999999999</v>
      </c>
      <c r="H209">
        <f t="shared" ca="1" si="21"/>
        <v>157.7574257425743</v>
      </c>
      <c r="I209">
        <f t="shared" ca="1" si="18"/>
        <v>1.8982841975681224</v>
      </c>
      <c r="J209">
        <f t="shared" ca="1" si="19"/>
        <v>158.38593160486374</v>
      </c>
      <c r="K209">
        <f t="shared" ca="1" si="20"/>
        <v>165.97906839513621</v>
      </c>
    </row>
    <row r="210" spans="1:11" x14ac:dyDescent="0.25">
      <c r="A210" s="6">
        <f t="shared" ca="1" si="23"/>
        <v>45593</v>
      </c>
      <c r="B210" vm="614">
        <f ca="1"/>
        <v>45594</v>
      </c>
      <c r="C210" vm="615">
        <f ca="1"/>
        <v>160.09</v>
      </c>
      <c r="D210" vm="616">
        <f ca="1"/>
        <v>5216879</v>
      </c>
      <c r="E210">
        <f t="shared" ca="1" si="24"/>
        <v>163.10777777777778</v>
      </c>
      <c r="F210">
        <f t="shared" ca="1" si="17"/>
        <v>162.08749999999998</v>
      </c>
      <c r="G210">
        <f t="shared" ca="1" si="22"/>
        <v>163.33760000000001</v>
      </c>
      <c r="H210">
        <f t="shared" ca="1" si="21"/>
        <v>157.8972277227723</v>
      </c>
      <c r="I210">
        <f t="shared" ca="1" si="18"/>
        <v>1.955117105121033</v>
      </c>
      <c r="J210">
        <f t="shared" ca="1" si="19"/>
        <v>158.17726578975791</v>
      </c>
      <c r="K210">
        <f t="shared" ca="1" si="20"/>
        <v>165.99773421024204</v>
      </c>
    </row>
    <row r="211" spans="1:11" x14ac:dyDescent="0.25">
      <c r="A211" s="6">
        <f t="shared" ca="1" si="23"/>
        <v>45593</v>
      </c>
      <c r="B211" vm="617">
        <f ca="1"/>
        <v>45595</v>
      </c>
      <c r="C211" vm="618">
        <f ca="1"/>
        <v>160.61000000000001</v>
      </c>
      <c r="D211" vm="619">
        <f ca="1"/>
        <v>5820530</v>
      </c>
      <c r="E211">
        <f t="shared" ca="1" si="24"/>
        <v>162.67888888888885</v>
      </c>
      <c r="F211">
        <f t="shared" ca="1" si="17"/>
        <v>162.05950000000001</v>
      </c>
      <c r="G211">
        <f t="shared" ca="1" si="22"/>
        <v>163.3466</v>
      </c>
      <c r="H211">
        <f t="shared" ca="1" si="21"/>
        <v>158.03772277227728</v>
      </c>
      <c r="I211">
        <f t="shared" ca="1" si="18"/>
        <v>1.9728778738845343</v>
      </c>
      <c r="J211">
        <f t="shared" ca="1" si="19"/>
        <v>158.11374425223096</v>
      </c>
      <c r="K211">
        <f t="shared" ca="1" si="20"/>
        <v>166.00525574776907</v>
      </c>
    </row>
    <row r="212" spans="1:11" x14ac:dyDescent="0.25">
      <c r="A212" s="6">
        <f t="shared" ca="1" si="23"/>
        <v>45593</v>
      </c>
      <c r="B212" vm="620">
        <f ca="1"/>
        <v>45596</v>
      </c>
      <c r="C212" vm="621">
        <f ca="1"/>
        <v>159.86000000000001</v>
      </c>
      <c r="D212" vm="622">
        <f ca="1"/>
        <v>8613860</v>
      </c>
      <c r="E212">
        <f t="shared" ca="1" si="24"/>
        <v>162.09444444444443</v>
      </c>
      <c r="F212">
        <f t="shared" ca="1" si="17"/>
        <v>162.0275</v>
      </c>
      <c r="G212">
        <f t="shared" ca="1" si="22"/>
        <v>163.3152</v>
      </c>
      <c r="H212">
        <f t="shared" ca="1" si="21"/>
        <v>158.16425742574262</v>
      </c>
      <c r="I212">
        <f t="shared" ca="1" si="18"/>
        <v>2.0044421063963749</v>
      </c>
      <c r="J212">
        <f t="shared" ca="1" si="19"/>
        <v>158.01861578720727</v>
      </c>
      <c r="K212">
        <f t="shared" ca="1" si="20"/>
        <v>166.03638421279274</v>
      </c>
    </row>
    <row r="213" spans="1:11" x14ac:dyDescent="0.25">
      <c r="A213" s="6">
        <f t="shared" ca="1" si="23"/>
        <v>45593</v>
      </c>
      <c r="B213" vm="623">
        <f ca="1"/>
        <v>45597</v>
      </c>
      <c r="C213" vm="624">
        <f ca="1"/>
        <v>160.13</v>
      </c>
      <c r="D213" vm="625">
        <f ca="1"/>
        <v>5256652</v>
      </c>
      <c r="E213">
        <f t="shared" ca="1" si="24"/>
        <v>161.79444444444445</v>
      </c>
      <c r="F213">
        <f t="shared" ca="1" si="17"/>
        <v>162.01950000000002</v>
      </c>
      <c r="G213">
        <f t="shared" ca="1" si="22"/>
        <v>163.27080000000001</v>
      </c>
      <c r="H213">
        <f t="shared" ca="1" si="21"/>
        <v>158.29297029702974</v>
      </c>
      <c r="I213">
        <f t="shared" ca="1" si="18"/>
        <v>2.0120465491109973</v>
      </c>
      <c r="J213">
        <f t="shared" ca="1" si="19"/>
        <v>157.99540690177804</v>
      </c>
      <c r="K213">
        <f t="shared" ca="1" si="20"/>
        <v>166.043593098222</v>
      </c>
    </row>
    <row r="214" spans="1:11" x14ac:dyDescent="0.25">
      <c r="A214" s="6">
        <f t="shared" ca="1" si="23"/>
        <v>45600</v>
      </c>
      <c r="B214" vm="626">
        <f ca="1"/>
        <v>45600</v>
      </c>
      <c r="C214" vm="627">
        <f ca="1"/>
        <v>158.24</v>
      </c>
      <c r="D214" vm="628">
        <f ca="1"/>
        <v>4644011</v>
      </c>
      <c r="E214">
        <f t="shared" ca="1" si="24"/>
        <v>161.2155555555556</v>
      </c>
      <c r="F214">
        <f t="shared" ref="F214:F277" ca="1" si="25">AVERAGE(C195:C214)</f>
        <v>161.95500000000001</v>
      </c>
      <c r="G214">
        <f t="shared" ca="1" si="22"/>
        <v>163.15299999999999</v>
      </c>
      <c r="H214">
        <f t="shared" ca="1" si="21"/>
        <v>158.40663366336636</v>
      </c>
      <c r="I214">
        <f t="shared" ref="I214:I277" ca="1" si="26">_xlfn.STDEV.S(C195:C214)</f>
        <v>2.1141391180635001</v>
      </c>
      <c r="J214">
        <f t="shared" ref="J214:J277" ca="1" si="27">F214-2*I214</f>
        <v>157.726721763873</v>
      </c>
      <c r="K214">
        <f t="shared" ref="K214:K277" ca="1" si="28">F214+2*I214</f>
        <v>166.18327823612702</v>
      </c>
    </row>
    <row r="215" spans="1:11" x14ac:dyDescent="0.25">
      <c r="A215" s="6">
        <f t="shared" ca="1" si="23"/>
        <v>45600</v>
      </c>
      <c r="B215" vm="629">
        <f ca="1"/>
        <v>45601</v>
      </c>
      <c r="C215" vm="630">
        <f ca="1"/>
        <v>158.35</v>
      </c>
      <c r="D215" vm="631">
        <f ca="1"/>
        <v>6547074</v>
      </c>
      <c r="E215">
        <f t="shared" ca="1" si="24"/>
        <v>160.38111111111112</v>
      </c>
      <c r="F215">
        <f t="shared" ca="1" si="25"/>
        <v>161.88800000000003</v>
      </c>
      <c r="G215">
        <f t="shared" ca="1" si="22"/>
        <v>163.02780000000001</v>
      </c>
      <c r="H215">
        <f t="shared" ca="1" si="21"/>
        <v>158.53475247524756</v>
      </c>
      <c r="I215">
        <f t="shared" ca="1" si="26"/>
        <v>2.2088115404109585</v>
      </c>
      <c r="J215">
        <f t="shared" ca="1" si="27"/>
        <v>157.47037691917811</v>
      </c>
      <c r="K215">
        <f t="shared" ca="1" si="28"/>
        <v>166.30562308082196</v>
      </c>
    </row>
    <row r="216" spans="1:11" x14ac:dyDescent="0.25">
      <c r="A216" s="6">
        <f t="shared" ca="1" si="23"/>
        <v>45600</v>
      </c>
      <c r="B216" vm="632">
        <f ca="1"/>
        <v>45602</v>
      </c>
      <c r="C216" vm="633">
        <f ca="1"/>
        <v>157.88</v>
      </c>
      <c r="D216" vm="634">
        <f ca="1"/>
        <v>8926601</v>
      </c>
      <c r="E216">
        <f t="shared" ca="1" si="24"/>
        <v>159.73777777777775</v>
      </c>
      <c r="F216">
        <f t="shared" ca="1" si="25"/>
        <v>161.74950000000001</v>
      </c>
      <c r="G216">
        <f t="shared" ca="1" si="22"/>
        <v>162.9264</v>
      </c>
      <c r="H216">
        <f t="shared" ca="1" si="21"/>
        <v>158.65782178217825</v>
      </c>
      <c r="I216">
        <f t="shared" ca="1" si="26"/>
        <v>2.3713852824656598</v>
      </c>
      <c r="J216">
        <f t="shared" ca="1" si="27"/>
        <v>157.00672943506868</v>
      </c>
      <c r="K216">
        <f t="shared" ca="1" si="28"/>
        <v>166.49227056493135</v>
      </c>
    </row>
    <row r="217" spans="1:11" x14ac:dyDescent="0.25">
      <c r="A217" s="6">
        <f t="shared" ca="1" si="23"/>
        <v>45600</v>
      </c>
      <c r="B217" vm="635">
        <f ca="1"/>
        <v>45603</v>
      </c>
      <c r="C217" vm="636">
        <f ca="1"/>
        <v>156.72999999999999</v>
      </c>
      <c r="D217" vm="637">
        <f ca="1"/>
        <v>7522812</v>
      </c>
      <c r="E217">
        <f t="shared" ca="1" si="24"/>
        <v>159.2766666666667</v>
      </c>
      <c r="F217">
        <f t="shared" ca="1" si="25"/>
        <v>161.56050000000005</v>
      </c>
      <c r="G217">
        <f t="shared" ca="1" si="22"/>
        <v>162.78259999999997</v>
      </c>
      <c r="H217">
        <f t="shared" ca="1" si="21"/>
        <v>158.76861386138614</v>
      </c>
      <c r="I217">
        <f t="shared" ca="1" si="26"/>
        <v>2.6136332344478883</v>
      </c>
      <c r="J217">
        <f t="shared" ca="1" si="27"/>
        <v>156.33323353110427</v>
      </c>
      <c r="K217">
        <f t="shared" ca="1" si="28"/>
        <v>166.78776646889582</v>
      </c>
    </row>
    <row r="218" spans="1:11" x14ac:dyDescent="0.25">
      <c r="A218" s="6">
        <f t="shared" ca="1" si="23"/>
        <v>45600</v>
      </c>
      <c r="B218" vm="638">
        <f ca="1"/>
        <v>45604</v>
      </c>
      <c r="C218" vm="639">
        <f ca="1"/>
        <v>155.47</v>
      </c>
      <c r="D218" vm="640">
        <f ca="1"/>
        <v>8926134</v>
      </c>
      <c r="E218">
        <f t="shared" ca="1" si="24"/>
        <v>158.59555555555556</v>
      </c>
      <c r="F218">
        <f t="shared" ca="1" si="25"/>
        <v>161.261</v>
      </c>
      <c r="G218">
        <f t="shared" ca="1" si="22"/>
        <v>162.60739999999998</v>
      </c>
      <c r="H218">
        <f t="shared" ca="1" si="21"/>
        <v>158.86287128712871</v>
      </c>
      <c r="I218">
        <f t="shared" ca="1" si="26"/>
        <v>2.9476179499635586</v>
      </c>
      <c r="J218">
        <f t="shared" ca="1" si="27"/>
        <v>155.36576410007288</v>
      </c>
      <c r="K218">
        <f t="shared" ca="1" si="28"/>
        <v>167.15623589992711</v>
      </c>
    </row>
    <row r="219" spans="1:11" x14ac:dyDescent="0.25">
      <c r="A219" s="6">
        <f t="shared" ca="1" si="23"/>
        <v>45607</v>
      </c>
      <c r="B219" vm="641">
        <f ca="1"/>
        <v>45607</v>
      </c>
      <c r="C219" vm="642">
        <f ca="1"/>
        <v>155.04</v>
      </c>
      <c r="D219" vm="643">
        <f ca="1"/>
        <v>7146759</v>
      </c>
      <c r="E219">
        <f t="shared" ca="1" si="24"/>
        <v>158.03444444444443</v>
      </c>
      <c r="F219">
        <f t="shared" ca="1" si="25"/>
        <v>160.93300000000002</v>
      </c>
      <c r="G219">
        <f t="shared" ca="1" si="22"/>
        <v>162.39099999999999</v>
      </c>
      <c r="H219">
        <f t="shared" ca="1" si="21"/>
        <v>158.95584158415843</v>
      </c>
      <c r="I219">
        <f t="shared" ca="1" si="26"/>
        <v>3.2566920575784786</v>
      </c>
      <c r="J219">
        <f t="shared" ca="1" si="27"/>
        <v>154.41961588484307</v>
      </c>
      <c r="K219">
        <f t="shared" ca="1" si="28"/>
        <v>167.44638411515697</v>
      </c>
    </row>
    <row r="220" spans="1:11" x14ac:dyDescent="0.25">
      <c r="A220" s="6">
        <f t="shared" ca="1" si="23"/>
        <v>45607</v>
      </c>
      <c r="B220" vm="644">
        <f ca="1"/>
        <v>45608</v>
      </c>
      <c r="C220" vm="645">
        <f ca="1"/>
        <v>152.63999999999999</v>
      </c>
      <c r="D220" vm="646">
        <f ca="1"/>
        <v>7181408</v>
      </c>
      <c r="E220">
        <f t="shared" ca="1" si="24"/>
        <v>157.14888888888891</v>
      </c>
      <c r="F220">
        <f t="shared" ca="1" si="25"/>
        <v>160.35999999999999</v>
      </c>
      <c r="G220">
        <f t="shared" ca="1" si="22"/>
        <v>162.10060000000001</v>
      </c>
      <c r="H220">
        <f t="shared" ca="1" si="21"/>
        <v>159.00396039603959</v>
      </c>
      <c r="I220">
        <f t="shared" ca="1" si="26"/>
        <v>3.6540691089019655</v>
      </c>
      <c r="J220">
        <f t="shared" ca="1" si="27"/>
        <v>153.05186178219606</v>
      </c>
      <c r="K220">
        <f t="shared" ca="1" si="28"/>
        <v>167.66813821780391</v>
      </c>
    </row>
    <row r="221" spans="1:11" x14ac:dyDescent="0.25">
      <c r="A221" s="6">
        <f t="shared" ca="1" si="23"/>
        <v>45607</v>
      </c>
      <c r="B221" vm="647">
        <f ca="1"/>
        <v>45609</v>
      </c>
      <c r="C221" vm="648">
        <f ca="1"/>
        <v>153.24</v>
      </c>
      <c r="D221" vm="649">
        <f ca="1"/>
        <v>7162233</v>
      </c>
      <c r="E221">
        <f t="shared" ca="1" si="24"/>
        <v>156.41333333333333</v>
      </c>
      <c r="F221">
        <f t="shared" ca="1" si="25"/>
        <v>159.80799999999999</v>
      </c>
      <c r="G221">
        <f t="shared" ca="1" si="22"/>
        <v>161.81820000000002</v>
      </c>
      <c r="H221">
        <f t="shared" ca="1" si="21"/>
        <v>159.04841584158416</v>
      </c>
      <c r="I221">
        <f t="shared" ca="1" si="26"/>
        <v>3.8588662092708845</v>
      </c>
      <c r="J221">
        <f t="shared" ca="1" si="27"/>
        <v>152.09026758145822</v>
      </c>
      <c r="K221">
        <f t="shared" ca="1" si="28"/>
        <v>167.52573241854176</v>
      </c>
    </row>
    <row r="222" spans="1:11" x14ac:dyDescent="0.25">
      <c r="A222" s="6">
        <f t="shared" ca="1" si="23"/>
        <v>45607</v>
      </c>
      <c r="B222" vm="650">
        <f ca="1"/>
        <v>45610</v>
      </c>
      <c r="C222" vm="651">
        <f ca="1"/>
        <v>151.87</v>
      </c>
      <c r="D222" vm="652">
        <f ca="1"/>
        <v>7716385</v>
      </c>
      <c r="E222">
        <f t="shared" ca="1" si="24"/>
        <v>155.49555555555557</v>
      </c>
      <c r="F222">
        <f t="shared" ca="1" si="25"/>
        <v>159.17799999999997</v>
      </c>
      <c r="G222">
        <f t="shared" ca="1" si="22"/>
        <v>161.5558</v>
      </c>
      <c r="H222">
        <f t="shared" ca="1" si="21"/>
        <v>159.07564356435643</v>
      </c>
      <c r="I222">
        <f t="shared" ca="1" si="26"/>
        <v>4.0798975735337191</v>
      </c>
      <c r="J222">
        <f t="shared" ca="1" si="27"/>
        <v>151.01820485293254</v>
      </c>
      <c r="K222">
        <f t="shared" ca="1" si="28"/>
        <v>167.3377951470674</v>
      </c>
    </row>
    <row r="223" spans="1:11" x14ac:dyDescent="0.25">
      <c r="A223" s="6">
        <f t="shared" ca="1" si="23"/>
        <v>45607</v>
      </c>
      <c r="B223" vm="653">
        <f ca="1"/>
        <v>45611</v>
      </c>
      <c r="C223" vm="654">
        <f ca="1"/>
        <v>154</v>
      </c>
      <c r="D223" vm="655">
        <f ca="1"/>
        <v>11328515</v>
      </c>
      <c r="E223">
        <f t="shared" ca="1" si="24"/>
        <v>155.02444444444441</v>
      </c>
      <c r="F223">
        <f t="shared" ca="1" si="25"/>
        <v>158.62199999999999</v>
      </c>
      <c r="G223">
        <f t="shared" ca="1" si="22"/>
        <v>161.34820000000002</v>
      </c>
      <c r="H223">
        <f t="shared" ca="1" si="21"/>
        <v>159.14306930693067</v>
      </c>
      <c r="I223">
        <f t="shared" ca="1" si="26"/>
        <v>3.9840954860677313</v>
      </c>
      <c r="J223">
        <f t="shared" ca="1" si="27"/>
        <v>150.65380902786453</v>
      </c>
      <c r="K223">
        <f t="shared" ca="1" si="28"/>
        <v>166.59019097213545</v>
      </c>
    </row>
    <row r="224" spans="1:11" x14ac:dyDescent="0.25">
      <c r="A224" s="6">
        <f t="shared" ca="1" si="23"/>
        <v>45614</v>
      </c>
      <c r="B224" vm="656">
        <f ca="1"/>
        <v>45614</v>
      </c>
      <c r="C224" vm="657">
        <f ca="1"/>
        <v>154.77000000000001</v>
      </c>
      <c r="D224" vm="658">
        <f ca="1"/>
        <v>7514177</v>
      </c>
      <c r="E224">
        <f t="shared" ca="1" si="24"/>
        <v>154.62666666666667</v>
      </c>
      <c r="F224">
        <f t="shared" ca="1" si="25"/>
        <v>158.21899999999999</v>
      </c>
      <c r="G224">
        <f t="shared" ca="1" si="22"/>
        <v>161.1114</v>
      </c>
      <c r="H224">
        <f t="shared" ca="1" si="21"/>
        <v>159.22178217821781</v>
      </c>
      <c r="I224">
        <f t="shared" ca="1" si="26"/>
        <v>3.9434808294996917</v>
      </c>
      <c r="J224">
        <f t="shared" ca="1" si="27"/>
        <v>150.33203834100061</v>
      </c>
      <c r="K224">
        <f t="shared" ca="1" si="28"/>
        <v>166.10596165899938</v>
      </c>
    </row>
    <row r="225" spans="1:11" x14ac:dyDescent="0.25">
      <c r="A225" s="6">
        <f t="shared" ca="1" si="23"/>
        <v>45614</v>
      </c>
      <c r="B225" vm="659">
        <f ca="1"/>
        <v>45615</v>
      </c>
      <c r="C225" vm="660">
        <f ca="1"/>
        <v>153</v>
      </c>
      <c r="D225" vm="661">
        <f ca="1"/>
        <v>8233678</v>
      </c>
      <c r="E225">
        <f t="shared" ca="1" si="24"/>
        <v>154.08444444444444</v>
      </c>
      <c r="F225">
        <f t="shared" ca="1" si="25"/>
        <v>157.69649999999999</v>
      </c>
      <c r="G225">
        <f t="shared" ca="1" si="22"/>
        <v>160.82380000000001</v>
      </c>
      <c r="H225">
        <f t="shared" ca="1" si="21"/>
        <v>159.2930693069307</v>
      </c>
      <c r="I225">
        <f t="shared" ca="1" si="26"/>
        <v>3.906029448510544</v>
      </c>
      <c r="J225">
        <f t="shared" ca="1" si="27"/>
        <v>149.88444110297891</v>
      </c>
      <c r="K225">
        <f t="shared" ca="1" si="28"/>
        <v>165.50855889702106</v>
      </c>
    </row>
    <row r="226" spans="1:11" x14ac:dyDescent="0.25">
      <c r="A226" s="6">
        <f t="shared" ca="1" si="23"/>
        <v>45614</v>
      </c>
      <c r="B226" vm="662">
        <f ca="1"/>
        <v>45616</v>
      </c>
      <c r="C226" vm="663">
        <f ca="1"/>
        <v>153.11000000000001</v>
      </c>
      <c r="D226" vm="664">
        <f ca="1"/>
        <v>9061274</v>
      </c>
      <c r="E226">
        <f t="shared" ca="1" si="24"/>
        <v>153.68222222222221</v>
      </c>
      <c r="F226">
        <f t="shared" ca="1" si="25"/>
        <v>157.05900000000003</v>
      </c>
      <c r="G226">
        <f t="shared" ca="1" si="22"/>
        <v>160.58959999999999</v>
      </c>
      <c r="H226">
        <f t="shared" ca="1" si="21"/>
        <v>159.36188118811882</v>
      </c>
      <c r="I226">
        <f t="shared" ca="1" si="26"/>
        <v>3.5254665984578688</v>
      </c>
      <c r="J226">
        <f t="shared" ca="1" si="27"/>
        <v>150.00806680308429</v>
      </c>
      <c r="K226">
        <f t="shared" ca="1" si="28"/>
        <v>164.10993319691576</v>
      </c>
    </row>
    <row r="227" spans="1:11" x14ac:dyDescent="0.25">
      <c r="A227" s="6">
        <f t="shared" ca="1" si="23"/>
        <v>45614</v>
      </c>
      <c r="B227" vm="665">
        <f ca="1"/>
        <v>45617</v>
      </c>
      <c r="C227" vm="666">
        <f ca="1"/>
        <v>155.5</v>
      </c>
      <c r="D227" vm="667">
        <f ca="1"/>
        <v>10141056</v>
      </c>
      <c r="E227">
        <f t="shared" ca="1" si="24"/>
        <v>153.68555555555557</v>
      </c>
      <c r="F227">
        <f t="shared" ca="1" si="25"/>
        <v>156.65050000000002</v>
      </c>
      <c r="G227">
        <f t="shared" ca="1" si="22"/>
        <v>160.40679999999998</v>
      </c>
      <c r="H227">
        <f t="shared" ca="1" si="21"/>
        <v>159.45158415841584</v>
      </c>
      <c r="I227">
        <f t="shared" ca="1" si="26"/>
        <v>3.1750432653496401</v>
      </c>
      <c r="J227">
        <f t="shared" ca="1" si="27"/>
        <v>150.30041346930074</v>
      </c>
      <c r="K227">
        <f t="shared" ca="1" si="28"/>
        <v>163.00058653069931</v>
      </c>
    </row>
    <row r="228" spans="1:11" x14ac:dyDescent="0.25">
      <c r="A228" s="6">
        <f t="shared" ca="1" si="23"/>
        <v>45614</v>
      </c>
      <c r="B228" vm="668">
        <f ca="1"/>
        <v>45618</v>
      </c>
      <c r="C228" vm="669">
        <f ca="1"/>
        <v>155.16999999999999</v>
      </c>
      <c r="D228" vm="670">
        <f ca="1"/>
        <v>8265961</v>
      </c>
      <c r="E228">
        <f t="shared" ca="1" si="24"/>
        <v>153.70000000000002</v>
      </c>
      <c r="F228">
        <f t="shared" ca="1" si="25"/>
        <v>156.36500000000001</v>
      </c>
      <c r="G228">
        <f t="shared" ca="1" si="22"/>
        <v>160.19979999999998</v>
      </c>
      <c r="H228">
        <f t="shared" ca="1" si="21"/>
        <v>159.54207920792081</v>
      </c>
      <c r="I228">
        <f t="shared" ca="1" si="26"/>
        <v>3.0280278452449791</v>
      </c>
      <c r="J228">
        <f t="shared" ca="1" si="27"/>
        <v>150.30894430951005</v>
      </c>
      <c r="K228">
        <f t="shared" ca="1" si="28"/>
        <v>162.42105569048996</v>
      </c>
    </row>
    <row r="229" spans="1:11" x14ac:dyDescent="0.25">
      <c r="A229" s="6">
        <f t="shared" ca="1" si="23"/>
        <v>45621</v>
      </c>
      <c r="B229" vm="671">
        <f ca="1"/>
        <v>45621</v>
      </c>
      <c r="C229" vm="672">
        <f ca="1"/>
        <v>155.78</v>
      </c>
      <c r="D229" vm="673">
        <f ca="1"/>
        <v>12256242</v>
      </c>
      <c r="E229">
        <f t="shared" ca="1" si="24"/>
        <v>154.04888888888888</v>
      </c>
      <c r="F229">
        <f t="shared" ca="1" si="25"/>
        <v>156.07400000000001</v>
      </c>
      <c r="G229">
        <f t="shared" ca="1" si="22"/>
        <v>159.97559999999999</v>
      </c>
      <c r="H229">
        <f t="shared" ca="1" si="21"/>
        <v>159.64198019801981</v>
      </c>
      <c r="I229">
        <f t="shared" ca="1" si="26"/>
        <v>2.7668477218288472</v>
      </c>
      <c r="J229">
        <f t="shared" ca="1" si="27"/>
        <v>150.54030455634231</v>
      </c>
      <c r="K229">
        <f t="shared" ca="1" si="28"/>
        <v>161.60769544365772</v>
      </c>
    </row>
    <row r="230" spans="1:11" x14ac:dyDescent="0.25">
      <c r="A230" s="6">
        <f t="shared" ca="1" si="23"/>
        <v>45621</v>
      </c>
      <c r="B230" vm="674">
        <f ca="1"/>
        <v>45622</v>
      </c>
      <c r="C230" vm="675">
        <f ca="1"/>
        <v>154.52000000000001</v>
      </c>
      <c r="D230" vm="676">
        <f ca="1"/>
        <v>5683499</v>
      </c>
      <c r="E230">
        <f t="shared" ca="1" si="24"/>
        <v>154.19111111111113</v>
      </c>
      <c r="F230">
        <f t="shared" ca="1" si="25"/>
        <v>155.7955</v>
      </c>
      <c r="G230">
        <f t="shared" ca="1" si="22"/>
        <v>159.72460000000001</v>
      </c>
      <c r="H230">
        <f t="shared" ref="H230:H293" ca="1" si="29">AVERAGE(C130:C230)</f>
        <v>159.72158415841585</v>
      </c>
      <c r="I230">
        <f t="shared" ca="1" si="26"/>
        <v>2.6176415158044772</v>
      </c>
      <c r="J230">
        <f t="shared" ca="1" si="27"/>
        <v>150.56021696839105</v>
      </c>
      <c r="K230">
        <f t="shared" ca="1" si="28"/>
        <v>161.03078303160896</v>
      </c>
    </row>
    <row r="231" spans="1:11" x14ac:dyDescent="0.25">
      <c r="A231" s="6">
        <f t="shared" ca="1" si="23"/>
        <v>45621</v>
      </c>
      <c r="B231" vm="677">
        <f ca="1"/>
        <v>45623</v>
      </c>
      <c r="C231" vm="678">
        <f ca="1"/>
        <v>155.4</v>
      </c>
      <c r="D231" vm="679">
        <f ca="1"/>
        <v>4140444</v>
      </c>
      <c r="E231">
        <f t="shared" ca="1" si="24"/>
        <v>154.58333333333334</v>
      </c>
      <c r="F231">
        <f t="shared" ca="1" si="25"/>
        <v>155.53500000000003</v>
      </c>
      <c r="G231">
        <f t="shared" ca="1" si="22"/>
        <v>159.50959999999998</v>
      </c>
      <c r="H231">
        <f t="shared" ca="1" si="29"/>
        <v>159.81980198019804</v>
      </c>
      <c r="I231">
        <f t="shared" ca="1" si="26"/>
        <v>2.3598472296672974</v>
      </c>
      <c r="J231">
        <f t="shared" ca="1" si="27"/>
        <v>150.81530554066543</v>
      </c>
      <c r="K231">
        <f t="shared" ca="1" si="28"/>
        <v>160.25469445933462</v>
      </c>
    </row>
    <row r="232" spans="1:11" x14ac:dyDescent="0.25">
      <c r="A232" s="6">
        <f t="shared" ca="1" si="23"/>
        <v>45621</v>
      </c>
      <c r="B232" vm="680">
        <f ca="1"/>
        <v>45625</v>
      </c>
      <c r="C232" vm="681">
        <f ca="1"/>
        <v>155.01</v>
      </c>
      <c r="D232" vm="682">
        <f ca="1"/>
        <v>5687821</v>
      </c>
      <c r="E232">
        <f t="shared" ca="1" si="24"/>
        <v>154.69555555555556</v>
      </c>
      <c r="F232">
        <f t="shared" ca="1" si="25"/>
        <v>155.29250000000002</v>
      </c>
      <c r="G232">
        <f t="shared" ca="1" si="22"/>
        <v>159.31339999999997</v>
      </c>
      <c r="H232">
        <f t="shared" ca="1" si="29"/>
        <v>159.89861386138617</v>
      </c>
      <c r="I232">
        <f t="shared" ca="1" si="26"/>
        <v>2.130018223297383</v>
      </c>
      <c r="J232">
        <f t="shared" ca="1" si="27"/>
        <v>151.03246355340525</v>
      </c>
      <c r="K232">
        <f t="shared" ca="1" si="28"/>
        <v>159.55253644659479</v>
      </c>
    </row>
    <row r="233" spans="1:11" x14ac:dyDescent="0.25">
      <c r="A233" s="6">
        <f t="shared" ca="1" si="23"/>
        <v>45628</v>
      </c>
      <c r="B233" vm="683">
        <f ca="1"/>
        <v>45628</v>
      </c>
      <c r="C233" vm="684">
        <f ca="1"/>
        <v>154.80000000000001</v>
      </c>
      <c r="D233" vm="685">
        <f ca="1"/>
        <v>6946494</v>
      </c>
      <c r="E233">
        <f t="shared" ca="1" si="24"/>
        <v>154.69888888888889</v>
      </c>
      <c r="F233">
        <f t="shared" ca="1" si="25"/>
        <v>155.02600000000001</v>
      </c>
      <c r="G233">
        <f t="shared" ca="1" si="22"/>
        <v>159.12619999999998</v>
      </c>
      <c r="H233">
        <f t="shared" ca="1" si="29"/>
        <v>159.95178217821783</v>
      </c>
      <c r="I233">
        <f t="shared" ca="1" si="26"/>
        <v>1.800924908572199</v>
      </c>
      <c r="J233">
        <f t="shared" ca="1" si="27"/>
        <v>151.42415018285561</v>
      </c>
      <c r="K233">
        <f t="shared" ca="1" si="28"/>
        <v>158.62784981714441</v>
      </c>
    </row>
    <row r="234" spans="1:11" x14ac:dyDescent="0.25">
      <c r="A234" s="6">
        <f t="shared" ca="1" si="23"/>
        <v>45628</v>
      </c>
      <c r="B234" vm="686">
        <f ca="1"/>
        <v>45629</v>
      </c>
      <c r="C234" vm="687">
        <f ca="1"/>
        <v>152.36000000000001</v>
      </c>
      <c r="D234" vm="688">
        <f ca="1"/>
        <v>8674415</v>
      </c>
      <c r="E234">
        <f t="shared" ca="1" si="24"/>
        <v>154.62777777777774</v>
      </c>
      <c r="F234">
        <f t="shared" ca="1" si="25"/>
        <v>154.73200000000003</v>
      </c>
      <c r="G234">
        <f t="shared" ca="1" si="22"/>
        <v>158.90899999999999</v>
      </c>
      <c r="H234">
        <f t="shared" ca="1" si="29"/>
        <v>159.97811881188119</v>
      </c>
      <c r="I234">
        <f t="shared" ca="1" si="26"/>
        <v>1.7270650492122508</v>
      </c>
      <c r="J234">
        <f t="shared" ca="1" si="27"/>
        <v>151.27786990157551</v>
      </c>
      <c r="K234">
        <f t="shared" ca="1" si="28"/>
        <v>158.18613009842454</v>
      </c>
    </row>
    <row r="235" spans="1:11" x14ac:dyDescent="0.25">
      <c r="A235" s="6">
        <f t="shared" ca="1" si="23"/>
        <v>45628</v>
      </c>
      <c r="B235" vm="689">
        <f ca="1"/>
        <v>45630</v>
      </c>
      <c r="C235" vm="690">
        <f ca="1"/>
        <v>150.47</v>
      </c>
      <c r="D235" vm="691">
        <f ca="1"/>
        <v>10333110</v>
      </c>
      <c r="E235">
        <f t="shared" ca="1" si="24"/>
        <v>154.33444444444444</v>
      </c>
      <c r="F235">
        <f t="shared" ca="1" si="25"/>
        <v>154.33800000000002</v>
      </c>
      <c r="G235">
        <f t="shared" ca="1" si="22"/>
        <v>158.6628</v>
      </c>
      <c r="H235">
        <f t="shared" ca="1" si="29"/>
        <v>159.98396039603961</v>
      </c>
      <c r="I235">
        <f t="shared" ca="1" si="26"/>
        <v>1.7568260855124032</v>
      </c>
      <c r="J235">
        <f t="shared" ca="1" si="27"/>
        <v>150.82434782897522</v>
      </c>
      <c r="K235">
        <f t="shared" ca="1" si="28"/>
        <v>157.85165217102482</v>
      </c>
    </row>
    <row r="236" spans="1:11" x14ac:dyDescent="0.25">
      <c r="A236" s="6">
        <f t="shared" ca="1" si="23"/>
        <v>45628</v>
      </c>
      <c r="B236" vm="692">
        <f ca="1"/>
        <v>45631</v>
      </c>
      <c r="C236" vm="693">
        <f ca="1"/>
        <v>149.52000000000001</v>
      </c>
      <c r="D236" vm="694">
        <f ca="1"/>
        <v>7898098</v>
      </c>
      <c r="E236">
        <f t="shared" ca="1" si="24"/>
        <v>153.66999999999999</v>
      </c>
      <c r="F236">
        <f t="shared" ca="1" si="25"/>
        <v>153.92000000000002</v>
      </c>
      <c r="G236">
        <f t="shared" ca="1" si="22"/>
        <v>158.44120000000004</v>
      </c>
      <c r="H236">
        <f t="shared" ca="1" si="29"/>
        <v>159.98673267326731</v>
      </c>
      <c r="I236">
        <f t="shared" ca="1" si="26"/>
        <v>1.8611711083983735</v>
      </c>
      <c r="J236">
        <f t="shared" ca="1" si="27"/>
        <v>150.19765778320328</v>
      </c>
      <c r="K236">
        <f t="shared" ca="1" si="28"/>
        <v>157.64234221679675</v>
      </c>
    </row>
    <row r="237" spans="1:11" x14ac:dyDescent="0.25">
      <c r="A237" s="6">
        <f t="shared" ca="1" si="23"/>
        <v>45628</v>
      </c>
      <c r="B237" vm="695">
        <f ca="1"/>
        <v>45632</v>
      </c>
      <c r="C237" vm="696">
        <f ca="1"/>
        <v>149.31</v>
      </c>
      <c r="D237" vm="697">
        <f ca="1"/>
        <v>8389611</v>
      </c>
      <c r="E237">
        <f t="shared" ca="1" si="24"/>
        <v>153.01888888888888</v>
      </c>
      <c r="F237">
        <f t="shared" ca="1" si="25"/>
        <v>153.54899999999998</v>
      </c>
      <c r="G237">
        <f t="shared" ca="1" si="22"/>
        <v>158.19960000000003</v>
      </c>
      <c r="H237">
        <f t="shared" ca="1" si="29"/>
        <v>159.96990099009901</v>
      </c>
      <c r="I237">
        <f t="shared" ca="1" si="26"/>
        <v>2.0054974445259193</v>
      </c>
      <c r="J237">
        <f t="shared" ca="1" si="27"/>
        <v>149.53800511094815</v>
      </c>
      <c r="K237">
        <f t="shared" ca="1" si="28"/>
        <v>157.55999488905181</v>
      </c>
    </row>
    <row r="238" spans="1:11" x14ac:dyDescent="0.25">
      <c r="A238" s="6">
        <f t="shared" ca="1" si="23"/>
        <v>45635</v>
      </c>
      <c r="B238" vm="698">
        <f ca="1"/>
        <v>45635</v>
      </c>
      <c r="C238" vm="699">
        <f ca="1"/>
        <v>149.6</v>
      </c>
      <c r="D238" vm="700">
        <f ca="1"/>
        <v>8410303</v>
      </c>
      <c r="E238">
        <f t="shared" ca="1" si="24"/>
        <v>152.33222222222221</v>
      </c>
      <c r="F238">
        <f t="shared" ca="1" si="25"/>
        <v>153.25550000000001</v>
      </c>
      <c r="G238">
        <f t="shared" ca="1" si="22"/>
        <v>157.96360000000004</v>
      </c>
      <c r="H238">
        <f t="shared" ca="1" si="29"/>
        <v>159.90079207920795</v>
      </c>
      <c r="I238">
        <f t="shared" ca="1" si="26"/>
        <v>2.1349213593306695</v>
      </c>
      <c r="J238">
        <f t="shared" ca="1" si="27"/>
        <v>148.98565728133866</v>
      </c>
      <c r="K238">
        <f t="shared" ca="1" si="28"/>
        <v>157.52534271866136</v>
      </c>
    </row>
    <row r="239" spans="1:11" x14ac:dyDescent="0.25">
      <c r="A239" s="6">
        <f t="shared" ca="1" si="23"/>
        <v>45635</v>
      </c>
      <c r="B239" vm="701">
        <f ca="1"/>
        <v>45636</v>
      </c>
      <c r="C239" vm="702">
        <f ca="1"/>
        <v>149.22999999999999</v>
      </c>
      <c r="D239" vm="703">
        <f ca="1"/>
        <v>9398671</v>
      </c>
      <c r="E239">
        <f t="shared" ca="1" si="24"/>
        <v>151.74444444444441</v>
      </c>
      <c r="F239">
        <f t="shared" ca="1" si="25"/>
        <v>152.965</v>
      </c>
      <c r="G239">
        <f t="shared" ca="1" si="22"/>
        <v>157.70700000000002</v>
      </c>
      <c r="H239">
        <f t="shared" ca="1" si="29"/>
        <v>159.83950495049507</v>
      </c>
      <c r="I239">
        <f t="shared" ca="1" si="26"/>
        <v>2.2703153038614201</v>
      </c>
      <c r="J239">
        <f t="shared" ca="1" si="27"/>
        <v>148.42436939227716</v>
      </c>
      <c r="K239">
        <f t="shared" ca="1" si="28"/>
        <v>157.50563060772285</v>
      </c>
    </row>
    <row r="240" spans="1:11" x14ac:dyDescent="0.25">
      <c r="A240" s="6">
        <f t="shared" ca="1" si="23"/>
        <v>45635</v>
      </c>
      <c r="B240" vm="704">
        <f ca="1"/>
        <v>45637</v>
      </c>
      <c r="C240" vm="705">
        <f ca="1"/>
        <v>146.63999999999999</v>
      </c>
      <c r="D240" vm="706">
        <f ca="1"/>
        <v>13446656</v>
      </c>
      <c r="E240">
        <f t="shared" ca="1" si="24"/>
        <v>150.77111111111111</v>
      </c>
      <c r="F240">
        <f t="shared" ca="1" si="25"/>
        <v>152.66499999999999</v>
      </c>
      <c r="G240">
        <f t="shared" ca="1" si="22"/>
        <v>157.4</v>
      </c>
      <c r="H240">
        <f t="shared" ca="1" si="29"/>
        <v>159.75980198019803</v>
      </c>
      <c r="I240">
        <f t="shared" ca="1" si="26"/>
        <v>2.675741904003845</v>
      </c>
      <c r="J240">
        <f t="shared" ca="1" si="27"/>
        <v>147.31351619199231</v>
      </c>
      <c r="K240">
        <f t="shared" ca="1" si="28"/>
        <v>158.01648380800768</v>
      </c>
    </row>
    <row r="241" spans="1:11" x14ac:dyDescent="0.25">
      <c r="A241" s="6">
        <f t="shared" ca="1" si="23"/>
        <v>45635</v>
      </c>
      <c r="B241" vm="707">
        <f ca="1"/>
        <v>45638</v>
      </c>
      <c r="C241" vm="708">
        <f ca="1"/>
        <v>146.24</v>
      </c>
      <c r="D241" vm="709">
        <f ca="1"/>
        <v>6176269</v>
      </c>
      <c r="E241">
        <f t="shared" ca="1" si="24"/>
        <v>149.79666666666665</v>
      </c>
      <c r="F241">
        <f t="shared" ca="1" si="25"/>
        <v>152.31499999999997</v>
      </c>
      <c r="G241">
        <f t="shared" ca="1" si="22"/>
        <v>157.10140000000004</v>
      </c>
      <c r="H241">
        <f t="shared" ca="1" si="29"/>
        <v>159.68059405940596</v>
      </c>
      <c r="I241">
        <f t="shared" ca="1" si="26"/>
        <v>3.0308267067445147</v>
      </c>
      <c r="J241">
        <f t="shared" ca="1" si="27"/>
        <v>146.25334658651093</v>
      </c>
      <c r="K241">
        <f t="shared" ca="1" si="28"/>
        <v>158.37665341348901</v>
      </c>
    </row>
    <row r="242" spans="1:11" x14ac:dyDescent="0.25">
      <c r="A242" s="6">
        <f t="shared" ca="1" si="23"/>
        <v>45635</v>
      </c>
      <c r="B242" vm="710">
        <f ca="1"/>
        <v>45639</v>
      </c>
      <c r="C242" vm="711">
        <f ca="1"/>
        <v>146.62</v>
      </c>
      <c r="D242" vm="712">
        <f ca="1"/>
        <v>8324900</v>
      </c>
      <c r="E242">
        <f t="shared" ca="1" si="24"/>
        <v>148.88777777777781</v>
      </c>
      <c r="F242">
        <f t="shared" ca="1" si="25"/>
        <v>152.05250000000001</v>
      </c>
      <c r="G242">
        <f t="shared" ca="1" si="22"/>
        <v>156.82380000000003</v>
      </c>
      <c r="H242">
        <f t="shared" ca="1" si="29"/>
        <v>159.62386138613863</v>
      </c>
      <c r="I242">
        <f t="shared" ca="1" si="26"/>
        <v>3.2878498413016635</v>
      </c>
      <c r="J242">
        <f t="shared" ca="1" si="27"/>
        <v>145.47680031739668</v>
      </c>
      <c r="K242">
        <f t="shared" ca="1" si="28"/>
        <v>158.62819968260334</v>
      </c>
    </row>
    <row r="243" spans="1:11" x14ac:dyDescent="0.25">
      <c r="A243" s="6">
        <f t="shared" ca="1" si="23"/>
        <v>45642</v>
      </c>
      <c r="B243" vm="713">
        <f ca="1"/>
        <v>45642</v>
      </c>
      <c r="C243" vm="714">
        <f ca="1"/>
        <v>143.85</v>
      </c>
      <c r="D243" vm="715">
        <f ca="1"/>
        <v>8732378</v>
      </c>
      <c r="E243">
        <f t="shared" ca="1" si="24"/>
        <v>147.94222222222223</v>
      </c>
      <c r="F243">
        <f t="shared" ca="1" si="25"/>
        <v>151.54500000000002</v>
      </c>
      <c r="G243">
        <f t="shared" ca="1" si="22"/>
        <v>156.49500000000003</v>
      </c>
      <c r="H243">
        <f t="shared" ca="1" si="29"/>
        <v>159.50079207920794</v>
      </c>
      <c r="I243">
        <f t="shared" ca="1" si="26"/>
        <v>3.7256317019999958</v>
      </c>
      <c r="J243">
        <f t="shared" ca="1" si="27"/>
        <v>144.09373659600001</v>
      </c>
      <c r="K243">
        <f t="shared" ca="1" si="28"/>
        <v>158.99626340400002</v>
      </c>
    </row>
    <row r="244" spans="1:11" x14ac:dyDescent="0.25">
      <c r="A244" s="6">
        <f t="shared" ca="1" si="23"/>
        <v>45642</v>
      </c>
      <c r="B244" vm="716">
        <f ca="1"/>
        <v>45643</v>
      </c>
      <c r="C244" vm="717">
        <f ca="1"/>
        <v>146.41</v>
      </c>
      <c r="D244" vm="718">
        <f ca="1"/>
        <v>10342958</v>
      </c>
      <c r="E244">
        <f t="shared" ca="1" si="24"/>
        <v>147.49111111111111</v>
      </c>
      <c r="F244">
        <f t="shared" ca="1" si="25"/>
        <v>151.12699999999998</v>
      </c>
      <c r="G244">
        <f t="shared" ref="G244:G307" ca="1" si="30">AVERAGE(C195:C244)</f>
        <v>156.23260000000002</v>
      </c>
      <c r="H244">
        <f t="shared" ca="1" si="29"/>
        <v>159.36980198019805</v>
      </c>
      <c r="I244">
        <f t="shared" ca="1" si="26"/>
        <v>3.8127170861404576</v>
      </c>
      <c r="J244">
        <f t="shared" ca="1" si="27"/>
        <v>143.50156582771908</v>
      </c>
      <c r="K244">
        <f t="shared" ca="1" si="28"/>
        <v>158.75243417228089</v>
      </c>
    </row>
    <row r="245" spans="1:11" x14ac:dyDescent="0.25">
      <c r="A245" s="6">
        <f t="shared" ca="1" si="23"/>
        <v>45642</v>
      </c>
      <c r="B245" vm="719">
        <f ca="1"/>
        <v>45644</v>
      </c>
      <c r="C245" vm="720">
        <f ca="1"/>
        <v>144.75</v>
      </c>
      <c r="D245" vm="721">
        <f ca="1"/>
        <v>9336094</v>
      </c>
      <c r="E245">
        <f t="shared" ca="1" si="24"/>
        <v>146.96111111111111</v>
      </c>
      <c r="F245">
        <f t="shared" ca="1" si="25"/>
        <v>150.71449999999993</v>
      </c>
      <c r="G245">
        <f t="shared" ca="1" si="30"/>
        <v>155.93380000000002</v>
      </c>
      <c r="H245">
        <f t="shared" ca="1" si="29"/>
        <v>159.21247524752476</v>
      </c>
      <c r="I245">
        <f t="shared" ca="1" si="26"/>
        <v>4.0389830338054695</v>
      </c>
      <c r="J245">
        <f t="shared" ca="1" si="27"/>
        <v>142.636533932389</v>
      </c>
      <c r="K245">
        <f t="shared" ca="1" si="28"/>
        <v>158.79246606761086</v>
      </c>
    </row>
    <row r="246" spans="1:11" x14ac:dyDescent="0.25">
      <c r="A246" s="6">
        <f t="shared" ca="1" si="23"/>
        <v>45642</v>
      </c>
      <c r="B246" vm="722">
        <f ca="1"/>
        <v>45645</v>
      </c>
      <c r="C246" vm="723">
        <f ca="1"/>
        <v>143.58000000000001</v>
      </c>
      <c r="D246" vm="724">
        <f ca="1"/>
        <v>9516653</v>
      </c>
      <c r="E246">
        <f t="shared" ca="1" si="24"/>
        <v>146.32444444444445</v>
      </c>
      <c r="F246">
        <f t="shared" ca="1" si="25"/>
        <v>150.238</v>
      </c>
      <c r="G246">
        <f t="shared" ca="1" si="30"/>
        <v>155.59240000000003</v>
      </c>
      <c r="H246">
        <f t="shared" ca="1" si="29"/>
        <v>159.0641584158416</v>
      </c>
      <c r="I246">
        <f t="shared" ca="1" si="26"/>
        <v>4.2955051170411043</v>
      </c>
      <c r="J246">
        <f t="shared" ca="1" si="27"/>
        <v>141.64698976591779</v>
      </c>
      <c r="K246">
        <f t="shared" ca="1" si="28"/>
        <v>158.8290102340822</v>
      </c>
    </row>
    <row r="247" spans="1:11" x14ac:dyDescent="0.25">
      <c r="A247" s="6">
        <f t="shared" ca="1" si="23"/>
        <v>45642</v>
      </c>
      <c r="B247" vm="725">
        <f ca="1"/>
        <v>45646</v>
      </c>
      <c r="C247" vm="726">
        <f ca="1"/>
        <v>144.47</v>
      </c>
      <c r="D247" vm="727">
        <f ca="1"/>
        <v>17702755</v>
      </c>
      <c r="E247">
        <f t="shared" ca="1" si="24"/>
        <v>145.75444444444443</v>
      </c>
      <c r="F247">
        <f t="shared" ca="1" si="25"/>
        <v>149.68649999999997</v>
      </c>
      <c r="G247">
        <f t="shared" ca="1" si="30"/>
        <v>155.27160000000003</v>
      </c>
      <c r="H247">
        <f t="shared" ca="1" si="29"/>
        <v>158.89722772277227</v>
      </c>
      <c r="I247">
        <f t="shared" ca="1" si="26"/>
        <v>4.2924294127169871</v>
      </c>
      <c r="J247">
        <f t="shared" ca="1" si="27"/>
        <v>141.101641174566</v>
      </c>
      <c r="K247">
        <f t="shared" ca="1" si="28"/>
        <v>158.27135882543394</v>
      </c>
    </row>
    <row r="248" spans="1:11" x14ac:dyDescent="0.25">
      <c r="A248" s="6">
        <f t="shared" ca="1" si="23"/>
        <v>45649</v>
      </c>
      <c r="B248" vm="728">
        <f ca="1"/>
        <v>45649</v>
      </c>
      <c r="C248" vm="729">
        <f ca="1"/>
        <v>145.27000000000001</v>
      </c>
      <c r="D248" vm="730">
        <f ca="1"/>
        <v>8720824</v>
      </c>
      <c r="E248">
        <f t="shared" ca="1" si="24"/>
        <v>145.31444444444443</v>
      </c>
      <c r="F248">
        <f t="shared" ca="1" si="25"/>
        <v>149.19149999999996</v>
      </c>
      <c r="G248">
        <f t="shared" ca="1" si="30"/>
        <v>154.94780000000003</v>
      </c>
      <c r="H248">
        <f t="shared" ca="1" si="29"/>
        <v>158.77267326732675</v>
      </c>
      <c r="I248">
        <f t="shared" ca="1" si="26"/>
        <v>4.1965540688321399</v>
      </c>
      <c r="J248">
        <f t="shared" ca="1" si="27"/>
        <v>140.79839186233568</v>
      </c>
      <c r="K248">
        <f t="shared" ca="1" si="28"/>
        <v>157.58460813766425</v>
      </c>
    </row>
    <row r="249" spans="1:11" x14ac:dyDescent="0.25">
      <c r="A249" s="6">
        <f t="shared" ca="1" si="23"/>
        <v>45649</v>
      </c>
      <c r="B249" vm="731">
        <f ca="1"/>
        <v>45650</v>
      </c>
      <c r="C249" vm="732">
        <f ca="1"/>
        <v>145.85</v>
      </c>
      <c r="D249" vm="733">
        <f ca="1"/>
        <v>3164071</v>
      </c>
      <c r="E249">
        <f t="shared" ca="1" si="24"/>
        <v>145.22666666666666</v>
      </c>
      <c r="F249">
        <f t="shared" ca="1" si="25"/>
        <v>148.69499999999999</v>
      </c>
      <c r="G249">
        <f t="shared" ca="1" si="30"/>
        <v>154.63280000000003</v>
      </c>
      <c r="H249">
        <f t="shared" ca="1" si="29"/>
        <v>158.62504950495051</v>
      </c>
      <c r="I249">
        <f t="shared" ca="1" si="26"/>
        <v>3.9565887753015372</v>
      </c>
      <c r="J249">
        <f t="shared" ca="1" si="27"/>
        <v>140.78182244939691</v>
      </c>
      <c r="K249">
        <f t="shared" ca="1" si="28"/>
        <v>156.60817755060307</v>
      </c>
    </row>
    <row r="250" spans="1:11" x14ac:dyDescent="0.25">
      <c r="A250" s="6">
        <f t="shared" ca="1" si="23"/>
        <v>45649</v>
      </c>
      <c r="B250" vm="734">
        <f ca="1"/>
        <v>45652</v>
      </c>
      <c r="C250" vm="735">
        <f ca="1"/>
        <v>145.58000000000001</v>
      </c>
      <c r="D250" vm="736">
        <f ca="1"/>
        <v>4656981</v>
      </c>
      <c r="E250">
        <f t="shared" ca="1" si="24"/>
        <v>145.15333333333331</v>
      </c>
      <c r="F250">
        <f t="shared" ca="1" si="25"/>
        <v>148.24799999999996</v>
      </c>
      <c r="G250">
        <f t="shared" ca="1" si="30"/>
        <v>154.26240000000004</v>
      </c>
      <c r="H250">
        <f t="shared" ca="1" si="29"/>
        <v>158.44128712871287</v>
      </c>
      <c r="I250">
        <f t="shared" ca="1" si="26"/>
        <v>3.7641922317935279</v>
      </c>
      <c r="J250">
        <f t="shared" ca="1" si="27"/>
        <v>140.7196155364129</v>
      </c>
      <c r="K250">
        <f t="shared" ca="1" si="28"/>
        <v>155.77638446358702</v>
      </c>
    </row>
    <row r="251" spans="1:11" x14ac:dyDescent="0.25">
      <c r="A251" s="6">
        <f t="shared" ca="1" si="23"/>
        <v>45649</v>
      </c>
      <c r="B251" vm="737">
        <f ca="1"/>
        <v>45653</v>
      </c>
      <c r="C251" vm="738">
        <f ca="1"/>
        <v>145.05000000000001</v>
      </c>
      <c r="D251" vm="739">
        <f ca="1"/>
        <v>5588306</v>
      </c>
      <c r="E251">
        <f t="shared" ca="1" si="24"/>
        <v>144.97888888888889</v>
      </c>
      <c r="F251">
        <f t="shared" ca="1" si="25"/>
        <v>147.73050000000001</v>
      </c>
      <c r="G251">
        <f t="shared" ca="1" si="30"/>
        <v>153.87780000000004</v>
      </c>
      <c r="H251">
        <f t="shared" ca="1" si="29"/>
        <v>158.28089108910893</v>
      </c>
      <c r="I251">
        <f t="shared" ca="1" si="26"/>
        <v>3.4253981328337657</v>
      </c>
      <c r="J251">
        <f t="shared" ca="1" si="27"/>
        <v>140.87970373433248</v>
      </c>
      <c r="K251">
        <f t="shared" ca="1" si="28"/>
        <v>154.58129626566753</v>
      </c>
    </row>
    <row r="252" spans="1:11" x14ac:dyDescent="0.25">
      <c r="A252" s="6">
        <f t="shared" ca="1" si="23"/>
        <v>45656</v>
      </c>
      <c r="B252" vm="740">
        <f ca="1"/>
        <v>45656</v>
      </c>
      <c r="C252" vm="741">
        <f ca="1"/>
        <v>143.34</v>
      </c>
      <c r="D252" vm="742">
        <f ca="1"/>
        <v>6268692</v>
      </c>
      <c r="E252">
        <f t="shared" ca="1" si="24"/>
        <v>144.92222222222222</v>
      </c>
      <c r="F252">
        <f t="shared" ca="1" si="25"/>
        <v>147.14699999999999</v>
      </c>
      <c r="G252">
        <f t="shared" ca="1" si="30"/>
        <v>153.45520000000005</v>
      </c>
      <c r="H252">
        <f t="shared" ca="1" si="29"/>
        <v>158.1261386138614</v>
      </c>
      <c r="I252">
        <f t="shared" ca="1" si="26"/>
        <v>3.0984683822478294</v>
      </c>
      <c r="J252">
        <f t="shared" ca="1" si="27"/>
        <v>140.95006323550433</v>
      </c>
      <c r="K252">
        <f t="shared" ca="1" si="28"/>
        <v>153.34393676449565</v>
      </c>
    </row>
    <row r="253" spans="1:11" x14ac:dyDescent="0.25">
      <c r="A253" s="6">
        <f t="shared" ca="1" si="23"/>
        <v>45656</v>
      </c>
      <c r="B253" vm="743">
        <f ca="1"/>
        <v>45657</v>
      </c>
      <c r="C253" vm="744">
        <f ca="1"/>
        <v>144.62</v>
      </c>
      <c r="D253" vm="745">
        <f ca="1"/>
        <v>5811401</v>
      </c>
      <c r="E253">
        <f t="shared" ca="1" si="24"/>
        <v>144.72333333333336</v>
      </c>
      <c r="F253">
        <f t="shared" ca="1" si="25"/>
        <v>146.63800000000001</v>
      </c>
      <c r="G253">
        <f t="shared" ca="1" si="30"/>
        <v>153.04520000000005</v>
      </c>
      <c r="H253">
        <f t="shared" ca="1" si="29"/>
        <v>157.98475247524755</v>
      </c>
      <c r="I253">
        <f t="shared" ca="1" si="26"/>
        <v>2.5654108114645009</v>
      </c>
      <c r="J253">
        <f t="shared" ca="1" si="27"/>
        <v>141.507178377071</v>
      </c>
      <c r="K253">
        <f t="shared" ca="1" si="28"/>
        <v>151.76882162292901</v>
      </c>
    </row>
    <row r="254" spans="1:11" x14ac:dyDescent="0.25">
      <c r="A254" s="6">
        <f t="shared" ca="1" si="23"/>
        <v>45656</v>
      </c>
      <c r="B254" vm="746">
        <f ca="1"/>
        <v>45659</v>
      </c>
      <c r="C254" vm="747">
        <f ca="1"/>
        <v>144.02000000000001</v>
      </c>
      <c r="D254" vm="748">
        <f ca="1"/>
        <v>6051330</v>
      </c>
      <c r="E254">
        <f t="shared" ca="1" si="24"/>
        <v>144.64222222222224</v>
      </c>
      <c r="F254">
        <f t="shared" ca="1" si="25"/>
        <v>146.221</v>
      </c>
      <c r="G254">
        <f t="shared" ca="1" si="30"/>
        <v>152.66900000000004</v>
      </c>
      <c r="H254">
        <f t="shared" ca="1" si="29"/>
        <v>157.82435643564358</v>
      </c>
      <c r="I254">
        <f t="shared" ca="1" si="26"/>
        <v>2.2440585882209962</v>
      </c>
      <c r="J254">
        <f t="shared" ca="1" si="27"/>
        <v>141.73288282355801</v>
      </c>
      <c r="K254">
        <f t="shared" ca="1" si="28"/>
        <v>150.70911717644199</v>
      </c>
    </row>
    <row r="255" spans="1:11" x14ac:dyDescent="0.25">
      <c r="A255" s="6">
        <f t="shared" ca="1" si="23"/>
        <v>45656</v>
      </c>
      <c r="B255" vm="749">
        <f ca="1"/>
        <v>45660</v>
      </c>
      <c r="C255" vm="750">
        <f ca="1"/>
        <v>144.19</v>
      </c>
      <c r="D255" vm="751">
        <f ca="1"/>
        <v>5879816</v>
      </c>
      <c r="E255">
        <f t="shared" ca="1" si="24"/>
        <v>144.71</v>
      </c>
      <c r="F255">
        <f t="shared" ca="1" si="25"/>
        <v>145.90700000000001</v>
      </c>
      <c r="G255">
        <f t="shared" ca="1" si="30"/>
        <v>152.28380000000004</v>
      </c>
      <c r="H255">
        <f t="shared" ca="1" si="29"/>
        <v>157.66168316831684</v>
      </c>
      <c r="I255">
        <f t="shared" ca="1" si="26"/>
        <v>2.0491233041936407</v>
      </c>
      <c r="J255">
        <f t="shared" ca="1" si="27"/>
        <v>141.80875339161273</v>
      </c>
      <c r="K255">
        <f t="shared" ca="1" si="28"/>
        <v>150.0052466083873</v>
      </c>
    </row>
    <row r="256" spans="1:11" x14ac:dyDescent="0.25">
      <c r="A256" s="6">
        <f t="shared" ca="1" si="23"/>
        <v>45663</v>
      </c>
      <c r="B256" vm="752">
        <f ca="1"/>
        <v>45663</v>
      </c>
      <c r="C256" vm="753">
        <f ca="1"/>
        <v>143.66</v>
      </c>
      <c r="D256" vm="754">
        <f ca="1"/>
        <v>7910493</v>
      </c>
      <c r="E256">
        <f t="shared" ca="1" si="24"/>
        <v>144.62</v>
      </c>
      <c r="F256">
        <f t="shared" ca="1" si="25"/>
        <v>145.61399999999998</v>
      </c>
      <c r="G256">
        <f t="shared" ca="1" si="30"/>
        <v>151.83980000000005</v>
      </c>
      <c r="H256">
        <f t="shared" ca="1" si="29"/>
        <v>157.50108910891092</v>
      </c>
      <c r="I256">
        <f t="shared" ca="1" si="26"/>
        <v>1.9202176411734355</v>
      </c>
      <c r="J256">
        <f t="shared" ca="1" si="27"/>
        <v>141.7735647176531</v>
      </c>
      <c r="K256">
        <f t="shared" ca="1" si="28"/>
        <v>149.45443528234685</v>
      </c>
    </row>
    <row r="257" spans="1:11" x14ac:dyDescent="0.25">
      <c r="A257" s="6">
        <f t="shared" ca="1" si="23"/>
        <v>45663</v>
      </c>
      <c r="B257" vm="755">
        <f ca="1"/>
        <v>45664</v>
      </c>
      <c r="C257" vm="756">
        <f ca="1"/>
        <v>146.22999999999999</v>
      </c>
      <c r="D257" vm="757">
        <f ca="1"/>
        <v>8422010</v>
      </c>
      <c r="E257">
        <f t="shared" ca="1" si="24"/>
        <v>144.72666666666669</v>
      </c>
      <c r="F257">
        <f t="shared" ca="1" si="25"/>
        <v>145.45999999999998</v>
      </c>
      <c r="G257">
        <f t="shared" ca="1" si="30"/>
        <v>151.49100000000004</v>
      </c>
      <c r="H257">
        <f t="shared" ca="1" si="29"/>
        <v>157.38069306930694</v>
      </c>
      <c r="I257">
        <f t="shared" ca="1" si="26"/>
        <v>1.7214161856478853</v>
      </c>
      <c r="J257">
        <f t="shared" ca="1" si="27"/>
        <v>142.01716762870421</v>
      </c>
      <c r="K257">
        <f t="shared" ca="1" si="28"/>
        <v>148.90283237129574</v>
      </c>
    </row>
    <row r="258" spans="1:11" x14ac:dyDescent="0.25">
      <c r="A258" s="6">
        <f t="shared" ca="1" si="23"/>
        <v>45663</v>
      </c>
      <c r="B258" vm="758">
        <f ca="1"/>
        <v>45665</v>
      </c>
      <c r="C258" vm="759">
        <f ca="1"/>
        <v>142.27000000000001</v>
      </c>
      <c r="D258" vm="760">
        <f ca="1"/>
        <v>11175552</v>
      </c>
      <c r="E258">
        <f t="shared" ca="1" si="24"/>
        <v>144.32888888888886</v>
      </c>
      <c r="F258">
        <f t="shared" ca="1" si="25"/>
        <v>145.09349999999998</v>
      </c>
      <c r="G258">
        <f t="shared" ca="1" si="30"/>
        <v>151.11880000000005</v>
      </c>
      <c r="H258">
        <f t="shared" ca="1" si="29"/>
        <v>157.22019801980198</v>
      </c>
      <c r="I258">
        <f t="shared" ca="1" si="26"/>
        <v>1.5669658075737491</v>
      </c>
      <c r="J258">
        <f t="shared" ca="1" si="27"/>
        <v>141.95956838485247</v>
      </c>
      <c r="K258">
        <f t="shared" ca="1" si="28"/>
        <v>148.22743161514748</v>
      </c>
    </row>
    <row r="259" spans="1:11" x14ac:dyDescent="0.25">
      <c r="A259" s="6">
        <f t="shared" ref="A259:A322" ca="1" si="31">B259 - WEEKDAY(B259, 2) + 1</f>
        <v>45663</v>
      </c>
      <c r="B259" vm="761">
        <f ca="1"/>
        <v>45667</v>
      </c>
      <c r="C259" vm="762">
        <f ca="1"/>
        <v>142.06</v>
      </c>
      <c r="D259" vm="763">
        <f ca="1"/>
        <v>8821541</v>
      </c>
      <c r="E259">
        <f t="shared" ca="1" si="24"/>
        <v>143.9377777777778</v>
      </c>
      <c r="F259">
        <f t="shared" ca="1" si="25"/>
        <v>144.73499999999996</v>
      </c>
      <c r="G259">
        <f t="shared" ca="1" si="30"/>
        <v>150.72800000000007</v>
      </c>
      <c r="H259">
        <f t="shared" ca="1" si="29"/>
        <v>157.05158415841586</v>
      </c>
      <c r="I259">
        <f t="shared" ca="1" si="26"/>
        <v>1.3798035710697507</v>
      </c>
      <c r="J259">
        <f t="shared" ca="1" si="27"/>
        <v>141.97539285786044</v>
      </c>
      <c r="K259">
        <f t="shared" ca="1" si="28"/>
        <v>147.49460714213947</v>
      </c>
    </row>
    <row r="260" spans="1:11" x14ac:dyDescent="0.25">
      <c r="A260" s="6">
        <f t="shared" ca="1" si="31"/>
        <v>45670</v>
      </c>
      <c r="B260" vm="764">
        <f ca="1"/>
        <v>45670</v>
      </c>
      <c r="C260" vm="726">
        <f ca="1"/>
        <v>144.47</v>
      </c>
      <c r="D260" vm="765">
        <f ca="1"/>
        <v>10376377</v>
      </c>
      <c r="E260">
        <f t="shared" ca="1" si="24"/>
        <v>143.87333333333333</v>
      </c>
      <c r="F260">
        <f t="shared" ca="1" si="25"/>
        <v>144.62649999999996</v>
      </c>
      <c r="G260">
        <f t="shared" ca="1" si="30"/>
        <v>150.41560000000004</v>
      </c>
      <c r="H260">
        <f t="shared" ca="1" si="29"/>
        <v>156.90386138613863</v>
      </c>
      <c r="I260">
        <f t="shared" ca="1" si="26"/>
        <v>1.3054350958487677</v>
      </c>
      <c r="J260">
        <f t="shared" ca="1" si="27"/>
        <v>142.01562980830244</v>
      </c>
      <c r="K260">
        <f t="shared" ca="1" si="28"/>
        <v>147.23737019169749</v>
      </c>
    </row>
    <row r="261" spans="1:11" x14ac:dyDescent="0.25">
      <c r="A261" s="6">
        <f t="shared" ca="1" si="31"/>
        <v>45670</v>
      </c>
      <c r="B261" vm="766">
        <f ca="1"/>
        <v>45671</v>
      </c>
      <c r="C261" vm="720">
        <f ca="1"/>
        <v>144.75</v>
      </c>
      <c r="D261" vm="767">
        <f ca="1"/>
        <v>8681741</v>
      </c>
      <c r="E261">
        <f t="shared" ca="1" si="24"/>
        <v>144.03</v>
      </c>
      <c r="F261">
        <f t="shared" ca="1" si="25"/>
        <v>144.55199999999996</v>
      </c>
      <c r="G261">
        <f t="shared" ca="1" si="30"/>
        <v>150.09840000000005</v>
      </c>
      <c r="H261">
        <f t="shared" ca="1" si="29"/>
        <v>156.75653465346537</v>
      </c>
      <c r="I261">
        <f t="shared" ca="1" si="26"/>
        <v>1.2498404108651533</v>
      </c>
      <c r="J261">
        <f t="shared" ca="1" si="27"/>
        <v>142.05231917826967</v>
      </c>
      <c r="K261">
        <f t="shared" ca="1" si="28"/>
        <v>147.05168082173026</v>
      </c>
    </row>
    <row r="262" spans="1:11" x14ac:dyDescent="0.25">
      <c r="A262" s="6">
        <f t="shared" ca="1" si="31"/>
        <v>45670</v>
      </c>
      <c r="B262" vm="768">
        <f ca="1"/>
        <v>45672</v>
      </c>
      <c r="C262" vm="769">
        <f ca="1"/>
        <v>144.97</v>
      </c>
      <c r="D262" vm="770">
        <f ca="1"/>
        <v>7434562</v>
      </c>
      <c r="E262">
        <f t="shared" ca="1" si="24"/>
        <v>144.06888888888889</v>
      </c>
      <c r="F262">
        <f t="shared" ca="1" si="25"/>
        <v>144.46949999999998</v>
      </c>
      <c r="G262">
        <f t="shared" ca="1" si="30"/>
        <v>149.80060000000006</v>
      </c>
      <c r="H262">
        <f t="shared" ca="1" si="29"/>
        <v>156.60613861386139</v>
      </c>
      <c r="I262">
        <f t="shared" ca="1" si="26"/>
        <v>1.1571720292433418</v>
      </c>
      <c r="J262">
        <f t="shared" ca="1" si="27"/>
        <v>142.1551559415133</v>
      </c>
      <c r="K262">
        <f t="shared" ca="1" si="28"/>
        <v>146.78384405848666</v>
      </c>
    </row>
    <row r="263" spans="1:11" x14ac:dyDescent="0.25">
      <c r="A263" s="6">
        <f t="shared" ca="1" si="31"/>
        <v>45670</v>
      </c>
      <c r="B263" vm="771">
        <f ca="1"/>
        <v>45673</v>
      </c>
      <c r="C263" vm="772">
        <f ca="1"/>
        <v>147.77000000000001</v>
      </c>
      <c r="D263" vm="773">
        <f ca="1"/>
        <v>8964016</v>
      </c>
      <c r="E263">
        <f t="shared" ca="1" si="24"/>
        <v>144.48555555555558</v>
      </c>
      <c r="F263">
        <f t="shared" ca="1" si="25"/>
        <v>144.66550000000001</v>
      </c>
      <c r="G263">
        <f t="shared" ca="1" si="30"/>
        <v>149.55340000000007</v>
      </c>
      <c r="H263">
        <f t="shared" ca="1" si="29"/>
        <v>156.4708910891089</v>
      </c>
      <c r="I263">
        <f t="shared" ca="1" si="26"/>
        <v>1.3607872141173507</v>
      </c>
      <c r="J263">
        <f t="shared" ca="1" si="27"/>
        <v>141.94392557176531</v>
      </c>
      <c r="K263">
        <f t="shared" ca="1" si="28"/>
        <v>147.38707442823471</v>
      </c>
    </row>
    <row r="264" spans="1:11" x14ac:dyDescent="0.25">
      <c r="A264" s="6">
        <f t="shared" ca="1" si="31"/>
        <v>45670</v>
      </c>
      <c r="B264" vm="774">
        <f ca="1"/>
        <v>45674</v>
      </c>
      <c r="C264" vm="775">
        <f ca="1"/>
        <v>147.03</v>
      </c>
      <c r="D264" vm="776">
        <f ca="1"/>
        <v>10773054</v>
      </c>
      <c r="E264">
        <f t="shared" ca="1" si="24"/>
        <v>144.80111111111111</v>
      </c>
      <c r="F264">
        <f t="shared" ca="1" si="25"/>
        <v>144.69650000000001</v>
      </c>
      <c r="G264">
        <f t="shared" ca="1" si="30"/>
        <v>149.32920000000004</v>
      </c>
      <c r="H264">
        <f t="shared" ca="1" si="29"/>
        <v>156.31920792079208</v>
      </c>
      <c r="I264">
        <f t="shared" ca="1" si="26"/>
        <v>1.4088340644137725</v>
      </c>
      <c r="J264">
        <f t="shared" ca="1" si="27"/>
        <v>141.87883187117248</v>
      </c>
      <c r="K264">
        <f t="shared" ca="1" si="28"/>
        <v>147.51416812882755</v>
      </c>
    </row>
    <row r="265" spans="1:11" x14ac:dyDescent="0.25">
      <c r="A265" s="6">
        <f t="shared" ca="1" si="31"/>
        <v>45677</v>
      </c>
      <c r="B265" vm="777">
        <f ca="1"/>
        <v>45678</v>
      </c>
      <c r="C265" vm="778">
        <f ca="1"/>
        <v>148.15</v>
      </c>
      <c r="D265" vm="779">
        <f ca="1"/>
        <v>11111747</v>
      </c>
      <c r="E265">
        <f t="shared" ca="1" si="24"/>
        <v>145.30000000000001</v>
      </c>
      <c r="F265">
        <f t="shared" ca="1" si="25"/>
        <v>144.86650000000003</v>
      </c>
      <c r="G265">
        <f t="shared" ca="1" si="30"/>
        <v>149.12520000000004</v>
      </c>
      <c r="H265">
        <f t="shared" ca="1" si="29"/>
        <v>156.16099009900989</v>
      </c>
      <c r="I265">
        <f t="shared" ca="1" si="26"/>
        <v>1.6068480915984817</v>
      </c>
      <c r="J265">
        <f t="shared" ca="1" si="27"/>
        <v>141.65280381680307</v>
      </c>
      <c r="K265">
        <f t="shared" ca="1" si="28"/>
        <v>148.08019618319699</v>
      </c>
    </row>
    <row r="266" spans="1:11" x14ac:dyDescent="0.25">
      <c r="A266" s="6">
        <f t="shared" ca="1" si="31"/>
        <v>45677</v>
      </c>
      <c r="B266" vm="780">
        <f ca="1"/>
        <v>45679</v>
      </c>
      <c r="C266" vm="729">
        <f ca="1"/>
        <v>145.27000000000001</v>
      </c>
      <c r="D266" vm="781">
        <f ca="1"/>
        <v>16834747</v>
      </c>
      <c r="E266">
        <f t="shared" ca="1" si="24"/>
        <v>145.19333333333333</v>
      </c>
      <c r="F266">
        <f t="shared" ca="1" si="25"/>
        <v>144.95099999999999</v>
      </c>
      <c r="G266">
        <f t="shared" ca="1" si="30"/>
        <v>148.87300000000005</v>
      </c>
      <c r="H266">
        <f t="shared" ca="1" si="29"/>
        <v>155.96950495049506</v>
      </c>
      <c r="I266">
        <f t="shared" ca="1" si="26"/>
        <v>1.5798430968062354</v>
      </c>
      <c r="J266">
        <f t="shared" ca="1" si="27"/>
        <v>141.79131380638754</v>
      </c>
      <c r="K266">
        <f t="shared" ca="1" si="28"/>
        <v>148.11068619361245</v>
      </c>
    </row>
    <row r="267" spans="1:11" x14ac:dyDescent="0.25">
      <c r="A267" s="6">
        <f t="shared" ca="1" si="31"/>
        <v>45677</v>
      </c>
      <c r="B267" vm="782">
        <f ca="1"/>
        <v>45680</v>
      </c>
      <c r="C267" vm="705">
        <f ca="1"/>
        <v>146.63999999999999</v>
      </c>
      <c r="D267" vm="783">
        <f ca="1"/>
        <v>10506361</v>
      </c>
      <c r="E267">
        <f t="shared" ref="E267:E330" ca="1" si="32">AVERAGE(C259:C267)</f>
        <v>145.67888888888891</v>
      </c>
      <c r="F267">
        <f t="shared" ca="1" si="25"/>
        <v>145.05950000000001</v>
      </c>
      <c r="G267">
        <f t="shared" ca="1" si="30"/>
        <v>148.67120000000006</v>
      </c>
      <c r="H267">
        <f t="shared" ca="1" si="29"/>
        <v>155.80801980198021</v>
      </c>
      <c r="I267">
        <f t="shared" ca="1" si="26"/>
        <v>1.6190981082721712</v>
      </c>
      <c r="J267">
        <f t="shared" ca="1" si="27"/>
        <v>141.82130378345568</v>
      </c>
      <c r="K267">
        <f t="shared" ca="1" si="28"/>
        <v>148.29769621654435</v>
      </c>
    </row>
    <row r="268" spans="1:11" x14ac:dyDescent="0.25">
      <c r="A268" s="6">
        <f t="shared" ca="1" si="31"/>
        <v>45677</v>
      </c>
      <c r="B268" vm="784">
        <f ca="1"/>
        <v>45681</v>
      </c>
      <c r="C268" vm="237">
        <f ca="1"/>
        <v>146.82</v>
      </c>
      <c r="D268" vm="785">
        <f ca="1"/>
        <v>9887682</v>
      </c>
      <c r="E268">
        <f t="shared" ca="1" si="32"/>
        <v>146.20777777777778</v>
      </c>
      <c r="F268">
        <f t="shared" ca="1" si="25"/>
        <v>145.13700000000003</v>
      </c>
      <c r="G268">
        <f t="shared" ca="1" si="30"/>
        <v>148.49820000000005</v>
      </c>
      <c r="H268">
        <f t="shared" ca="1" si="29"/>
        <v>155.63871287128714</v>
      </c>
      <c r="I268">
        <f t="shared" ca="1" si="26"/>
        <v>1.6661177692626135</v>
      </c>
      <c r="J268">
        <f t="shared" ca="1" si="27"/>
        <v>141.8047644614748</v>
      </c>
      <c r="K268">
        <f t="shared" ca="1" si="28"/>
        <v>148.46923553852525</v>
      </c>
    </row>
    <row r="269" spans="1:11" x14ac:dyDescent="0.25">
      <c r="A269" s="6">
        <f t="shared" ca="1" si="31"/>
        <v>45684</v>
      </c>
      <c r="B269" vm="786">
        <f ca="1"/>
        <v>45684</v>
      </c>
      <c r="C269" vm="787">
        <f ca="1"/>
        <v>152.88999999999999</v>
      </c>
      <c r="D269" vm="788">
        <f ca="1"/>
        <v>15152314</v>
      </c>
      <c r="E269">
        <f t="shared" ca="1" si="32"/>
        <v>147.14333333333332</v>
      </c>
      <c r="F269">
        <f t="shared" ca="1" si="25"/>
        <v>145.48899999999998</v>
      </c>
      <c r="G269">
        <f t="shared" ca="1" si="30"/>
        <v>148.45520000000005</v>
      </c>
      <c r="H269">
        <f t="shared" ca="1" si="29"/>
        <v>155.52643564356435</v>
      </c>
      <c r="I269">
        <f t="shared" ca="1" si="26"/>
        <v>2.4046619195571766</v>
      </c>
      <c r="J269">
        <f t="shared" ca="1" si="27"/>
        <v>140.67967616088563</v>
      </c>
      <c r="K269">
        <f t="shared" ca="1" si="28"/>
        <v>150.29832383911432</v>
      </c>
    </row>
    <row r="270" spans="1:11" x14ac:dyDescent="0.25">
      <c r="A270" s="6">
        <f t="shared" ca="1" si="31"/>
        <v>45684</v>
      </c>
      <c r="B270" vm="789">
        <f ca="1"/>
        <v>45685</v>
      </c>
      <c r="C270" vm="790">
        <f ca="1"/>
        <v>150.38</v>
      </c>
      <c r="D270" vm="791">
        <f ca="1"/>
        <v>10320613</v>
      </c>
      <c r="E270">
        <f t="shared" ca="1" si="32"/>
        <v>147.76888888888891</v>
      </c>
      <c r="F270">
        <f t="shared" ca="1" si="25"/>
        <v>145.72899999999998</v>
      </c>
      <c r="G270">
        <f t="shared" ca="1" si="30"/>
        <v>148.41000000000003</v>
      </c>
      <c r="H270">
        <f t="shared" ca="1" si="29"/>
        <v>155.37316831683168</v>
      </c>
      <c r="I270">
        <f t="shared" ca="1" si="26"/>
        <v>2.642040479390281</v>
      </c>
      <c r="J270">
        <f t="shared" ca="1" si="27"/>
        <v>140.44491904121944</v>
      </c>
      <c r="K270">
        <f t="shared" ca="1" si="28"/>
        <v>151.01308095878053</v>
      </c>
    </row>
    <row r="271" spans="1:11" x14ac:dyDescent="0.25">
      <c r="A271" s="6">
        <f t="shared" ca="1" si="31"/>
        <v>45684</v>
      </c>
      <c r="B271" vm="792">
        <f ca="1"/>
        <v>45686</v>
      </c>
      <c r="C271" vm="793">
        <f ca="1"/>
        <v>151.15</v>
      </c>
      <c r="D271" vm="794">
        <f ca="1"/>
        <v>7156421</v>
      </c>
      <c r="E271">
        <f t="shared" ca="1" si="32"/>
        <v>148.45555555555561</v>
      </c>
      <c r="F271">
        <f t="shared" ca="1" si="25"/>
        <v>146.03400000000002</v>
      </c>
      <c r="G271">
        <f t="shared" ca="1" si="30"/>
        <v>148.3682</v>
      </c>
      <c r="H271">
        <f t="shared" ca="1" si="29"/>
        <v>155.21465346534654</v>
      </c>
      <c r="I271">
        <f t="shared" ca="1" si="26"/>
        <v>2.8991185593301658</v>
      </c>
      <c r="J271">
        <f t="shared" ca="1" si="27"/>
        <v>140.2357628813397</v>
      </c>
      <c r="K271">
        <f t="shared" ca="1" si="28"/>
        <v>151.83223711866034</v>
      </c>
    </row>
    <row r="272" spans="1:11" x14ac:dyDescent="0.25">
      <c r="A272" s="6">
        <f t="shared" ca="1" si="31"/>
        <v>45684</v>
      </c>
      <c r="B272" vm="795">
        <f ca="1"/>
        <v>45687</v>
      </c>
      <c r="C272" vm="796">
        <f ca="1"/>
        <v>152.87</v>
      </c>
      <c r="D272" vm="797">
        <f ca="1"/>
        <v>8910983</v>
      </c>
      <c r="E272">
        <f t="shared" ca="1" si="32"/>
        <v>149.02222222222224</v>
      </c>
      <c r="F272">
        <f t="shared" ca="1" si="25"/>
        <v>146.51050000000001</v>
      </c>
      <c r="G272">
        <f t="shared" ca="1" si="30"/>
        <v>148.38820000000001</v>
      </c>
      <c r="H272">
        <f t="shared" ca="1" si="29"/>
        <v>155.07118811881188</v>
      </c>
      <c r="I272">
        <f t="shared" ca="1" si="26"/>
        <v>3.200535275954878</v>
      </c>
      <c r="J272">
        <f t="shared" ca="1" si="27"/>
        <v>140.10942944809025</v>
      </c>
      <c r="K272">
        <f t="shared" ca="1" si="28"/>
        <v>152.91157055190976</v>
      </c>
    </row>
    <row r="273" spans="1:11" x14ac:dyDescent="0.25">
      <c r="A273" s="6">
        <f t="shared" ca="1" si="31"/>
        <v>45684</v>
      </c>
      <c r="B273" vm="798">
        <f ca="1"/>
        <v>45688</v>
      </c>
      <c r="C273" vm="799">
        <f ca="1"/>
        <v>152.15</v>
      </c>
      <c r="D273" vm="800">
        <f ca="1"/>
        <v>8458715</v>
      </c>
      <c r="E273">
        <f t="shared" ca="1" si="32"/>
        <v>149.59111111111113</v>
      </c>
      <c r="F273">
        <f t="shared" ca="1" si="25"/>
        <v>146.887</v>
      </c>
      <c r="G273">
        <f t="shared" ca="1" si="30"/>
        <v>148.35120000000001</v>
      </c>
      <c r="H273">
        <f t="shared" ca="1" si="29"/>
        <v>154.94405940594061</v>
      </c>
      <c r="I273">
        <f t="shared" ca="1" si="26"/>
        <v>3.4029400600997328</v>
      </c>
      <c r="J273">
        <f t="shared" ca="1" si="27"/>
        <v>140.08111987980053</v>
      </c>
      <c r="K273">
        <f t="shared" ca="1" si="28"/>
        <v>153.69288012019948</v>
      </c>
    </row>
    <row r="274" spans="1:11" x14ac:dyDescent="0.25">
      <c r="A274" s="6">
        <f t="shared" ca="1" si="31"/>
        <v>45691</v>
      </c>
      <c r="B274" vm="801">
        <f ca="1"/>
        <v>45691</v>
      </c>
      <c r="C274" vm="651">
        <f ca="1"/>
        <v>151.87</v>
      </c>
      <c r="D274" vm="802">
        <f ca="1"/>
        <v>6687487</v>
      </c>
      <c r="E274">
        <f t="shared" ca="1" si="32"/>
        <v>150.00444444444443</v>
      </c>
      <c r="F274">
        <f t="shared" ca="1" si="25"/>
        <v>147.27950000000001</v>
      </c>
      <c r="G274">
        <f t="shared" ca="1" si="30"/>
        <v>148.29319999999998</v>
      </c>
      <c r="H274">
        <f t="shared" ca="1" si="29"/>
        <v>154.82019801980198</v>
      </c>
      <c r="I274">
        <f t="shared" ca="1" si="26"/>
        <v>3.5060060873036889</v>
      </c>
      <c r="J274">
        <f t="shared" ca="1" si="27"/>
        <v>140.26748782539264</v>
      </c>
      <c r="K274">
        <f t="shared" ca="1" si="28"/>
        <v>154.29151217460739</v>
      </c>
    </row>
    <row r="275" spans="1:11" x14ac:dyDescent="0.25">
      <c r="A275" s="6">
        <f t="shared" ca="1" si="31"/>
        <v>45691</v>
      </c>
      <c r="B275" vm="803">
        <f ca="1"/>
        <v>45692</v>
      </c>
      <c r="C275" vm="804">
        <f ca="1"/>
        <v>153.49</v>
      </c>
      <c r="D275" vm="805">
        <f ca="1"/>
        <v>9645289</v>
      </c>
      <c r="E275">
        <f t="shared" ca="1" si="32"/>
        <v>150.91777777777779</v>
      </c>
      <c r="F275">
        <f t="shared" ca="1" si="25"/>
        <v>147.74450000000002</v>
      </c>
      <c r="G275">
        <f t="shared" ca="1" si="30"/>
        <v>148.30299999999997</v>
      </c>
      <c r="H275">
        <f t="shared" ca="1" si="29"/>
        <v>154.69029702970298</v>
      </c>
      <c r="I275">
        <f t="shared" ca="1" si="26"/>
        <v>3.6867493526782762</v>
      </c>
      <c r="J275">
        <f t="shared" ca="1" si="27"/>
        <v>140.37100129464346</v>
      </c>
      <c r="K275">
        <f t="shared" ca="1" si="28"/>
        <v>155.11799870535657</v>
      </c>
    </row>
    <row r="276" spans="1:11" x14ac:dyDescent="0.25">
      <c r="A276" s="6">
        <f t="shared" ca="1" si="31"/>
        <v>45691</v>
      </c>
      <c r="B276" vm="806">
        <f ca="1"/>
        <v>45693</v>
      </c>
      <c r="C276" vm="407">
        <f ca="1"/>
        <v>154.69</v>
      </c>
      <c r="D276" vm="807">
        <f ca="1"/>
        <v>8946957</v>
      </c>
      <c r="E276">
        <f t="shared" ca="1" si="32"/>
        <v>151.81222222222223</v>
      </c>
      <c r="F276">
        <f t="shared" ca="1" si="25"/>
        <v>148.29600000000002</v>
      </c>
      <c r="G276">
        <f t="shared" ca="1" si="30"/>
        <v>148.33459999999999</v>
      </c>
      <c r="H276">
        <f t="shared" ca="1" si="29"/>
        <v>154.56465346534651</v>
      </c>
      <c r="I276">
        <f t="shared" ca="1" si="26"/>
        <v>3.8643041179220705</v>
      </c>
      <c r="J276">
        <f t="shared" ca="1" si="27"/>
        <v>140.56739176415587</v>
      </c>
      <c r="K276">
        <f t="shared" ca="1" si="28"/>
        <v>156.02460823584417</v>
      </c>
    </row>
    <row r="277" spans="1:11" x14ac:dyDescent="0.25">
      <c r="A277" s="6">
        <f t="shared" ca="1" si="31"/>
        <v>45691</v>
      </c>
      <c r="B277" vm="808">
        <f ca="1"/>
        <v>45694</v>
      </c>
      <c r="C277" vm="809">
        <f ca="1"/>
        <v>153.51</v>
      </c>
      <c r="D277" vm="810">
        <f ca="1"/>
        <v>7418468</v>
      </c>
      <c r="E277">
        <f t="shared" ca="1" si="32"/>
        <v>152.55555555555554</v>
      </c>
      <c r="F277">
        <f t="shared" ca="1" si="25"/>
        <v>148.66</v>
      </c>
      <c r="G277">
        <f t="shared" ca="1" si="30"/>
        <v>148.29480000000001</v>
      </c>
      <c r="H277">
        <f t="shared" ca="1" si="29"/>
        <v>154.45267326732673</v>
      </c>
      <c r="I277">
        <f t="shared" ca="1" si="26"/>
        <v>3.9999447364603467</v>
      </c>
      <c r="J277">
        <f t="shared" ca="1" si="27"/>
        <v>140.6601105270793</v>
      </c>
      <c r="K277">
        <f t="shared" ca="1" si="28"/>
        <v>156.6598894729207</v>
      </c>
    </row>
    <row r="278" spans="1:11" x14ac:dyDescent="0.25">
      <c r="A278" s="6">
        <f t="shared" ca="1" si="31"/>
        <v>45691</v>
      </c>
      <c r="B278" vm="811">
        <f ca="1"/>
        <v>45695</v>
      </c>
      <c r="C278" vm="812">
        <f ca="1"/>
        <v>153.12</v>
      </c>
      <c r="D278" vm="813">
        <f ca="1"/>
        <v>6204916</v>
      </c>
      <c r="E278">
        <f t="shared" ca="1" si="32"/>
        <v>152.58111111111111</v>
      </c>
      <c r="F278">
        <f t="shared" ref="F278:F341" ca="1" si="33">AVERAGE(C259:C278)</f>
        <v>149.20250000000001</v>
      </c>
      <c r="G278">
        <f t="shared" ca="1" si="30"/>
        <v>148.25379999999998</v>
      </c>
      <c r="H278">
        <f t="shared" ca="1" si="29"/>
        <v>154.33861386138614</v>
      </c>
      <c r="I278">
        <f t="shared" ref="I278:I341" ca="1" si="34">_xlfn.STDEV.S(C259:C278)</f>
        <v>3.8193756378703956</v>
      </c>
      <c r="J278">
        <f t="shared" ref="J278:J341" ca="1" si="35">F278-2*I278</f>
        <v>141.56374872425923</v>
      </c>
      <c r="K278">
        <f t="shared" ref="K278:K341" ca="1" si="36">F278+2*I278</f>
        <v>156.8412512757408</v>
      </c>
    </row>
    <row r="279" spans="1:11" x14ac:dyDescent="0.25">
      <c r="A279" s="6">
        <f t="shared" ca="1" si="31"/>
        <v>45698</v>
      </c>
      <c r="B279" vm="814">
        <f ca="1"/>
        <v>45698</v>
      </c>
      <c r="C279" vm="410">
        <f ca="1"/>
        <v>154.24</v>
      </c>
      <c r="D279" vm="815">
        <f ca="1"/>
        <v>6936561</v>
      </c>
      <c r="E279">
        <f t="shared" ca="1" si="32"/>
        <v>153.01</v>
      </c>
      <c r="F279">
        <f t="shared" ca="1" si="33"/>
        <v>149.81149999999997</v>
      </c>
      <c r="G279">
        <f t="shared" ca="1" si="30"/>
        <v>148.22299999999998</v>
      </c>
      <c r="H279">
        <f t="shared" ca="1" si="29"/>
        <v>154.22693069306928</v>
      </c>
      <c r="I279">
        <f t="shared" ca="1" si="34"/>
        <v>3.5843846642140176</v>
      </c>
      <c r="J279">
        <f t="shared" ca="1" si="35"/>
        <v>142.64273067157194</v>
      </c>
      <c r="K279">
        <f t="shared" ca="1" si="36"/>
        <v>156.98026932842799</v>
      </c>
    </row>
    <row r="280" spans="1:11" x14ac:dyDescent="0.25">
      <c r="A280" s="6">
        <f t="shared" ca="1" si="31"/>
        <v>45698</v>
      </c>
      <c r="B280" vm="816">
        <f ca="1"/>
        <v>45699</v>
      </c>
      <c r="C280" vm="817">
        <f ca="1"/>
        <v>156.13</v>
      </c>
      <c r="D280" vm="818">
        <f ca="1"/>
        <v>7554811</v>
      </c>
      <c r="E280">
        <f t="shared" ca="1" si="32"/>
        <v>153.5633333333333</v>
      </c>
      <c r="F280">
        <f t="shared" ca="1" si="33"/>
        <v>150.39449999999997</v>
      </c>
      <c r="G280">
        <f t="shared" ca="1" si="30"/>
        <v>148.25519999999997</v>
      </c>
      <c r="H280">
        <f t="shared" ca="1" si="29"/>
        <v>154.11940594059405</v>
      </c>
      <c r="I280">
        <f t="shared" ca="1" si="34"/>
        <v>3.6179559146015032</v>
      </c>
      <c r="J280">
        <f t="shared" ca="1" si="35"/>
        <v>143.15858817079695</v>
      </c>
      <c r="K280">
        <f t="shared" ca="1" si="36"/>
        <v>157.63041182920298</v>
      </c>
    </row>
    <row r="281" spans="1:11" x14ac:dyDescent="0.25">
      <c r="A281" s="6">
        <f t="shared" ca="1" si="31"/>
        <v>45698</v>
      </c>
      <c r="B281" vm="819">
        <f ca="1"/>
        <v>45700</v>
      </c>
      <c r="C281" vm="820">
        <f ca="1"/>
        <v>155.26</v>
      </c>
      <c r="D281" vm="821">
        <f ca="1"/>
        <v>7746014</v>
      </c>
      <c r="E281">
        <f t="shared" ca="1" si="32"/>
        <v>153.82888888888891</v>
      </c>
      <c r="F281">
        <f t="shared" ca="1" si="33"/>
        <v>150.91999999999999</v>
      </c>
      <c r="G281">
        <f t="shared" ca="1" si="30"/>
        <v>148.25239999999999</v>
      </c>
      <c r="H281">
        <f t="shared" ca="1" si="29"/>
        <v>154.00247524752473</v>
      </c>
      <c r="I281">
        <f t="shared" ca="1" si="34"/>
        <v>3.5168182390217133</v>
      </c>
      <c r="J281">
        <f t="shared" ca="1" si="35"/>
        <v>143.88636352195655</v>
      </c>
      <c r="K281">
        <f t="shared" ca="1" si="36"/>
        <v>157.95363647804342</v>
      </c>
    </row>
    <row r="282" spans="1:11" x14ac:dyDescent="0.25">
      <c r="A282" s="6">
        <f t="shared" ca="1" si="31"/>
        <v>45698</v>
      </c>
      <c r="B282" vm="822">
        <f ca="1"/>
        <v>45701</v>
      </c>
      <c r="C282" vm="823">
        <f ca="1"/>
        <v>157.25</v>
      </c>
      <c r="D282" vm="824">
        <f ca="1"/>
        <v>10705077</v>
      </c>
      <c r="E282">
        <f t="shared" ca="1" si="32"/>
        <v>154.39555555555555</v>
      </c>
      <c r="F282">
        <f t="shared" ca="1" si="33"/>
        <v>151.53400000000002</v>
      </c>
      <c r="G282">
        <f t="shared" ca="1" si="30"/>
        <v>148.29719999999998</v>
      </c>
      <c r="H282">
        <f t="shared" ca="1" si="29"/>
        <v>153.91435643564355</v>
      </c>
      <c r="I282">
        <f t="shared" ca="1" si="34"/>
        <v>3.4952500098818309</v>
      </c>
      <c r="J282">
        <f t="shared" ca="1" si="35"/>
        <v>144.54349998023636</v>
      </c>
      <c r="K282">
        <f t="shared" ca="1" si="36"/>
        <v>158.52450001976368</v>
      </c>
    </row>
    <row r="283" spans="1:11" x14ac:dyDescent="0.25">
      <c r="A283" s="6">
        <f t="shared" ca="1" si="31"/>
        <v>45698</v>
      </c>
      <c r="B283" vm="825">
        <f ca="1"/>
        <v>45702</v>
      </c>
      <c r="C283" vm="826">
        <f ca="1"/>
        <v>156.15</v>
      </c>
      <c r="D283" vm="827">
        <f ca="1"/>
        <v>6411840</v>
      </c>
      <c r="E283">
        <f t="shared" ca="1" si="32"/>
        <v>154.87111111111113</v>
      </c>
      <c r="F283">
        <f t="shared" ca="1" si="33"/>
        <v>151.95300000000003</v>
      </c>
      <c r="G283">
        <f t="shared" ca="1" si="30"/>
        <v>148.32419999999999</v>
      </c>
      <c r="H283">
        <f t="shared" ca="1" si="29"/>
        <v>153.82851485148512</v>
      </c>
      <c r="I283">
        <f t="shared" ca="1" si="34"/>
        <v>3.5224634023723556</v>
      </c>
      <c r="J283">
        <f t="shared" ca="1" si="35"/>
        <v>144.90807319525533</v>
      </c>
      <c r="K283">
        <f t="shared" ca="1" si="36"/>
        <v>158.99792680474474</v>
      </c>
    </row>
    <row r="284" spans="1:11" x14ac:dyDescent="0.25">
      <c r="A284" s="6">
        <f t="shared" ca="1" si="31"/>
        <v>45705</v>
      </c>
      <c r="B284" vm="828">
        <f ca="1"/>
        <v>45706</v>
      </c>
      <c r="C284" vm="829">
        <f ca="1"/>
        <v>154.99</v>
      </c>
      <c r="D284" vm="830">
        <f ca="1"/>
        <v>9670657</v>
      </c>
      <c r="E284">
        <f t="shared" ca="1" si="32"/>
        <v>155.03777777777776</v>
      </c>
      <c r="F284">
        <f t="shared" ca="1" si="33"/>
        <v>152.35100000000003</v>
      </c>
      <c r="G284">
        <f t="shared" ca="1" si="30"/>
        <v>148.37679999999997</v>
      </c>
      <c r="H284">
        <f t="shared" ca="1" si="29"/>
        <v>153.73772277227721</v>
      </c>
      <c r="I284">
        <f t="shared" ca="1" si="34"/>
        <v>3.3839138038045458</v>
      </c>
      <c r="J284">
        <f t="shared" ca="1" si="35"/>
        <v>145.58317239239094</v>
      </c>
      <c r="K284">
        <f t="shared" ca="1" si="36"/>
        <v>159.11882760760912</v>
      </c>
    </row>
    <row r="285" spans="1:11" x14ac:dyDescent="0.25">
      <c r="A285" s="6">
        <f t="shared" ca="1" si="31"/>
        <v>45705</v>
      </c>
      <c r="B285" vm="831">
        <f ca="1"/>
        <v>45707</v>
      </c>
      <c r="C285" vm="832">
        <f ca="1"/>
        <v>157.88999999999999</v>
      </c>
      <c r="D285" vm="833">
        <f ca="1"/>
        <v>7974736</v>
      </c>
      <c r="E285">
        <f t="shared" ca="1" si="32"/>
        <v>155.39333333333332</v>
      </c>
      <c r="F285">
        <f t="shared" ca="1" si="33"/>
        <v>152.83800000000002</v>
      </c>
      <c r="G285">
        <f t="shared" ca="1" si="30"/>
        <v>148.52519999999996</v>
      </c>
      <c r="H285">
        <f t="shared" ca="1" si="29"/>
        <v>153.68495049504949</v>
      </c>
      <c r="I285">
        <f t="shared" ca="1" si="34"/>
        <v>3.4477705992805201</v>
      </c>
      <c r="J285">
        <f t="shared" ca="1" si="35"/>
        <v>145.94245880143899</v>
      </c>
      <c r="K285">
        <f t="shared" ca="1" si="36"/>
        <v>159.73354119856106</v>
      </c>
    </row>
    <row r="286" spans="1:11" x14ac:dyDescent="0.25">
      <c r="A286" s="6">
        <f t="shared" ca="1" si="31"/>
        <v>45705</v>
      </c>
      <c r="B286" vm="834">
        <f ca="1"/>
        <v>45708</v>
      </c>
      <c r="C286" vm="835">
        <f ca="1"/>
        <v>159.68</v>
      </c>
      <c r="D286" vm="836">
        <f ca="1"/>
        <v>7224030</v>
      </c>
      <c r="E286">
        <f t="shared" ca="1" si="32"/>
        <v>156.07888888888886</v>
      </c>
      <c r="F286">
        <f t="shared" ca="1" si="33"/>
        <v>153.55850000000001</v>
      </c>
      <c r="G286">
        <f t="shared" ca="1" si="30"/>
        <v>148.72839999999999</v>
      </c>
      <c r="H286">
        <f t="shared" ca="1" si="29"/>
        <v>153.65425742574257</v>
      </c>
      <c r="I286">
        <f t="shared" ca="1" si="34"/>
        <v>3.2848235953596641</v>
      </c>
      <c r="J286">
        <f t="shared" ca="1" si="35"/>
        <v>146.98885280928067</v>
      </c>
      <c r="K286">
        <f t="shared" ca="1" si="36"/>
        <v>160.12814719071935</v>
      </c>
    </row>
    <row r="287" spans="1:11" x14ac:dyDescent="0.25">
      <c r="A287" s="6">
        <f t="shared" ca="1" si="31"/>
        <v>45705</v>
      </c>
      <c r="B287" vm="837">
        <f ca="1"/>
        <v>45709</v>
      </c>
      <c r="C287" vm="838">
        <f ca="1"/>
        <v>162.30000000000001</v>
      </c>
      <c r="D287" vm="839">
        <f ca="1"/>
        <v>12546930</v>
      </c>
      <c r="E287">
        <f t="shared" ca="1" si="32"/>
        <v>157.09888888888887</v>
      </c>
      <c r="F287">
        <f t="shared" ca="1" si="33"/>
        <v>154.3415</v>
      </c>
      <c r="G287">
        <f t="shared" ca="1" si="30"/>
        <v>148.98819999999998</v>
      </c>
      <c r="H287">
        <f t="shared" ca="1" si="29"/>
        <v>153.67108910891088</v>
      </c>
      <c r="I287">
        <f t="shared" ca="1" si="34"/>
        <v>3.4128060302337739</v>
      </c>
      <c r="J287">
        <f t="shared" ca="1" si="35"/>
        <v>147.51588793953246</v>
      </c>
      <c r="K287">
        <f t="shared" ca="1" si="36"/>
        <v>161.16711206046753</v>
      </c>
    </row>
    <row r="288" spans="1:11" x14ac:dyDescent="0.25">
      <c r="A288" s="6">
        <f t="shared" ca="1" si="31"/>
        <v>45712</v>
      </c>
      <c r="B288" vm="840">
        <f ca="1"/>
        <v>45712</v>
      </c>
      <c r="C288" vm="841">
        <f ca="1"/>
        <v>163.74</v>
      </c>
      <c r="D288" vm="842">
        <f ca="1"/>
        <v>10201917</v>
      </c>
      <c r="E288">
        <f t="shared" ca="1" si="32"/>
        <v>158.15444444444444</v>
      </c>
      <c r="F288">
        <f t="shared" ca="1" si="33"/>
        <v>155.1875</v>
      </c>
      <c r="G288">
        <f t="shared" ca="1" si="30"/>
        <v>149.27099999999996</v>
      </c>
      <c r="H288">
        <f t="shared" ca="1" si="29"/>
        <v>153.69435643564356</v>
      </c>
      <c r="I288">
        <f t="shared" ca="1" si="34"/>
        <v>3.5447676414088076</v>
      </c>
      <c r="J288">
        <f t="shared" ca="1" si="35"/>
        <v>148.09796471718238</v>
      </c>
      <c r="K288">
        <f t="shared" ca="1" si="36"/>
        <v>162.27703528281762</v>
      </c>
    </row>
    <row r="289" spans="1:11" x14ac:dyDescent="0.25">
      <c r="A289" s="6">
        <f t="shared" ca="1" si="31"/>
        <v>45712</v>
      </c>
      <c r="B289" vm="843">
        <f ca="1"/>
        <v>45713</v>
      </c>
      <c r="C289" vm="844">
        <f ca="1"/>
        <v>166.09</v>
      </c>
      <c r="D289" vm="845">
        <f ca="1"/>
        <v>12303697</v>
      </c>
      <c r="E289">
        <f t="shared" ca="1" si="32"/>
        <v>159.26111111111109</v>
      </c>
      <c r="F289">
        <f t="shared" ca="1" si="33"/>
        <v>155.8475</v>
      </c>
      <c r="G289">
        <f t="shared" ca="1" si="30"/>
        <v>149.60819999999995</v>
      </c>
      <c r="H289">
        <f t="shared" ca="1" si="29"/>
        <v>153.74079207920792</v>
      </c>
      <c r="I289">
        <f t="shared" ca="1" si="34"/>
        <v>4.2526535060013151</v>
      </c>
      <c r="J289">
        <f t="shared" ca="1" si="35"/>
        <v>147.34219298799738</v>
      </c>
      <c r="K289">
        <f t="shared" ca="1" si="36"/>
        <v>164.35280701200261</v>
      </c>
    </row>
    <row r="290" spans="1:11" x14ac:dyDescent="0.25">
      <c r="A290" s="6">
        <f t="shared" ca="1" si="31"/>
        <v>45712</v>
      </c>
      <c r="B290" vm="846">
        <f ca="1"/>
        <v>45714</v>
      </c>
      <c r="C290" vm="847">
        <f ca="1"/>
        <v>163.08000000000001</v>
      </c>
      <c r="D290" vm="848">
        <f ca="1"/>
        <v>11396410</v>
      </c>
      <c r="E290">
        <f t="shared" ca="1" si="32"/>
        <v>160.13</v>
      </c>
      <c r="F290">
        <f t="shared" ca="1" si="33"/>
        <v>156.48249999999999</v>
      </c>
      <c r="G290">
        <f t="shared" ca="1" si="30"/>
        <v>149.93699999999998</v>
      </c>
      <c r="H290">
        <f t="shared" ca="1" si="29"/>
        <v>153.7508910891089</v>
      </c>
      <c r="I290">
        <f t="shared" ca="1" si="34"/>
        <v>4.3405503834858274</v>
      </c>
      <c r="J290">
        <f t="shared" ca="1" si="35"/>
        <v>147.80139923302832</v>
      </c>
      <c r="K290">
        <f t="shared" ca="1" si="36"/>
        <v>165.16360076697165</v>
      </c>
    </row>
    <row r="291" spans="1:11" x14ac:dyDescent="0.25">
      <c r="A291" s="6">
        <f t="shared" ca="1" si="31"/>
        <v>45712</v>
      </c>
      <c r="B291" vm="849">
        <f ca="1"/>
        <v>45715</v>
      </c>
      <c r="C291" vm="850">
        <f ca="1"/>
        <v>163.72999999999999</v>
      </c>
      <c r="D291" vm="851">
        <f ca="1"/>
        <v>8364573</v>
      </c>
      <c r="E291">
        <f t="shared" ca="1" si="32"/>
        <v>160.85</v>
      </c>
      <c r="F291">
        <f t="shared" ca="1" si="33"/>
        <v>157.11150000000001</v>
      </c>
      <c r="G291">
        <f t="shared" ca="1" si="30"/>
        <v>150.28679999999994</v>
      </c>
      <c r="H291">
        <f t="shared" ca="1" si="29"/>
        <v>153.76811881188118</v>
      </c>
      <c r="I291">
        <f t="shared" ca="1" si="34"/>
        <v>4.4375494363443444</v>
      </c>
      <c r="J291">
        <f t="shared" ca="1" si="35"/>
        <v>148.23640112731132</v>
      </c>
      <c r="K291">
        <f t="shared" ca="1" si="36"/>
        <v>165.98659887268869</v>
      </c>
    </row>
    <row r="292" spans="1:11" x14ac:dyDescent="0.25">
      <c r="A292" s="6">
        <f t="shared" ca="1" si="31"/>
        <v>45712</v>
      </c>
      <c r="B292" vm="852">
        <f ca="1"/>
        <v>45716</v>
      </c>
      <c r="C292" vm="853">
        <f ca="1"/>
        <v>165.02</v>
      </c>
      <c r="D292" vm="854">
        <f ca="1"/>
        <v>12037415</v>
      </c>
      <c r="E292">
        <f t="shared" ca="1" si="32"/>
        <v>161.83555555555554</v>
      </c>
      <c r="F292">
        <f t="shared" ca="1" si="33"/>
        <v>157.71899999999999</v>
      </c>
      <c r="G292">
        <f t="shared" ca="1" si="30"/>
        <v>150.65479999999997</v>
      </c>
      <c r="H292">
        <f t="shared" ca="1" si="29"/>
        <v>153.80623762376237</v>
      </c>
      <c r="I292">
        <f t="shared" ca="1" si="34"/>
        <v>4.652774950160615</v>
      </c>
      <c r="J292">
        <f t="shared" ca="1" si="35"/>
        <v>148.41345009967876</v>
      </c>
      <c r="K292">
        <f t="shared" ca="1" si="36"/>
        <v>167.02454990032123</v>
      </c>
    </row>
    <row r="293" spans="1:11" x14ac:dyDescent="0.25">
      <c r="A293" s="6">
        <f t="shared" ca="1" si="31"/>
        <v>45719</v>
      </c>
      <c r="B293" vm="855">
        <f ca="1"/>
        <v>45719</v>
      </c>
      <c r="C293" vm="856">
        <f ca="1"/>
        <v>167.28</v>
      </c>
      <c r="D293" vm="857">
        <f ca="1"/>
        <v>9191464</v>
      </c>
      <c r="E293">
        <f t="shared" ca="1" si="32"/>
        <v>163.20111111111112</v>
      </c>
      <c r="F293">
        <f t="shared" ca="1" si="33"/>
        <v>158.47550000000004</v>
      </c>
      <c r="G293">
        <f t="shared" ca="1" si="30"/>
        <v>151.12339999999998</v>
      </c>
      <c r="H293">
        <f t="shared" ca="1" si="29"/>
        <v>153.87336633663367</v>
      </c>
      <c r="I293">
        <f t="shared" ca="1" si="34"/>
        <v>4.9218690020849012</v>
      </c>
      <c r="J293">
        <f t="shared" ca="1" si="35"/>
        <v>148.63176199583023</v>
      </c>
      <c r="K293">
        <f t="shared" ca="1" si="36"/>
        <v>168.31923800416985</v>
      </c>
    </row>
    <row r="294" spans="1:11" x14ac:dyDescent="0.25">
      <c r="A294" s="6">
        <f t="shared" ca="1" si="31"/>
        <v>45719</v>
      </c>
      <c r="B294" vm="858">
        <f ca="1"/>
        <v>45720</v>
      </c>
      <c r="C294" vm="859">
        <f ca="1"/>
        <v>165.42</v>
      </c>
      <c r="D294" vm="860">
        <f ca="1"/>
        <v>11999962</v>
      </c>
      <c r="E294">
        <f t="shared" ca="1" si="32"/>
        <v>164.03777777777779</v>
      </c>
      <c r="F294">
        <f t="shared" ca="1" si="33"/>
        <v>159.15300000000005</v>
      </c>
      <c r="G294">
        <f t="shared" ca="1" si="30"/>
        <v>151.50359999999998</v>
      </c>
      <c r="H294">
        <f t="shared" ref="H294:H357" ca="1" si="37">AVERAGE(C194:C294)</f>
        <v>153.92415841584159</v>
      </c>
      <c r="I294">
        <f t="shared" ca="1" si="34"/>
        <v>4.8972839948603957</v>
      </c>
      <c r="J294">
        <f t="shared" ca="1" si="35"/>
        <v>149.35843201027924</v>
      </c>
      <c r="K294">
        <f t="shared" ca="1" si="36"/>
        <v>168.94756798972085</v>
      </c>
    </row>
    <row r="295" spans="1:11" x14ac:dyDescent="0.25">
      <c r="A295" s="6">
        <f t="shared" ca="1" si="31"/>
        <v>45719</v>
      </c>
      <c r="B295" vm="861">
        <f ca="1"/>
        <v>45721</v>
      </c>
      <c r="C295" vm="596">
        <f ca="1"/>
        <v>165.12</v>
      </c>
      <c r="D295" vm="862">
        <f ca="1"/>
        <v>8745050</v>
      </c>
      <c r="E295">
        <f t="shared" ca="1" si="32"/>
        <v>164.64222222222224</v>
      </c>
      <c r="F295">
        <f t="shared" ca="1" si="33"/>
        <v>159.7345</v>
      </c>
      <c r="G295">
        <f t="shared" ca="1" si="30"/>
        <v>151.911</v>
      </c>
      <c r="H295">
        <f t="shared" ca="1" si="37"/>
        <v>153.97950495049506</v>
      </c>
      <c r="I295">
        <f t="shared" ca="1" si="34"/>
        <v>4.8799109946585588</v>
      </c>
      <c r="J295">
        <f t="shared" ca="1" si="35"/>
        <v>149.97467801068288</v>
      </c>
      <c r="K295">
        <f t="shared" ca="1" si="36"/>
        <v>169.49432198931711</v>
      </c>
    </row>
    <row r="296" spans="1:11" x14ac:dyDescent="0.25">
      <c r="A296" s="6">
        <f t="shared" ca="1" si="31"/>
        <v>45719</v>
      </c>
      <c r="B296" vm="863">
        <f ca="1"/>
        <v>45722</v>
      </c>
      <c r="C296" vm="864">
        <f ca="1"/>
        <v>165.83</v>
      </c>
      <c r="D296" vm="865">
        <f ca="1"/>
        <v>8037888</v>
      </c>
      <c r="E296">
        <f t="shared" ca="1" si="32"/>
        <v>165.03444444444443</v>
      </c>
      <c r="F296">
        <f t="shared" ca="1" si="33"/>
        <v>160.29149999999998</v>
      </c>
      <c r="G296">
        <f t="shared" ca="1" si="30"/>
        <v>152.35599999999999</v>
      </c>
      <c r="H296">
        <f t="shared" ca="1" si="37"/>
        <v>154.040297029703</v>
      </c>
      <c r="I296">
        <f t="shared" ca="1" si="34"/>
        <v>4.9094980716759107</v>
      </c>
      <c r="J296">
        <f t="shared" ca="1" si="35"/>
        <v>150.47250385664816</v>
      </c>
      <c r="K296">
        <f t="shared" ca="1" si="36"/>
        <v>170.11049614335181</v>
      </c>
    </row>
    <row r="297" spans="1:11" x14ac:dyDescent="0.25">
      <c r="A297" s="6">
        <f t="shared" ca="1" si="31"/>
        <v>45719</v>
      </c>
      <c r="B297" vm="866">
        <f ca="1"/>
        <v>45723</v>
      </c>
      <c r="C297" vm="867">
        <f ca="1"/>
        <v>166.69</v>
      </c>
      <c r="D297" vm="868">
        <f ca="1"/>
        <v>9637593</v>
      </c>
      <c r="E297">
        <f t="shared" ca="1" si="32"/>
        <v>165.36222222222219</v>
      </c>
      <c r="F297">
        <f t="shared" ca="1" si="33"/>
        <v>160.95049999999998</v>
      </c>
      <c r="G297">
        <f t="shared" ca="1" si="30"/>
        <v>152.8004</v>
      </c>
      <c r="H297">
        <f t="shared" ca="1" si="37"/>
        <v>154.10009900990099</v>
      </c>
      <c r="I297">
        <f t="shared" ca="1" si="34"/>
        <v>4.8353233985351025</v>
      </c>
      <c r="J297">
        <f t="shared" ca="1" si="35"/>
        <v>151.27985320292976</v>
      </c>
      <c r="K297">
        <f t="shared" ca="1" si="36"/>
        <v>170.6211467970702</v>
      </c>
    </row>
    <row r="298" spans="1:11" x14ac:dyDescent="0.25">
      <c r="A298" s="6">
        <f t="shared" ca="1" si="31"/>
        <v>45726</v>
      </c>
      <c r="B298" vm="869">
        <f ca="1"/>
        <v>45726</v>
      </c>
      <c r="C298" vm="870">
        <f ca="1"/>
        <v>167.7</v>
      </c>
      <c r="D298" vm="871">
        <f ca="1"/>
        <v>17558982</v>
      </c>
      <c r="E298">
        <f t="shared" ca="1" si="32"/>
        <v>165.54111111111112</v>
      </c>
      <c r="F298">
        <f t="shared" ca="1" si="33"/>
        <v>161.67949999999999</v>
      </c>
      <c r="G298">
        <f t="shared" ca="1" si="30"/>
        <v>153.249</v>
      </c>
      <c r="H298">
        <f t="shared" ca="1" si="37"/>
        <v>154.17128712871289</v>
      </c>
      <c r="I298">
        <f t="shared" ca="1" si="34"/>
        <v>4.6895005625669546</v>
      </c>
      <c r="J298">
        <f t="shared" ca="1" si="35"/>
        <v>152.30049887486609</v>
      </c>
      <c r="K298">
        <f t="shared" ca="1" si="36"/>
        <v>171.05850112513389</v>
      </c>
    </row>
    <row r="299" spans="1:11" x14ac:dyDescent="0.25">
      <c r="A299" s="6">
        <f t="shared" ca="1" si="31"/>
        <v>45726</v>
      </c>
      <c r="B299" vm="872">
        <f ca="1"/>
        <v>45727</v>
      </c>
      <c r="C299" vm="495">
        <f ca="1"/>
        <v>165.86</v>
      </c>
      <c r="D299" vm="873">
        <f ca="1"/>
        <v>9890648</v>
      </c>
      <c r="E299">
        <f t="shared" ca="1" si="32"/>
        <v>165.85000000000002</v>
      </c>
      <c r="F299">
        <f t="shared" ca="1" si="33"/>
        <v>162.26050000000001</v>
      </c>
      <c r="G299">
        <f t="shared" ca="1" si="30"/>
        <v>153.64919999999995</v>
      </c>
      <c r="H299">
        <f t="shared" ca="1" si="37"/>
        <v>154.21485148514853</v>
      </c>
      <c r="I299">
        <f t="shared" ca="1" si="34"/>
        <v>4.4320370450190349</v>
      </c>
      <c r="J299">
        <f t="shared" ca="1" si="35"/>
        <v>153.39642590996195</v>
      </c>
      <c r="K299">
        <f t="shared" ca="1" si="36"/>
        <v>171.12457409003807</v>
      </c>
    </row>
    <row r="300" spans="1:11" x14ac:dyDescent="0.25">
      <c r="A300" s="6">
        <f t="shared" ca="1" si="31"/>
        <v>45726</v>
      </c>
      <c r="B300" vm="874">
        <f ca="1"/>
        <v>45728</v>
      </c>
      <c r="C300" vm="875">
        <f ca="1"/>
        <v>162.85</v>
      </c>
      <c r="D300" vm="876">
        <f ca="1"/>
        <v>8010692</v>
      </c>
      <c r="E300">
        <f t="shared" ca="1" si="32"/>
        <v>165.75222222222223</v>
      </c>
      <c r="F300">
        <f t="shared" ca="1" si="33"/>
        <v>162.59649999999999</v>
      </c>
      <c r="G300">
        <f t="shared" ca="1" si="30"/>
        <v>153.99459999999996</v>
      </c>
      <c r="H300">
        <f t="shared" ca="1" si="37"/>
        <v>154.22722772277231</v>
      </c>
      <c r="I300">
        <f t="shared" ca="1" si="34"/>
        <v>4.190984402638346</v>
      </c>
      <c r="J300">
        <f t="shared" ca="1" si="35"/>
        <v>154.21453119472329</v>
      </c>
      <c r="K300">
        <f t="shared" ca="1" si="36"/>
        <v>170.97846880527669</v>
      </c>
    </row>
    <row r="301" spans="1:11" x14ac:dyDescent="0.25">
      <c r="A301" s="6">
        <f t="shared" ca="1" si="31"/>
        <v>45726</v>
      </c>
      <c r="B301" vm="877">
        <f ca="1"/>
        <v>45729</v>
      </c>
      <c r="C301" vm="878">
        <f ca="1"/>
        <v>162.99</v>
      </c>
      <c r="D301" vm="879">
        <f ca="1"/>
        <v>5286734</v>
      </c>
      <c r="E301">
        <f t="shared" ca="1" si="32"/>
        <v>165.52666666666667</v>
      </c>
      <c r="F301">
        <f t="shared" ca="1" si="33"/>
        <v>162.983</v>
      </c>
      <c r="G301">
        <f t="shared" ca="1" si="30"/>
        <v>154.35339999999999</v>
      </c>
      <c r="H301">
        <f t="shared" ca="1" si="37"/>
        <v>154.2162376237624</v>
      </c>
      <c r="I301">
        <f t="shared" ca="1" si="34"/>
        <v>3.8186910129822724</v>
      </c>
      <c r="J301">
        <f t="shared" ca="1" si="35"/>
        <v>155.34561797403546</v>
      </c>
      <c r="K301">
        <f t="shared" ca="1" si="36"/>
        <v>170.62038202596455</v>
      </c>
    </row>
    <row r="302" spans="1:11" x14ac:dyDescent="0.25">
      <c r="A302" s="6">
        <f t="shared" ca="1" si="31"/>
        <v>45726</v>
      </c>
      <c r="B302" vm="880">
        <f ca="1"/>
        <v>45730</v>
      </c>
      <c r="C302" vm="881">
        <f ca="1"/>
        <v>162.81</v>
      </c>
      <c r="D302" vm="882">
        <f ca="1"/>
        <v>6235797</v>
      </c>
      <c r="E302">
        <f t="shared" ca="1" si="32"/>
        <v>165.03</v>
      </c>
      <c r="F302">
        <f t="shared" ca="1" si="33"/>
        <v>163.261</v>
      </c>
      <c r="G302">
        <f t="shared" ca="1" si="30"/>
        <v>154.74279999999999</v>
      </c>
      <c r="H302">
        <f t="shared" ca="1" si="37"/>
        <v>154.20168316831686</v>
      </c>
      <c r="I302">
        <f t="shared" ca="1" si="34"/>
        <v>3.5739008615826275</v>
      </c>
      <c r="J302">
        <f t="shared" ca="1" si="35"/>
        <v>156.11319827683474</v>
      </c>
      <c r="K302">
        <f t="shared" ca="1" si="36"/>
        <v>170.40880172316525</v>
      </c>
    </row>
    <row r="303" spans="1:11" x14ac:dyDescent="0.25">
      <c r="A303" s="6">
        <f t="shared" ca="1" si="31"/>
        <v>45733</v>
      </c>
      <c r="B303" vm="883">
        <f ca="1"/>
        <v>45733</v>
      </c>
      <c r="C303" vm="884">
        <f ca="1"/>
        <v>162.84</v>
      </c>
      <c r="D303" vm="885">
        <f ca="1"/>
        <v>6669815</v>
      </c>
      <c r="E303">
        <f t="shared" ca="1" si="32"/>
        <v>164.74333333333331</v>
      </c>
      <c r="F303">
        <f t="shared" ca="1" si="33"/>
        <v>163.59550000000002</v>
      </c>
      <c r="G303">
        <f t="shared" ca="1" si="30"/>
        <v>155.10720000000001</v>
      </c>
      <c r="H303">
        <f t="shared" ca="1" si="37"/>
        <v>154.18554455445548</v>
      </c>
      <c r="I303">
        <f t="shared" ca="1" si="34"/>
        <v>3.1627411079298713</v>
      </c>
      <c r="J303">
        <f t="shared" ca="1" si="35"/>
        <v>157.27001778414026</v>
      </c>
      <c r="K303">
        <f t="shared" ca="1" si="36"/>
        <v>169.92098221585977</v>
      </c>
    </row>
    <row r="304" spans="1:11" x14ac:dyDescent="0.25">
      <c r="A304" s="6">
        <f t="shared" ca="1" si="31"/>
        <v>45733</v>
      </c>
      <c r="B304" vm="886">
        <f ca="1"/>
        <v>45734</v>
      </c>
      <c r="C304" vm="887">
        <f ca="1"/>
        <v>164.25</v>
      </c>
      <c r="D304" vm="888">
        <f ca="1"/>
        <v>7348974</v>
      </c>
      <c r="E304">
        <f t="shared" ca="1" si="32"/>
        <v>164.64666666666665</v>
      </c>
      <c r="F304">
        <f t="shared" ca="1" si="33"/>
        <v>164.05849999999998</v>
      </c>
      <c r="G304">
        <f t="shared" ca="1" si="30"/>
        <v>155.51179999999999</v>
      </c>
      <c r="H304">
        <f t="shared" ca="1" si="37"/>
        <v>154.17693069306932</v>
      </c>
      <c r="I304">
        <f t="shared" ca="1" si="34"/>
        <v>2.4294471430868039</v>
      </c>
      <c r="J304">
        <f t="shared" ca="1" si="35"/>
        <v>159.19960571382637</v>
      </c>
      <c r="K304">
        <f t="shared" ca="1" si="36"/>
        <v>168.91739428617359</v>
      </c>
    </row>
    <row r="305" spans="1:11" x14ac:dyDescent="0.25">
      <c r="A305" s="6">
        <f t="shared" ca="1" si="31"/>
        <v>45733</v>
      </c>
      <c r="B305" vm="889">
        <f ca="1"/>
        <v>45735</v>
      </c>
      <c r="C305" vm="878">
        <f ca="1"/>
        <v>162.99</v>
      </c>
      <c r="D305" vm="890">
        <f ca="1"/>
        <v>5936637</v>
      </c>
      <c r="E305">
        <f t="shared" ca="1" si="32"/>
        <v>164.33111111111111</v>
      </c>
      <c r="F305">
        <f t="shared" ca="1" si="33"/>
        <v>164.31350000000003</v>
      </c>
      <c r="G305">
        <f t="shared" ca="1" si="30"/>
        <v>155.8878</v>
      </c>
      <c r="H305">
        <f t="shared" ca="1" si="37"/>
        <v>154.17851485148515</v>
      </c>
      <c r="I305">
        <f t="shared" ca="1" si="34"/>
        <v>1.9726132146816904</v>
      </c>
      <c r="J305">
        <f t="shared" ca="1" si="35"/>
        <v>160.36827357063666</v>
      </c>
      <c r="K305">
        <f t="shared" ca="1" si="36"/>
        <v>168.25872642936341</v>
      </c>
    </row>
    <row r="306" spans="1:11" x14ac:dyDescent="0.25">
      <c r="A306" s="6">
        <f t="shared" ca="1" si="31"/>
        <v>45733</v>
      </c>
      <c r="B306" vm="891">
        <f ca="1"/>
        <v>45736</v>
      </c>
      <c r="C306" vm="892">
        <f ca="1"/>
        <v>163.02000000000001</v>
      </c>
      <c r="D306" vm="893">
        <f ca="1"/>
        <v>7485930</v>
      </c>
      <c r="E306">
        <f t="shared" ca="1" si="32"/>
        <v>163.92333333333335</v>
      </c>
      <c r="F306">
        <f t="shared" ca="1" si="33"/>
        <v>164.48050000000001</v>
      </c>
      <c r="G306">
        <f t="shared" ca="1" si="30"/>
        <v>156.27500000000001</v>
      </c>
      <c r="H306">
        <f t="shared" ca="1" si="37"/>
        <v>154.17425742574261</v>
      </c>
      <c r="I306">
        <f t="shared" ca="1" si="34"/>
        <v>1.6792682460242181</v>
      </c>
      <c r="J306">
        <f t="shared" ca="1" si="35"/>
        <v>161.12196350795156</v>
      </c>
      <c r="K306">
        <f t="shared" ca="1" si="36"/>
        <v>167.83903649204845</v>
      </c>
    </row>
    <row r="307" spans="1:11" x14ac:dyDescent="0.25">
      <c r="A307" s="6">
        <f t="shared" ca="1" si="31"/>
        <v>45733</v>
      </c>
      <c r="B307" vm="894">
        <f ca="1"/>
        <v>45737</v>
      </c>
      <c r="C307" vm="895">
        <f ca="1"/>
        <v>163.63</v>
      </c>
      <c r="D307" vm="896">
        <f ca="1"/>
        <v>17047106</v>
      </c>
      <c r="E307">
        <f t="shared" ca="1" si="32"/>
        <v>163.47111111111113</v>
      </c>
      <c r="F307">
        <f t="shared" ca="1" si="33"/>
        <v>164.547</v>
      </c>
      <c r="G307">
        <f t="shared" ca="1" si="30"/>
        <v>156.62300000000002</v>
      </c>
      <c r="H307">
        <f t="shared" ca="1" si="37"/>
        <v>154.15217821782181</v>
      </c>
      <c r="I307">
        <f t="shared" ca="1" si="34"/>
        <v>1.6134177518873583</v>
      </c>
      <c r="J307">
        <f t="shared" ca="1" si="35"/>
        <v>161.32016449622529</v>
      </c>
      <c r="K307">
        <f t="shared" ca="1" si="36"/>
        <v>167.77383550377471</v>
      </c>
    </row>
    <row r="308" spans="1:11" x14ac:dyDescent="0.25">
      <c r="A308" s="6">
        <f t="shared" ca="1" si="31"/>
        <v>45740</v>
      </c>
      <c r="B308" vm="897">
        <f ca="1"/>
        <v>45740</v>
      </c>
      <c r="C308" vm="898">
        <f ca="1"/>
        <v>163.29</v>
      </c>
      <c r="D308" vm="899">
        <f ca="1"/>
        <v>8046565</v>
      </c>
      <c r="E308">
        <f t="shared" ca="1" si="32"/>
        <v>163.18555555555557</v>
      </c>
      <c r="F308">
        <f t="shared" ca="1" si="33"/>
        <v>164.52450000000002</v>
      </c>
      <c r="G308">
        <f t="shared" ref="G308:G371" ca="1" si="38">AVERAGE(C259:C308)</f>
        <v>157.04339999999999</v>
      </c>
      <c r="H308">
        <f t="shared" ca="1" si="37"/>
        <v>154.14841584158421</v>
      </c>
      <c r="I308">
        <f t="shared" ca="1" si="34"/>
        <v>1.6283329382821965</v>
      </c>
      <c r="J308">
        <f t="shared" ca="1" si="35"/>
        <v>161.26783412343562</v>
      </c>
      <c r="K308">
        <f t="shared" ca="1" si="36"/>
        <v>167.78116587656442</v>
      </c>
    </row>
    <row r="309" spans="1:11" x14ac:dyDescent="0.25">
      <c r="A309" s="6">
        <f t="shared" ca="1" si="31"/>
        <v>45740</v>
      </c>
      <c r="B309" vm="900">
        <f ca="1"/>
        <v>45741</v>
      </c>
      <c r="C309" vm="901">
        <f ca="1"/>
        <v>161.02000000000001</v>
      </c>
      <c r="D309" vm="902">
        <f ca="1"/>
        <v>7456197</v>
      </c>
      <c r="E309">
        <f t="shared" ca="1" si="32"/>
        <v>162.98222222222222</v>
      </c>
      <c r="F309">
        <f t="shared" ca="1" si="33"/>
        <v>164.27100000000002</v>
      </c>
      <c r="G309">
        <f t="shared" ca="1" si="38"/>
        <v>157.42259999999999</v>
      </c>
      <c r="H309">
        <f t="shared" ca="1" si="37"/>
        <v>154.14980198019808</v>
      </c>
      <c r="I309">
        <f t="shared" ca="1" si="34"/>
        <v>1.7610310974868619</v>
      </c>
      <c r="J309">
        <f t="shared" ca="1" si="35"/>
        <v>160.74893780502629</v>
      </c>
      <c r="K309">
        <f t="shared" ca="1" si="36"/>
        <v>167.79306219497374</v>
      </c>
    </row>
    <row r="310" spans="1:11" x14ac:dyDescent="0.25">
      <c r="A310" s="6">
        <f t="shared" ca="1" si="31"/>
        <v>45740</v>
      </c>
      <c r="B310" vm="903">
        <f ca="1"/>
        <v>45742</v>
      </c>
      <c r="C310" vm="904">
        <f ca="1"/>
        <v>161.72</v>
      </c>
      <c r="D310" vm="905">
        <f ca="1"/>
        <v>7223773</v>
      </c>
      <c r="E310">
        <f t="shared" ca="1" si="32"/>
        <v>162.8411111111111</v>
      </c>
      <c r="F310">
        <f t="shared" ca="1" si="33"/>
        <v>164.203</v>
      </c>
      <c r="G310">
        <f t="shared" ca="1" si="38"/>
        <v>157.76760000000002</v>
      </c>
      <c r="H310">
        <f t="shared" ca="1" si="37"/>
        <v>154.15099009900996</v>
      </c>
      <c r="I310">
        <f t="shared" ca="1" si="34"/>
        <v>1.8341787205578859</v>
      </c>
      <c r="J310">
        <f t="shared" ca="1" si="35"/>
        <v>160.53464255888423</v>
      </c>
      <c r="K310">
        <f t="shared" ca="1" si="36"/>
        <v>167.87135744111578</v>
      </c>
    </row>
    <row r="311" spans="1:11" x14ac:dyDescent="0.25">
      <c r="A311" s="6">
        <f t="shared" ca="1" si="31"/>
        <v>45740</v>
      </c>
      <c r="B311" vm="906">
        <f ca="1"/>
        <v>45743</v>
      </c>
      <c r="C311" vm="907">
        <f ca="1"/>
        <v>163.13</v>
      </c>
      <c r="D311" vm="908">
        <f ca="1"/>
        <v>6752466</v>
      </c>
      <c r="E311">
        <f t="shared" ca="1" si="32"/>
        <v>162.87666666666667</v>
      </c>
      <c r="F311">
        <f t="shared" ca="1" si="33"/>
        <v>164.17299999999997</v>
      </c>
      <c r="G311">
        <f t="shared" ca="1" si="38"/>
        <v>158.1352</v>
      </c>
      <c r="H311">
        <f t="shared" ca="1" si="37"/>
        <v>154.18108910891092</v>
      </c>
      <c r="I311">
        <f t="shared" ca="1" si="34"/>
        <v>1.8471830616259692</v>
      </c>
      <c r="J311">
        <f t="shared" ca="1" si="35"/>
        <v>160.47863387674803</v>
      </c>
      <c r="K311">
        <f t="shared" ca="1" si="36"/>
        <v>167.86736612325191</v>
      </c>
    </row>
    <row r="312" spans="1:11" x14ac:dyDescent="0.25">
      <c r="A312" s="6">
        <f t="shared" ca="1" si="31"/>
        <v>45740</v>
      </c>
      <c r="B312" vm="909">
        <f ca="1"/>
        <v>45744</v>
      </c>
      <c r="C312" vm="910">
        <f ca="1"/>
        <v>163.71</v>
      </c>
      <c r="D312" vm="911">
        <f ca="1"/>
        <v>5760545</v>
      </c>
      <c r="E312">
        <f t="shared" ca="1" si="32"/>
        <v>162.9733333333333</v>
      </c>
      <c r="F312">
        <f t="shared" ca="1" si="33"/>
        <v>164.10750000000002</v>
      </c>
      <c r="G312">
        <f t="shared" ca="1" si="38"/>
        <v>158.51000000000002</v>
      </c>
      <c r="H312">
        <f t="shared" ca="1" si="37"/>
        <v>154.21178217821785</v>
      </c>
      <c r="I312">
        <f t="shared" ca="1" si="34"/>
        <v>1.8387749783626666</v>
      </c>
      <c r="J312">
        <f t="shared" ca="1" si="35"/>
        <v>160.42995004327469</v>
      </c>
      <c r="K312">
        <f t="shared" ca="1" si="36"/>
        <v>167.78504995672535</v>
      </c>
    </row>
    <row r="313" spans="1:11" x14ac:dyDescent="0.25">
      <c r="A313" s="6">
        <f t="shared" ca="1" si="31"/>
        <v>45747</v>
      </c>
      <c r="B313" vm="912">
        <f ca="1"/>
        <v>45747</v>
      </c>
      <c r="C313" vm="913">
        <f ca="1"/>
        <v>165.84</v>
      </c>
      <c r="D313" vm="914">
        <f ca="1"/>
        <v>12481400</v>
      </c>
      <c r="E313">
        <f t="shared" ca="1" si="32"/>
        <v>163.14999999999998</v>
      </c>
      <c r="F313">
        <f t="shared" ca="1" si="33"/>
        <v>164.03550000000001</v>
      </c>
      <c r="G313">
        <f t="shared" ca="1" si="38"/>
        <v>158.87140000000002</v>
      </c>
      <c r="H313">
        <f t="shared" ca="1" si="37"/>
        <v>154.27099009900994</v>
      </c>
      <c r="I313">
        <f t="shared" ca="1" si="34"/>
        <v>1.7331731623026911</v>
      </c>
      <c r="J313">
        <f t="shared" ca="1" si="35"/>
        <v>160.56915367539463</v>
      </c>
      <c r="K313">
        <f t="shared" ca="1" si="36"/>
        <v>167.5018463246054</v>
      </c>
    </row>
    <row r="314" spans="1:11" x14ac:dyDescent="0.25">
      <c r="A314" s="6">
        <f t="shared" ca="1" si="31"/>
        <v>45747</v>
      </c>
      <c r="B314" vm="915">
        <f ca="1"/>
        <v>45748</v>
      </c>
      <c r="C314" vm="916">
        <f ca="1"/>
        <v>153.25</v>
      </c>
      <c r="D314" vm="917">
        <f ca="1"/>
        <v>23303065</v>
      </c>
      <c r="E314">
        <f t="shared" ca="1" si="32"/>
        <v>162.06777777777776</v>
      </c>
      <c r="F314">
        <f t="shared" ca="1" si="33"/>
        <v>163.42699999999999</v>
      </c>
      <c r="G314">
        <f t="shared" ca="1" si="38"/>
        <v>158.99580000000003</v>
      </c>
      <c r="H314">
        <f t="shared" ca="1" si="37"/>
        <v>154.20287128712874</v>
      </c>
      <c r="I314">
        <f t="shared" ca="1" si="34"/>
        <v>2.9386590210681578</v>
      </c>
      <c r="J314">
        <f t="shared" ca="1" si="35"/>
        <v>157.54968195786367</v>
      </c>
      <c r="K314">
        <f t="shared" ca="1" si="36"/>
        <v>169.30431804213632</v>
      </c>
    </row>
    <row r="315" spans="1:11" x14ac:dyDescent="0.25">
      <c r="A315" s="6">
        <f t="shared" ca="1" si="31"/>
        <v>45747</v>
      </c>
      <c r="B315" vm="918">
        <f ca="1"/>
        <v>45749</v>
      </c>
      <c r="C315" vm="919">
        <f ca="1"/>
        <v>155.36000000000001</v>
      </c>
      <c r="D315" vm="920">
        <f ca="1"/>
        <v>10356920</v>
      </c>
      <c r="E315">
        <f t="shared" ca="1" si="32"/>
        <v>161.21666666666664</v>
      </c>
      <c r="F315">
        <f t="shared" ca="1" si="33"/>
        <v>162.93900000000002</v>
      </c>
      <c r="G315">
        <f t="shared" ca="1" si="38"/>
        <v>159.14000000000001</v>
      </c>
      <c r="H315">
        <f t="shared" ca="1" si="37"/>
        <v>154.1743564356436</v>
      </c>
      <c r="I315">
        <f t="shared" ca="1" si="34"/>
        <v>3.4145661664790077</v>
      </c>
      <c r="J315">
        <f t="shared" ca="1" si="35"/>
        <v>156.10986766704201</v>
      </c>
      <c r="K315">
        <f t="shared" ca="1" si="36"/>
        <v>169.76813233295803</v>
      </c>
    </row>
    <row r="316" spans="1:11" x14ac:dyDescent="0.25">
      <c r="A316" s="6">
        <f t="shared" ca="1" si="31"/>
        <v>45747</v>
      </c>
      <c r="B316" vm="921">
        <f ca="1"/>
        <v>45750</v>
      </c>
      <c r="C316" vm="922">
        <f ca="1"/>
        <v>159.82</v>
      </c>
      <c r="D316" vm="923">
        <f ca="1"/>
        <v>13249313</v>
      </c>
      <c r="E316">
        <f t="shared" ca="1" si="32"/>
        <v>160.79333333333335</v>
      </c>
      <c r="F316">
        <f t="shared" ca="1" si="33"/>
        <v>162.63850000000002</v>
      </c>
      <c r="G316">
        <f t="shared" ca="1" si="38"/>
        <v>159.43100000000001</v>
      </c>
      <c r="H316">
        <f t="shared" ca="1" si="37"/>
        <v>154.18891089108914</v>
      </c>
      <c r="I316">
        <f t="shared" ca="1" si="34"/>
        <v>3.4112064157019732</v>
      </c>
      <c r="J316">
        <f t="shared" ca="1" si="35"/>
        <v>155.81608716859608</v>
      </c>
      <c r="K316">
        <f t="shared" ca="1" si="36"/>
        <v>169.46091283140396</v>
      </c>
    </row>
    <row r="317" spans="1:11" x14ac:dyDescent="0.25">
      <c r="A317" s="6">
        <f t="shared" ca="1" si="31"/>
        <v>45747</v>
      </c>
      <c r="B317" vm="924">
        <f ca="1"/>
        <v>45751</v>
      </c>
      <c r="C317" vm="648">
        <f ca="1"/>
        <v>153.24</v>
      </c>
      <c r="D317" vm="925">
        <f ca="1"/>
        <v>16601728</v>
      </c>
      <c r="E317">
        <f t="shared" ca="1" si="32"/>
        <v>159.67666666666668</v>
      </c>
      <c r="F317">
        <f t="shared" ca="1" si="33"/>
        <v>161.96600000000004</v>
      </c>
      <c r="G317">
        <f t="shared" ca="1" si="38"/>
        <v>159.56299999999999</v>
      </c>
      <c r="H317">
        <f t="shared" ca="1" si="37"/>
        <v>154.14297029702973</v>
      </c>
      <c r="I317">
        <f t="shared" ca="1" si="34"/>
        <v>3.865925912106273</v>
      </c>
      <c r="J317">
        <f t="shared" ca="1" si="35"/>
        <v>154.23414817578748</v>
      </c>
      <c r="K317">
        <f t="shared" ca="1" si="36"/>
        <v>169.69785182421259</v>
      </c>
    </row>
    <row r="318" spans="1:11" x14ac:dyDescent="0.25">
      <c r="A318" s="6">
        <f t="shared" ca="1" si="31"/>
        <v>45754</v>
      </c>
      <c r="B318" vm="926">
        <f ca="1"/>
        <v>45754</v>
      </c>
      <c r="C318" vm="927">
        <f ca="1"/>
        <v>150.62</v>
      </c>
      <c r="D318" vm="928">
        <f ca="1"/>
        <v>18083040</v>
      </c>
      <c r="E318">
        <f t="shared" ca="1" si="32"/>
        <v>158.52111111111111</v>
      </c>
      <c r="F318">
        <f t="shared" ca="1" si="33"/>
        <v>161.11200000000002</v>
      </c>
      <c r="G318">
        <f t="shared" ca="1" si="38"/>
        <v>159.63900000000001</v>
      </c>
      <c r="H318">
        <f t="shared" ca="1" si="37"/>
        <v>154.0824752475248</v>
      </c>
      <c r="I318">
        <f t="shared" ca="1" si="34"/>
        <v>4.3843556809230355</v>
      </c>
      <c r="J318">
        <f t="shared" ca="1" si="35"/>
        <v>152.34328863815395</v>
      </c>
      <c r="K318">
        <f t="shared" ca="1" si="36"/>
        <v>169.8807113618461</v>
      </c>
    </row>
    <row r="319" spans="1:11" x14ac:dyDescent="0.25">
      <c r="A319" s="6">
        <f t="shared" ca="1" si="31"/>
        <v>45754</v>
      </c>
      <c r="B319" vm="929">
        <f ca="1"/>
        <v>45755</v>
      </c>
      <c r="C319" vm="930">
        <f ca="1"/>
        <v>150</v>
      </c>
      <c r="D319" vm="931">
        <f ca="1"/>
        <v>12018391</v>
      </c>
      <c r="E319">
        <f t="shared" ca="1" si="32"/>
        <v>157.21888888888893</v>
      </c>
      <c r="F319">
        <f t="shared" ca="1" si="33"/>
        <v>160.31900000000002</v>
      </c>
      <c r="G319">
        <f t="shared" ca="1" si="38"/>
        <v>159.5812</v>
      </c>
      <c r="H319">
        <f t="shared" ca="1" si="37"/>
        <v>154.02831683168321</v>
      </c>
      <c r="I319">
        <f t="shared" ca="1" si="34"/>
        <v>4.8859895296869515</v>
      </c>
      <c r="J319">
        <f t="shared" ca="1" si="35"/>
        <v>150.54702094062611</v>
      </c>
      <c r="K319">
        <f t="shared" ca="1" si="36"/>
        <v>170.09097905937392</v>
      </c>
    </row>
    <row r="320" spans="1:11" x14ac:dyDescent="0.25">
      <c r="A320" s="6">
        <f t="shared" ca="1" si="31"/>
        <v>45754</v>
      </c>
      <c r="B320" vm="932">
        <f ca="1"/>
        <v>45756</v>
      </c>
      <c r="C320" vm="933">
        <f ca="1"/>
        <v>150.97</v>
      </c>
      <c r="D320" vm="934">
        <f ca="1"/>
        <v>18773742</v>
      </c>
      <c r="E320">
        <f t="shared" ca="1" si="32"/>
        <v>155.8677777777778</v>
      </c>
      <c r="F320">
        <f t="shared" ca="1" si="33"/>
        <v>159.72500000000002</v>
      </c>
      <c r="G320">
        <f t="shared" ca="1" si="38"/>
        <v>159.59300000000002</v>
      </c>
      <c r="H320">
        <f t="shared" ca="1" si="37"/>
        <v>153.98801980198022</v>
      </c>
      <c r="I320">
        <f t="shared" ca="1" si="34"/>
        <v>5.269205972340365</v>
      </c>
      <c r="J320">
        <f t="shared" ca="1" si="35"/>
        <v>149.18658805531931</v>
      </c>
      <c r="K320">
        <f t="shared" ca="1" si="36"/>
        <v>170.26341194468074</v>
      </c>
    </row>
    <row r="321" spans="1:11" x14ac:dyDescent="0.25">
      <c r="A321" s="6">
        <f t="shared" ca="1" si="31"/>
        <v>45754</v>
      </c>
      <c r="B321" vm="935">
        <f ca="1"/>
        <v>45757</v>
      </c>
      <c r="C321" vm="936">
        <f ca="1"/>
        <v>148.69</v>
      </c>
      <c r="D321" vm="937">
        <f ca="1"/>
        <v>13830474</v>
      </c>
      <c r="E321">
        <f t="shared" ca="1" si="32"/>
        <v>154.19888888888892</v>
      </c>
      <c r="F321">
        <f t="shared" ca="1" si="33"/>
        <v>159.01</v>
      </c>
      <c r="G321">
        <f t="shared" ca="1" si="38"/>
        <v>159.5438</v>
      </c>
      <c r="H321">
        <f t="shared" ca="1" si="37"/>
        <v>153.94891089108913</v>
      </c>
      <c r="I321">
        <f t="shared" ca="1" si="34"/>
        <v>5.7510301136771176</v>
      </c>
      <c r="J321">
        <f t="shared" ca="1" si="35"/>
        <v>147.50793977264576</v>
      </c>
      <c r="K321">
        <f t="shared" ca="1" si="36"/>
        <v>170.51206022735423</v>
      </c>
    </row>
    <row r="322" spans="1:11" x14ac:dyDescent="0.25">
      <c r="A322" s="6">
        <f t="shared" ca="1" si="31"/>
        <v>45754</v>
      </c>
      <c r="B322" vm="938">
        <f ca="1"/>
        <v>45758</v>
      </c>
      <c r="C322" vm="939">
        <f ca="1"/>
        <v>151.72999999999999</v>
      </c>
      <c r="D322" vm="940">
        <f ca="1"/>
        <v>9943851</v>
      </c>
      <c r="E322">
        <f t="shared" ca="1" si="32"/>
        <v>152.63111111111112</v>
      </c>
      <c r="F322">
        <f t="shared" ca="1" si="33"/>
        <v>158.45599999999996</v>
      </c>
      <c r="G322">
        <f t="shared" ca="1" si="38"/>
        <v>159.52100000000002</v>
      </c>
      <c r="H322">
        <f t="shared" ca="1" si="37"/>
        <v>153.93396039603959</v>
      </c>
      <c r="I322">
        <f t="shared" ca="1" si="34"/>
        <v>5.8975136598757496</v>
      </c>
      <c r="J322">
        <f t="shared" ca="1" si="35"/>
        <v>146.66097268024845</v>
      </c>
      <c r="K322">
        <f t="shared" ca="1" si="36"/>
        <v>170.25102731975147</v>
      </c>
    </row>
    <row r="323" spans="1:11" x14ac:dyDescent="0.25">
      <c r="A323" s="6">
        <f t="shared" ref="A323:A386" ca="1" si="39">B323 - WEEKDAY(B323, 2) + 1</f>
        <v>45761</v>
      </c>
      <c r="B323" vm="941">
        <f ca="1"/>
        <v>45761</v>
      </c>
      <c r="C323" vm="942">
        <f ca="1"/>
        <v>154.36000000000001</v>
      </c>
      <c r="D323" vm="943">
        <f ca="1"/>
        <v>10685338</v>
      </c>
      <c r="E323">
        <f t="shared" ca="1" si="32"/>
        <v>152.75444444444443</v>
      </c>
      <c r="F323">
        <f t="shared" ca="1" si="33"/>
        <v>158.03199999999998</v>
      </c>
      <c r="G323">
        <f t="shared" ca="1" si="38"/>
        <v>159.5652</v>
      </c>
      <c r="H323">
        <f t="shared" ca="1" si="37"/>
        <v>153.95861386138614</v>
      </c>
      <c r="I323">
        <f t="shared" ca="1" si="34"/>
        <v>5.8705102441198234</v>
      </c>
      <c r="J323">
        <f t="shared" ca="1" si="35"/>
        <v>146.29097951176033</v>
      </c>
      <c r="K323">
        <f t="shared" ca="1" si="36"/>
        <v>169.77302048823964</v>
      </c>
    </row>
    <row r="324" spans="1:11" x14ac:dyDescent="0.25">
      <c r="A324" s="6">
        <f t="shared" ca="1" si="39"/>
        <v>45761</v>
      </c>
      <c r="B324" vm="944">
        <f ca="1"/>
        <v>45762</v>
      </c>
      <c r="C324" vm="945">
        <f ca="1"/>
        <v>153.62</v>
      </c>
      <c r="D324" vm="946">
        <f ca="1"/>
        <v>10847653</v>
      </c>
      <c r="E324">
        <f t="shared" ca="1" si="32"/>
        <v>152.56111111111113</v>
      </c>
      <c r="F324">
        <f t="shared" ca="1" si="33"/>
        <v>157.50049999999999</v>
      </c>
      <c r="G324">
        <f t="shared" ca="1" si="38"/>
        <v>159.6002</v>
      </c>
      <c r="H324">
        <f t="shared" ca="1" si="37"/>
        <v>153.95485148514851</v>
      </c>
      <c r="I324">
        <f t="shared" ca="1" si="34"/>
        <v>5.7580483490045209</v>
      </c>
      <c r="J324">
        <f t="shared" ca="1" si="35"/>
        <v>145.98440330199094</v>
      </c>
      <c r="K324">
        <f t="shared" ca="1" si="36"/>
        <v>169.01659669800904</v>
      </c>
    </row>
    <row r="325" spans="1:11" x14ac:dyDescent="0.25">
      <c r="A325" s="6">
        <f t="shared" ca="1" si="39"/>
        <v>45761</v>
      </c>
      <c r="B325" vm="947">
        <f ca="1"/>
        <v>45763</v>
      </c>
      <c r="C325" vm="948">
        <f ca="1"/>
        <v>153.91</v>
      </c>
      <c r="D325" vm="949">
        <f ca="1"/>
        <v>7987296</v>
      </c>
      <c r="E325">
        <f t="shared" ca="1" si="32"/>
        <v>151.90444444444447</v>
      </c>
      <c r="F325">
        <f t="shared" ca="1" si="33"/>
        <v>157.04649999999998</v>
      </c>
      <c r="G325">
        <f t="shared" ca="1" si="38"/>
        <v>159.6086</v>
      </c>
      <c r="H325">
        <f t="shared" ca="1" si="37"/>
        <v>153.94633663366338</v>
      </c>
      <c r="I325">
        <f t="shared" ca="1" si="34"/>
        <v>5.6595613322663283</v>
      </c>
      <c r="J325">
        <f t="shared" ca="1" si="35"/>
        <v>145.72737733546734</v>
      </c>
      <c r="K325">
        <f t="shared" ca="1" si="36"/>
        <v>168.36562266453262</v>
      </c>
    </row>
    <row r="326" spans="1:11" x14ac:dyDescent="0.25">
      <c r="A326" s="6">
        <f t="shared" ca="1" si="39"/>
        <v>45761</v>
      </c>
      <c r="B326" vm="950">
        <f ca="1"/>
        <v>45764</v>
      </c>
      <c r="C326" vm="951">
        <f ca="1"/>
        <v>157.47</v>
      </c>
      <c r="D326" vm="952">
        <f ca="1"/>
        <v>10981067</v>
      </c>
      <c r="E326">
        <f t="shared" ca="1" si="32"/>
        <v>152.37444444444446</v>
      </c>
      <c r="F326">
        <f t="shared" ca="1" si="33"/>
        <v>156.76899999999995</v>
      </c>
      <c r="G326">
        <f t="shared" ca="1" si="38"/>
        <v>159.66419999999999</v>
      </c>
      <c r="H326">
        <f t="shared" ca="1" si="37"/>
        <v>153.99059405940594</v>
      </c>
      <c r="I326">
        <f t="shared" ca="1" si="34"/>
        <v>5.484612829975954</v>
      </c>
      <c r="J326">
        <f t="shared" ca="1" si="35"/>
        <v>145.79977434004803</v>
      </c>
      <c r="K326">
        <f t="shared" ca="1" si="36"/>
        <v>167.73822565995187</v>
      </c>
    </row>
    <row r="327" spans="1:11" x14ac:dyDescent="0.25">
      <c r="A327" s="6">
        <f t="shared" ca="1" si="39"/>
        <v>45768</v>
      </c>
      <c r="B327" vm="953">
        <f ca="1"/>
        <v>45768</v>
      </c>
      <c r="C327" vm="954">
        <f ca="1"/>
        <v>156.91999999999999</v>
      </c>
      <c r="D327" vm="955">
        <f ca="1"/>
        <v>6285438</v>
      </c>
      <c r="E327">
        <f t="shared" ca="1" si="32"/>
        <v>153.07444444444445</v>
      </c>
      <c r="F327">
        <f t="shared" ca="1" si="33"/>
        <v>156.43349999999998</v>
      </c>
      <c r="G327">
        <f t="shared" ca="1" si="38"/>
        <v>159.73239999999998</v>
      </c>
      <c r="H327">
        <f t="shared" ca="1" si="37"/>
        <v>154.02831683168318</v>
      </c>
      <c r="I327">
        <f t="shared" ca="1" si="34"/>
        <v>5.242723553951504</v>
      </c>
      <c r="J327">
        <f t="shared" ca="1" si="35"/>
        <v>145.94805289209697</v>
      </c>
      <c r="K327">
        <f t="shared" ca="1" si="36"/>
        <v>166.91894710790299</v>
      </c>
    </row>
    <row r="328" spans="1:11" x14ac:dyDescent="0.25">
      <c r="A328" s="6">
        <f t="shared" ca="1" si="39"/>
        <v>45768</v>
      </c>
      <c r="B328" vm="956">
        <f ca="1"/>
        <v>45769</v>
      </c>
      <c r="C328" vm="957">
        <f ca="1"/>
        <v>157.75</v>
      </c>
      <c r="D328" vm="958">
        <f ca="1"/>
        <v>7136321</v>
      </c>
      <c r="E328">
        <f t="shared" ca="1" si="32"/>
        <v>153.93555555555557</v>
      </c>
      <c r="F328">
        <f t="shared" ca="1" si="33"/>
        <v>156.15649999999999</v>
      </c>
      <c r="G328">
        <f t="shared" ca="1" si="38"/>
        <v>159.82499999999999</v>
      </c>
      <c r="H328">
        <f t="shared" ca="1" si="37"/>
        <v>154.05059405940594</v>
      </c>
      <c r="I328">
        <f t="shared" ca="1" si="34"/>
        <v>5.0022303183574763</v>
      </c>
      <c r="J328">
        <f t="shared" ca="1" si="35"/>
        <v>146.15203936328504</v>
      </c>
      <c r="K328">
        <f t="shared" ca="1" si="36"/>
        <v>166.16096063671495</v>
      </c>
    </row>
    <row r="329" spans="1:11" x14ac:dyDescent="0.25">
      <c r="A329" s="6">
        <f t="shared" ca="1" si="39"/>
        <v>45768</v>
      </c>
      <c r="B329" vm="959">
        <f ca="1"/>
        <v>45770</v>
      </c>
      <c r="C329" vm="960">
        <f ca="1"/>
        <v>155.38</v>
      </c>
      <c r="D329" vm="961">
        <f ca="1"/>
        <v>9099438</v>
      </c>
      <c r="E329">
        <f t="shared" ca="1" si="32"/>
        <v>154.42555555555555</v>
      </c>
      <c r="F329">
        <f t="shared" ca="1" si="33"/>
        <v>155.87449999999998</v>
      </c>
      <c r="G329">
        <f t="shared" ca="1" si="38"/>
        <v>159.84780000000001</v>
      </c>
      <c r="H329">
        <f t="shared" ca="1" si="37"/>
        <v>154.05267326732672</v>
      </c>
      <c r="I329">
        <f t="shared" ca="1" si="34"/>
        <v>4.8708731250156783</v>
      </c>
      <c r="J329">
        <f t="shared" ca="1" si="35"/>
        <v>146.13275374996863</v>
      </c>
      <c r="K329">
        <f t="shared" ca="1" si="36"/>
        <v>165.61624625003134</v>
      </c>
    </row>
    <row r="330" spans="1:11" x14ac:dyDescent="0.25">
      <c r="A330" s="6">
        <f t="shared" ca="1" si="39"/>
        <v>45768</v>
      </c>
      <c r="B330" vm="962">
        <f ca="1"/>
        <v>45771</v>
      </c>
      <c r="C330" vm="963">
        <f ca="1"/>
        <v>154.93</v>
      </c>
      <c r="D330" vm="964">
        <f ca="1"/>
        <v>8310425</v>
      </c>
      <c r="E330">
        <f t="shared" ca="1" si="32"/>
        <v>155.11888888888888</v>
      </c>
      <c r="F330">
        <f t="shared" ca="1" si="33"/>
        <v>155.535</v>
      </c>
      <c r="G330">
        <f t="shared" ca="1" si="38"/>
        <v>159.82380000000001</v>
      </c>
      <c r="H330">
        <f t="shared" ca="1" si="37"/>
        <v>154.04425742574259</v>
      </c>
      <c r="I330">
        <f t="shared" ca="1" si="34"/>
        <v>4.6746781482230073</v>
      </c>
      <c r="J330">
        <f t="shared" ca="1" si="35"/>
        <v>146.18564370355398</v>
      </c>
      <c r="K330">
        <f t="shared" ca="1" si="36"/>
        <v>164.88435629644601</v>
      </c>
    </row>
    <row r="331" spans="1:11" x14ac:dyDescent="0.25">
      <c r="A331" s="6">
        <f t="shared" ca="1" si="39"/>
        <v>45768</v>
      </c>
      <c r="B331" vm="965">
        <f ca="1"/>
        <v>45772</v>
      </c>
      <c r="C331" vm="966">
        <f ca="1"/>
        <v>154.58000000000001</v>
      </c>
      <c r="D331" vm="967">
        <f ca="1"/>
        <v>8643927</v>
      </c>
      <c r="E331">
        <f t="shared" ref="E331:E394" ca="1" si="40">AVERAGE(C323:C331)</f>
        <v>155.43555555555554</v>
      </c>
      <c r="F331">
        <f t="shared" ca="1" si="33"/>
        <v>155.10749999999999</v>
      </c>
      <c r="G331">
        <f t="shared" ca="1" si="38"/>
        <v>159.81019999999998</v>
      </c>
      <c r="H331">
        <f t="shared" ca="1" si="37"/>
        <v>154.04485148514851</v>
      </c>
      <c r="I331">
        <f t="shared" ca="1" si="34"/>
        <v>4.3211388301550429</v>
      </c>
      <c r="J331">
        <f t="shared" ca="1" si="35"/>
        <v>146.46522233968989</v>
      </c>
      <c r="K331">
        <f t="shared" ca="1" si="36"/>
        <v>163.74977766031009</v>
      </c>
    </row>
    <row r="332" spans="1:11" x14ac:dyDescent="0.25">
      <c r="A332" s="6">
        <f t="shared" ca="1" si="39"/>
        <v>45775</v>
      </c>
      <c r="B332" vm="968">
        <f ca="1"/>
        <v>45775</v>
      </c>
      <c r="C332" vm="969">
        <f ca="1"/>
        <v>155.35</v>
      </c>
      <c r="D332" vm="970">
        <f ca="1"/>
        <v>5815179</v>
      </c>
      <c r="E332">
        <f t="shared" ca="1" si="40"/>
        <v>155.54555555555555</v>
      </c>
      <c r="F332">
        <f t="shared" ca="1" si="33"/>
        <v>154.68950000000001</v>
      </c>
      <c r="G332">
        <f t="shared" ca="1" si="38"/>
        <v>159.7722</v>
      </c>
      <c r="H332">
        <f t="shared" ca="1" si="37"/>
        <v>154.04435643564358</v>
      </c>
      <c r="I332">
        <f t="shared" ca="1" si="34"/>
        <v>3.8205393322767511</v>
      </c>
      <c r="J332">
        <f t="shared" ca="1" si="35"/>
        <v>147.04842133544651</v>
      </c>
      <c r="K332">
        <f t="shared" ca="1" si="36"/>
        <v>162.33057866455351</v>
      </c>
    </row>
    <row r="333" spans="1:11" x14ac:dyDescent="0.25">
      <c r="A333" s="6">
        <f t="shared" ca="1" si="39"/>
        <v>45775</v>
      </c>
      <c r="B333" vm="971">
        <f ca="1"/>
        <v>45776</v>
      </c>
      <c r="C333" vm="972">
        <f ca="1"/>
        <v>155.91</v>
      </c>
      <c r="D333" vm="973">
        <f ca="1"/>
        <v>5246725</v>
      </c>
      <c r="E333">
        <f t="shared" ca="1" si="40"/>
        <v>155.79999999999998</v>
      </c>
      <c r="F333">
        <f t="shared" ca="1" si="33"/>
        <v>154.19299999999998</v>
      </c>
      <c r="G333">
        <f t="shared" ca="1" si="38"/>
        <v>159.76740000000001</v>
      </c>
      <c r="H333">
        <f t="shared" ca="1" si="37"/>
        <v>154.05326732673268</v>
      </c>
      <c r="I333">
        <f t="shared" ca="1" si="34"/>
        <v>2.8056298664236552</v>
      </c>
      <c r="J333">
        <f t="shared" ca="1" si="35"/>
        <v>148.58174026715267</v>
      </c>
      <c r="K333">
        <f t="shared" ca="1" si="36"/>
        <v>159.8042597328473</v>
      </c>
    </row>
    <row r="334" spans="1:11" x14ac:dyDescent="0.25">
      <c r="A334" s="6">
        <f t="shared" ca="1" si="39"/>
        <v>45775</v>
      </c>
      <c r="B334" vm="974">
        <f ca="1"/>
        <v>45777</v>
      </c>
      <c r="C334" vm="975">
        <f ca="1"/>
        <v>156.31</v>
      </c>
      <c r="D334" vm="976">
        <f ca="1"/>
        <v>9598156</v>
      </c>
      <c r="E334">
        <f t="shared" ca="1" si="40"/>
        <v>156.06666666666669</v>
      </c>
      <c r="F334">
        <f t="shared" ca="1" si="33"/>
        <v>154.34599999999998</v>
      </c>
      <c r="G334">
        <f t="shared" ca="1" si="38"/>
        <v>159.7938</v>
      </c>
      <c r="H334">
        <f t="shared" ca="1" si="37"/>
        <v>154.06821782178218</v>
      </c>
      <c r="I334">
        <f t="shared" ca="1" si="34"/>
        <v>2.834782828403354</v>
      </c>
      <c r="J334">
        <f t="shared" ca="1" si="35"/>
        <v>148.67643434319328</v>
      </c>
      <c r="K334">
        <f t="shared" ca="1" si="36"/>
        <v>160.01556565680667</v>
      </c>
    </row>
    <row r="335" spans="1:11" x14ac:dyDescent="0.25">
      <c r="A335" s="6">
        <f t="shared" ca="1" si="39"/>
        <v>45775</v>
      </c>
      <c r="B335" vm="977">
        <f ca="1"/>
        <v>45778</v>
      </c>
      <c r="C335" vm="978">
        <f ca="1"/>
        <v>154.46</v>
      </c>
      <c r="D335" vm="979">
        <f ca="1"/>
        <v>7325849</v>
      </c>
      <c r="E335">
        <f t="shared" ca="1" si="40"/>
        <v>155.73222222222225</v>
      </c>
      <c r="F335">
        <f t="shared" ca="1" si="33"/>
        <v>154.30099999999999</v>
      </c>
      <c r="G335">
        <f t="shared" ca="1" si="38"/>
        <v>159.7252</v>
      </c>
      <c r="H335">
        <f t="shared" ca="1" si="37"/>
        <v>154.08900990099011</v>
      </c>
      <c r="I335">
        <f t="shared" ca="1" si="34"/>
        <v>2.8249655796692075</v>
      </c>
      <c r="J335">
        <f t="shared" ca="1" si="35"/>
        <v>148.65106884066157</v>
      </c>
      <c r="K335">
        <f t="shared" ca="1" si="36"/>
        <v>159.95093115933841</v>
      </c>
    </row>
    <row r="336" spans="1:11" x14ac:dyDescent="0.25">
      <c r="A336" s="6">
        <f t="shared" ca="1" si="39"/>
        <v>45775</v>
      </c>
      <c r="B336" vm="980">
        <f ca="1"/>
        <v>45779</v>
      </c>
      <c r="C336" vm="981">
        <f ca="1"/>
        <v>156.12</v>
      </c>
      <c r="D336" vm="982">
        <f ca="1"/>
        <v>5974539</v>
      </c>
      <c r="E336">
        <f t="shared" ca="1" si="40"/>
        <v>155.64333333333332</v>
      </c>
      <c r="F336">
        <f t="shared" ca="1" si="33"/>
        <v>154.11599999999999</v>
      </c>
      <c r="G336">
        <f t="shared" ca="1" si="38"/>
        <v>159.65399999999997</v>
      </c>
      <c r="H336">
        <f t="shared" ca="1" si="37"/>
        <v>154.14495049504953</v>
      </c>
      <c r="I336">
        <f t="shared" ca="1" si="34"/>
        <v>2.5525331071619606</v>
      </c>
      <c r="J336">
        <f t="shared" ca="1" si="35"/>
        <v>149.01093378567606</v>
      </c>
      <c r="K336">
        <f t="shared" ca="1" si="36"/>
        <v>159.22106621432391</v>
      </c>
    </row>
    <row r="337" spans="1:11" x14ac:dyDescent="0.25">
      <c r="A337" s="6">
        <f t="shared" ca="1" si="39"/>
        <v>45782</v>
      </c>
      <c r="B337" vm="983">
        <f ca="1"/>
        <v>45782</v>
      </c>
      <c r="C337" vm="984">
        <f ca="1"/>
        <v>155</v>
      </c>
      <c r="D337" vm="985">
        <f ca="1"/>
        <v>5464496</v>
      </c>
      <c r="E337">
        <f t="shared" ca="1" si="40"/>
        <v>155.33777777777777</v>
      </c>
      <c r="F337">
        <f t="shared" ca="1" si="33"/>
        <v>154.20400000000001</v>
      </c>
      <c r="G337">
        <f t="shared" ca="1" si="38"/>
        <v>159.50799999999998</v>
      </c>
      <c r="H337">
        <f t="shared" ca="1" si="37"/>
        <v>154.19920792079208</v>
      </c>
      <c r="I337">
        <f t="shared" ca="1" si="34"/>
        <v>2.5510810917809148</v>
      </c>
      <c r="J337">
        <f t="shared" ca="1" si="35"/>
        <v>149.10183781643818</v>
      </c>
      <c r="K337">
        <f t="shared" ca="1" si="36"/>
        <v>159.30616218356184</v>
      </c>
    </row>
    <row r="338" spans="1:11" x14ac:dyDescent="0.25">
      <c r="A338" s="6">
        <f t="shared" ca="1" si="39"/>
        <v>45782</v>
      </c>
      <c r="B338" vm="986">
        <f ca="1"/>
        <v>45783</v>
      </c>
      <c r="C338" vm="987">
        <f ca="1"/>
        <v>154.47</v>
      </c>
      <c r="D338" vm="988">
        <f ca="1"/>
        <v>8644189</v>
      </c>
      <c r="E338">
        <f t="shared" ca="1" si="40"/>
        <v>155.23666666666665</v>
      </c>
      <c r="F338">
        <f t="shared" ca="1" si="33"/>
        <v>154.3965</v>
      </c>
      <c r="G338">
        <f t="shared" ca="1" si="38"/>
        <v>159.32259999999999</v>
      </c>
      <c r="H338">
        <f t="shared" ca="1" si="37"/>
        <v>154.25029702970295</v>
      </c>
      <c r="I338">
        <f t="shared" ca="1" si="34"/>
        <v>2.4076288291485812</v>
      </c>
      <c r="J338">
        <f t="shared" ca="1" si="35"/>
        <v>149.58124234170285</v>
      </c>
      <c r="K338">
        <f t="shared" ca="1" si="36"/>
        <v>159.21175765829716</v>
      </c>
    </row>
    <row r="339" spans="1:11" x14ac:dyDescent="0.25">
      <c r="A339" s="6">
        <f t="shared" ca="1" si="39"/>
        <v>45782</v>
      </c>
      <c r="B339" vm="989">
        <f ca="1"/>
        <v>45784</v>
      </c>
      <c r="C339" vm="990">
        <f ca="1"/>
        <v>157.30000000000001</v>
      </c>
      <c r="D339" vm="991">
        <f ca="1"/>
        <v>7854106</v>
      </c>
      <c r="E339">
        <f t="shared" ca="1" si="40"/>
        <v>155.5</v>
      </c>
      <c r="F339">
        <f t="shared" ca="1" si="33"/>
        <v>154.76150000000001</v>
      </c>
      <c r="G339">
        <f t="shared" ca="1" si="38"/>
        <v>159.14680000000001</v>
      </c>
      <c r="H339">
        <f t="shared" ca="1" si="37"/>
        <v>154.32653465346533</v>
      </c>
      <c r="I339">
        <f t="shared" ca="1" si="34"/>
        <v>2.2545095743980852</v>
      </c>
      <c r="J339">
        <f t="shared" ca="1" si="35"/>
        <v>150.25248085120384</v>
      </c>
      <c r="K339">
        <f t="shared" ca="1" si="36"/>
        <v>159.27051914879618</v>
      </c>
    </row>
    <row r="340" spans="1:11" x14ac:dyDescent="0.25">
      <c r="A340" s="6">
        <f t="shared" ca="1" si="39"/>
        <v>45782</v>
      </c>
      <c r="B340" vm="992">
        <f ca="1"/>
        <v>45785</v>
      </c>
      <c r="C340" vm="993">
        <f ca="1"/>
        <v>155.66</v>
      </c>
      <c r="D340" vm="994">
        <f ca="1"/>
        <v>7606095</v>
      </c>
      <c r="E340">
        <f t="shared" ca="1" si="40"/>
        <v>155.62</v>
      </c>
      <c r="F340">
        <f t="shared" ca="1" si="33"/>
        <v>154.99599999999998</v>
      </c>
      <c r="G340">
        <f t="shared" ca="1" si="38"/>
        <v>158.9984</v>
      </c>
      <c r="H340">
        <f t="shared" ca="1" si="37"/>
        <v>154.39019801980194</v>
      </c>
      <c r="I340">
        <f t="shared" ca="1" si="34"/>
        <v>2.0762501623942402</v>
      </c>
      <c r="J340">
        <f t="shared" ca="1" si="35"/>
        <v>150.84349967521149</v>
      </c>
      <c r="K340">
        <f t="shared" ca="1" si="36"/>
        <v>159.14850032478847</v>
      </c>
    </row>
    <row r="341" spans="1:11" x14ac:dyDescent="0.25">
      <c r="A341" s="6">
        <f t="shared" ca="1" si="39"/>
        <v>45782</v>
      </c>
      <c r="B341" vm="995">
        <f ca="1"/>
        <v>45786</v>
      </c>
      <c r="C341" vm="996">
        <f ca="1"/>
        <v>154.22</v>
      </c>
      <c r="D341" vm="997">
        <f ca="1"/>
        <v>6520449</v>
      </c>
      <c r="E341">
        <f t="shared" ca="1" si="40"/>
        <v>155.49444444444447</v>
      </c>
      <c r="F341">
        <f t="shared" ca="1" si="33"/>
        <v>155.27249999999998</v>
      </c>
      <c r="G341">
        <f t="shared" ca="1" si="38"/>
        <v>158.80820000000003</v>
      </c>
      <c r="H341">
        <f t="shared" ca="1" si="37"/>
        <v>154.46524752475244</v>
      </c>
      <c r="I341">
        <f t="shared" ca="1" si="34"/>
        <v>1.4727878147813493</v>
      </c>
      <c r="J341">
        <f t="shared" ca="1" si="35"/>
        <v>152.32692437043727</v>
      </c>
      <c r="K341">
        <f t="shared" ca="1" si="36"/>
        <v>158.21807562956269</v>
      </c>
    </row>
    <row r="342" spans="1:11" x14ac:dyDescent="0.25">
      <c r="A342" s="6">
        <f t="shared" ca="1" si="39"/>
        <v>45789</v>
      </c>
      <c r="B342" vm="998">
        <f ca="1"/>
        <v>45789</v>
      </c>
      <c r="C342" vm="999">
        <f ca="1"/>
        <v>154.13999999999999</v>
      </c>
      <c r="D342" vm="1000">
        <f ca="1"/>
        <v>9023782</v>
      </c>
      <c r="E342">
        <f t="shared" ca="1" si="40"/>
        <v>155.29777777777781</v>
      </c>
      <c r="F342">
        <f t="shared" ref="F342:F405" ca="1" si="41">AVERAGE(C323:C342)</f>
        <v>155.39299999999997</v>
      </c>
      <c r="G342">
        <f t="shared" ca="1" si="38"/>
        <v>158.59060000000002</v>
      </c>
      <c r="H342">
        <f t="shared" ca="1" si="37"/>
        <v>154.54346534653462</v>
      </c>
      <c r="I342">
        <f t="shared" ref="I342:I405" ca="1" si="42">_xlfn.STDEV.S(C323:C342)</f>
        <v>1.2493328746090635</v>
      </c>
      <c r="J342">
        <f t="shared" ref="J342:J405" ca="1" si="43">F342-2*I342</f>
        <v>152.89433425078184</v>
      </c>
      <c r="K342">
        <f t="shared" ref="K342:K405" ca="1" si="44">F342+2*I342</f>
        <v>157.89166574921811</v>
      </c>
    </row>
    <row r="343" spans="1:11" x14ac:dyDescent="0.25">
      <c r="A343" s="6">
        <f t="shared" ca="1" si="39"/>
        <v>45789</v>
      </c>
      <c r="B343" vm="1001">
        <f ca="1"/>
        <v>45790</v>
      </c>
      <c r="C343" vm="1002">
        <f ca="1"/>
        <v>148.44</v>
      </c>
      <c r="D343" vm="1003">
        <f ca="1"/>
        <v>10549609</v>
      </c>
      <c r="E343">
        <f t="shared" ca="1" si="40"/>
        <v>154.42333333333332</v>
      </c>
      <c r="F343">
        <f t="shared" ca="1" si="41"/>
        <v>155.09699999999998</v>
      </c>
      <c r="G343">
        <f t="shared" ca="1" si="38"/>
        <v>158.21380000000002</v>
      </c>
      <c r="H343">
        <f t="shared" ca="1" si="37"/>
        <v>154.56148514851483</v>
      </c>
      <c r="I343">
        <f t="shared" ca="1" si="42"/>
        <v>1.989189467306246</v>
      </c>
      <c r="J343">
        <f t="shared" ca="1" si="43"/>
        <v>151.11862106538749</v>
      </c>
      <c r="K343">
        <f t="shared" ca="1" si="44"/>
        <v>159.07537893461247</v>
      </c>
    </row>
    <row r="344" spans="1:11" x14ac:dyDescent="0.25">
      <c r="A344" s="6">
        <f t="shared" ca="1" si="39"/>
        <v>45789</v>
      </c>
      <c r="B344" vm="1004">
        <f ca="1"/>
        <v>45791</v>
      </c>
      <c r="C344" vm="1005">
        <f ca="1"/>
        <v>146.36000000000001</v>
      </c>
      <c r="D344" vm="1006">
        <f ca="1"/>
        <v>10215952</v>
      </c>
      <c r="E344">
        <f t="shared" ca="1" si="40"/>
        <v>153.52333333333334</v>
      </c>
      <c r="F344">
        <f t="shared" ca="1" si="41"/>
        <v>154.73399999999998</v>
      </c>
      <c r="G344">
        <f t="shared" ca="1" si="38"/>
        <v>157.83260000000001</v>
      </c>
      <c r="H344">
        <f t="shared" ca="1" si="37"/>
        <v>154.58633663366334</v>
      </c>
      <c r="I344">
        <f t="shared" ca="1" si="42"/>
        <v>2.7786676095226857</v>
      </c>
      <c r="J344">
        <f t="shared" ca="1" si="43"/>
        <v>149.17666478095461</v>
      </c>
      <c r="K344">
        <f t="shared" ca="1" si="44"/>
        <v>160.29133521904535</v>
      </c>
    </row>
    <row r="345" spans="1:11" x14ac:dyDescent="0.25">
      <c r="A345" s="6">
        <f t="shared" ca="1" si="39"/>
        <v>45789</v>
      </c>
      <c r="B345" vm="1007">
        <f ca="1"/>
        <v>45792</v>
      </c>
      <c r="C345" vm="1008">
        <f ca="1"/>
        <v>149.61000000000001</v>
      </c>
      <c r="D345" vm="1009">
        <f ca="1"/>
        <v>7945768</v>
      </c>
      <c r="E345">
        <f t="shared" ca="1" si="40"/>
        <v>152.80000000000004</v>
      </c>
      <c r="F345">
        <f t="shared" ca="1" si="41"/>
        <v>154.51900000000001</v>
      </c>
      <c r="G345">
        <f t="shared" ca="1" si="38"/>
        <v>157.5224</v>
      </c>
      <c r="H345">
        <f t="shared" ca="1" si="37"/>
        <v>154.61801980198015</v>
      </c>
      <c r="I345">
        <f t="shared" ca="1" si="42"/>
        <v>3.0030754411541416</v>
      </c>
      <c r="J345">
        <f t="shared" ca="1" si="43"/>
        <v>148.51284911769173</v>
      </c>
      <c r="K345">
        <f t="shared" ca="1" si="44"/>
        <v>160.52515088230828</v>
      </c>
    </row>
    <row r="346" spans="1:11" x14ac:dyDescent="0.25">
      <c r="A346" s="6">
        <f t="shared" ca="1" si="39"/>
        <v>45789</v>
      </c>
      <c r="B346" vm="1010">
        <f ca="1"/>
        <v>45793</v>
      </c>
      <c r="C346" vm="1011">
        <f ca="1"/>
        <v>151.33000000000001</v>
      </c>
      <c r="D346" vm="1012">
        <f ca="1"/>
        <v>8051150</v>
      </c>
      <c r="E346">
        <f t="shared" ca="1" si="40"/>
        <v>152.39222222222224</v>
      </c>
      <c r="F346">
        <f t="shared" ca="1" si="41"/>
        <v>154.21199999999999</v>
      </c>
      <c r="G346">
        <f t="shared" ca="1" si="38"/>
        <v>157.23239999999998</v>
      </c>
      <c r="H346">
        <f t="shared" ca="1" si="37"/>
        <v>154.68316831683165</v>
      </c>
      <c r="I346">
        <f t="shared" ca="1" si="42"/>
        <v>2.999360633622822</v>
      </c>
      <c r="J346">
        <f t="shared" ca="1" si="43"/>
        <v>148.21327873275433</v>
      </c>
      <c r="K346">
        <f t="shared" ca="1" si="44"/>
        <v>160.21072126724565</v>
      </c>
    </row>
    <row r="347" spans="1:11" x14ac:dyDescent="0.25">
      <c r="A347" s="6">
        <f t="shared" ca="1" si="39"/>
        <v>45796</v>
      </c>
      <c r="B347" vm="1013">
        <f ca="1"/>
        <v>45796</v>
      </c>
      <c r="C347" vm="1014">
        <f ca="1"/>
        <v>152.49</v>
      </c>
      <c r="D347" vm="1015">
        <f ca="1"/>
        <v>12639948</v>
      </c>
      <c r="E347">
        <f t="shared" ca="1" si="40"/>
        <v>152.17222222222222</v>
      </c>
      <c r="F347">
        <f t="shared" ca="1" si="41"/>
        <v>153.99050000000003</v>
      </c>
      <c r="G347">
        <f t="shared" ca="1" si="38"/>
        <v>156.94840000000002</v>
      </c>
      <c r="H347">
        <f t="shared" ca="1" si="37"/>
        <v>154.77138613861379</v>
      </c>
      <c r="I347">
        <f t="shared" ca="1" si="42"/>
        <v>2.9520545477059805</v>
      </c>
      <c r="J347">
        <f t="shared" ca="1" si="43"/>
        <v>148.08639090458806</v>
      </c>
      <c r="K347">
        <f t="shared" ca="1" si="44"/>
        <v>159.89460909541199</v>
      </c>
    </row>
    <row r="348" spans="1:11" x14ac:dyDescent="0.25">
      <c r="A348" s="6">
        <f t="shared" ca="1" si="39"/>
        <v>45796</v>
      </c>
      <c r="B348" vm="1016">
        <f ca="1"/>
        <v>45797</v>
      </c>
      <c r="C348" vm="1017">
        <f ca="1"/>
        <v>153.66</v>
      </c>
      <c r="D348" vm="1018">
        <f ca="1"/>
        <v>7351451</v>
      </c>
      <c r="E348">
        <f t="shared" ca="1" si="40"/>
        <v>151.76777777777778</v>
      </c>
      <c r="F348">
        <f t="shared" ca="1" si="41"/>
        <v>153.786</v>
      </c>
      <c r="G348">
        <f t="shared" ca="1" si="38"/>
        <v>156.66760000000002</v>
      </c>
      <c r="H348">
        <f t="shared" ca="1" si="37"/>
        <v>154.86237623762372</v>
      </c>
      <c r="I348">
        <f t="shared" ca="1" si="42"/>
        <v>2.8164636281019213</v>
      </c>
      <c r="J348">
        <f t="shared" ca="1" si="43"/>
        <v>148.15307274379614</v>
      </c>
      <c r="K348">
        <f t="shared" ca="1" si="44"/>
        <v>159.41892725620386</v>
      </c>
    </row>
    <row r="349" spans="1:11" x14ac:dyDescent="0.25">
      <c r="A349" s="6">
        <f t="shared" ca="1" si="39"/>
        <v>45796</v>
      </c>
      <c r="B349" vm="1019">
        <f ca="1"/>
        <v>45798</v>
      </c>
      <c r="C349" vm="1020">
        <f ca="1"/>
        <v>153.18</v>
      </c>
      <c r="D349" vm="1021">
        <f ca="1"/>
        <v>7032225</v>
      </c>
      <c r="E349">
        <f t="shared" ca="1" si="40"/>
        <v>151.49222222222227</v>
      </c>
      <c r="F349">
        <f t="shared" ca="1" si="41"/>
        <v>153.67599999999999</v>
      </c>
      <c r="G349">
        <f t="shared" ca="1" si="38"/>
        <v>156.41400000000002</v>
      </c>
      <c r="H349">
        <f t="shared" ca="1" si="37"/>
        <v>154.94069306930689</v>
      </c>
      <c r="I349">
        <f t="shared" ca="1" si="42"/>
        <v>2.7938021630594703</v>
      </c>
      <c r="J349">
        <f t="shared" ca="1" si="43"/>
        <v>148.08839567388105</v>
      </c>
      <c r="K349">
        <f t="shared" ca="1" si="44"/>
        <v>159.26360432611892</v>
      </c>
    </row>
    <row r="350" spans="1:11" x14ac:dyDescent="0.25">
      <c r="A350" s="6">
        <f t="shared" ca="1" si="39"/>
        <v>45796</v>
      </c>
      <c r="B350" vm="1022">
        <f ca="1"/>
        <v>45799</v>
      </c>
      <c r="C350" vm="1023">
        <f ca="1"/>
        <v>152.61000000000001</v>
      </c>
      <c r="D350" vm="1024">
        <f ca="1"/>
        <v>7535335</v>
      </c>
      <c r="E350">
        <f t="shared" ca="1" si="40"/>
        <v>151.31333333333336</v>
      </c>
      <c r="F350">
        <f t="shared" ca="1" si="41"/>
        <v>153.56</v>
      </c>
      <c r="G350">
        <f t="shared" ca="1" si="38"/>
        <v>156.20920000000001</v>
      </c>
      <c r="H350">
        <f t="shared" ca="1" si="37"/>
        <v>155.0076237623762</v>
      </c>
      <c r="I350">
        <f t="shared" ca="1" si="42"/>
        <v>2.7871509694158605</v>
      </c>
      <c r="J350">
        <f t="shared" ca="1" si="43"/>
        <v>147.98569806116828</v>
      </c>
      <c r="K350">
        <f t="shared" ca="1" si="44"/>
        <v>159.13430193883173</v>
      </c>
    </row>
    <row r="351" spans="1:11" x14ac:dyDescent="0.25">
      <c r="A351" s="6">
        <f t="shared" ca="1" si="39"/>
        <v>45796</v>
      </c>
      <c r="B351" vm="1025">
        <f ca="1"/>
        <v>45800</v>
      </c>
      <c r="C351" vm="1026">
        <f ca="1"/>
        <v>152.94</v>
      </c>
      <c r="D351" vm="1027">
        <f ca="1"/>
        <v>6727539</v>
      </c>
      <c r="E351">
        <f t="shared" ca="1" si="40"/>
        <v>151.17999999999998</v>
      </c>
      <c r="F351">
        <f t="shared" ca="1" si="41"/>
        <v>153.47800000000001</v>
      </c>
      <c r="G351">
        <f t="shared" ca="1" si="38"/>
        <v>156.00819999999999</v>
      </c>
      <c r="H351">
        <f t="shared" ca="1" si="37"/>
        <v>155.08049504950492</v>
      </c>
      <c r="I351">
        <f t="shared" ca="1" si="42"/>
        <v>2.7796773762056377</v>
      </c>
      <c r="J351">
        <f t="shared" ca="1" si="43"/>
        <v>147.91864524758873</v>
      </c>
      <c r="K351">
        <f t="shared" ca="1" si="44"/>
        <v>159.03735475241129</v>
      </c>
    </row>
    <row r="352" spans="1:11" x14ac:dyDescent="0.25">
      <c r="A352" s="6">
        <f t="shared" ca="1" si="39"/>
        <v>45803</v>
      </c>
      <c r="B352" vm="1028">
        <f ca="1"/>
        <v>45804</v>
      </c>
      <c r="C352" vm="916">
        <f ca="1"/>
        <v>153.25</v>
      </c>
      <c r="D352" vm="1029">
        <f ca="1"/>
        <v>6990694</v>
      </c>
      <c r="E352">
        <f t="shared" ca="1" si="40"/>
        <v>151.71444444444447</v>
      </c>
      <c r="F352">
        <f t="shared" ca="1" si="41"/>
        <v>153.37300000000002</v>
      </c>
      <c r="G352">
        <f t="shared" ca="1" si="38"/>
        <v>155.81699999999998</v>
      </c>
      <c r="H352">
        <f t="shared" ca="1" si="37"/>
        <v>155.16168316831681</v>
      </c>
      <c r="I352">
        <f t="shared" ca="1" si="42"/>
        <v>2.744685007332111</v>
      </c>
      <c r="J352">
        <f t="shared" ca="1" si="43"/>
        <v>147.8836299853358</v>
      </c>
      <c r="K352">
        <f t="shared" ca="1" si="44"/>
        <v>158.86237001466424</v>
      </c>
    </row>
    <row r="353" spans="1:11" x14ac:dyDescent="0.25">
      <c r="A353" s="6">
        <f t="shared" ca="1" si="39"/>
        <v>45803</v>
      </c>
      <c r="B353" vm="1030">
        <f ca="1"/>
        <v>45805</v>
      </c>
      <c r="C353" vm="1031">
        <f ca="1"/>
        <v>152.43</v>
      </c>
      <c r="D353" vm="1032">
        <f ca="1"/>
        <v>8459310</v>
      </c>
      <c r="E353">
        <f t="shared" ca="1" si="40"/>
        <v>152.38888888888889</v>
      </c>
      <c r="F353">
        <f t="shared" ca="1" si="41"/>
        <v>153.19900000000001</v>
      </c>
      <c r="G353">
        <f t="shared" ca="1" si="38"/>
        <v>155.60879999999997</v>
      </c>
      <c r="H353">
        <f t="shared" ca="1" si="37"/>
        <v>155.25168316831682</v>
      </c>
      <c r="I353">
        <f t="shared" ca="1" si="42"/>
        <v>2.6850461134920822</v>
      </c>
      <c r="J353">
        <f t="shared" ca="1" si="43"/>
        <v>147.82890777301586</v>
      </c>
      <c r="K353">
        <f t="shared" ca="1" si="44"/>
        <v>158.56909222698417</v>
      </c>
    </row>
    <row r="354" spans="1:11" x14ac:dyDescent="0.25">
      <c r="A354" s="6">
        <f t="shared" ca="1" si="39"/>
        <v>45803</v>
      </c>
      <c r="B354" vm="1033">
        <f ca="1"/>
        <v>45806</v>
      </c>
      <c r="C354" vm="1034">
        <f ca="1"/>
        <v>153.58000000000001</v>
      </c>
      <c r="D354" vm="1035">
        <f ca="1"/>
        <v>6810982</v>
      </c>
      <c r="E354">
        <f t="shared" ca="1" si="40"/>
        <v>152.83000000000001</v>
      </c>
      <c r="F354">
        <f t="shared" ca="1" si="41"/>
        <v>153.0625</v>
      </c>
      <c r="G354">
        <f t="shared" ca="1" si="38"/>
        <v>155.3954</v>
      </c>
      <c r="H354">
        <f t="shared" ca="1" si="37"/>
        <v>155.34039603960395</v>
      </c>
      <c r="I354">
        <f t="shared" ca="1" si="42"/>
        <v>2.5861389122945808</v>
      </c>
      <c r="J354">
        <f t="shared" ca="1" si="43"/>
        <v>147.89022217541083</v>
      </c>
      <c r="K354">
        <f t="shared" ca="1" si="44"/>
        <v>158.23477782458917</v>
      </c>
    </row>
    <row r="355" spans="1:11" x14ac:dyDescent="0.25">
      <c r="A355" s="6">
        <f t="shared" ca="1" si="39"/>
        <v>45803</v>
      </c>
      <c r="B355" vm="1036">
        <f ca="1"/>
        <v>45807</v>
      </c>
      <c r="C355" vm="1037">
        <f ca="1"/>
        <v>155.21</v>
      </c>
      <c r="D355" vm="1038">
        <f ca="1"/>
        <v>15529716</v>
      </c>
      <c r="E355">
        <f t="shared" ca="1" si="40"/>
        <v>153.26111111111112</v>
      </c>
      <c r="F355">
        <f t="shared" ca="1" si="41"/>
        <v>153.1</v>
      </c>
      <c r="G355">
        <f t="shared" ca="1" si="38"/>
        <v>155.23979999999997</v>
      </c>
      <c r="H355">
        <f t="shared" ca="1" si="37"/>
        <v>155.45118811881187</v>
      </c>
      <c r="I355">
        <f t="shared" ca="1" si="42"/>
        <v>2.6127702579929641</v>
      </c>
      <c r="J355">
        <f t="shared" ca="1" si="43"/>
        <v>147.87445948401407</v>
      </c>
      <c r="K355">
        <f t="shared" ca="1" si="44"/>
        <v>158.32554051598592</v>
      </c>
    </row>
    <row r="356" spans="1:11" x14ac:dyDescent="0.25">
      <c r="A356" s="6">
        <f t="shared" ca="1" si="39"/>
        <v>45810</v>
      </c>
      <c r="B356" vm="1039">
        <f ca="1"/>
        <v>45810</v>
      </c>
      <c r="C356" vm="678">
        <f ca="1"/>
        <v>155.4</v>
      </c>
      <c r="D356" vm="1040">
        <f ca="1"/>
        <v>6669669</v>
      </c>
      <c r="E356">
        <f t="shared" ca="1" si="40"/>
        <v>153.58444444444447</v>
      </c>
      <c r="F356">
        <f t="shared" ca="1" si="41"/>
        <v>153.06400000000002</v>
      </c>
      <c r="G356">
        <f t="shared" ca="1" si="38"/>
        <v>155.08739999999997</v>
      </c>
      <c r="H356">
        <f t="shared" ca="1" si="37"/>
        <v>155.56217821782175</v>
      </c>
      <c r="I356">
        <f t="shared" ca="1" si="42"/>
        <v>2.5736363788473118</v>
      </c>
      <c r="J356">
        <f t="shared" ca="1" si="43"/>
        <v>147.9167272423054</v>
      </c>
      <c r="K356">
        <f t="shared" ca="1" si="44"/>
        <v>158.21127275769464</v>
      </c>
    </row>
    <row r="357" spans="1:11" x14ac:dyDescent="0.25">
      <c r="A357" s="6">
        <f t="shared" ca="1" si="39"/>
        <v>45810</v>
      </c>
      <c r="B357" vm="1041">
        <f ca="1"/>
        <v>45811</v>
      </c>
      <c r="C357" vm="1042">
        <f ca="1"/>
        <v>154.41999999999999</v>
      </c>
      <c r="D357" vm="1043">
        <f ca="1"/>
        <v>8209757</v>
      </c>
      <c r="E357">
        <f t="shared" ca="1" si="40"/>
        <v>153.66888888888892</v>
      </c>
      <c r="F357">
        <f t="shared" ca="1" si="41"/>
        <v>153.03500000000003</v>
      </c>
      <c r="G357">
        <f t="shared" ca="1" si="38"/>
        <v>154.90319999999997</v>
      </c>
      <c r="H357">
        <f t="shared" ca="1" si="37"/>
        <v>155.66871287128711</v>
      </c>
      <c r="I357">
        <f t="shared" ca="1" si="42"/>
        <v>2.5538649760293635</v>
      </c>
      <c r="J357">
        <f t="shared" ca="1" si="43"/>
        <v>147.92727004794131</v>
      </c>
      <c r="K357">
        <f t="shared" ca="1" si="44"/>
        <v>158.14272995205874</v>
      </c>
    </row>
    <row r="358" spans="1:11" x14ac:dyDescent="0.25">
      <c r="A358" s="6">
        <f t="shared" ca="1" si="39"/>
        <v>45810</v>
      </c>
      <c r="B358" vm="1044">
        <f ca="1"/>
        <v>45812</v>
      </c>
      <c r="C358" vm="1045">
        <f ca="1"/>
        <v>153.22</v>
      </c>
      <c r="D358" vm="1046">
        <f ca="1"/>
        <v>6983861</v>
      </c>
      <c r="E358">
        <f t="shared" ca="1" si="40"/>
        <v>153.67333333333335</v>
      </c>
      <c r="F358">
        <f t="shared" ca="1" si="41"/>
        <v>152.9725</v>
      </c>
      <c r="G358">
        <f t="shared" ca="1" si="38"/>
        <v>154.70179999999996</v>
      </c>
      <c r="H358">
        <f t="shared" ref="H358:H421" ca="1" si="45">AVERAGE(C258:C358)</f>
        <v>155.73792079207917</v>
      </c>
      <c r="I358">
        <f t="shared" ca="1" si="42"/>
        <v>2.532101010290817</v>
      </c>
      <c r="J358">
        <f t="shared" ca="1" si="43"/>
        <v>147.90829797941836</v>
      </c>
      <c r="K358">
        <f t="shared" ca="1" si="44"/>
        <v>158.03670202058163</v>
      </c>
    </row>
    <row r="359" spans="1:11" x14ac:dyDescent="0.25">
      <c r="A359" s="6">
        <f t="shared" ca="1" si="39"/>
        <v>45810</v>
      </c>
      <c r="B359" vm="1047">
        <f ca="1"/>
        <v>45813</v>
      </c>
      <c r="C359" vm="1017">
        <f ca="1"/>
        <v>153.66</v>
      </c>
      <c r="D359" vm="1048">
        <f ca="1"/>
        <v>5296258</v>
      </c>
      <c r="E359">
        <f t="shared" ca="1" si="40"/>
        <v>153.79000000000002</v>
      </c>
      <c r="F359">
        <f t="shared" ca="1" si="41"/>
        <v>152.79050000000001</v>
      </c>
      <c r="G359">
        <f t="shared" ca="1" si="38"/>
        <v>154.55459999999997</v>
      </c>
      <c r="H359">
        <f t="shared" ca="1" si="45"/>
        <v>155.85069306930691</v>
      </c>
      <c r="I359">
        <f t="shared" ca="1" si="42"/>
        <v>2.3272085718392512</v>
      </c>
      <c r="J359">
        <f t="shared" ca="1" si="43"/>
        <v>148.13608285632151</v>
      </c>
      <c r="K359">
        <f t="shared" ca="1" si="44"/>
        <v>157.44491714367851</v>
      </c>
    </row>
    <row r="360" spans="1:11" x14ac:dyDescent="0.25">
      <c r="A360" s="6">
        <f t="shared" ca="1" si="39"/>
        <v>45810</v>
      </c>
      <c r="B360" vm="1049">
        <f ca="1"/>
        <v>45814</v>
      </c>
      <c r="C360" vm="1050">
        <f ca="1"/>
        <v>155.03</v>
      </c>
      <c r="D360" vm="1051">
        <f ca="1"/>
        <v>5391841</v>
      </c>
      <c r="E360">
        <f t="shared" ca="1" si="40"/>
        <v>154.02222222222224</v>
      </c>
      <c r="F360">
        <f t="shared" ca="1" si="41"/>
        <v>152.75900000000004</v>
      </c>
      <c r="G360">
        <f t="shared" ca="1" si="38"/>
        <v>154.42079999999996</v>
      </c>
      <c r="H360">
        <f t="shared" ca="1" si="45"/>
        <v>155.97910891089106</v>
      </c>
      <c r="I360">
        <f t="shared" ca="1" si="42"/>
        <v>2.2902950855615418</v>
      </c>
      <c r="J360">
        <f t="shared" ca="1" si="43"/>
        <v>148.17840982887697</v>
      </c>
      <c r="K360">
        <f t="shared" ca="1" si="44"/>
        <v>157.33959017112312</v>
      </c>
    </row>
    <row r="361" spans="1:11" x14ac:dyDescent="0.25">
      <c r="A361" s="6">
        <f t="shared" ca="1" si="39"/>
        <v>45817</v>
      </c>
      <c r="B361" vm="1052">
        <f ca="1"/>
        <v>45817</v>
      </c>
      <c r="C361" vm="168">
        <f ca="1"/>
        <v>155.22999999999999</v>
      </c>
      <c r="D361" vm="1053">
        <f ca="1"/>
        <v>5319232</v>
      </c>
      <c r="E361">
        <f t="shared" ca="1" si="40"/>
        <v>154.24222222222224</v>
      </c>
      <c r="F361">
        <f t="shared" ca="1" si="41"/>
        <v>152.80950000000001</v>
      </c>
      <c r="G361">
        <f t="shared" ca="1" si="38"/>
        <v>154.26279999999994</v>
      </c>
      <c r="H361">
        <f t="shared" ca="1" si="45"/>
        <v>156.08564356435642</v>
      </c>
      <c r="I361">
        <f t="shared" ca="1" si="42"/>
        <v>2.3349055542716077</v>
      </c>
      <c r="J361">
        <f t="shared" ca="1" si="43"/>
        <v>148.13968889145679</v>
      </c>
      <c r="K361">
        <f t="shared" ca="1" si="44"/>
        <v>157.47931110854324</v>
      </c>
    </row>
    <row r="362" spans="1:11" x14ac:dyDescent="0.25">
      <c r="A362" s="6">
        <f t="shared" ca="1" si="39"/>
        <v>45817</v>
      </c>
      <c r="B362" vm="1054">
        <f ca="1"/>
        <v>45818</v>
      </c>
      <c r="C362" vm="1055">
        <f ca="1"/>
        <v>156.44999999999999</v>
      </c>
      <c r="D362" vm="1056">
        <f ca="1"/>
        <v>6791881</v>
      </c>
      <c r="E362">
        <f t="shared" ca="1" si="40"/>
        <v>154.6888888888889</v>
      </c>
      <c r="F362">
        <f t="shared" ca="1" si="41"/>
        <v>152.92499999999998</v>
      </c>
      <c r="G362">
        <f t="shared" ca="1" si="38"/>
        <v>154.11759999999995</v>
      </c>
      <c r="H362">
        <f t="shared" ca="1" si="45"/>
        <v>156.20148514851485</v>
      </c>
      <c r="I362">
        <f t="shared" ca="1" si="42"/>
        <v>2.4580704884758227</v>
      </c>
      <c r="J362">
        <f t="shared" ca="1" si="43"/>
        <v>148.00885902304833</v>
      </c>
      <c r="K362">
        <f t="shared" ca="1" si="44"/>
        <v>157.84114097695164</v>
      </c>
    </row>
    <row r="363" spans="1:11" x14ac:dyDescent="0.25">
      <c r="A363" s="6">
        <f t="shared" ca="1" si="39"/>
        <v>45817</v>
      </c>
      <c r="B363" vm="1057">
        <f ca="1"/>
        <v>45819</v>
      </c>
      <c r="C363" vm="820">
        <f ca="1"/>
        <v>155.26</v>
      </c>
      <c r="D363" vm="1058">
        <f ca="1"/>
        <v>6016039</v>
      </c>
      <c r="E363">
        <f t="shared" ca="1" si="40"/>
        <v>154.87555555555554</v>
      </c>
      <c r="F363">
        <f t="shared" ca="1" si="41"/>
        <v>153.26599999999999</v>
      </c>
      <c r="G363">
        <f t="shared" ca="1" si="38"/>
        <v>153.90599999999995</v>
      </c>
      <c r="H363">
        <f t="shared" ca="1" si="45"/>
        <v>156.30336633663364</v>
      </c>
      <c r="I363">
        <f t="shared" ca="1" si="42"/>
        <v>2.2689144169798294</v>
      </c>
      <c r="J363">
        <f t="shared" ca="1" si="43"/>
        <v>148.72817116604034</v>
      </c>
      <c r="K363">
        <f t="shared" ca="1" si="44"/>
        <v>157.80382883395964</v>
      </c>
    </row>
    <row r="364" spans="1:11" x14ac:dyDescent="0.25">
      <c r="A364" s="6">
        <f t="shared" ca="1" si="39"/>
        <v>45817</v>
      </c>
      <c r="B364" vm="1059">
        <f ca="1"/>
        <v>45820</v>
      </c>
      <c r="C364" vm="1060">
        <f ca="1"/>
        <v>156.66</v>
      </c>
      <c r="D364" vm="1061">
        <f ca="1"/>
        <v>7075511</v>
      </c>
      <c r="E364">
        <f t="shared" ca="1" si="40"/>
        <v>155.03666666666666</v>
      </c>
      <c r="F364">
        <f t="shared" ca="1" si="41"/>
        <v>153.78100000000001</v>
      </c>
      <c r="G364">
        <f t="shared" ca="1" si="38"/>
        <v>153.97419999999994</v>
      </c>
      <c r="H364">
        <f t="shared" ca="1" si="45"/>
        <v>156.39138613861388</v>
      </c>
      <c r="I364">
        <f t="shared" ca="1" si="42"/>
        <v>1.7218927773941344</v>
      </c>
      <c r="J364">
        <f t="shared" ca="1" si="43"/>
        <v>150.33721444521174</v>
      </c>
      <c r="K364">
        <f t="shared" ca="1" si="44"/>
        <v>157.22478555478827</v>
      </c>
    </row>
    <row r="365" spans="1:11" x14ac:dyDescent="0.25">
      <c r="A365" s="6">
        <f t="shared" ca="1" si="39"/>
        <v>45817</v>
      </c>
      <c r="B365" vm="1062">
        <f ca="1"/>
        <v>45821</v>
      </c>
      <c r="C365" vm="1063">
        <f ca="1"/>
        <v>157.1</v>
      </c>
      <c r="D365" vm="1064">
        <f ca="1"/>
        <v>6587849</v>
      </c>
      <c r="E365">
        <f t="shared" ca="1" si="40"/>
        <v>155.22555555555556</v>
      </c>
      <c r="F365">
        <f t="shared" ca="1" si="41"/>
        <v>154.15550000000002</v>
      </c>
      <c r="G365">
        <f t="shared" ca="1" si="38"/>
        <v>154.00899999999993</v>
      </c>
      <c r="H365">
        <f t="shared" ca="1" si="45"/>
        <v>156.4910891089109</v>
      </c>
      <c r="I365">
        <f t="shared" ca="1" si="42"/>
        <v>1.575250940744291</v>
      </c>
      <c r="J365">
        <f t="shared" ca="1" si="43"/>
        <v>151.00499811851142</v>
      </c>
      <c r="K365">
        <f t="shared" ca="1" si="44"/>
        <v>157.30600188148861</v>
      </c>
    </row>
    <row r="366" spans="1:11" x14ac:dyDescent="0.25">
      <c r="A366" s="6">
        <f t="shared" ca="1" si="39"/>
        <v>45824</v>
      </c>
      <c r="B366" vm="1065">
        <f ca="1"/>
        <v>45824</v>
      </c>
      <c r="C366" vm="171">
        <f ca="1"/>
        <v>155.22</v>
      </c>
      <c r="D366" vm="1066">
        <f ca="1"/>
        <v>7023995</v>
      </c>
      <c r="E366">
        <f t="shared" ca="1" si="40"/>
        <v>155.31444444444443</v>
      </c>
      <c r="F366">
        <f t="shared" ca="1" si="41"/>
        <v>154.35</v>
      </c>
      <c r="G366">
        <f t="shared" ca="1" si="38"/>
        <v>153.91699999999994</v>
      </c>
      <c r="H366">
        <f t="shared" ca="1" si="45"/>
        <v>156.56108910891089</v>
      </c>
      <c r="I366">
        <f t="shared" ca="1" si="42"/>
        <v>1.4425853983660502</v>
      </c>
      <c r="J366">
        <f t="shared" ca="1" si="43"/>
        <v>151.4648292032679</v>
      </c>
      <c r="K366">
        <f t="shared" ca="1" si="44"/>
        <v>157.23517079673209</v>
      </c>
    </row>
    <row r="367" spans="1:11" x14ac:dyDescent="0.25">
      <c r="A367" s="6">
        <f t="shared" ca="1" si="39"/>
        <v>45824</v>
      </c>
      <c r="B367" vm="1067">
        <f ca="1"/>
        <v>45825</v>
      </c>
      <c r="C367" vm="1068">
        <f ca="1"/>
        <v>152.38</v>
      </c>
      <c r="D367" vm="1069">
        <f ca="1"/>
        <v>6407098</v>
      </c>
      <c r="E367">
        <f t="shared" ca="1" si="40"/>
        <v>155.2211111111111</v>
      </c>
      <c r="F367">
        <f t="shared" ca="1" si="41"/>
        <v>154.34449999999998</v>
      </c>
      <c r="G367">
        <f t="shared" ca="1" si="38"/>
        <v>153.89979999999997</v>
      </c>
      <c r="H367">
        <f t="shared" ca="1" si="45"/>
        <v>156.63148514851483</v>
      </c>
      <c r="I367">
        <f t="shared" ca="1" si="42"/>
        <v>1.4502394539124226</v>
      </c>
      <c r="J367">
        <f t="shared" ca="1" si="43"/>
        <v>151.44402109217515</v>
      </c>
      <c r="K367">
        <f t="shared" ca="1" si="44"/>
        <v>157.24497890782482</v>
      </c>
    </row>
    <row r="368" spans="1:11" x14ac:dyDescent="0.25">
      <c r="A368" s="6">
        <f t="shared" ca="1" si="39"/>
        <v>45824</v>
      </c>
      <c r="B368" vm="1070">
        <f ca="1"/>
        <v>45826</v>
      </c>
      <c r="C368" vm="1071">
        <f ca="1"/>
        <v>150.72999999999999</v>
      </c>
      <c r="D368" vm="1072">
        <f ca="1"/>
        <v>8325237</v>
      </c>
      <c r="E368">
        <f t="shared" ca="1" si="40"/>
        <v>154.89555555555555</v>
      </c>
      <c r="F368">
        <f t="shared" ca="1" si="41"/>
        <v>154.19799999999998</v>
      </c>
      <c r="G368">
        <f t="shared" ca="1" si="38"/>
        <v>153.90199999999996</v>
      </c>
      <c r="H368">
        <f t="shared" ca="1" si="45"/>
        <v>156.67198019801978</v>
      </c>
      <c r="I368">
        <f t="shared" ca="1" si="42"/>
        <v>1.6563676174721964</v>
      </c>
      <c r="J368">
        <f t="shared" ca="1" si="43"/>
        <v>150.88526476505558</v>
      </c>
      <c r="K368">
        <f t="shared" ca="1" si="44"/>
        <v>157.51073523494438</v>
      </c>
    </row>
    <row r="369" spans="1:11" x14ac:dyDescent="0.25">
      <c r="A369" s="6">
        <f t="shared" ca="1" si="39"/>
        <v>45824</v>
      </c>
      <c r="B369" vm="1073">
        <f ca="1"/>
        <v>45828</v>
      </c>
      <c r="C369" vm="1074">
        <f ca="1"/>
        <v>149.79</v>
      </c>
      <c r="D369" vm="1075">
        <f ca="1"/>
        <v>22605471</v>
      </c>
      <c r="E369">
        <f t="shared" ca="1" si="40"/>
        <v>154.31333333333333</v>
      </c>
      <c r="F369">
        <f t="shared" ca="1" si="41"/>
        <v>154.02850000000001</v>
      </c>
      <c r="G369">
        <f t="shared" ca="1" si="38"/>
        <v>153.89779999999996</v>
      </c>
      <c r="H369">
        <f t="shared" ca="1" si="45"/>
        <v>156.70138613861386</v>
      </c>
      <c r="I369">
        <f t="shared" ca="1" si="42"/>
        <v>1.9187037153683781</v>
      </c>
      <c r="J369">
        <f t="shared" ca="1" si="43"/>
        <v>150.19109256926325</v>
      </c>
      <c r="K369">
        <f t="shared" ca="1" si="44"/>
        <v>157.86590743073677</v>
      </c>
    </row>
    <row r="370" spans="1:11" x14ac:dyDescent="0.25">
      <c r="A370" s="6">
        <f t="shared" ca="1" si="39"/>
        <v>45831</v>
      </c>
      <c r="B370" vm="1076">
        <f ca="1"/>
        <v>45831</v>
      </c>
      <c r="C370" vm="1077">
        <f ca="1"/>
        <v>151.32</v>
      </c>
      <c r="D370" vm="1078">
        <f ca="1"/>
        <v>7397853</v>
      </c>
      <c r="E370">
        <f t="shared" ca="1" si="40"/>
        <v>153.87888888888887</v>
      </c>
      <c r="F370">
        <f t="shared" ca="1" si="41"/>
        <v>153.964</v>
      </c>
      <c r="G370">
        <f t="shared" ca="1" si="38"/>
        <v>153.90479999999997</v>
      </c>
      <c r="H370">
        <f t="shared" ca="1" si="45"/>
        <v>156.6858415841584</v>
      </c>
      <c r="I370">
        <f t="shared" ca="1" si="42"/>
        <v>1.9892828647001097</v>
      </c>
      <c r="J370">
        <f t="shared" ca="1" si="43"/>
        <v>149.98543427059977</v>
      </c>
      <c r="K370">
        <f t="shared" ca="1" si="44"/>
        <v>157.94256572940023</v>
      </c>
    </row>
    <row r="371" spans="1:11" x14ac:dyDescent="0.25">
      <c r="A371" s="6">
        <f t="shared" ca="1" si="39"/>
        <v>45831</v>
      </c>
      <c r="B371" vm="1079">
        <f ca="1"/>
        <v>45832</v>
      </c>
      <c r="C371" vm="1080">
        <f ca="1"/>
        <v>152.19</v>
      </c>
      <c r="D371" vm="1081">
        <f ca="1"/>
        <v>9544217</v>
      </c>
      <c r="E371">
        <f t="shared" ca="1" si="40"/>
        <v>153.40555555555557</v>
      </c>
      <c r="F371">
        <f t="shared" ca="1" si="41"/>
        <v>153.9265</v>
      </c>
      <c r="G371">
        <f t="shared" ca="1" si="38"/>
        <v>153.97479999999996</v>
      </c>
      <c r="H371">
        <f t="shared" ca="1" si="45"/>
        <v>156.70376237623759</v>
      </c>
      <c r="I371">
        <f t="shared" ca="1" si="42"/>
        <v>2.016485413052282</v>
      </c>
      <c r="J371">
        <f t="shared" ca="1" si="43"/>
        <v>149.89352917389544</v>
      </c>
      <c r="K371">
        <f t="shared" ca="1" si="44"/>
        <v>157.95947082610456</v>
      </c>
    </row>
    <row r="372" spans="1:11" x14ac:dyDescent="0.25">
      <c r="A372" s="6">
        <f t="shared" ca="1" si="39"/>
        <v>45831</v>
      </c>
      <c r="B372" vm="1082">
        <f ca="1"/>
        <v>45833</v>
      </c>
      <c r="C372" vm="1083">
        <f ca="1"/>
        <v>152.28</v>
      </c>
      <c r="D372" vm="1084">
        <f ca="1"/>
        <v>7153708</v>
      </c>
      <c r="E372">
        <f t="shared" ca="1" si="40"/>
        <v>153.07444444444445</v>
      </c>
      <c r="F372">
        <f t="shared" ca="1" si="41"/>
        <v>153.87800000000001</v>
      </c>
      <c r="G372">
        <f t="shared" ref="G372:G435" ca="1" si="46">AVERAGE(C323:C372)</f>
        <v>153.98579999999995</v>
      </c>
      <c r="H372">
        <f t="shared" ca="1" si="45"/>
        <v>156.71495049504949</v>
      </c>
      <c r="I372">
        <f t="shared" ca="1" si="42"/>
        <v>2.045075214161804</v>
      </c>
      <c r="J372">
        <f t="shared" ca="1" si="43"/>
        <v>149.78784957167642</v>
      </c>
      <c r="K372">
        <f t="shared" ca="1" si="44"/>
        <v>157.96815042832361</v>
      </c>
    </row>
    <row r="373" spans="1:11" x14ac:dyDescent="0.25">
      <c r="A373" s="6">
        <f t="shared" ca="1" si="39"/>
        <v>45831</v>
      </c>
      <c r="B373" vm="1085">
        <f ca="1"/>
        <v>45834</v>
      </c>
      <c r="C373" vm="1086">
        <f ca="1"/>
        <v>152.01</v>
      </c>
      <c r="D373" vm="1087">
        <f ca="1"/>
        <v>7156903</v>
      </c>
      <c r="E373">
        <f t="shared" ca="1" si="40"/>
        <v>152.55777777777777</v>
      </c>
      <c r="F373">
        <f t="shared" ca="1" si="41"/>
        <v>153.85700000000003</v>
      </c>
      <c r="G373">
        <f t="shared" ca="1" si="46"/>
        <v>153.93879999999996</v>
      </c>
      <c r="H373">
        <f t="shared" ca="1" si="45"/>
        <v>156.70643564356433</v>
      </c>
      <c r="I373">
        <f t="shared" ca="1" si="42"/>
        <v>2.0628062133133627</v>
      </c>
      <c r="J373">
        <f t="shared" ca="1" si="43"/>
        <v>149.7313875733733</v>
      </c>
      <c r="K373">
        <f t="shared" ca="1" si="44"/>
        <v>157.98261242662676</v>
      </c>
    </row>
    <row r="374" spans="1:11" x14ac:dyDescent="0.25">
      <c r="A374" s="6">
        <f t="shared" ca="1" si="39"/>
        <v>45831</v>
      </c>
      <c r="B374" vm="1088">
        <f ca="1"/>
        <v>45835</v>
      </c>
      <c r="C374" vm="1089">
        <f ca="1"/>
        <v>152.41</v>
      </c>
      <c r="D374" vm="1090">
        <f ca="1"/>
        <v>10010787</v>
      </c>
      <c r="E374">
        <f t="shared" ca="1" si="40"/>
        <v>152.03666666666669</v>
      </c>
      <c r="F374">
        <f t="shared" ca="1" si="41"/>
        <v>153.79850000000002</v>
      </c>
      <c r="G374">
        <f t="shared" ca="1" si="46"/>
        <v>153.91459999999995</v>
      </c>
      <c r="H374">
        <f t="shared" ca="1" si="45"/>
        <v>156.70900990099008</v>
      </c>
      <c r="I374">
        <f t="shared" ca="1" si="42"/>
        <v>2.0875174755020183</v>
      </c>
      <c r="J374">
        <f t="shared" ca="1" si="43"/>
        <v>149.62346504899597</v>
      </c>
      <c r="K374">
        <f t="shared" ca="1" si="44"/>
        <v>157.97353495100407</v>
      </c>
    </row>
    <row r="375" spans="1:11" x14ac:dyDescent="0.25">
      <c r="A375" s="6">
        <f t="shared" ca="1" si="39"/>
        <v>45838</v>
      </c>
      <c r="B375" vm="1091">
        <f ca="1"/>
        <v>45838</v>
      </c>
      <c r="C375" vm="1092">
        <f ca="1"/>
        <v>152.75</v>
      </c>
      <c r="D375" vm="1093">
        <f ca="1"/>
        <v>9039552</v>
      </c>
      <c r="E375">
        <f t="shared" ca="1" si="40"/>
        <v>151.76222222222225</v>
      </c>
      <c r="F375">
        <f t="shared" ca="1" si="41"/>
        <v>153.6755</v>
      </c>
      <c r="G375">
        <f t="shared" ca="1" si="46"/>
        <v>153.89139999999998</v>
      </c>
      <c r="H375">
        <f t="shared" ca="1" si="45"/>
        <v>156.7177227722772</v>
      </c>
      <c r="I375">
        <f t="shared" ca="1" si="42"/>
        <v>2.0723911310368037</v>
      </c>
      <c r="J375">
        <f t="shared" ca="1" si="43"/>
        <v>149.53071773792638</v>
      </c>
      <c r="K375">
        <f t="shared" ca="1" si="44"/>
        <v>157.82028226207362</v>
      </c>
    </row>
    <row r="376" spans="1:11" x14ac:dyDescent="0.25">
      <c r="A376" s="6">
        <f t="shared" ca="1" si="39"/>
        <v>45838</v>
      </c>
      <c r="B376" vm="1094">
        <f ca="1"/>
        <v>45839</v>
      </c>
      <c r="C376" vm="1095">
        <f ca="1"/>
        <v>155.91999999999999</v>
      </c>
      <c r="D376" vm="1096">
        <f ca="1"/>
        <v>10896676</v>
      </c>
      <c r="E376">
        <f t="shared" ca="1" si="40"/>
        <v>152.15555555555557</v>
      </c>
      <c r="F376">
        <f t="shared" ca="1" si="41"/>
        <v>153.70150000000004</v>
      </c>
      <c r="G376">
        <f t="shared" ca="1" si="46"/>
        <v>153.86039999999994</v>
      </c>
      <c r="H376">
        <f t="shared" ca="1" si="45"/>
        <v>156.74178217821782</v>
      </c>
      <c r="I376">
        <f t="shared" ca="1" si="42"/>
        <v>2.0982656371895634</v>
      </c>
      <c r="J376">
        <f t="shared" ca="1" si="43"/>
        <v>149.5049687256209</v>
      </c>
      <c r="K376">
        <f t="shared" ca="1" si="44"/>
        <v>157.89803127437918</v>
      </c>
    </row>
    <row r="377" spans="1:11" x14ac:dyDescent="0.25">
      <c r="A377" s="6">
        <f t="shared" ca="1" si="39"/>
        <v>45838</v>
      </c>
      <c r="B377" vm="1097">
        <f ca="1"/>
        <v>45840</v>
      </c>
      <c r="C377" vm="1098">
        <f ca="1"/>
        <v>155.56</v>
      </c>
      <c r="D377" vm="1099">
        <f ca="1"/>
        <v>5544030</v>
      </c>
      <c r="E377">
        <f t="shared" ca="1" si="40"/>
        <v>152.69222222222223</v>
      </c>
      <c r="F377">
        <f t="shared" ca="1" si="41"/>
        <v>153.75849999999997</v>
      </c>
      <c r="G377">
        <f t="shared" ca="1" si="46"/>
        <v>153.83319999999998</v>
      </c>
      <c r="H377">
        <f t="shared" ca="1" si="45"/>
        <v>156.75039603960394</v>
      </c>
      <c r="I377">
        <f t="shared" ca="1" si="42"/>
        <v>2.133991256826167</v>
      </c>
      <c r="J377">
        <f t="shared" ca="1" si="43"/>
        <v>149.49051748634764</v>
      </c>
      <c r="K377">
        <f t="shared" ca="1" si="44"/>
        <v>158.0264825136523</v>
      </c>
    </row>
    <row r="378" spans="1:11" x14ac:dyDescent="0.25">
      <c r="A378" s="6">
        <f t="shared" ca="1" si="39"/>
        <v>45838</v>
      </c>
      <c r="B378" vm="1100">
        <f ca="1"/>
        <v>45841</v>
      </c>
      <c r="C378" vm="1101">
        <f ca="1"/>
        <v>156.01</v>
      </c>
      <c r="D378" vm="1102">
        <f ca="1"/>
        <v>3482521</v>
      </c>
      <c r="E378">
        <f t="shared" ca="1" si="40"/>
        <v>153.38333333333333</v>
      </c>
      <c r="F378">
        <f t="shared" ca="1" si="41"/>
        <v>153.89799999999997</v>
      </c>
      <c r="G378">
        <f t="shared" ca="1" si="46"/>
        <v>153.79839999999999</v>
      </c>
      <c r="H378">
        <f t="shared" ca="1" si="45"/>
        <v>156.77514851485145</v>
      </c>
      <c r="I378">
        <f t="shared" ca="1" si="42"/>
        <v>2.1874585108847446</v>
      </c>
      <c r="J378">
        <f t="shared" ca="1" si="43"/>
        <v>149.52308297823049</v>
      </c>
      <c r="K378">
        <f t="shared" ca="1" si="44"/>
        <v>158.27291702176944</v>
      </c>
    </row>
    <row r="379" spans="1:11" x14ac:dyDescent="0.25">
      <c r="A379" s="6">
        <f t="shared" ca="1" si="39"/>
        <v>45845</v>
      </c>
      <c r="B379" vm="1103">
        <f ca="1"/>
        <v>45845</v>
      </c>
      <c r="C379" vm="1104">
        <f ca="1"/>
        <v>155.27000000000001</v>
      </c>
      <c r="D379" vm="1105">
        <f ca="1"/>
        <v>6270887</v>
      </c>
      <c r="E379">
        <f t="shared" ca="1" si="40"/>
        <v>153.82222222222219</v>
      </c>
      <c r="F379">
        <f t="shared" ca="1" si="41"/>
        <v>153.97849999999997</v>
      </c>
      <c r="G379">
        <f t="shared" ca="1" si="46"/>
        <v>153.7962</v>
      </c>
      <c r="H379">
        <f t="shared" ca="1" si="45"/>
        <v>156.79643564356434</v>
      </c>
      <c r="I379">
        <f t="shared" ca="1" si="42"/>
        <v>2.2077692361295371</v>
      </c>
      <c r="J379">
        <f t="shared" ca="1" si="43"/>
        <v>149.5629615277409</v>
      </c>
      <c r="K379">
        <f t="shared" ca="1" si="44"/>
        <v>158.39403847225904</v>
      </c>
    </row>
    <row r="380" spans="1:11" x14ac:dyDescent="0.25">
      <c r="A380" s="6">
        <f t="shared" ca="1" si="39"/>
        <v>45845</v>
      </c>
      <c r="B380" vm="1106">
        <f ca="1"/>
        <v>45846</v>
      </c>
      <c r="C380" vm="1107">
        <f ca="1"/>
        <v>155.79</v>
      </c>
      <c r="D380" vm="1108">
        <f ca="1"/>
        <v>6438221</v>
      </c>
      <c r="E380">
        <f t="shared" ca="1" si="40"/>
        <v>154.2222222222222</v>
      </c>
      <c r="F380">
        <f t="shared" ca="1" si="41"/>
        <v>154.01649999999998</v>
      </c>
      <c r="G380">
        <f t="shared" ca="1" si="46"/>
        <v>153.81339999999997</v>
      </c>
      <c r="H380">
        <f t="shared" ca="1" si="45"/>
        <v>156.81178217821784</v>
      </c>
      <c r="I380">
        <f t="shared" ca="1" si="42"/>
        <v>2.2332140515409624</v>
      </c>
      <c r="J380">
        <f t="shared" ca="1" si="43"/>
        <v>149.55007189691804</v>
      </c>
      <c r="K380">
        <f t="shared" ca="1" si="44"/>
        <v>158.48292810308192</v>
      </c>
    </row>
    <row r="381" spans="1:11" x14ac:dyDescent="0.25">
      <c r="A381" s="6">
        <f t="shared" ca="1" si="39"/>
        <v>45845</v>
      </c>
      <c r="B381" vm="1109">
        <f ca="1"/>
        <v>45847</v>
      </c>
      <c r="C381" vm="416">
        <f ca="1"/>
        <v>156.28</v>
      </c>
      <c r="D381" vm="1110">
        <f ca="1"/>
        <v>6147685</v>
      </c>
      <c r="E381">
        <f t="shared" ca="1" si="40"/>
        <v>154.66666666666663</v>
      </c>
      <c r="F381">
        <f t="shared" ca="1" si="41"/>
        <v>154.06900000000002</v>
      </c>
      <c r="G381">
        <f t="shared" ca="1" si="46"/>
        <v>153.84739999999999</v>
      </c>
      <c r="H381">
        <f t="shared" ca="1" si="45"/>
        <v>156.8132673267327</v>
      </c>
      <c r="I381">
        <f t="shared" ca="1" si="42"/>
        <v>2.2751909115963276</v>
      </c>
      <c r="J381">
        <f t="shared" ca="1" si="43"/>
        <v>149.51861817680737</v>
      </c>
      <c r="K381">
        <f t="shared" ca="1" si="44"/>
        <v>158.61938182319267</v>
      </c>
    </row>
    <row r="382" spans="1:11" x14ac:dyDescent="0.25">
      <c r="A382" s="6">
        <f t="shared" ca="1" si="39"/>
        <v>45845</v>
      </c>
      <c r="B382" vm="1111">
        <f ca="1"/>
        <v>45848</v>
      </c>
      <c r="C382" vm="1112">
        <f ca="1"/>
        <v>157.69</v>
      </c>
      <c r="D382" vm="1113">
        <f ca="1"/>
        <v>6733128</v>
      </c>
      <c r="E382">
        <f t="shared" ca="1" si="40"/>
        <v>155.29777777777775</v>
      </c>
      <c r="F382">
        <f t="shared" ca="1" si="41"/>
        <v>154.13100000000003</v>
      </c>
      <c r="G382">
        <f t="shared" ca="1" si="46"/>
        <v>153.89419999999998</v>
      </c>
      <c r="H382">
        <f t="shared" ca="1" si="45"/>
        <v>156.83732673267329</v>
      </c>
      <c r="I382">
        <f t="shared" ca="1" si="42"/>
        <v>2.3588465066861106</v>
      </c>
      <c r="J382">
        <f t="shared" ca="1" si="43"/>
        <v>149.41330698662782</v>
      </c>
      <c r="K382">
        <f t="shared" ca="1" si="44"/>
        <v>158.84869301337224</v>
      </c>
    </row>
    <row r="383" spans="1:11" x14ac:dyDescent="0.25">
      <c r="A383" s="6">
        <f t="shared" ca="1" si="39"/>
        <v>45845</v>
      </c>
      <c r="B383" vm="1114">
        <f ca="1"/>
        <v>45849</v>
      </c>
      <c r="C383" vm="1115">
        <f ca="1"/>
        <v>156.9</v>
      </c>
      <c r="D383" vm="1116">
        <f ca="1"/>
        <v>7872172</v>
      </c>
      <c r="E383">
        <f t="shared" ca="1" si="40"/>
        <v>155.79666666666668</v>
      </c>
      <c r="F383">
        <f t="shared" ca="1" si="41"/>
        <v>154.21300000000002</v>
      </c>
      <c r="G383">
        <f t="shared" ca="1" si="46"/>
        <v>153.91399999999999</v>
      </c>
      <c r="H383">
        <f t="shared" ca="1" si="45"/>
        <v>156.83386138613864</v>
      </c>
      <c r="I383">
        <f t="shared" ca="1" si="42"/>
        <v>2.4276609925475281</v>
      </c>
      <c r="J383">
        <f t="shared" ca="1" si="43"/>
        <v>149.35767801490496</v>
      </c>
      <c r="K383">
        <f t="shared" ca="1" si="44"/>
        <v>159.06832198509508</v>
      </c>
    </row>
    <row r="384" spans="1:11" x14ac:dyDescent="0.25">
      <c r="A384" s="6">
        <f t="shared" ca="1" si="39"/>
        <v>45852</v>
      </c>
      <c r="B384" vm="1117">
        <f ca="1"/>
        <v>45852</v>
      </c>
      <c r="C384" vm="1118">
        <f ca="1"/>
        <v>156.82</v>
      </c>
      <c r="D384" vm="1119">
        <f ca="1"/>
        <v>10185632</v>
      </c>
      <c r="E384">
        <f t="shared" ca="1" si="40"/>
        <v>156.2488888888889</v>
      </c>
      <c r="F384">
        <f t="shared" ca="1" si="41"/>
        <v>154.22100000000003</v>
      </c>
      <c r="G384">
        <f t="shared" ca="1" si="46"/>
        <v>153.92419999999998</v>
      </c>
      <c r="H384">
        <f t="shared" ca="1" si="45"/>
        <v>156.84049504950497</v>
      </c>
      <c r="I384">
        <f t="shared" ca="1" si="42"/>
        <v>2.436397037905726</v>
      </c>
      <c r="J384">
        <f t="shared" ca="1" si="43"/>
        <v>149.34820592418859</v>
      </c>
      <c r="K384">
        <f t="shared" ca="1" si="44"/>
        <v>159.09379407581147</v>
      </c>
    </row>
    <row r="385" spans="1:11" x14ac:dyDescent="0.25">
      <c r="A385" s="6">
        <f t="shared" ca="1" si="39"/>
        <v>45852</v>
      </c>
      <c r="B385" vm="1120">
        <f ca="1"/>
        <v>45853</v>
      </c>
      <c r="C385" vm="669">
        <f ca="1"/>
        <v>155.16999999999999</v>
      </c>
      <c r="D385" vm="1121">
        <f ca="1"/>
        <v>6873200</v>
      </c>
      <c r="E385">
        <f t="shared" ca="1" si="40"/>
        <v>156.16555555555556</v>
      </c>
      <c r="F385">
        <f t="shared" ca="1" si="41"/>
        <v>154.12450000000004</v>
      </c>
      <c r="G385">
        <f t="shared" ca="1" si="46"/>
        <v>153.93839999999997</v>
      </c>
      <c r="H385">
        <f t="shared" ca="1" si="45"/>
        <v>156.84227722772278</v>
      </c>
      <c r="I385">
        <f t="shared" ca="1" si="42"/>
        <v>2.353164666437185</v>
      </c>
      <c r="J385">
        <f t="shared" ca="1" si="43"/>
        <v>149.41817066712568</v>
      </c>
      <c r="K385">
        <f t="shared" ca="1" si="44"/>
        <v>158.8308293328744</v>
      </c>
    </row>
    <row r="386" spans="1:11" x14ac:dyDescent="0.25">
      <c r="A386" s="6">
        <f t="shared" ca="1" si="39"/>
        <v>45852</v>
      </c>
      <c r="B386" vm="1122">
        <f ca="1"/>
        <v>45854</v>
      </c>
      <c r="C386" vm="1123">
        <f ca="1"/>
        <v>164.78</v>
      </c>
      <c r="D386" vm="1124">
        <f ca="1"/>
        <v>22134769</v>
      </c>
      <c r="E386">
        <f t="shared" ca="1" si="40"/>
        <v>157.19</v>
      </c>
      <c r="F386">
        <f t="shared" ca="1" si="41"/>
        <v>154.60250000000005</v>
      </c>
      <c r="G386">
        <f t="shared" ca="1" si="46"/>
        <v>154.11159999999998</v>
      </c>
      <c r="H386">
        <f t="shared" ca="1" si="45"/>
        <v>156.91049504950499</v>
      </c>
      <c r="I386">
        <f t="shared" ca="1" si="42"/>
        <v>3.3480565847573209</v>
      </c>
      <c r="J386">
        <f t="shared" ca="1" si="43"/>
        <v>147.90638683048542</v>
      </c>
      <c r="K386">
        <f t="shared" ca="1" si="44"/>
        <v>161.29861316951468</v>
      </c>
    </row>
    <row r="387" spans="1:11" x14ac:dyDescent="0.25">
      <c r="A387" s="6">
        <f t="shared" ref="A387:A450" ca="1" si="47">B387 - WEEKDAY(B387, 2) + 1</f>
        <v>45852</v>
      </c>
      <c r="B387" vm="1125">
        <f ca="1"/>
        <v>45855</v>
      </c>
      <c r="C387" vm="1126">
        <f ca="1"/>
        <v>162.97999999999999</v>
      </c>
      <c r="D387" vm="1127">
        <f ca="1"/>
        <v>11295747</v>
      </c>
      <c r="E387">
        <f t="shared" ca="1" si="40"/>
        <v>157.96444444444444</v>
      </c>
      <c r="F387">
        <f t="shared" ca="1" si="41"/>
        <v>155.13250000000002</v>
      </c>
      <c r="G387">
        <f t="shared" ca="1" si="46"/>
        <v>154.27119999999996</v>
      </c>
      <c r="H387">
        <f t="shared" ca="1" si="45"/>
        <v>156.94316831683167</v>
      </c>
      <c r="I387">
        <f t="shared" ca="1" si="42"/>
        <v>3.7878279778091417</v>
      </c>
      <c r="J387">
        <f t="shared" ca="1" si="43"/>
        <v>147.55684404438173</v>
      </c>
      <c r="K387">
        <f t="shared" ca="1" si="44"/>
        <v>162.70815595561831</v>
      </c>
    </row>
    <row r="388" spans="1:11" x14ac:dyDescent="0.25">
      <c r="A388" s="6">
        <f t="shared" ca="1" si="47"/>
        <v>45852</v>
      </c>
      <c r="B388" vm="1128">
        <f ca="1"/>
        <v>45856</v>
      </c>
      <c r="C388" vm="1129">
        <f ca="1"/>
        <v>163.69999999999999</v>
      </c>
      <c r="D388" vm="1130">
        <f ca="1"/>
        <v>9793046</v>
      </c>
      <c r="E388">
        <f t="shared" ca="1" si="40"/>
        <v>158.90111111111113</v>
      </c>
      <c r="F388">
        <f t="shared" ca="1" si="41"/>
        <v>155.78100000000001</v>
      </c>
      <c r="G388">
        <f t="shared" ca="1" si="46"/>
        <v>154.45579999999995</v>
      </c>
      <c r="H388">
        <f t="shared" ca="1" si="45"/>
        <v>156.95702970297032</v>
      </c>
      <c r="I388">
        <f t="shared" ca="1" si="42"/>
        <v>4.0924460579025475</v>
      </c>
      <c r="J388">
        <f t="shared" ca="1" si="43"/>
        <v>147.59610788419491</v>
      </c>
      <c r="K388">
        <f t="shared" ca="1" si="44"/>
        <v>163.9658921158051</v>
      </c>
    </row>
    <row r="389" spans="1:11" x14ac:dyDescent="0.25">
      <c r="A389" s="6">
        <f t="shared" ca="1" si="47"/>
        <v>45859</v>
      </c>
      <c r="B389" vm="1131">
        <f ca="1"/>
        <v>45859</v>
      </c>
      <c r="C389" vm="1132">
        <f ca="1"/>
        <v>164.36</v>
      </c>
      <c r="D389" vm="1133">
        <f ca="1"/>
        <v>8254003</v>
      </c>
      <c r="E389">
        <f t="shared" ca="1" si="40"/>
        <v>159.85333333333332</v>
      </c>
      <c r="F389">
        <f t="shared" ca="1" si="41"/>
        <v>156.5095</v>
      </c>
      <c r="G389">
        <f t="shared" ca="1" si="46"/>
        <v>154.59699999999992</v>
      </c>
      <c r="H389">
        <f t="shared" ca="1" si="45"/>
        <v>156.96316831683171</v>
      </c>
      <c r="I389">
        <f t="shared" ca="1" si="42"/>
        <v>4.2631042248083677</v>
      </c>
      <c r="J389">
        <f t="shared" ca="1" si="43"/>
        <v>147.98329155038326</v>
      </c>
      <c r="K389">
        <f t="shared" ca="1" si="44"/>
        <v>165.03570844961675</v>
      </c>
    </row>
    <row r="390" spans="1:11" x14ac:dyDescent="0.25">
      <c r="A390" s="6">
        <f t="shared" ca="1" si="47"/>
        <v>45859</v>
      </c>
      <c r="B390" vm="1134">
        <f ca="1"/>
        <v>45860</v>
      </c>
      <c r="C390" vm="1135">
        <f ca="1"/>
        <v>167.93</v>
      </c>
      <c r="D390" vm="1136">
        <f ca="1"/>
        <v>9287991</v>
      </c>
      <c r="E390">
        <f t="shared" ca="1" si="40"/>
        <v>161.1477777777778</v>
      </c>
      <c r="F390">
        <f t="shared" ca="1" si="41"/>
        <v>157.34</v>
      </c>
      <c r="G390">
        <f t="shared" ca="1" si="46"/>
        <v>154.84239999999997</v>
      </c>
      <c r="H390">
        <f t="shared" ca="1" si="45"/>
        <v>156.98138613861391</v>
      </c>
      <c r="I390">
        <f t="shared" ca="1" si="42"/>
        <v>4.7848961931213703</v>
      </c>
      <c r="J390">
        <f t="shared" ca="1" si="43"/>
        <v>147.77020761375726</v>
      </c>
      <c r="K390">
        <f t="shared" ca="1" si="44"/>
        <v>166.90979238624274</v>
      </c>
    </row>
    <row r="391" spans="1:11" x14ac:dyDescent="0.25">
      <c r="A391" s="6">
        <f t="shared" ca="1" si="47"/>
        <v>45859</v>
      </c>
      <c r="B391" vm="1137">
        <f ca="1"/>
        <v>45861</v>
      </c>
      <c r="C391" vm="1138">
        <f ca="1"/>
        <v>169.1</v>
      </c>
      <c r="D391" vm="1139">
        <f ca="1"/>
        <v>10617636</v>
      </c>
      <c r="E391">
        <f t="shared" ca="1" si="40"/>
        <v>162.41555555555556</v>
      </c>
      <c r="F391">
        <f t="shared" ca="1" si="41"/>
        <v>158.18549999999999</v>
      </c>
      <c r="G391">
        <f t="shared" ca="1" si="46"/>
        <v>155.13999999999996</v>
      </c>
      <c r="H391">
        <f t="shared" ca="1" si="45"/>
        <v>157.04099009900997</v>
      </c>
      <c r="I391">
        <f t="shared" ca="1" si="42"/>
        <v>5.29392449690656</v>
      </c>
      <c r="J391">
        <f t="shared" ca="1" si="43"/>
        <v>147.59765100618688</v>
      </c>
      <c r="K391">
        <f t="shared" ca="1" si="44"/>
        <v>168.7733489938131</v>
      </c>
    </row>
    <row r="392" spans="1:11" x14ac:dyDescent="0.25">
      <c r="A392" s="6">
        <f t="shared" ca="1" si="47"/>
        <v>45859</v>
      </c>
      <c r="B392" vm="1140">
        <f ca="1"/>
        <v>45862</v>
      </c>
      <c r="C392" vm="1141">
        <f ca="1"/>
        <v>169.56</v>
      </c>
      <c r="D392" vm="1142">
        <f ca="1"/>
        <v>6636918</v>
      </c>
      <c r="E392">
        <f t="shared" ca="1" si="40"/>
        <v>163.82222222222219</v>
      </c>
      <c r="F392">
        <f t="shared" ca="1" si="41"/>
        <v>159.04949999999999</v>
      </c>
      <c r="G392">
        <f t="shared" ca="1" si="46"/>
        <v>155.44839999999996</v>
      </c>
      <c r="H392">
        <f t="shared" ca="1" si="45"/>
        <v>157.0987128712872</v>
      </c>
      <c r="I392">
        <f t="shared" ca="1" si="42"/>
        <v>5.675716949843153</v>
      </c>
      <c r="J392">
        <f t="shared" ca="1" si="43"/>
        <v>147.6980661003137</v>
      </c>
      <c r="K392">
        <f t="shared" ca="1" si="44"/>
        <v>170.40093389968629</v>
      </c>
    </row>
    <row r="393" spans="1:11" x14ac:dyDescent="0.25">
      <c r="A393" s="6">
        <f t="shared" ca="1" si="47"/>
        <v>45859</v>
      </c>
      <c r="B393" vm="1143">
        <f ca="1"/>
        <v>45863</v>
      </c>
      <c r="C393" vm="1144">
        <f ca="1"/>
        <v>168.3</v>
      </c>
      <c r="D393" vm="1145">
        <f ca="1"/>
        <v>6255183</v>
      </c>
      <c r="E393">
        <f t="shared" ca="1" si="40"/>
        <v>165.09777777777774</v>
      </c>
      <c r="F393">
        <f t="shared" ca="1" si="41"/>
        <v>159.86399999999998</v>
      </c>
      <c r="G393">
        <f t="shared" ca="1" si="46"/>
        <v>155.84559999999999</v>
      </c>
      <c r="H393">
        <f t="shared" ca="1" si="45"/>
        <v>157.13118811881193</v>
      </c>
      <c r="I393">
        <f t="shared" ca="1" si="42"/>
        <v>5.7802316471519433</v>
      </c>
      <c r="J393">
        <f t="shared" ca="1" si="43"/>
        <v>148.3035367056961</v>
      </c>
      <c r="K393">
        <f t="shared" ca="1" si="44"/>
        <v>171.42446329430385</v>
      </c>
    </row>
    <row r="394" spans="1:11" x14ac:dyDescent="0.25">
      <c r="A394" s="6">
        <f t="shared" ca="1" si="47"/>
        <v>45866</v>
      </c>
      <c r="B394" vm="1146">
        <f ca="1"/>
        <v>45866</v>
      </c>
      <c r="C394" vm="1147">
        <f ca="1"/>
        <v>166.22</v>
      </c>
      <c r="D394" vm="1148">
        <f ca="1"/>
        <v>8014640</v>
      </c>
      <c r="E394">
        <f t="shared" ca="1" si="40"/>
        <v>166.32555555555555</v>
      </c>
      <c r="F394">
        <f t="shared" ca="1" si="41"/>
        <v>160.55449999999999</v>
      </c>
      <c r="G394">
        <f t="shared" ca="1" si="46"/>
        <v>156.24279999999999</v>
      </c>
      <c r="H394">
        <f t="shared" ca="1" si="45"/>
        <v>157.12069306930695</v>
      </c>
      <c r="I394">
        <f t="shared" ca="1" si="42"/>
        <v>5.6666675206397725</v>
      </c>
      <c r="J394">
        <f t="shared" ca="1" si="43"/>
        <v>149.22116495872044</v>
      </c>
      <c r="K394">
        <f t="shared" ca="1" si="44"/>
        <v>171.88783504127954</v>
      </c>
    </row>
    <row r="395" spans="1:11" x14ac:dyDescent="0.25">
      <c r="A395" s="6">
        <f t="shared" ca="1" si="47"/>
        <v>45866</v>
      </c>
      <c r="B395" vm="1149">
        <f ca="1"/>
        <v>45867</v>
      </c>
      <c r="C395" vm="1150">
        <f ca="1"/>
        <v>168.11</v>
      </c>
      <c r="D395" vm="1151">
        <f ca="1"/>
        <v>7663408</v>
      </c>
      <c r="E395">
        <f t="shared" ref="E395:E458" ca="1" si="48">AVERAGE(C387:C395)</f>
        <v>166.69555555555559</v>
      </c>
      <c r="F395">
        <f t="shared" ca="1" si="41"/>
        <v>161.32249999999999</v>
      </c>
      <c r="G395">
        <f t="shared" ca="1" si="46"/>
        <v>156.61279999999999</v>
      </c>
      <c r="H395">
        <f t="shared" ca="1" si="45"/>
        <v>157.14732673267329</v>
      </c>
      <c r="I395">
        <f t="shared" ca="1" si="42"/>
        <v>5.5936532408567672</v>
      </c>
      <c r="J395">
        <f t="shared" ca="1" si="43"/>
        <v>150.13519351828646</v>
      </c>
      <c r="K395">
        <f t="shared" ca="1" si="44"/>
        <v>172.50980648171353</v>
      </c>
    </row>
    <row r="396" spans="1:11" x14ac:dyDescent="0.25">
      <c r="A396" s="6">
        <f t="shared" ca="1" si="47"/>
        <v>45866</v>
      </c>
      <c r="B396" vm="1152">
        <f ca="1"/>
        <v>45868</v>
      </c>
      <c r="C396" vm="1153">
        <f ca="1"/>
        <v>167.26</v>
      </c>
      <c r="D396" vm="1154">
        <f ca="1"/>
        <v>6189161</v>
      </c>
      <c r="E396">
        <f t="shared" ca="1" si="48"/>
        <v>167.17111111111114</v>
      </c>
      <c r="F396">
        <f t="shared" ca="1" si="41"/>
        <v>161.8895</v>
      </c>
      <c r="G396">
        <f t="shared" ca="1" si="46"/>
        <v>156.93140000000002</v>
      </c>
      <c r="H396">
        <f t="shared" ca="1" si="45"/>
        <v>157.16851485148518</v>
      </c>
      <c r="I396">
        <f t="shared" ca="1" si="42"/>
        <v>5.5919457822460128</v>
      </c>
      <c r="J396">
        <f t="shared" ca="1" si="43"/>
        <v>150.70560843550797</v>
      </c>
      <c r="K396">
        <f t="shared" ca="1" si="44"/>
        <v>173.07339156449203</v>
      </c>
    </row>
    <row r="397" spans="1:11" x14ac:dyDescent="0.25">
      <c r="A397" s="6">
        <f t="shared" ca="1" si="47"/>
        <v>45866</v>
      </c>
      <c r="B397" vm="1155">
        <f ca="1"/>
        <v>45869</v>
      </c>
      <c r="C397" vm="1156">
        <f ca="1"/>
        <v>164.74</v>
      </c>
      <c r="D397" vm="1157">
        <f ca="1"/>
        <v>11036179</v>
      </c>
      <c r="E397">
        <f t="shared" ca="1" si="48"/>
        <v>167.28666666666666</v>
      </c>
      <c r="F397">
        <f t="shared" ca="1" si="41"/>
        <v>162.34849999999997</v>
      </c>
      <c r="G397">
        <f t="shared" ca="1" si="46"/>
        <v>157.1764</v>
      </c>
      <c r="H397">
        <f t="shared" ca="1" si="45"/>
        <v>157.15772277227725</v>
      </c>
      <c r="I397">
        <f t="shared" ca="1" si="42"/>
        <v>5.4191495497084494</v>
      </c>
      <c r="J397">
        <f t="shared" ca="1" si="43"/>
        <v>151.51020090058307</v>
      </c>
      <c r="K397">
        <f t="shared" ca="1" si="44"/>
        <v>173.18679909941687</v>
      </c>
    </row>
    <row r="398" spans="1:11" x14ac:dyDescent="0.25">
      <c r="A398" s="6">
        <f t="shared" ca="1" si="47"/>
        <v>45866</v>
      </c>
      <c r="B398" vm="1158">
        <f ca="1"/>
        <v>45870</v>
      </c>
      <c r="C398" vm="1159">
        <f ca="1"/>
        <v>167.33</v>
      </c>
      <c r="D398" vm="1160">
        <f ca="1"/>
        <v>8928229</v>
      </c>
      <c r="E398">
        <f t="shared" ca="1" si="48"/>
        <v>167.61666666666667</v>
      </c>
      <c r="F398">
        <f t="shared" ca="1" si="41"/>
        <v>162.9145</v>
      </c>
      <c r="G398">
        <f t="shared" ca="1" si="46"/>
        <v>157.44979999999998</v>
      </c>
      <c r="H398">
        <f t="shared" ca="1" si="45"/>
        <v>157.16405940594063</v>
      </c>
      <c r="I398">
        <f t="shared" ca="1" si="42"/>
        <v>5.3123891691225475</v>
      </c>
      <c r="J398">
        <f t="shared" ca="1" si="43"/>
        <v>152.2897216617549</v>
      </c>
      <c r="K398">
        <f t="shared" ca="1" si="44"/>
        <v>173.53927833824511</v>
      </c>
    </row>
    <row r="399" spans="1:11" x14ac:dyDescent="0.25">
      <c r="A399" s="6">
        <f t="shared" ca="1" si="47"/>
        <v>45873</v>
      </c>
      <c r="B399" vm="1161">
        <f ca="1"/>
        <v>45873</v>
      </c>
      <c r="C399" vm="1162">
        <f ca="1"/>
        <v>171.04</v>
      </c>
      <c r="D399" vm="1163">
        <f ca="1"/>
        <v>12679095</v>
      </c>
      <c r="E399">
        <f t="shared" ca="1" si="48"/>
        <v>167.96222222222221</v>
      </c>
      <c r="F399">
        <f t="shared" ca="1" si="41"/>
        <v>163.70300000000003</v>
      </c>
      <c r="G399">
        <f t="shared" ca="1" si="46"/>
        <v>157.80700000000002</v>
      </c>
      <c r="H399">
        <f t="shared" ca="1" si="45"/>
        <v>157.19712871287132</v>
      </c>
      <c r="I399">
        <f t="shared" ca="1" si="42"/>
        <v>5.2883129336500652</v>
      </c>
      <c r="J399">
        <f t="shared" ca="1" si="43"/>
        <v>153.12637413269991</v>
      </c>
      <c r="K399">
        <f t="shared" ca="1" si="44"/>
        <v>174.27962586730015</v>
      </c>
    </row>
    <row r="400" spans="1:11" x14ac:dyDescent="0.25">
      <c r="A400" s="6">
        <f t="shared" ca="1" si="47"/>
        <v>45873</v>
      </c>
      <c r="B400" vm="1164">
        <f ca="1"/>
        <v>45874</v>
      </c>
      <c r="C400" vm="1165">
        <f ca="1"/>
        <v>170.74</v>
      </c>
      <c r="D400" vm="1166">
        <f ca="1"/>
        <v>7934442</v>
      </c>
      <c r="E400">
        <f t="shared" ca="1" si="48"/>
        <v>168.14444444444445</v>
      </c>
      <c r="F400">
        <f t="shared" ca="1" si="41"/>
        <v>164.45049999999998</v>
      </c>
      <c r="G400">
        <f t="shared" ca="1" si="46"/>
        <v>158.1696</v>
      </c>
      <c r="H400">
        <f t="shared" ca="1" si="45"/>
        <v>157.24544554455449</v>
      </c>
      <c r="I400">
        <f t="shared" ca="1" si="42"/>
        <v>5.1661219039348865</v>
      </c>
      <c r="J400">
        <f t="shared" ca="1" si="43"/>
        <v>154.11825619213022</v>
      </c>
      <c r="K400">
        <f t="shared" ca="1" si="44"/>
        <v>174.78274380786974</v>
      </c>
    </row>
    <row r="401" spans="1:11" x14ac:dyDescent="0.25">
      <c r="A401" s="6">
        <f t="shared" ca="1" si="47"/>
        <v>45873</v>
      </c>
      <c r="B401" vm="1167">
        <f ca="1"/>
        <v>45875</v>
      </c>
      <c r="C401" vm="1168">
        <f ca="1"/>
        <v>170.59</v>
      </c>
      <c r="D401" vm="1169">
        <f ca="1"/>
        <v>8957240</v>
      </c>
      <c r="E401">
        <f t="shared" ca="1" si="48"/>
        <v>168.25888888888889</v>
      </c>
      <c r="F401">
        <f t="shared" ca="1" si="41"/>
        <v>165.166</v>
      </c>
      <c r="G401">
        <f t="shared" ca="1" si="46"/>
        <v>158.52259999999998</v>
      </c>
      <c r="H401">
        <f t="shared" ca="1" si="45"/>
        <v>157.32207920792081</v>
      </c>
      <c r="I401">
        <f t="shared" ca="1" si="42"/>
        <v>4.9618814343372897</v>
      </c>
      <c r="J401">
        <f t="shared" ca="1" si="43"/>
        <v>155.24223713132542</v>
      </c>
      <c r="K401">
        <f t="shared" ca="1" si="44"/>
        <v>175.08976286867457</v>
      </c>
    </row>
    <row r="402" spans="1:11" x14ac:dyDescent="0.25">
      <c r="A402" s="6">
        <f t="shared" ca="1" si="47"/>
        <v>45873</v>
      </c>
      <c r="B402" vm="1170">
        <f ca="1"/>
        <v>45876</v>
      </c>
      <c r="C402" vm="1171">
        <f ca="1"/>
        <v>171.53</v>
      </c>
      <c r="D402" vm="1172">
        <f ca="1"/>
        <v>9315942</v>
      </c>
      <c r="E402">
        <f t="shared" ca="1" si="48"/>
        <v>168.61777777777777</v>
      </c>
      <c r="F402">
        <f t="shared" ca="1" si="41"/>
        <v>165.85799999999998</v>
      </c>
      <c r="G402">
        <f t="shared" ca="1" si="46"/>
        <v>158.88819999999998</v>
      </c>
      <c r="H402">
        <f t="shared" ca="1" si="45"/>
        <v>157.40663366336636</v>
      </c>
      <c r="I402">
        <f t="shared" ca="1" si="42"/>
        <v>4.8276490955198588</v>
      </c>
      <c r="J402">
        <f t="shared" ca="1" si="43"/>
        <v>156.20270180896026</v>
      </c>
      <c r="K402">
        <f t="shared" ca="1" si="44"/>
        <v>175.51329819103969</v>
      </c>
    </row>
    <row r="403" spans="1:11" x14ac:dyDescent="0.25">
      <c r="A403" s="6">
        <f t="shared" ca="1" si="47"/>
        <v>45873</v>
      </c>
      <c r="B403" vm="1173">
        <f ca="1"/>
        <v>45877</v>
      </c>
      <c r="C403" vm="1174">
        <f ca="1"/>
        <v>173.33</v>
      </c>
      <c r="D403" vm="1175">
        <f ca="1"/>
        <v>7686765</v>
      </c>
      <c r="E403">
        <f t="shared" ca="1" si="48"/>
        <v>169.40777777777777</v>
      </c>
      <c r="F403">
        <f t="shared" ca="1" si="41"/>
        <v>166.67949999999999</v>
      </c>
      <c r="G403">
        <f t="shared" ca="1" si="46"/>
        <v>159.30619999999996</v>
      </c>
      <c r="H403">
        <f t="shared" ca="1" si="45"/>
        <v>157.51079207920796</v>
      </c>
      <c r="I403">
        <f t="shared" ca="1" si="42"/>
        <v>4.616363885821376</v>
      </c>
      <c r="J403">
        <f t="shared" ca="1" si="43"/>
        <v>157.44677222835725</v>
      </c>
      <c r="K403">
        <f t="shared" ca="1" si="44"/>
        <v>175.91222777164273</v>
      </c>
    </row>
    <row r="404" spans="1:11" x14ac:dyDescent="0.25">
      <c r="A404" s="6">
        <f t="shared" ca="1" si="47"/>
        <v>45880</v>
      </c>
      <c r="B404" vm="1176">
        <f ca="1"/>
        <v>45880</v>
      </c>
      <c r="C404" vm="1177">
        <f ca="1"/>
        <v>173.82</v>
      </c>
      <c r="D404" vm="1178">
        <f ca="1"/>
        <v>7256778</v>
      </c>
      <c r="E404">
        <f t="shared" ca="1" si="48"/>
        <v>170.04222222222222</v>
      </c>
      <c r="F404">
        <f t="shared" ca="1" si="41"/>
        <v>167.52950000000001</v>
      </c>
      <c r="G404">
        <f t="shared" ca="1" si="46"/>
        <v>159.71099999999996</v>
      </c>
      <c r="H404">
        <f t="shared" ca="1" si="45"/>
        <v>157.61950495049507</v>
      </c>
      <c r="I404">
        <f t="shared" ca="1" si="42"/>
        <v>4.2564656391003712</v>
      </c>
      <c r="J404">
        <f t="shared" ca="1" si="43"/>
        <v>159.01656872179927</v>
      </c>
      <c r="K404">
        <f t="shared" ca="1" si="44"/>
        <v>176.04243127820075</v>
      </c>
    </row>
    <row r="405" spans="1:11" x14ac:dyDescent="0.25">
      <c r="A405" s="6">
        <f t="shared" ca="1" si="47"/>
        <v>45880</v>
      </c>
      <c r="B405" vm="1179">
        <f ca="1"/>
        <v>45881</v>
      </c>
      <c r="C405" vm="1180">
        <f ca="1"/>
        <v>172.78</v>
      </c>
      <c r="D405" vm="1181">
        <f ca="1"/>
        <v>7917437</v>
      </c>
      <c r="E405">
        <f t="shared" ca="1" si="48"/>
        <v>170.65555555555554</v>
      </c>
      <c r="F405">
        <f t="shared" ca="1" si="41"/>
        <v>168.41000000000003</v>
      </c>
      <c r="G405">
        <f t="shared" ca="1" si="46"/>
        <v>160.06239999999997</v>
      </c>
      <c r="H405">
        <f t="shared" ca="1" si="45"/>
        <v>157.70396039603963</v>
      </c>
      <c r="I405">
        <f t="shared" ca="1" si="42"/>
        <v>3.2729947657828773</v>
      </c>
      <c r="J405">
        <f t="shared" ca="1" si="43"/>
        <v>161.86401046843426</v>
      </c>
      <c r="K405">
        <f t="shared" ca="1" si="44"/>
        <v>174.95598953156579</v>
      </c>
    </row>
    <row r="406" spans="1:11" x14ac:dyDescent="0.25">
      <c r="A406" s="6">
        <f t="shared" ca="1" si="47"/>
        <v>45880</v>
      </c>
      <c r="B406" vm="1182">
        <f ca="1"/>
        <v>45882</v>
      </c>
      <c r="C406" vm="1183">
        <f ca="1"/>
        <v>174.42</v>
      </c>
      <c r="D406" vm="1184">
        <f ca="1"/>
        <v>5878666</v>
      </c>
      <c r="E406">
        <f t="shared" ca="1" si="48"/>
        <v>171.73111111111109</v>
      </c>
      <c r="F406">
        <f t="shared" ref="F406:F469" ca="1" si="49">AVERAGE(C387:C406)</f>
        <v>168.89200000000002</v>
      </c>
      <c r="G406">
        <f t="shared" ca="1" si="46"/>
        <v>160.44279999999998</v>
      </c>
      <c r="H406">
        <f t="shared" ca="1" si="45"/>
        <v>157.81712871287132</v>
      </c>
      <c r="I406">
        <f t="shared" ref="I406:I469" ca="1" si="50">_xlfn.STDEV.S(C387:C406)</f>
        <v>3.4169401516561564</v>
      </c>
      <c r="J406">
        <f t="shared" ref="J406:J469" ca="1" si="51">F406-2*I406</f>
        <v>162.0581196966877</v>
      </c>
      <c r="K406">
        <f t="shared" ref="K406:K469" ca="1" si="52">F406+2*I406</f>
        <v>175.72588030331235</v>
      </c>
    </row>
    <row r="407" spans="1:11" x14ac:dyDescent="0.25">
      <c r="A407" s="6">
        <f t="shared" ca="1" si="47"/>
        <v>45880</v>
      </c>
      <c r="B407" vm="1185">
        <f ca="1"/>
        <v>45883</v>
      </c>
      <c r="C407" vm="1186">
        <f ca="1"/>
        <v>174.72</v>
      </c>
      <c r="D407" vm="1187">
        <f ca="1"/>
        <v>8241942</v>
      </c>
      <c r="E407">
        <f t="shared" ca="1" si="48"/>
        <v>172.55222222222221</v>
      </c>
      <c r="F407">
        <f t="shared" ca="1" si="49"/>
        <v>169.47900000000004</v>
      </c>
      <c r="G407">
        <f t="shared" ca="1" si="46"/>
        <v>160.84879999999998</v>
      </c>
      <c r="H407">
        <f t="shared" ca="1" si="45"/>
        <v>157.93297029702973</v>
      </c>
      <c r="I407">
        <f t="shared" ca="1" si="50"/>
        <v>3.3557223710520114</v>
      </c>
      <c r="J407">
        <f t="shared" ca="1" si="51"/>
        <v>162.76755525789602</v>
      </c>
      <c r="K407">
        <f t="shared" ca="1" si="52"/>
        <v>176.19044474210406</v>
      </c>
    </row>
    <row r="408" spans="1:11" x14ac:dyDescent="0.25">
      <c r="A408" s="6">
        <f t="shared" ca="1" si="47"/>
        <v>45880</v>
      </c>
      <c r="B408" vm="1188">
        <f ca="1"/>
        <v>45884</v>
      </c>
      <c r="C408" vm="1189">
        <f ca="1"/>
        <v>176.64</v>
      </c>
      <c r="D408" vm="1190">
        <f ca="1"/>
        <v>9477559</v>
      </c>
      <c r="E408">
        <f t="shared" ca="1" si="48"/>
        <v>173.17444444444448</v>
      </c>
      <c r="F408">
        <f t="shared" ca="1" si="49"/>
        <v>170.126</v>
      </c>
      <c r="G408">
        <f t="shared" ca="1" si="46"/>
        <v>161.31719999999999</v>
      </c>
      <c r="H408">
        <f t="shared" ca="1" si="45"/>
        <v>158.06178217821784</v>
      </c>
      <c r="I408">
        <f t="shared" ca="1" si="50"/>
        <v>3.4294965105375801</v>
      </c>
      <c r="J408">
        <f t="shared" ca="1" si="51"/>
        <v>163.26700697892485</v>
      </c>
      <c r="K408">
        <f t="shared" ca="1" si="52"/>
        <v>176.98499302107516</v>
      </c>
    </row>
    <row r="409" spans="1:11" x14ac:dyDescent="0.25">
      <c r="A409" s="6">
        <f t="shared" ca="1" si="47"/>
        <v>45887</v>
      </c>
      <c r="B409" vm="1191">
        <f ca="1"/>
        <v>45887</v>
      </c>
      <c r="C409" vm="1192">
        <f ca="1"/>
        <v>176.25</v>
      </c>
      <c r="D409" vm="1193">
        <f ca="1"/>
        <v>9284138</v>
      </c>
      <c r="E409">
        <f t="shared" ca="1" si="48"/>
        <v>173.78666666666666</v>
      </c>
      <c r="F409">
        <f t="shared" ca="1" si="49"/>
        <v>170.72049999999999</v>
      </c>
      <c r="G409">
        <f t="shared" ca="1" si="46"/>
        <v>161.76900000000001</v>
      </c>
      <c r="H409">
        <f t="shared" ca="1" si="45"/>
        <v>158.19009900990102</v>
      </c>
      <c r="I409">
        <f t="shared" ca="1" si="50"/>
        <v>3.4078508044313107</v>
      </c>
      <c r="J409">
        <f t="shared" ca="1" si="51"/>
        <v>163.90479839113738</v>
      </c>
      <c r="K409">
        <f t="shared" ca="1" si="52"/>
        <v>177.5362016088626</v>
      </c>
    </row>
    <row r="410" spans="1:11" x14ac:dyDescent="0.25">
      <c r="A410" s="6">
        <f t="shared" ca="1" si="47"/>
        <v>45887</v>
      </c>
      <c r="B410" vm="1194">
        <f ca="1"/>
        <v>45888</v>
      </c>
      <c r="C410" vm="1195">
        <f ca="1"/>
        <v>177.8</v>
      </c>
      <c r="D410" vm="1196">
        <f ca="1"/>
        <v>9274182</v>
      </c>
      <c r="E410">
        <f t="shared" ca="1" si="48"/>
        <v>174.58777777777775</v>
      </c>
      <c r="F410">
        <f t="shared" ca="1" si="49"/>
        <v>171.214</v>
      </c>
      <c r="G410">
        <f t="shared" ca="1" si="46"/>
        <v>162.2244</v>
      </c>
      <c r="H410">
        <f t="shared" ca="1" si="45"/>
        <v>158.35623762376238</v>
      </c>
      <c r="I410">
        <f t="shared" ca="1" si="50"/>
        <v>3.6857983495688136</v>
      </c>
      <c r="J410">
        <f t="shared" ca="1" si="51"/>
        <v>163.84240330086237</v>
      </c>
      <c r="K410">
        <f t="shared" ca="1" si="52"/>
        <v>178.58559669913762</v>
      </c>
    </row>
    <row r="411" spans="1:11" x14ac:dyDescent="0.25">
      <c r="A411" s="6">
        <f t="shared" ca="1" si="47"/>
        <v>45887</v>
      </c>
      <c r="B411" vm="1197">
        <f ca="1"/>
        <v>45889</v>
      </c>
      <c r="C411" vm="1198">
        <f ca="1"/>
        <v>178.84</v>
      </c>
      <c r="D411" vm="1199">
        <f ca="1"/>
        <v>9030396</v>
      </c>
      <c r="E411">
        <f t="shared" ca="1" si="48"/>
        <v>175.39999999999998</v>
      </c>
      <c r="F411">
        <f t="shared" ca="1" si="49"/>
        <v>171.70099999999999</v>
      </c>
      <c r="G411">
        <f t="shared" ca="1" si="46"/>
        <v>162.69660000000005</v>
      </c>
      <c r="H411">
        <f t="shared" ca="1" si="45"/>
        <v>158.52574257425744</v>
      </c>
      <c r="I411">
        <f t="shared" ca="1" si="50"/>
        <v>4.0200849689894254</v>
      </c>
      <c r="J411">
        <f t="shared" ca="1" si="51"/>
        <v>163.66083006202115</v>
      </c>
      <c r="K411">
        <f t="shared" ca="1" si="52"/>
        <v>179.74116993797884</v>
      </c>
    </row>
    <row r="412" spans="1:11" x14ac:dyDescent="0.25">
      <c r="A412" s="6">
        <f t="shared" ca="1" si="47"/>
        <v>45887</v>
      </c>
      <c r="B412" vm="1200">
        <f ca="1"/>
        <v>45890</v>
      </c>
      <c r="C412" vm="1201">
        <f ca="1"/>
        <v>178.93</v>
      </c>
      <c r="D412" vm="1202">
        <f ca="1"/>
        <v>8859552</v>
      </c>
      <c r="E412">
        <f t="shared" ca="1" si="48"/>
        <v>176.02222222222224</v>
      </c>
      <c r="F412">
        <f t="shared" ca="1" si="49"/>
        <v>172.1695</v>
      </c>
      <c r="G412">
        <f t="shared" ca="1" si="46"/>
        <v>163.14620000000005</v>
      </c>
      <c r="H412">
        <f t="shared" ca="1" si="45"/>
        <v>158.68217821782179</v>
      </c>
      <c r="I412">
        <f t="shared" ca="1" si="50"/>
        <v>4.2940919939646802</v>
      </c>
      <c r="J412">
        <f t="shared" ca="1" si="51"/>
        <v>163.58131601207063</v>
      </c>
      <c r="K412">
        <f t="shared" ca="1" si="52"/>
        <v>180.75768398792937</v>
      </c>
    </row>
    <row r="413" spans="1:11" x14ac:dyDescent="0.25">
      <c r="A413" s="6">
        <f t="shared" ca="1" si="47"/>
        <v>45887</v>
      </c>
      <c r="B413" vm="1203">
        <f ca="1"/>
        <v>45891</v>
      </c>
      <c r="C413" vm="1204">
        <f ca="1"/>
        <v>179.29</v>
      </c>
      <c r="D413" vm="1205">
        <f ca="1"/>
        <v>9524308</v>
      </c>
      <c r="E413">
        <f t="shared" ca="1" si="48"/>
        <v>176.63</v>
      </c>
      <c r="F413">
        <f t="shared" ca="1" si="49"/>
        <v>172.71899999999999</v>
      </c>
      <c r="G413">
        <f t="shared" ca="1" si="46"/>
        <v>163.62680000000003</v>
      </c>
      <c r="H413">
        <f t="shared" ca="1" si="45"/>
        <v>158.83643564356436</v>
      </c>
      <c r="I413">
        <f t="shared" ca="1" si="50"/>
        <v>4.4723406093807041</v>
      </c>
      <c r="J413">
        <f t="shared" ca="1" si="51"/>
        <v>163.77431878123858</v>
      </c>
      <c r="K413">
        <f t="shared" ca="1" si="52"/>
        <v>181.66368121876141</v>
      </c>
    </row>
    <row r="414" spans="1:11" x14ac:dyDescent="0.25">
      <c r="A414" s="6">
        <f t="shared" ca="1" si="47"/>
        <v>45894</v>
      </c>
      <c r="B414" vm="1206">
        <f ca="1"/>
        <v>45894</v>
      </c>
      <c r="C414" vm="1207">
        <f ca="1"/>
        <v>178.41</v>
      </c>
      <c r="D414" vm="1208">
        <f ca="1"/>
        <v>6229149</v>
      </c>
      <c r="E414">
        <f t="shared" ca="1" si="48"/>
        <v>177.25555555555556</v>
      </c>
      <c r="F414">
        <f t="shared" ca="1" si="49"/>
        <v>173.32849999999999</v>
      </c>
      <c r="G414">
        <f t="shared" ca="1" si="46"/>
        <v>164.06180000000003</v>
      </c>
      <c r="H414">
        <f t="shared" ca="1" si="45"/>
        <v>158.96089108910894</v>
      </c>
      <c r="I414">
        <f t="shared" ca="1" si="50"/>
        <v>4.3694842222419146</v>
      </c>
      <c r="J414">
        <f t="shared" ca="1" si="51"/>
        <v>164.58953155551617</v>
      </c>
      <c r="K414">
        <f t="shared" ca="1" si="52"/>
        <v>182.06746844448381</v>
      </c>
    </row>
    <row r="415" spans="1:11" x14ac:dyDescent="0.25">
      <c r="A415" s="6">
        <f t="shared" ca="1" si="47"/>
        <v>45894</v>
      </c>
      <c r="B415" vm="1209">
        <f ca="1"/>
        <v>45895</v>
      </c>
      <c r="C415" vm="1210">
        <f ca="1"/>
        <v>176.49</v>
      </c>
      <c r="D415" vm="1211">
        <f ca="1"/>
        <v>9145045</v>
      </c>
      <c r="E415">
        <f t="shared" ca="1" si="48"/>
        <v>177.48555555555558</v>
      </c>
      <c r="F415">
        <f t="shared" ca="1" si="49"/>
        <v>173.7475</v>
      </c>
      <c r="G415">
        <f t="shared" ca="1" si="46"/>
        <v>164.44960000000003</v>
      </c>
      <c r="H415">
        <f t="shared" ca="1" si="45"/>
        <v>159.19099009900992</v>
      </c>
      <c r="I415">
        <f t="shared" ca="1" si="50"/>
        <v>4.2426814696170121</v>
      </c>
      <c r="J415">
        <f t="shared" ca="1" si="51"/>
        <v>165.26213706076598</v>
      </c>
      <c r="K415">
        <f t="shared" ca="1" si="52"/>
        <v>182.23286293923402</v>
      </c>
    </row>
    <row r="416" spans="1:11" x14ac:dyDescent="0.25">
      <c r="A416" s="6">
        <f t="shared" ca="1" si="47"/>
        <v>45894</v>
      </c>
      <c r="B416" vm="1212">
        <f ca="1"/>
        <v>45896</v>
      </c>
      <c r="C416" vm="1213">
        <f ca="1"/>
        <v>176.79</v>
      </c>
      <c r="D416" vm="1214">
        <f ca="1"/>
        <v>5951099</v>
      </c>
      <c r="E416">
        <f t="shared" ca="1" si="48"/>
        <v>177.71555555555557</v>
      </c>
      <c r="F416">
        <f t="shared" ca="1" si="49"/>
        <v>174.22399999999999</v>
      </c>
      <c r="G416">
        <f t="shared" ca="1" si="46"/>
        <v>164.88100000000003</v>
      </c>
      <c r="H416">
        <f t="shared" ca="1" si="45"/>
        <v>159.40316831683171</v>
      </c>
      <c r="I416">
        <f t="shared" ca="1" si="50"/>
        <v>4.0041733492103333</v>
      </c>
      <c r="J416">
        <f t="shared" ca="1" si="51"/>
        <v>166.21565330157932</v>
      </c>
      <c r="K416">
        <f t="shared" ca="1" si="52"/>
        <v>182.23234669842066</v>
      </c>
    </row>
    <row r="417" spans="1:11" x14ac:dyDescent="0.25">
      <c r="A417" s="6">
        <f t="shared" ca="1" si="47"/>
        <v>45894</v>
      </c>
      <c r="B417" vm="1215">
        <f ca="1"/>
        <v>45897</v>
      </c>
      <c r="C417" vm="1216">
        <f ca="1"/>
        <v>175.45</v>
      </c>
      <c r="D417" vm="1217">
        <f ca="1"/>
        <v>6424695</v>
      </c>
      <c r="E417">
        <f t="shared" ca="1" si="48"/>
        <v>177.58333333333334</v>
      </c>
      <c r="F417">
        <f t="shared" ca="1" si="49"/>
        <v>174.75949999999997</v>
      </c>
      <c r="G417">
        <f t="shared" ca="1" si="46"/>
        <v>165.34240000000003</v>
      </c>
      <c r="H417">
        <f t="shared" ca="1" si="45"/>
        <v>159.55792079207924</v>
      </c>
      <c r="I417">
        <f t="shared" ca="1" si="50"/>
        <v>3.3281597175110371</v>
      </c>
      <c r="J417">
        <f t="shared" ca="1" si="51"/>
        <v>168.10318056497789</v>
      </c>
      <c r="K417">
        <f t="shared" ca="1" si="52"/>
        <v>181.41581943502206</v>
      </c>
    </row>
    <row r="418" spans="1:11" x14ac:dyDescent="0.25">
      <c r="A418" s="6">
        <f t="shared" ca="1" si="47"/>
        <v>45894</v>
      </c>
      <c r="B418" vm="1218">
        <f ca="1"/>
        <v>45898</v>
      </c>
      <c r="C418" vm="1219">
        <f ca="1"/>
        <v>177.17</v>
      </c>
      <c r="D418" vm="1220">
        <f ca="1"/>
        <v>6942311</v>
      </c>
      <c r="E418">
        <f t="shared" ca="1" si="48"/>
        <v>177.68555555555554</v>
      </c>
      <c r="F418">
        <f t="shared" ca="1" si="49"/>
        <v>175.25149999999999</v>
      </c>
      <c r="G418">
        <f t="shared" ca="1" si="46"/>
        <v>165.87119999999999</v>
      </c>
      <c r="H418">
        <f t="shared" ca="1" si="45"/>
        <v>159.79485148514854</v>
      </c>
      <c r="I418">
        <f t="shared" ca="1" si="50"/>
        <v>2.8674952851794386</v>
      </c>
      <c r="J418">
        <f t="shared" ca="1" si="51"/>
        <v>169.5165094296411</v>
      </c>
      <c r="K418">
        <f t="shared" ca="1" si="52"/>
        <v>180.98649057035888</v>
      </c>
    </row>
    <row r="419" spans="1:11" x14ac:dyDescent="0.25">
      <c r="A419" s="6">
        <f t="shared" ca="1" si="47"/>
        <v>45901</v>
      </c>
      <c r="B419" vm="1221">
        <f ca="1"/>
        <v>45902</v>
      </c>
      <c r="C419" vm="1222">
        <f ca="1"/>
        <v>178.06</v>
      </c>
      <c r="D419" vm="1223">
        <f ca="1"/>
        <v>9049003</v>
      </c>
      <c r="E419">
        <f t="shared" ca="1" si="48"/>
        <v>177.71444444444444</v>
      </c>
      <c r="F419">
        <f t="shared" ca="1" si="49"/>
        <v>175.60249999999999</v>
      </c>
      <c r="G419">
        <f t="shared" ca="1" si="46"/>
        <v>166.4366</v>
      </c>
      <c r="H419">
        <f t="shared" ca="1" si="45"/>
        <v>160.06653465346537</v>
      </c>
      <c r="I419">
        <f t="shared" ca="1" si="50"/>
        <v>2.7521759334063374</v>
      </c>
      <c r="J419">
        <f t="shared" ca="1" si="51"/>
        <v>170.09814813318732</v>
      </c>
      <c r="K419">
        <f t="shared" ca="1" si="52"/>
        <v>181.10685186681266</v>
      </c>
    </row>
    <row r="420" spans="1:11" x14ac:dyDescent="0.25">
      <c r="A420" s="6">
        <f t="shared" ca="1" si="47"/>
        <v>45901</v>
      </c>
      <c r="B420" vm="1224">
        <f ca="1"/>
        <v>45903</v>
      </c>
      <c r="C420" vm="1225">
        <f ca="1"/>
        <v>178</v>
      </c>
      <c r="D420" vm="1226">
        <f ca="1"/>
        <v>7111689</v>
      </c>
      <c r="E420">
        <f t="shared" ca="1" si="48"/>
        <v>177.62111111111111</v>
      </c>
      <c r="F420">
        <f t="shared" ca="1" si="49"/>
        <v>175.96549999999996</v>
      </c>
      <c r="G420">
        <f t="shared" ca="1" si="46"/>
        <v>166.97020000000001</v>
      </c>
      <c r="H420">
        <f t="shared" ca="1" si="45"/>
        <v>160.34376237623763</v>
      </c>
      <c r="I420">
        <f t="shared" ca="1" si="50"/>
        <v>2.5483089852312895</v>
      </c>
      <c r="J420">
        <f t="shared" ca="1" si="51"/>
        <v>170.86888202953739</v>
      </c>
      <c r="K420">
        <f t="shared" ca="1" si="52"/>
        <v>181.06211797046254</v>
      </c>
    </row>
    <row r="421" spans="1:11" x14ac:dyDescent="0.25">
      <c r="A421" s="6">
        <f t="shared" ca="1" si="47"/>
        <v>45901</v>
      </c>
      <c r="B421" vm="1227">
        <f ca="1"/>
        <v>45904</v>
      </c>
      <c r="C421" vm="1228">
        <f ca="1"/>
        <v>178.76</v>
      </c>
      <c r="D421" vm="1229">
        <f ca="1"/>
        <v>7854833</v>
      </c>
      <c r="E421">
        <f t="shared" ca="1" si="48"/>
        <v>177.60222222222222</v>
      </c>
      <c r="F421">
        <f t="shared" ca="1" si="49"/>
        <v>176.37399999999997</v>
      </c>
      <c r="G421">
        <f t="shared" ca="1" si="46"/>
        <v>167.5016</v>
      </c>
      <c r="H421">
        <f t="shared" ca="1" si="45"/>
        <v>160.61891089108912</v>
      </c>
      <c r="I421">
        <f t="shared" ca="1" si="50"/>
        <v>2.2821905451146103</v>
      </c>
      <c r="J421">
        <f t="shared" ca="1" si="51"/>
        <v>171.80961890977073</v>
      </c>
      <c r="K421">
        <f t="shared" ca="1" si="52"/>
        <v>180.9383810902292</v>
      </c>
    </row>
    <row r="422" spans="1:11" x14ac:dyDescent="0.25">
      <c r="A422" s="6">
        <f t="shared" ca="1" si="47"/>
        <v>45901</v>
      </c>
      <c r="B422" vm="1230">
        <f ca="1"/>
        <v>45905</v>
      </c>
      <c r="C422" vm="1231">
        <f ca="1"/>
        <v>178.43</v>
      </c>
      <c r="D422" vm="1232">
        <f ca="1"/>
        <v>9733803</v>
      </c>
      <c r="E422">
        <f t="shared" ca="1" si="48"/>
        <v>177.50666666666666</v>
      </c>
      <c r="F422">
        <f t="shared" ca="1" si="49"/>
        <v>176.71899999999999</v>
      </c>
      <c r="G422">
        <f t="shared" ca="1" si="46"/>
        <v>168.02459999999999</v>
      </c>
      <c r="H422">
        <f t="shared" ref="H422:H485" ca="1" si="53">AVERAGE(C322:C422)</f>
        <v>160.91336633663369</v>
      </c>
      <c r="I422">
        <f t="shared" ca="1" si="50"/>
        <v>2.0175777556267818</v>
      </c>
      <c r="J422">
        <f t="shared" ca="1" si="51"/>
        <v>172.68384448874644</v>
      </c>
      <c r="K422">
        <f t="shared" ca="1" si="52"/>
        <v>180.75415551125354</v>
      </c>
    </row>
    <row r="423" spans="1:11" x14ac:dyDescent="0.25">
      <c r="A423" s="6">
        <f t="shared" ca="1" si="47"/>
        <v>45908</v>
      </c>
      <c r="B423" vm="1233">
        <f ca="1"/>
        <v>45908</v>
      </c>
      <c r="C423" vm="1234">
        <f ca="1"/>
        <v>178.13</v>
      </c>
      <c r="D423" vm="1235">
        <f ca="1"/>
        <v>8382514</v>
      </c>
      <c r="E423">
        <f t="shared" ca="1" si="48"/>
        <v>177.47555555555559</v>
      </c>
      <c r="F423">
        <f t="shared" ca="1" si="49"/>
        <v>176.959</v>
      </c>
      <c r="G423">
        <f t="shared" ca="1" si="46"/>
        <v>168.54699999999997</v>
      </c>
      <c r="H423">
        <f t="shared" ca="1" si="53"/>
        <v>161.17475247524754</v>
      </c>
      <c r="I423">
        <f t="shared" ca="1" si="50"/>
        <v>1.8735749672470392</v>
      </c>
      <c r="J423">
        <f t="shared" ca="1" si="51"/>
        <v>173.21185006550593</v>
      </c>
      <c r="K423">
        <f t="shared" ca="1" si="52"/>
        <v>180.70614993449408</v>
      </c>
    </row>
    <row r="424" spans="1:11" x14ac:dyDescent="0.25">
      <c r="A424" s="6">
        <f t="shared" ca="1" si="47"/>
        <v>45908</v>
      </c>
      <c r="B424" vm="1236">
        <f ca="1"/>
        <v>45909</v>
      </c>
      <c r="C424" vm="1237">
        <f ca="1"/>
        <v>176.96</v>
      </c>
      <c r="D424" vm="1238">
        <f ca="1"/>
        <v>6005703</v>
      </c>
      <c r="E424">
        <f t="shared" ca="1" si="48"/>
        <v>177.52777777777777</v>
      </c>
      <c r="F424">
        <f t="shared" ca="1" si="49"/>
        <v>177.11600000000001</v>
      </c>
      <c r="G424">
        <f t="shared" ca="1" si="46"/>
        <v>169.03799999999998</v>
      </c>
      <c r="H424">
        <f t="shared" ca="1" si="53"/>
        <v>161.39851485148517</v>
      </c>
      <c r="I424">
        <f t="shared" ca="1" si="50"/>
        <v>1.7221327047099433</v>
      </c>
      <c r="J424">
        <f t="shared" ca="1" si="51"/>
        <v>173.67173459058012</v>
      </c>
      <c r="K424">
        <f t="shared" ca="1" si="52"/>
        <v>180.56026540941991</v>
      </c>
    </row>
    <row r="425" spans="1:11" x14ac:dyDescent="0.25">
      <c r="A425" s="6">
        <f t="shared" ca="1" si="47"/>
        <v>45908</v>
      </c>
      <c r="B425" vm="1239">
        <f ca="1"/>
        <v>45910</v>
      </c>
      <c r="C425" vm="1240">
        <f ca="1"/>
        <v>175.79</v>
      </c>
      <c r="D425" vm="1241">
        <f ca="1"/>
        <v>6891590</v>
      </c>
      <c r="E425">
        <f t="shared" ca="1" si="48"/>
        <v>177.41666666666666</v>
      </c>
      <c r="F425">
        <f t="shared" ca="1" si="49"/>
        <v>177.26649999999998</v>
      </c>
      <c r="G425">
        <f t="shared" ca="1" si="46"/>
        <v>169.49880000000002</v>
      </c>
      <c r="H425">
        <f t="shared" ca="1" si="53"/>
        <v>161.61801980198021</v>
      </c>
      <c r="I425">
        <f t="shared" ca="1" si="50"/>
        <v>1.4300065329258231</v>
      </c>
      <c r="J425">
        <f t="shared" ca="1" si="51"/>
        <v>174.40648693414835</v>
      </c>
      <c r="K425">
        <f t="shared" ca="1" si="52"/>
        <v>180.12651306585161</v>
      </c>
    </row>
    <row r="426" spans="1:11" x14ac:dyDescent="0.25">
      <c r="A426" s="6">
        <f t="shared" ca="1" si="47"/>
        <v>45908</v>
      </c>
      <c r="B426" vm="1242">
        <f ca="1"/>
        <v>45911</v>
      </c>
      <c r="C426" vm="1243">
        <f ca="1"/>
        <v>178.5</v>
      </c>
      <c r="D426" vm="1244">
        <f ca="1"/>
        <v>5792527</v>
      </c>
      <c r="E426">
        <f t="shared" ca="1" si="48"/>
        <v>177.75555555555559</v>
      </c>
      <c r="F426">
        <f t="shared" ca="1" si="49"/>
        <v>177.47050000000002</v>
      </c>
      <c r="G426">
        <f t="shared" ca="1" si="46"/>
        <v>169.9504</v>
      </c>
      <c r="H426">
        <f t="shared" ca="1" si="53"/>
        <v>161.8614851485149</v>
      </c>
      <c r="I426">
        <f t="shared" ca="1" si="50"/>
        <v>1.2863676931986701</v>
      </c>
      <c r="J426">
        <f t="shared" ca="1" si="51"/>
        <v>174.89776461360267</v>
      </c>
      <c r="K426">
        <f t="shared" ca="1" si="52"/>
        <v>180.04323538639736</v>
      </c>
    </row>
    <row r="427" spans="1:11" x14ac:dyDescent="0.25">
      <c r="A427" s="6">
        <f t="shared" ca="1" si="47"/>
        <v>45908</v>
      </c>
      <c r="B427" vm="1245">
        <f ca="1"/>
        <v>45912</v>
      </c>
      <c r="C427" vm="1222">
        <f ca="1"/>
        <v>178.06</v>
      </c>
      <c r="D427" vm="1246">
        <f ca="1"/>
        <v>7220473</v>
      </c>
      <c r="E427">
        <f t="shared" ca="1" si="48"/>
        <v>177.85444444444443</v>
      </c>
      <c r="F427">
        <f t="shared" ca="1" si="49"/>
        <v>177.63749999999999</v>
      </c>
      <c r="G427">
        <f t="shared" ca="1" si="46"/>
        <v>170.40039999999996</v>
      </c>
      <c r="H427">
        <f t="shared" ca="1" si="53"/>
        <v>162.06534653465349</v>
      </c>
      <c r="I427">
        <f t="shared" ca="1" si="50"/>
        <v>1.1160214815891429</v>
      </c>
      <c r="J427">
        <f t="shared" ca="1" si="51"/>
        <v>175.4054570368217</v>
      </c>
      <c r="K427">
        <f t="shared" ca="1" si="52"/>
        <v>179.86954296317828</v>
      </c>
    </row>
    <row r="428" spans="1:11" x14ac:dyDescent="0.25">
      <c r="A428" s="6">
        <f t="shared" ca="1" si="47"/>
        <v>45915</v>
      </c>
      <c r="B428" vm="1247">
        <f ca="1"/>
        <v>45915</v>
      </c>
      <c r="C428" vm="1248">
        <f ca="1"/>
        <v>177.4</v>
      </c>
      <c r="D428" vm="1249">
        <f ca="1"/>
        <v>4768547</v>
      </c>
      <c r="E428">
        <f t="shared" ca="1" si="48"/>
        <v>177.78111111111113</v>
      </c>
      <c r="F428">
        <f t="shared" ca="1" si="49"/>
        <v>177.6755</v>
      </c>
      <c r="G428">
        <f t="shared" ca="1" si="46"/>
        <v>170.82820000000004</v>
      </c>
      <c r="H428">
        <f t="shared" ca="1" si="53"/>
        <v>162.26811881188121</v>
      </c>
      <c r="I428">
        <f t="shared" ca="1" si="50"/>
        <v>1.0929702408430084</v>
      </c>
      <c r="J428">
        <f t="shared" ca="1" si="51"/>
        <v>175.489559518314</v>
      </c>
      <c r="K428">
        <f t="shared" ca="1" si="52"/>
        <v>179.861440481686</v>
      </c>
    </row>
    <row r="429" spans="1:11" x14ac:dyDescent="0.25">
      <c r="A429" s="6">
        <f t="shared" ca="1" si="47"/>
        <v>45915</v>
      </c>
      <c r="B429" vm="1250">
        <f ca="1"/>
        <v>45916</v>
      </c>
      <c r="C429" vm="1251">
        <f ca="1"/>
        <v>176.46</v>
      </c>
      <c r="D429" vm="1252">
        <f ca="1"/>
        <v>7959652</v>
      </c>
      <c r="E429">
        <f t="shared" ca="1" si="48"/>
        <v>177.61</v>
      </c>
      <c r="F429">
        <f t="shared" ca="1" si="49"/>
        <v>177.68599999999998</v>
      </c>
      <c r="G429">
        <f t="shared" ca="1" si="46"/>
        <v>171.25200000000001</v>
      </c>
      <c r="H429">
        <f t="shared" ca="1" si="53"/>
        <v>162.45336633663368</v>
      </c>
      <c r="I429">
        <f t="shared" ca="1" si="50"/>
        <v>1.0794803818212002</v>
      </c>
      <c r="J429">
        <f t="shared" ca="1" si="51"/>
        <v>175.52703923635758</v>
      </c>
      <c r="K429">
        <f t="shared" ca="1" si="52"/>
        <v>179.84496076364238</v>
      </c>
    </row>
    <row r="430" spans="1:11" x14ac:dyDescent="0.25">
      <c r="A430" s="6">
        <f t="shared" ca="1" si="47"/>
        <v>45915</v>
      </c>
      <c r="B430" vm="1253">
        <f ca="1"/>
        <v>45917</v>
      </c>
      <c r="C430" vm="1254">
        <f ca="1"/>
        <v>177.2</v>
      </c>
      <c r="D430" vm="1255">
        <f ca="1"/>
        <v>6715188</v>
      </c>
      <c r="E430">
        <f t="shared" ca="1" si="48"/>
        <v>177.43666666666667</v>
      </c>
      <c r="F430">
        <f t="shared" ca="1" si="49"/>
        <v>177.65600000000001</v>
      </c>
      <c r="G430">
        <f t="shared" ca="1" si="46"/>
        <v>171.68020000000004</v>
      </c>
      <c r="H430">
        <f t="shared" ca="1" si="53"/>
        <v>162.66940594059406</v>
      </c>
      <c r="I430">
        <f t="shared" ca="1" si="50"/>
        <v>1.0844712512265342</v>
      </c>
      <c r="J430">
        <f t="shared" ca="1" si="51"/>
        <v>175.48705749754694</v>
      </c>
      <c r="K430">
        <f t="shared" ca="1" si="52"/>
        <v>179.82494250245307</v>
      </c>
    </row>
    <row r="431" spans="1:11" x14ac:dyDescent="0.25">
      <c r="A431" s="6">
        <f t="shared" ca="1" si="47"/>
        <v>45915</v>
      </c>
      <c r="B431" vm="1256">
        <f ca="1"/>
        <v>45918</v>
      </c>
      <c r="C431" vm="1257">
        <f ca="1"/>
        <v>174.16</v>
      </c>
      <c r="D431" vm="1258">
        <f ca="1"/>
        <v>8200854</v>
      </c>
      <c r="E431">
        <f t="shared" ca="1" si="48"/>
        <v>176.96222222222227</v>
      </c>
      <c r="F431">
        <f t="shared" ca="1" si="49"/>
        <v>177.42199999999997</v>
      </c>
      <c r="G431">
        <f t="shared" ca="1" si="46"/>
        <v>172.03780000000003</v>
      </c>
      <c r="H431">
        <f t="shared" ca="1" si="53"/>
        <v>162.85980198019803</v>
      </c>
      <c r="I431">
        <f t="shared" ca="1" si="50"/>
        <v>1.2992005639096529</v>
      </c>
      <c r="J431">
        <f t="shared" ca="1" si="51"/>
        <v>174.82359887218067</v>
      </c>
      <c r="K431">
        <f t="shared" ca="1" si="52"/>
        <v>180.02040112781927</v>
      </c>
    </row>
    <row r="432" spans="1:11" x14ac:dyDescent="0.25">
      <c r="A432" s="6">
        <f t="shared" ca="1" si="47"/>
        <v>45915</v>
      </c>
      <c r="B432" vm="1259">
        <f ca="1"/>
        <v>45919</v>
      </c>
      <c r="C432" vm="1260">
        <f ca="1"/>
        <v>176.19</v>
      </c>
      <c r="D432" vm="1261">
        <f ca="1"/>
        <v>25620954</v>
      </c>
      <c r="E432">
        <f t="shared" ca="1" si="48"/>
        <v>176.74666666666667</v>
      </c>
      <c r="F432">
        <f t="shared" ca="1" si="49"/>
        <v>177.285</v>
      </c>
      <c r="G432">
        <f t="shared" ca="1" si="46"/>
        <v>172.40780000000004</v>
      </c>
      <c r="H432">
        <f t="shared" ca="1" si="53"/>
        <v>163.0737623762376</v>
      </c>
      <c r="I432">
        <f t="shared" ca="1" si="50"/>
        <v>1.2760733356256364</v>
      </c>
      <c r="J432">
        <f t="shared" ca="1" si="51"/>
        <v>174.73285332874872</v>
      </c>
      <c r="K432">
        <f t="shared" ca="1" si="52"/>
        <v>179.83714667125128</v>
      </c>
    </row>
    <row r="433" spans="1:11" x14ac:dyDescent="0.25">
      <c r="A433" s="6">
        <f t="shared" ca="1" si="47"/>
        <v>45922</v>
      </c>
      <c r="B433" vm="1262">
        <f ca="1"/>
        <v>45922</v>
      </c>
      <c r="C433" vm="1263">
        <f ca="1"/>
        <v>174.21</v>
      </c>
      <c r="D433" vm="1264">
        <f ca="1"/>
        <v>7193868</v>
      </c>
      <c r="E433">
        <f t="shared" ca="1" si="48"/>
        <v>176.44111111111113</v>
      </c>
      <c r="F433">
        <f t="shared" ca="1" si="49"/>
        <v>177.03100000000001</v>
      </c>
      <c r="G433">
        <f t="shared" ca="1" si="46"/>
        <v>172.75400000000002</v>
      </c>
      <c r="H433">
        <f t="shared" ca="1" si="53"/>
        <v>163.26049504950495</v>
      </c>
      <c r="I433">
        <f t="shared" ca="1" si="50"/>
        <v>1.3588729850407961</v>
      </c>
      <c r="J433">
        <f t="shared" ca="1" si="51"/>
        <v>174.31325402991843</v>
      </c>
      <c r="K433">
        <f t="shared" ca="1" si="52"/>
        <v>179.74874597008159</v>
      </c>
    </row>
    <row r="434" spans="1:11" x14ac:dyDescent="0.25">
      <c r="A434" s="6">
        <f t="shared" ca="1" si="47"/>
        <v>45922</v>
      </c>
      <c r="B434" vm="1265">
        <f ca="1"/>
        <v>45923</v>
      </c>
      <c r="C434" vm="1266">
        <f ca="1"/>
        <v>176.58</v>
      </c>
      <c r="D434" vm="1267">
        <f ca="1"/>
        <v>8350743</v>
      </c>
      <c r="E434">
        <f t="shared" ca="1" si="48"/>
        <v>176.5288888888889</v>
      </c>
      <c r="F434">
        <f t="shared" ca="1" si="49"/>
        <v>176.93950000000001</v>
      </c>
      <c r="G434">
        <f t="shared" ca="1" si="46"/>
        <v>173.14919999999998</v>
      </c>
      <c r="H434">
        <f t="shared" ca="1" si="53"/>
        <v>163.46514851485148</v>
      </c>
      <c r="I434">
        <f t="shared" ca="1" si="50"/>
        <v>1.3222487822286935</v>
      </c>
      <c r="J434">
        <f t="shared" ca="1" si="51"/>
        <v>174.29500243554261</v>
      </c>
      <c r="K434">
        <f t="shared" ca="1" si="52"/>
        <v>179.58399756445741</v>
      </c>
    </row>
    <row r="435" spans="1:11" x14ac:dyDescent="0.25">
      <c r="A435" s="6">
        <f t="shared" ca="1" si="47"/>
        <v>45922</v>
      </c>
      <c r="B435" vm="1268">
        <f ca="1"/>
        <v>45924</v>
      </c>
      <c r="C435" vm="1269">
        <f ca="1"/>
        <v>176.69</v>
      </c>
      <c r="D435" vm="1270">
        <f ca="1"/>
        <v>6676770</v>
      </c>
      <c r="E435">
        <f t="shared" ca="1" si="48"/>
        <v>176.32777777777778</v>
      </c>
      <c r="F435">
        <f t="shared" ca="1" si="49"/>
        <v>176.9495</v>
      </c>
      <c r="G435">
        <f t="shared" ca="1" si="46"/>
        <v>173.5796</v>
      </c>
      <c r="H435">
        <f t="shared" ca="1" si="53"/>
        <v>163.66693069306928</v>
      </c>
      <c r="I435">
        <f t="shared" ca="1" si="50"/>
        <v>1.3194236181797439</v>
      </c>
      <c r="J435">
        <f t="shared" ca="1" si="51"/>
        <v>174.31065276364052</v>
      </c>
      <c r="K435">
        <f t="shared" ca="1" si="52"/>
        <v>179.58834723635948</v>
      </c>
    </row>
    <row r="436" spans="1:11" x14ac:dyDescent="0.25">
      <c r="A436" s="6">
        <f t="shared" ca="1" si="47"/>
        <v>45922</v>
      </c>
      <c r="B436" vm="1271">
        <f ca="1"/>
        <v>45925</v>
      </c>
      <c r="C436" vm="1272">
        <f ca="1"/>
        <v>177.73</v>
      </c>
      <c r="D436" vm="1273">
        <f ca="1"/>
        <v>8474975</v>
      </c>
      <c r="E436">
        <f t="shared" ca="1" si="48"/>
        <v>176.29111111111109</v>
      </c>
      <c r="F436">
        <f t="shared" ca="1" si="49"/>
        <v>176.9965</v>
      </c>
      <c r="G436">
        <f t="shared" ref="G436:G499" ca="1" si="54">AVERAGE(C387:C436)</f>
        <v>173.83860000000001</v>
      </c>
      <c r="H436">
        <f t="shared" ca="1" si="53"/>
        <v>163.89732673267324</v>
      </c>
      <c r="I436">
        <f t="shared" ca="1" si="50"/>
        <v>1.3301415634989262</v>
      </c>
      <c r="J436">
        <f t="shared" ca="1" si="51"/>
        <v>174.33621687300214</v>
      </c>
      <c r="K436">
        <f t="shared" ca="1" si="52"/>
        <v>179.65678312699785</v>
      </c>
    </row>
    <row r="437" spans="1:11" x14ac:dyDescent="0.25">
      <c r="A437" s="6">
        <f t="shared" ca="1" si="47"/>
        <v>45922</v>
      </c>
      <c r="B437" vm="1274">
        <f ca="1"/>
        <v>45926</v>
      </c>
      <c r="C437" vm="1275">
        <f ca="1"/>
        <v>179.71</v>
      </c>
      <c r="D437" vm="1276">
        <f ca="1"/>
        <v>8634403</v>
      </c>
      <c r="E437">
        <f t="shared" ca="1" si="48"/>
        <v>176.54777777777778</v>
      </c>
      <c r="F437">
        <f t="shared" ca="1" si="49"/>
        <v>177.20949999999999</v>
      </c>
      <c r="G437">
        <f t="shared" ca="1" si="54"/>
        <v>174.17320000000001</v>
      </c>
      <c r="H437">
        <f t="shared" ca="1" si="53"/>
        <v>164.1308910891089</v>
      </c>
      <c r="I437">
        <f t="shared" ca="1" si="50"/>
        <v>1.4082519025560134</v>
      </c>
      <c r="J437">
        <f t="shared" ca="1" si="51"/>
        <v>174.39299619488796</v>
      </c>
      <c r="K437">
        <f t="shared" ca="1" si="52"/>
        <v>180.02600380511203</v>
      </c>
    </row>
    <row r="438" spans="1:11" x14ac:dyDescent="0.25">
      <c r="A438" s="6">
        <f t="shared" ca="1" si="47"/>
        <v>45929</v>
      </c>
      <c r="B438" vm="1277">
        <f ca="1"/>
        <v>45929</v>
      </c>
      <c r="C438" vm="1278">
        <f ca="1"/>
        <v>181.62</v>
      </c>
      <c r="D438" vm="1279">
        <f ca="1"/>
        <v>8597083</v>
      </c>
      <c r="E438">
        <f t="shared" ca="1" si="48"/>
        <v>177.12111111111113</v>
      </c>
      <c r="F438">
        <f t="shared" ca="1" si="49"/>
        <v>177.43199999999999</v>
      </c>
      <c r="G438">
        <f t="shared" ca="1" si="54"/>
        <v>174.5316</v>
      </c>
      <c r="H438">
        <f t="shared" ca="1" si="53"/>
        <v>164.39445544554451</v>
      </c>
      <c r="I438">
        <f t="shared" ca="1" si="50"/>
        <v>1.7189519450739994</v>
      </c>
      <c r="J438">
        <f t="shared" ca="1" si="51"/>
        <v>173.99409610985199</v>
      </c>
      <c r="K438">
        <f t="shared" ca="1" si="52"/>
        <v>180.86990389014798</v>
      </c>
    </row>
    <row r="439" spans="1:11" x14ac:dyDescent="0.25">
      <c r="A439" s="6">
        <f t="shared" ca="1" si="47"/>
        <v>45929</v>
      </c>
      <c r="B439" vm="1280">
        <f ca="1"/>
        <v>45930</v>
      </c>
      <c r="C439" vm="1281">
        <f ca="1"/>
        <v>185.42</v>
      </c>
      <c r="D439" vm="1282">
        <f ca="1"/>
        <v>11569019</v>
      </c>
      <c r="E439">
        <f t="shared" ca="1" si="48"/>
        <v>178.03444444444449</v>
      </c>
      <c r="F439">
        <f t="shared" ca="1" si="49"/>
        <v>177.8</v>
      </c>
      <c r="G439">
        <f t="shared" ca="1" si="54"/>
        <v>174.9528</v>
      </c>
      <c r="H439">
        <f t="shared" ca="1" si="53"/>
        <v>164.70089108910884</v>
      </c>
      <c r="I439">
        <f t="shared" ca="1" si="50"/>
        <v>2.479881151651381</v>
      </c>
      <c r="J439">
        <f t="shared" ca="1" si="51"/>
        <v>172.84023769669724</v>
      </c>
      <c r="K439">
        <f t="shared" ca="1" si="52"/>
        <v>182.75976230330278</v>
      </c>
    </row>
    <row r="440" spans="1:11" x14ac:dyDescent="0.25">
      <c r="A440" s="6">
        <f t="shared" ca="1" si="47"/>
        <v>45929</v>
      </c>
      <c r="B440" vm="1283">
        <f ca="1"/>
        <v>45931</v>
      </c>
      <c r="C440" vm="1284">
        <f ca="1"/>
        <v>186.05</v>
      </c>
      <c r="D440" vm="1285">
        <f ca="1"/>
        <v>13063788</v>
      </c>
      <c r="E440">
        <f t="shared" ca="1" si="48"/>
        <v>179.35555555555555</v>
      </c>
      <c r="F440">
        <f t="shared" ca="1" si="49"/>
        <v>178.20250000000001</v>
      </c>
      <c r="G440">
        <f t="shared" ca="1" si="54"/>
        <v>175.31519999999998</v>
      </c>
      <c r="H440">
        <f t="shared" ca="1" si="53"/>
        <v>164.98554455445537</v>
      </c>
      <c r="I440">
        <f t="shared" ca="1" si="50"/>
        <v>3.0918294277864549</v>
      </c>
      <c r="J440">
        <f t="shared" ca="1" si="51"/>
        <v>172.01884114442711</v>
      </c>
      <c r="K440">
        <f t="shared" ca="1" si="52"/>
        <v>184.38615885557292</v>
      </c>
    </row>
    <row r="441" spans="1:11" x14ac:dyDescent="0.25">
      <c r="A441" s="6">
        <f t="shared" ca="1" si="47"/>
        <v>45929</v>
      </c>
      <c r="B441" vm="1286">
        <f ca="1"/>
        <v>45932</v>
      </c>
      <c r="C441" vm="1287">
        <f ca="1"/>
        <v>185.98</v>
      </c>
      <c r="D441" vm="1288">
        <f ca="1"/>
        <v>7728069</v>
      </c>
      <c r="E441">
        <f t="shared" ca="1" si="48"/>
        <v>180.44333333333333</v>
      </c>
      <c r="F441">
        <f t="shared" ca="1" si="49"/>
        <v>178.56350000000003</v>
      </c>
      <c r="G441">
        <f t="shared" ca="1" si="54"/>
        <v>175.65279999999996</v>
      </c>
      <c r="H441">
        <f t="shared" ca="1" si="53"/>
        <v>165.2857425742574</v>
      </c>
      <c r="I441">
        <f t="shared" ca="1" si="50"/>
        <v>3.5481726579362376</v>
      </c>
      <c r="J441">
        <f t="shared" ca="1" si="51"/>
        <v>171.46715468412756</v>
      </c>
      <c r="K441">
        <f t="shared" ca="1" si="52"/>
        <v>185.6598453158725</v>
      </c>
    </row>
    <row r="442" spans="1:11" x14ac:dyDescent="0.25">
      <c r="A442" s="6">
        <f t="shared" ca="1" si="47"/>
        <v>45929</v>
      </c>
      <c r="B442" vm="1289">
        <f ca="1"/>
        <v>45933</v>
      </c>
      <c r="C442" vm="1290">
        <f ca="1"/>
        <v>188.64</v>
      </c>
      <c r="D442" vm="1291">
        <f ca="1"/>
        <v>8675087</v>
      </c>
      <c r="E442">
        <f t="shared" ca="1" si="48"/>
        <v>182.04666666666668</v>
      </c>
      <c r="F442">
        <f t="shared" ca="1" si="49"/>
        <v>179.07400000000001</v>
      </c>
      <c r="G442">
        <f t="shared" ca="1" si="54"/>
        <v>176.03439999999995</v>
      </c>
      <c r="H442">
        <f t="shared" ca="1" si="53"/>
        <v>165.62653465346534</v>
      </c>
      <c r="I442">
        <f t="shared" ca="1" si="50"/>
        <v>4.2021728715160256</v>
      </c>
      <c r="J442">
        <f t="shared" ca="1" si="51"/>
        <v>170.66965425696796</v>
      </c>
      <c r="K442">
        <f t="shared" ca="1" si="52"/>
        <v>187.47834574303207</v>
      </c>
    </row>
    <row r="443" spans="1:11" x14ac:dyDescent="0.25">
      <c r="A443" s="6">
        <f t="shared" ca="1" si="47"/>
        <v>45936</v>
      </c>
      <c r="B443" vm="1292">
        <f ca="1"/>
        <v>45936</v>
      </c>
      <c r="C443" vm="1293">
        <f ca="1"/>
        <v>188.16</v>
      </c>
      <c r="D443" vm="1294">
        <f ca="1"/>
        <v>5806089</v>
      </c>
      <c r="E443">
        <f t="shared" ca="1" si="48"/>
        <v>183.33333333333337</v>
      </c>
      <c r="F443">
        <f t="shared" ca="1" si="49"/>
        <v>179.57549999999998</v>
      </c>
      <c r="G443">
        <f t="shared" ca="1" si="54"/>
        <v>176.43159999999997</v>
      </c>
      <c r="H443">
        <f t="shared" ca="1" si="53"/>
        <v>165.96336633663367</v>
      </c>
      <c r="I443">
        <f t="shared" ca="1" si="50"/>
        <v>4.6574281077594044</v>
      </c>
      <c r="J443">
        <f t="shared" ca="1" si="51"/>
        <v>170.26064378448118</v>
      </c>
      <c r="K443">
        <f t="shared" ca="1" si="52"/>
        <v>188.89035621551878</v>
      </c>
    </row>
    <row r="444" spans="1:11" x14ac:dyDescent="0.25">
      <c r="A444" s="6">
        <f t="shared" ca="1" si="47"/>
        <v>45936</v>
      </c>
      <c r="B444" vm="1295">
        <f ca="1"/>
        <v>45937</v>
      </c>
      <c r="C444" vm="1296">
        <f ca="1"/>
        <v>188.89</v>
      </c>
      <c r="D444" vm="1297">
        <f ca="1"/>
        <v>8776784</v>
      </c>
      <c r="E444">
        <f t="shared" ca="1" si="48"/>
        <v>184.68888888888893</v>
      </c>
      <c r="F444">
        <f t="shared" ca="1" si="49"/>
        <v>180.17199999999997</v>
      </c>
      <c r="G444">
        <f t="shared" ca="1" si="54"/>
        <v>176.88499999999996</v>
      </c>
      <c r="H444">
        <f t="shared" ca="1" si="53"/>
        <v>166.36386138613858</v>
      </c>
      <c r="I444">
        <f t="shared" ca="1" si="50"/>
        <v>5.0520653410784666</v>
      </c>
      <c r="J444">
        <f t="shared" ca="1" si="51"/>
        <v>170.06786931784305</v>
      </c>
      <c r="K444">
        <f t="shared" ca="1" si="52"/>
        <v>190.27613068215689</v>
      </c>
    </row>
    <row r="445" spans="1:11" x14ac:dyDescent="0.25">
      <c r="A445" s="6">
        <f t="shared" ca="1" si="47"/>
        <v>45936</v>
      </c>
      <c r="B445" vm="1298">
        <f ca="1"/>
        <v>45938</v>
      </c>
      <c r="C445" vm="1299">
        <f ca="1"/>
        <v>189.69</v>
      </c>
      <c r="D445" vm="1300">
        <f ca="1"/>
        <v>5751163</v>
      </c>
      <c r="E445">
        <f t="shared" ca="1" si="48"/>
        <v>186.01777777777781</v>
      </c>
      <c r="F445">
        <f t="shared" ca="1" si="49"/>
        <v>180.86700000000002</v>
      </c>
      <c r="G445">
        <f t="shared" ca="1" si="54"/>
        <v>177.31659999999997</v>
      </c>
      <c r="H445">
        <f t="shared" ca="1" si="53"/>
        <v>166.79287128712869</v>
      </c>
      <c r="I445">
        <f t="shared" ca="1" si="50"/>
        <v>5.3639823187431777</v>
      </c>
      <c r="J445">
        <f t="shared" ca="1" si="51"/>
        <v>170.13903536251365</v>
      </c>
      <c r="K445">
        <f t="shared" ca="1" si="52"/>
        <v>191.59496463748638</v>
      </c>
    </row>
    <row r="446" spans="1:11" x14ac:dyDescent="0.25">
      <c r="A446" s="6">
        <f t="shared" ca="1" si="47"/>
        <v>45936</v>
      </c>
      <c r="B446" vm="1301">
        <f ca="1"/>
        <v>45939</v>
      </c>
      <c r="C446" vm="1302">
        <f ca="1"/>
        <v>191.08</v>
      </c>
      <c r="D446" vm="1303">
        <f ca="1"/>
        <v>7484764</v>
      </c>
      <c r="E446">
        <f t="shared" ca="1" si="48"/>
        <v>187.28111111111107</v>
      </c>
      <c r="F446">
        <f t="shared" ca="1" si="49"/>
        <v>181.49600000000001</v>
      </c>
      <c r="G446">
        <f t="shared" ca="1" si="54"/>
        <v>177.79300000000001</v>
      </c>
      <c r="H446">
        <f t="shared" ca="1" si="53"/>
        <v>167.20346534653464</v>
      </c>
      <c r="I446">
        <f t="shared" ca="1" si="50"/>
        <v>5.7922983348581054</v>
      </c>
      <c r="J446">
        <f t="shared" ca="1" si="51"/>
        <v>169.9114033302838</v>
      </c>
      <c r="K446">
        <f t="shared" ca="1" si="52"/>
        <v>193.08059666971621</v>
      </c>
    </row>
    <row r="447" spans="1:11" x14ac:dyDescent="0.25">
      <c r="A447" s="6">
        <f t="shared" ca="1" si="47"/>
        <v>45936</v>
      </c>
      <c r="B447" vm="1304">
        <f ca="1"/>
        <v>45940</v>
      </c>
      <c r="C447" vm="1305">
        <f ca="1"/>
        <v>190.72</v>
      </c>
      <c r="D447" vm="1306">
        <f ca="1"/>
        <v>9598019</v>
      </c>
      <c r="E447">
        <f t="shared" ca="1" si="48"/>
        <v>188.29222222222222</v>
      </c>
      <c r="F447">
        <f t="shared" ca="1" si="49"/>
        <v>182.12899999999996</v>
      </c>
      <c r="G447">
        <f t="shared" ca="1" si="54"/>
        <v>178.31259999999995</v>
      </c>
      <c r="H447">
        <f t="shared" ca="1" si="53"/>
        <v>167.59346534653463</v>
      </c>
      <c r="I447">
        <f t="shared" ca="1" si="50"/>
        <v>6.0815769250036471</v>
      </c>
      <c r="J447">
        <f t="shared" ca="1" si="51"/>
        <v>169.96584614999267</v>
      </c>
      <c r="K447">
        <f t="shared" ca="1" si="52"/>
        <v>194.29215385000725</v>
      </c>
    </row>
    <row r="448" spans="1:11" x14ac:dyDescent="0.25">
      <c r="A448" s="6">
        <f t="shared" ca="1" si="47"/>
        <v>45943</v>
      </c>
      <c r="B448" vm="1307">
        <f ca="1"/>
        <v>45943</v>
      </c>
      <c r="C448" vm="1308">
        <f ca="1"/>
        <v>190.9</v>
      </c>
      <c r="D448" vm="1309">
        <f ca="1"/>
        <v>7979476</v>
      </c>
      <c r="E448">
        <f t="shared" ca="1" si="48"/>
        <v>188.90111111111111</v>
      </c>
      <c r="F448">
        <f t="shared" ca="1" si="49"/>
        <v>182.804</v>
      </c>
      <c r="G448">
        <f t="shared" ca="1" si="54"/>
        <v>178.78399999999993</v>
      </c>
      <c r="H448">
        <f t="shared" ca="1" si="53"/>
        <v>167.97376237623766</v>
      </c>
      <c r="I448">
        <f t="shared" ca="1" si="50"/>
        <v>6.2751828658613595</v>
      </c>
      <c r="J448">
        <f t="shared" ca="1" si="51"/>
        <v>170.2536342682773</v>
      </c>
      <c r="K448">
        <f t="shared" ca="1" si="52"/>
        <v>195.35436573172271</v>
      </c>
    </row>
    <row r="449" spans="1:11" x14ac:dyDescent="0.25">
      <c r="A449" s="6">
        <f t="shared" ca="1" si="47"/>
        <v>45943</v>
      </c>
      <c r="B449" vm="1310">
        <f ca="1"/>
        <v>45944</v>
      </c>
      <c r="C449" vm="1311">
        <f ca="1"/>
        <v>190.85</v>
      </c>
      <c r="D449" vm="1312">
        <f ca="1"/>
        <v>13613340</v>
      </c>
      <c r="E449">
        <f t="shared" ca="1" si="48"/>
        <v>189.43444444444444</v>
      </c>
      <c r="F449">
        <f t="shared" ca="1" si="49"/>
        <v>183.52349999999996</v>
      </c>
      <c r="G449">
        <f t="shared" ca="1" si="54"/>
        <v>179.18019999999993</v>
      </c>
      <c r="H449">
        <f t="shared" ca="1" si="53"/>
        <v>168.3419801980198</v>
      </c>
      <c r="I449">
        <f t="shared" ca="1" si="50"/>
        <v>6.3341956453589425</v>
      </c>
      <c r="J449">
        <f t="shared" ca="1" si="51"/>
        <v>170.85510870928206</v>
      </c>
      <c r="K449">
        <f t="shared" ca="1" si="52"/>
        <v>196.19189129071785</v>
      </c>
    </row>
    <row r="450" spans="1:11" x14ac:dyDescent="0.25">
      <c r="A450" s="6">
        <f t="shared" ca="1" si="47"/>
        <v>45943</v>
      </c>
      <c r="B450" vm="1313">
        <f ca="1"/>
        <v>45945</v>
      </c>
      <c r="C450" vm="1314">
        <f ca="1"/>
        <v>191.17</v>
      </c>
      <c r="D450" vm="1315">
        <f ca="1"/>
        <v>9472995</v>
      </c>
      <c r="E450">
        <f t="shared" ca="1" si="48"/>
        <v>190.01111111111109</v>
      </c>
      <c r="F450">
        <f t="shared" ca="1" si="49"/>
        <v>184.22200000000001</v>
      </c>
      <c r="G450">
        <f t="shared" ca="1" si="54"/>
        <v>179.58879999999994</v>
      </c>
      <c r="H450">
        <f t="shared" ca="1" si="53"/>
        <v>168.71811881188114</v>
      </c>
      <c r="I450">
        <f t="shared" ca="1" si="50"/>
        <v>6.3703380064004014</v>
      </c>
      <c r="J450">
        <f t="shared" ca="1" si="51"/>
        <v>171.4813239871992</v>
      </c>
      <c r="K450">
        <f t="shared" ca="1" si="52"/>
        <v>196.96267601280081</v>
      </c>
    </row>
    <row r="451" spans="1:11" x14ac:dyDescent="0.25">
      <c r="A451" s="6">
        <f t="shared" ref="A451:A514" ca="1" si="55">B451 - WEEKDAY(B451, 2) + 1</f>
        <v>45943</v>
      </c>
      <c r="B451" vm="1316">
        <f ca="1"/>
        <v>45946</v>
      </c>
      <c r="C451" vm="1317">
        <f ca="1"/>
        <v>192.12</v>
      </c>
      <c r="D451" vm="1318">
        <f ca="1"/>
        <v>10611760</v>
      </c>
      <c r="E451">
        <f t="shared" ca="1" si="48"/>
        <v>190.39777777777778</v>
      </c>
      <c r="F451">
        <f t="shared" ca="1" si="49"/>
        <v>185.11999999999998</v>
      </c>
      <c r="G451">
        <f t="shared" ca="1" si="54"/>
        <v>180.01939999999999</v>
      </c>
      <c r="H451">
        <f t="shared" ca="1" si="53"/>
        <v>169.10930693069301</v>
      </c>
      <c r="I451">
        <f t="shared" ca="1" si="50"/>
        <v>6.1389584235695693</v>
      </c>
      <c r="J451">
        <f t="shared" ca="1" si="51"/>
        <v>172.84208315286082</v>
      </c>
      <c r="K451">
        <f t="shared" ca="1" si="52"/>
        <v>197.39791684713913</v>
      </c>
    </row>
    <row r="452" spans="1:11" x14ac:dyDescent="0.25">
      <c r="A452" s="6">
        <f t="shared" ca="1" si="55"/>
        <v>45943</v>
      </c>
      <c r="B452" vm="1319">
        <f ca="1"/>
        <v>45947</v>
      </c>
      <c r="C452" vm="1320">
        <f ca="1"/>
        <v>193.22</v>
      </c>
      <c r="D452" vm="1321">
        <f ca="1"/>
        <v>7764449</v>
      </c>
      <c r="E452">
        <f t="shared" ca="1" si="48"/>
        <v>190.96</v>
      </c>
      <c r="F452">
        <f t="shared" ca="1" si="49"/>
        <v>185.97149999999999</v>
      </c>
      <c r="G452">
        <f t="shared" ca="1" si="54"/>
        <v>180.45320000000001</v>
      </c>
      <c r="H452">
        <f t="shared" ca="1" si="53"/>
        <v>169.5081188118811</v>
      </c>
      <c r="I452">
        <f t="shared" ca="1" si="50"/>
        <v>6.0149526620178619</v>
      </c>
      <c r="J452">
        <f t="shared" ca="1" si="51"/>
        <v>173.94159467596427</v>
      </c>
      <c r="K452">
        <f t="shared" ca="1" si="52"/>
        <v>198.00140532403572</v>
      </c>
    </row>
    <row r="453" spans="1:11" x14ac:dyDescent="0.25">
      <c r="A453" s="6">
        <f t="shared" ca="1" si="55"/>
        <v>45950</v>
      </c>
      <c r="B453" vm="1322">
        <f ca="1"/>
        <v>45950</v>
      </c>
      <c r="C453" vm="1323">
        <f ca="1"/>
        <v>193.72</v>
      </c>
      <c r="D453" vm="1324">
        <f ca="1"/>
        <v>8034740</v>
      </c>
      <c r="E453">
        <f t="shared" ca="1" si="48"/>
        <v>191.4966666666667</v>
      </c>
      <c r="F453">
        <f t="shared" ca="1" si="49"/>
        <v>186.94699999999997</v>
      </c>
      <c r="G453">
        <f t="shared" ca="1" si="54"/>
        <v>180.86099999999996</v>
      </c>
      <c r="H453">
        <f t="shared" ca="1" si="53"/>
        <v>169.90881188118806</v>
      </c>
      <c r="I453">
        <f t="shared" ca="1" si="50"/>
        <v>5.5729035236769082</v>
      </c>
      <c r="J453">
        <f t="shared" ca="1" si="51"/>
        <v>175.80119295264615</v>
      </c>
      <c r="K453">
        <f t="shared" ca="1" si="52"/>
        <v>198.0928070473538</v>
      </c>
    </row>
    <row r="454" spans="1:11" x14ac:dyDescent="0.25">
      <c r="A454" s="6">
        <f t="shared" ca="1" si="55"/>
        <v>45950</v>
      </c>
      <c r="B454" vm="1325">
        <f ca="1"/>
        <v>45951</v>
      </c>
      <c r="C454" vm="1326">
        <f ca="1"/>
        <v>191.88</v>
      </c>
      <c r="D454" vm="1327">
        <f ca="1"/>
        <v>6716360</v>
      </c>
      <c r="E454">
        <f t="shared" ca="1" si="48"/>
        <v>191.74000000000004</v>
      </c>
      <c r="F454">
        <f t="shared" ca="1" si="49"/>
        <v>187.71199999999999</v>
      </c>
      <c r="G454">
        <f t="shared" ca="1" si="54"/>
        <v>181.22219999999993</v>
      </c>
      <c r="H454">
        <f t="shared" ca="1" si="53"/>
        <v>170.299405940594</v>
      </c>
      <c r="I454">
        <f t="shared" ca="1" si="50"/>
        <v>5.1054311638118337</v>
      </c>
      <c r="J454">
        <f t="shared" ca="1" si="51"/>
        <v>177.50113767237633</v>
      </c>
      <c r="K454">
        <f t="shared" ca="1" si="52"/>
        <v>197.92286232762365</v>
      </c>
    </row>
    <row r="455" spans="1:11" x14ac:dyDescent="0.25">
      <c r="A455" s="6">
        <f t="shared" ca="1" si="55"/>
        <v>45950</v>
      </c>
      <c r="B455" vm="1328">
        <f ca="1"/>
        <v>45952</v>
      </c>
      <c r="C455" vm="1329">
        <f ca="1"/>
        <v>192.94</v>
      </c>
      <c r="D455" vm="1330">
        <f ca="1"/>
        <v>6343472</v>
      </c>
      <c r="E455">
        <f t="shared" ca="1" si="48"/>
        <v>191.94666666666666</v>
      </c>
      <c r="F455">
        <f t="shared" ca="1" si="49"/>
        <v>188.52449999999999</v>
      </c>
      <c r="G455">
        <f t="shared" ca="1" si="54"/>
        <v>181.62539999999993</v>
      </c>
      <c r="H455">
        <f t="shared" ca="1" si="53"/>
        <v>170.68910891089104</v>
      </c>
      <c r="I455">
        <f t="shared" ca="1" si="50"/>
        <v>4.5183106705703047</v>
      </c>
      <c r="J455">
        <f t="shared" ca="1" si="51"/>
        <v>179.48787865885939</v>
      </c>
      <c r="K455">
        <f t="shared" ca="1" si="52"/>
        <v>197.56112134114059</v>
      </c>
    </row>
    <row r="456" spans="1:11" x14ac:dyDescent="0.25">
      <c r="A456" s="6">
        <f t="shared" ca="1" si="55"/>
        <v>45950</v>
      </c>
      <c r="B456" vm="1331">
        <f ca="1"/>
        <v>45953</v>
      </c>
      <c r="C456" vm="1332">
        <f ca="1"/>
        <v>192.47</v>
      </c>
      <c r="D456" vm="1333">
        <f ca="1"/>
        <v>8882491</v>
      </c>
      <c r="E456">
        <f t="shared" ca="1" si="48"/>
        <v>192.14111111111114</v>
      </c>
      <c r="F456">
        <f t="shared" ca="1" si="49"/>
        <v>189.26149999999998</v>
      </c>
      <c r="G456">
        <f t="shared" ca="1" si="54"/>
        <v>181.98639999999995</v>
      </c>
      <c r="H456">
        <f t="shared" ca="1" si="53"/>
        <v>171.05801980198018</v>
      </c>
      <c r="I456">
        <f t="shared" ca="1" si="50"/>
        <v>3.8118227094686659</v>
      </c>
      <c r="J456">
        <f t="shared" ca="1" si="51"/>
        <v>181.63785458106264</v>
      </c>
      <c r="K456">
        <f t="shared" ca="1" si="52"/>
        <v>196.88514541893733</v>
      </c>
    </row>
    <row r="457" spans="1:11" x14ac:dyDescent="0.25">
      <c r="A457" s="6">
        <f t="shared" ca="1" si="55"/>
        <v>45950</v>
      </c>
      <c r="B457" vm="1334">
        <f ca="1"/>
        <v>45954</v>
      </c>
      <c r="C457" vm="1335">
        <f ca="1"/>
        <v>190.4</v>
      </c>
      <c r="D457" vm="1336">
        <f ca="1"/>
        <v>6903379</v>
      </c>
      <c r="E457">
        <f t="shared" ca="1" si="48"/>
        <v>192.08555555555557</v>
      </c>
      <c r="F457">
        <f t="shared" ca="1" si="49"/>
        <v>189.79599999999996</v>
      </c>
      <c r="G457">
        <f t="shared" ca="1" si="54"/>
        <v>182.29999999999995</v>
      </c>
      <c r="H457">
        <f t="shared" ca="1" si="53"/>
        <v>171.40455445544552</v>
      </c>
      <c r="I457">
        <f t="shared" ca="1" si="50"/>
        <v>3.0815331112596334</v>
      </c>
      <c r="J457">
        <f t="shared" ca="1" si="51"/>
        <v>183.6329337774807</v>
      </c>
      <c r="K457">
        <f t="shared" ca="1" si="52"/>
        <v>195.95906622251923</v>
      </c>
    </row>
    <row r="458" spans="1:11" x14ac:dyDescent="0.25">
      <c r="A458" s="6">
        <f t="shared" ca="1" si="55"/>
        <v>45957</v>
      </c>
      <c r="B458" vm="1337">
        <f ca="1"/>
        <v>45957</v>
      </c>
      <c r="C458" vm="1338">
        <f ca="1"/>
        <v>190.3</v>
      </c>
      <c r="D458" vm="1339">
        <f ca="1"/>
        <v>7125956</v>
      </c>
      <c r="E458">
        <f t="shared" ca="1" si="48"/>
        <v>192.02444444444444</v>
      </c>
      <c r="F458">
        <f t="shared" ca="1" si="49"/>
        <v>190.23</v>
      </c>
      <c r="G458">
        <f t="shared" ca="1" si="54"/>
        <v>182.57319999999996</v>
      </c>
      <c r="H458">
        <f t="shared" ca="1" si="53"/>
        <v>171.75980198019801</v>
      </c>
      <c r="I458">
        <f t="shared" ca="1" si="50"/>
        <v>2.406799578387516</v>
      </c>
      <c r="J458">
        <f t="shared" ca="1" si="51"/>
        <v>185.41640084322495</v>
      </c>
      <c r="K458">
        <f t="shared" ca="1" si="52"/>
        <v>195.04359915677503</v>
      </c>
    </row>
    <row r="459" spans="1:11" x14ac:dyDescent="0.25">
      <c r="A459" s="6">
        <f t="shared" ca="1" si="55"/>
        <v>45957</v>
      </c>
      <c r="B459" vm="1340">
        <f ca="1"/>
        <v>45958</v>
      </c>
      <c r="C459" vm="1341">
        <f ca="1"/>
        <v>186.93</v>
      </c>
      <c r="D459" vm="1342">
        <f ca="1"/>
        <v>8329457</v>
      </c>
      <c r="E459">
        <f t="shared" ref="E459:E522" ca="1" si="56">AVERAGE(C451:C459)</f>
        <v>191.55333333333337</v>
      </c>
      <c r="F459">
        <f t="shared" ca="1" si="49"/>
        <v>190.30549999999997</v>
      </c>
      <c r="G459">
        <f t="shared" ca="1" si="54"/>
        <v>182.78679999999997</v>
      </c>
      <c r="H459">
        <f t="shared" ca="1" si="53"/>
        <v>172.09356435643562</v>
      </c>
      <c r="I459">
        <f t="shared" ca="1" si="50"/>
        <v>2.2676314445740631</v>
      </c>
      <c r="J459">
        <f t="shared" ca="1" si="51"/>
        <v>185.77023711085184</v>
      </c>
      <c r="K459">
        <f t="shared" ca="1" si="52"/>
        <v>194.8407628891481</v>
      </c>
    </row>
    <row r="460" spans="1:11" x14ac:dyDescent="0.25">
      <c r="A460" s="6">
        <f t="shared" ca="1" si="55"/>
        <v>45957</v>
      </c>
      <c r="B460" vm="1343">
        <f ca="1"/>
        <v>45959</v>
      </c>
      <c r="C460" vm="1344">
        <f ca="1"/>
        <v>186.6</v>
      </c>
      <c r="D460" vm="1345">
        <f ca="1"/>
        <v>10551079</v>
      </c>
      <c r="E460">
        <f t="shared" ca="1" si="56"/>
        <v>190.94</v>
      </c>
      <c r="F460">
        <f t="shared" ca="1" si="49"/>
        <v>190.33299999999997</v>
      </c>
      <c r="G460">
        <f t="shared" ca="1" si="54"/>
        <v>182.96279999999999</v>
      </c>
      <c r="H460">
        <f t="shared" ca="1" si="53"/>
        <v>172.41970297029698</v>
      </c>
      <c r="I460">
        <f t="shared" ca="1" si="50"/>
        <v>2.2160564784746533</v>
      </c>
      <c r="J460">
        <f t="shared" ca="1" si="51"/>
        <v>185.90088704305066</v>
      </c>
      <c r="K460">
        <f t="shared" ca="1" si="52"/>
        <v>194.76511295694928</v>
      </c>
    </row>
    <row r="461" spans="1:11" x14ac:dyDescent="0.25">
      <c r="A461" s="6">
        <f t="shared" ca="1" si="55"/>
        <v>45957</v>
      </c>
      <c r="B461" vm="1346">
        <f ca="1"/>
        <v>45960</v>
      </c>
      <c r="C461" vm="1347">
        <f ca="1"/>
        <v>189.05</v>
      </c>
      <c r="D461" vm="1348">
        <f ca="1"/>
        <v>7072517</v>
      </c>
      <c r="E461">
        <f t="shared" ca="1" si="56"/>
        <v>190.47666666666666</v>
      </c>
      <c r="F461">
        <f t="shared" ca="1" si="49"/>
        <v>190.48649999999998</v>
      </c>
      <c r="G461">
        <f t="shared" ca="1" si="54"/>
        <v>183.16699999999997</v>
      </c>
      <c r="H461">
        <f t="shared" ca="1" si="53"/>
        <v>172.75653465346531</v>
      </c>
      <c r="I461">
        <f t="shared" ca="1" si="50"/>
        <v>1.9938517999089105</v>
      </c>
      <c r="J461">
        <f t="shared" ca="1" si="51"/>
        <v>186.49879640018216</v>
      </c>
      <c r="K461">
        <f t="shared" ca="1" si="52"/>
        <v>194.4742035998178</v>
      </c>
    </row>
    <row r="462" spans="1:11" x14ac:dyDescent="0.25">
      <c r="A462" s="6">
        <f t="shared" ca="1" si="55"/>
        <v>45957</v>
      </c>
      <c r="B462" vm="1349">
        <f ca="1"/>
        <v>45961</v>
      </c>
      <c r="C462" vm="1350">
        <f ca="1"/>
        <v>188.87</v>
      </c>
      <c r="D462" vm="1351">
        <f ca="1"/>
        <v>8791666</v>
      </c>
      <c r="E462">
        <f t="shared" ca="1" si="56"/>
        <v>189.9377777777778</v>
      </c>
      <c r="F462">
        <f t="shared" ca="1" si="49"/>
        <v>190.49799999999999</v>
      </c>
      <c r="G462">
        <f t="shared" ca="1" si="54"/>
        <v>183.36580000000001</v>
      </c>
      <c r="H462">
        <f t="shared" ca="1" si="53"/>
        <v>173.089603960396</v>
      </c>
      <c r="I462">
        <f t="shared" ca="1" si="50"/>
        <v>1.9832763960572652</v>
      </c>
      <c r="J462">
        <f t="shared" ca="1" si="51"/>
        <v>186.53144720788546</v>
      </c>
      <c r="K462">
        <f t="shared" ca="1" si="52"/>
        <v>194.46455279211452</v>
      </c>
    </row>
    <row r="463" spans="1:11" x14ac:dyDescent="0.25">
      <c r="A463" s="6">
        <f t="shared" ca="1" si="55"/>
        <v>45964</v>
      </c>
      <c r="B463" vm="1352">
        <f ca="1"/>
        <v>45964</v>
      </c>
      <c r="C463" vm="1353">
        <f ca="1"/>
        <v>186.26</v>
      </c>
      <c r="D463" vm="1354">
        <f ca="1"/>
        <v>7542636</v>
      </c>
      <c r="E463">
        <f t="shared" ca="1" si="56"/>
        <v>189.31333333333333</v>
      </c>
      <c r="F463">
        <f t="shared" ca="1" si="49"/>
        <v>190.40300000000002</v>
      </c>
      <c r="G463">
        <f t="shared" ca="1" si="54"/>
        <v>183.5052</v>
      </c>
      <c r="H463">
        <f t="shared" ca="1" si="53"/>
        <v>173.38475247524747</v>
      </c>
      <c r="I463">
        <f t="shared" ca="1" si="50"/>
        <v>2.1404404367227547</v>
      </c>
      <c r="J463">
        <f t="shared" ca="1" si="51"/>
        <v>186.12211912655451</v>
      </c>
      <c r="K463">
        <f t="shared" ca="1" si="52"/>
        <v>194.68388087344553</v>
      </c>
    </row>
    <row r="464" spans="1:11" x14ac:dyDescent="0.25">
      <c r="A464" s="6">
        <f t="shared" ca="1" si="55"/>
        <v>45964</v>
      </c>
      <c r="B464" vm="1355">
        <f ca="1"/>
        <v>45965</v>
      </c>
      <c r="C464" vm="1356">
        <f ca="1"/>
        <v>186.86</v>
      </c>
      <c r="D464" vm="1357">
        <f ca="1"/>
        <v>7209395</v>
      </c>
      <c r="E464">
        <f t="shared" ca="1" si="56"/>
        <v>188.63777777777781</v>
      </c>
      <c r="F464">
        <f t="shared" ca="1" si="49"/>
        <v>190.3015</v>
      </c>
      <c r="G464">
        <f t="shared" ca="1" si="54"/>
        <v>183.67420000000001</v>
      </c>
      <c r="H464">
        <f t="shared" ca="1" si="53"/>
        <v>173.69762376237617</v>
      </c>
      <c r="I464">
        <f t="shared" ca="1" si="50"/>
        <v>2.2607154782688168</v>
      </c>
      <c r="J464">
        <f t="shared" ca="1" si="51"/>
        <v>185.78006904346236</v>
      </c>
      <c r="K464">
        <f t="shared" ca="1" si="52"/>
        <v>194.82293095653765</v>
      </c>
    </row>
    <row r="465" spans="1:11" x14ac:dyDescent="0.25">
      <c r="A465" s="6">
        <f t="shared" ca="1" si="55"/>
        <v>45964</v>
      </c>
      <c r="B465" vm="1358">
        <f ca="1"/>
        <v>45966</v>
      </c>
      <c r="C465" vm="1359">
        <f ca="1"/>
        <v>186</v>
      </c>
      <c r="D465" vm="1360">
        <f ca="1"/>
        <v>5049443</v>
      </c>
      <c r="E465">
        <f t="shared" ca="1" si="56"/>
        <v>187.91888888888889</v>
      </c>
      <c r="F465">
        <f t="shared" ca="1" si="49"/>
        <v>190.11700000000002</v>
      </c>
      <c r="G465">
        <f t="shared" ca="1" si="54"/>
        <v>183.86440000000002</v>
      </c>
      <c r="H465">
        <f t="shared" ca="1" si="53"/>
        <v>173.98811881188112</v>
      </c>
      <c r="I465">
        <f t="shared" ca="1" si="50"/>
        <v>2.4554345740354022</v>
      </c>
      <c r="J465">
        <f t="shared" ca="1" si="51"/>
        <v>185.2061308519292</v>
      </c>
      <c r="K465">
        <f t="shared" ca="1" si="52"/>
        <v>195.02786914807083</v>
      </c>
    </row>
    <row r="466" spans="1:11" x14ac:dyDescent="0.25">
      <c r="A466" s="6">
        <f t="shared" ca="1" si="55"/>
        <v>45964</v>
      </c>
      <c r="B466" vm="1361">
        <f ca="1"/>
        <v>45967</v>
      </c>
      <c r="C466" vm="1362">
        <f ca="1"/>
        <v>186.97</v>
      </c>
      <c r="D466" vm="1363">
        <f ca="1"/>
        <v>6767417</v>
      </c>
      <c r="E466">
        <f t="shared" ca="1" si="56"/>
        <v>187.53777777777782</v>
      </c>
      <c r="F466">
        <f t="shared" ca="1" si="49"/>
        <v>189.91149999999999</v>
      </c>
      <c r="G466">
        <f t="shared" ca="1" si="54"/>
        <v>184.06800000000004</v>
      </c>
      <c r="H466">
        <f t="shared" ca="1" si="53"/>
        <v>174.28386138613857</v>
      </c>
      <c r="I466">
        <f t="shared" ca="1" si="50"/>
        <v>2.5410902653865133</v>
      </c>
      <c r="J466">
        <f t="shared" ca="1" si="51"/>
        <v>184.82931946922696</v>
      </c>
      <c r="K466">
        <f t="shared" ca="1" si="52"/>
        <v>194.99368053077302</v>
      </c>
    </row>
    <row r="467" spans="1:11" x14ac:dyDescent="0.25">
      <c r="A467" s="6">
        <f t="shared" ca="1" si="55"/>
        <v>45964</v>
      </c>
      <c r="B467" vm="1364">
        <f ca="1"/>
        <v>45968</v>
      </c>
      <c r="C467" vm="1365">
        <f ca="1"/>
        <v>186.57</v>
      </c>
      <c r="D467" vm="1366">
        <f ca="1"/>
        <v>6959209</v>
      </c>
      <c r="E467">
        <f t="shared" ca="1" si="56"/>
        <v>187.12333333333333</v>
      </c>
      <c r="F467">
        <f t="shared" ca="1" si="49"/>
        <v>189.70400000000001</v>
      </c>
      <c r="G467">
        <f t="shared" ca="1" si="54"/>
        <v>184.29040000000001</v>
      </c>
      <c r="H467">
        <f t="shared" ca="1" si="53"/>
        <v>174.59425742574251</v>
      </c>
      <c r="I467">
        <f t="shared" ca="1" si="50"/>
        <v>2.6391434017000366</v>
      </c>
      <c r="J467">
        <f t="shared" ca="1" si="51"/>
        <v>184.42571319659993</v>
      </c>
      <c r="K467">
        <f t="shared" ca="1" si="52"/>
        <v>194.98228680340009</v>
      </c>
    </row>
    <row r="468" spans="1:11" x14ac:dyDescent="0.25">
      <c r="A468" s="6">
        <f t="shared" ca="1" si="55"/>
        <v>45971</v>
      </c>
      <c r="B468" vm="1367">
        <f ca="1"/>
        <v>45971</v>
      </c>
      <c r="C468" vm="1368">
        <f ca="1"/>
        <v>188.41</v>
      </c>
      <c r="D468" vm="1369">
        <f ca="1"/>
        <v>5324077</v>
      </c>
      <c r="E468">
        <f t="shared" ca="1" si="56"/>
        <v>187.28777777777776</v>
      </c>
      <c r="F468">
        <f t="shared" ca="1" si="49"/>
        <v>189.5795</v>
      </c>
      <c r="G468">
        <f t="shared" ca="1" si="54"/>
        <v>184.51519999999999</v>
      </c>
      <c r="H468">
        <f t="shared" ca="1" si="53"/>
        <v>174.95099009900983</v>
      </c>
      <c r="I468">
        <f t="shared" ca="1" si="50"/>
        <v>2.6384853609599577</v>
      </c>
      <c r="J468">
        <f t="shared" ca="1" si="51"/>
        <v>184.30252927808007</v>
      </c>
      <c r="K468">
        <f t="shared" ca="1" si="52"/>
        <v>194.85647072191992</v>
      </c>
    </row>
    <row r="469" spans="1:11" x14ac:dyDescent="0.25">
      <c r="A469" s="6">
        <f t="shared" ca="1" si="55"/>
        <v>45971</v>
      </c>
      <c r="B469" vm="1370">
        <f ca="1"/>
        <v>45972</v>
      </c>
      <c r="C469" vm="1371">
        <f ca="1"/>
        <v>193.83</v>
      </c>
      <c r="D469" vm="1372">
        <f ca="1"/>
        <v>7465592</v>
      </c>
      <c r="E469">
        <f t="shared" ca="1" si="56"/>
        <v>188.0911111111111</v>
      </c>
      <c r="F469">
        <f t="shared" ca="1" si="49"/>
        <v>189.7285</v>
      </c>
      <c r="G469">
        <f t="shared" ca="1" si="54"/>
        <v>184.8306</v>
      </c>
      <c r="H469">
        <f t="shared" ca="1" si="53"/>
        <v>175.37772277227717</v>
      </c>
      <c r="I469">
        <f t="shared" ca="1" si="50"/>
        <v>2.7935928102487817</v>
      </c>
      <c r="J469">
        <f t="shared" ca="1" si="51"/>
        <v>184.14131437950243</v>
      </c>
      <c r="K469">
        <f t="shared" ca="1" si="52"/>
        <v>195.31568562049756</v>
      </c>
    </row>
    <row r="470" spans="1:11" x14ac:dyDescent="0.25">
      <c r="A470" s="6">
        <f t="shared" ca="1" si="55"/>
        <v>45971</v>
      </c>
      <c r="B470" vm="1373">
        <f ca="1"/>
        <v>45973</v>
      </c>
      <c r="C470" vm="1374">
        <f ca="1"/>
        <v>194.39</v>
      </c>
      <c r="D470" vm="1375">
        <f ca="1"/>
        <v>8803005</v>
      </c>
      <c r="E470">
        <f t="shared" ca="1" si="56"/>
        <v>188.68444444444444</v>
      </c>
      <c r="F470">
        <f t="shared" ref="F470:F522" ca="1" si="57">AVERAGE(C451:C470)</f>
        <v>189.8895</v>
      </c>
      <c r="G470">
        <f t="shared" ca="1" si="54"/>
        <v>185.15839999999997</v>
      </c>
      <c r="H470">
        <f t="shared" ca="1" si="53"/>
        <v>175.81930693069305</v>
      </c>
      <c r="I470">
        <f t="shared" ref="I470:I522" ca="1" si="58">_xlfn.STDEV.S(C451:C470)</f>
        <v>2.9683620771483774</v>
      </c>
      <c r="J470">
        <f t="shared" ref="J470:J522" ca="1" si="59">F470-2*I470</f>
        <v>183.95277584570323</v>
      </c>
      <c r="K470">
        <f t="shared" ref="K470:K522" ca="1" si="60">F470+2*I470</f>
        <v>195.82622415429677</v>
      </c>
    </row>
    <row r="471" spans="1:11" x14ac:dyDescent="0.25">
      <c r="A471" s="6">
        <f t="shared" ca="1" si="55"/>
        <v>45971</v>
      </c>
      <c r="B471" vm="1376">
        <f ca="1"/>
        <v>45974</v>
      </c>
      <c r="C471" vm="1377">
        <f ca="1"/>
        <v>195.25</v>
      </c>
      <c r="D471" vm="1378">
        <f ca="1"/>
        <v>8631614</v>
      </c>
      <c r="E471">
        <f t="shared" ca="1" si="56"/>
        <v>189.39333333333332</v>
      </c>
      <c r="F471">
        <f t="shared" ca="1" si="57"/>
        <v>190.04599999999999</v>
      </c>
      <c r="G471">
        <f t="shared" ca="1" si="54"/>
        <v>185.48820000000001</v>
      </c>
      <c r="H471">
        <f t="shared" ca="1" si="53"/>
        <v>176.25425742574254</v>
      </c>
      <c r="I471">
        <f t="shared" ca="1" si="58"/>
        <v>3.1679503584627411</v>
      </c>
      <c r="J471">
        <f t="shared" ca="1" si="59"/>
        <v>183.7100992830745</v>
      </c>
      <c r="K471">
        <f t="shared" ca="1" si="60"/>
        <v>196.38190071692549</v>
      </c>
    </row>
    <row r="472" spans="1:11" x14ac:dyDescent="0.25">
      <c r="A472" s="6">
        <f t="shared" ca="1" si="55"/>
        <v>45971</v>
      </c>
      <c r="B472" vm="1379">
        <f ca="1"/>
        <v>45975</v>
      </c>
      <c r="C472" vm="1380">
        <f ca="1"/>
        <v>195.93</v>
      </c>
      <c r="D472" vm="1381">
        <f ca="1"/>
        <v>8824847</v>
      </c>
      <c r="E472">
        <f t="shared" ca="1" si="56"/>
        <v>190.4677777777778</v>
      </c>
      <c r="F472">
        <f t="shared" ca="1" si="57"/>
        <v>190.18149999999997</v>
      </c>
      <c r="G472">
        <f t="shared" ca="1" si="54"/>
        <v>185.83820000000003</v>
      </c>
      <c r="H472">
        <f t="shared" ca="1" si="53"/>
        <v>176.68732673267323</v>
      </c>
      <c r="I472">
        <f t="shared" ca="1" si="58"/>
        <v>3.3628172321495717</v>
      </c>
      <c r="J472">
        <f t="shared" ca="1" si="59"/>
        <v>183.45586553570084</v>
      </c>
      <c r="K472">
        <f t="shared" ca="1" si="60"/>
        <v>196.90713446429911</v>
      </c>
    </row>
    <row r="473" spans="1:11" x14ac:dyDescent="0.25">
      <c r="A473" s="6">
        <f t="shared" ca="1" si="55"/>
        <v>45978</v>
      </c>
      <c r="B473" vm="1382">
        <f ca="1"/>
        <v>45978</v>
      </c>
      <c r="C473" vm="1383">
        <f ca="1"/>
        <v>199.58</v>
      </c>
      <c r="D473" vm="1384">
        <f ca="1"/>
        <v>13256995</v>
      </c>
      <c r="E473">
        <f t="shared" ca="1" si="56"/>
        <v>191.88111111111112</v>
      </c>
      <c r="F473">
        <f t="shared" ca="1" si="57"/>
        <v>190.47449999999998</v>
      </c>
      <c r="G473">
        <f t="shared" ca="1" si="54"/>
        <v>186.2672</v>
      </c>
      <c r="H473">
        <f t="shared" ca="1" si="53"/>
        <v>177.15564356435641</v>
      </c>
      <c r="I473">
        <f t="shared" ca="1" si="58"/>
        <v>3.8997712146119294</v>
      </c>
      <c r="J473">
        <f t="shared" ca="1" si="59"/>
        <v>182.67495757077612</v>
      </c>
      <c r="K473">
        <f t="shared" ca="1" si="60"/>
        <v>198.27404242922384</v>
      </c>
    </row>
    <row r="474" spans="1:11" x14ac:dyDescent="0.25">
      <c r="A474" s="6">
        <f t="shared" ca="1" si="55"/>
        <v>45978</v>
      </c>
      <c r="B474" vm="1385">
        <f ca="1"/>
        <v>45979</v>
      </c>
      <c r="C474" vm="1386">
        <f ca="1"/>
        <v>200</v>
      </c>
      <c r="D474" vm="1387">
        <f ca="1"/>
        <v>12468619</v>
      </c>
      <c r="E474">
        <f t="shared" ca="1" si="56"/>
        <v>193.43666666666667</v>
      </c>
      <c r="F474">
        <f t="shared" ca="1" si="57"/>
        <v>190.88049999999996</v>
      </c>
      <c r="G474">
        <f t="shared" ca="1" si="54"/>
        <v>186.72799999999998</v>
      </c>
      <c r="H474">
        <f t="shared" ca="1" si="53"/>
        <v>177.63079207920788</v>
      </c>
      <c r="I474">
        <f t="shared" ca="1" si="58"/>
        <v>4.439174265321733</v>
      </c>
      <c r="J474">
        <f t="shared" ca="1" si="59"/>
        <v>182.00215146935648</v>
      </c>
      <c r="K474">
        <f t="shared" ca="1" si="60"/>
        <v>199.75884853064343</v>
      </c>
    </row>
    <row r="475" spans="1:11" x14ac:dyDescent="0.25">
      <c r="A475" s="6">
        <f t="shared" ca="1" si="55"/>
        <v>45978</v>
      </c>
      <c r="B475" vm="1388">
        <f ca="1"/>
        <v>45980</v>
      </c>
      <c r="C475" vm="1389">
        <f ca="1"/>
        <v>202.51</v>
      </c>
      <c r="D475" vm="1390">
        <f ca="1"/>
        <v>14690837</v>
      </c>
      <c r="E475">
        <f t="shared" ca="1" si="56"/>
        <v>195.16333333333333</v>
      </c>
      <c r="F475">
        <f t="shared" ca="1" si="57"/>
        <v>191.35899999999998</v>
      </c>
      <c r="G475">
        <f t="shared" ca="1" si="54"/>
        <v>187.26240000000001</v>
      </c>
      <c r="H475">
        <f t="shared" ca="1" si="53"/>
        <v>178.12683168316829</v>
      </c>
      <c r="I475">
        <f t="shared" ca="1" si="58"/>
        <v>5.1342174107698861</v>
      </c>
      <c r="J475">
        <f t="shared" ca="1" si="59"/>
        <v>181.0905651784602</v>
      </c>
      <c r="K475">
        <f t="shared" ca="1" si="60"/>
        <v>201.62743482153977</v>
      </c>
    </row>
    <row r="476" spans="1:11" x14ac:dyDescent="0.25">
      <c r="A476" s="6">
        <f t="shared" ca="1" si="55"/>
        <v>45978</v>
      </c>
      <c r="B476" vm="1391">
        <f ca="1"/>
        <v>45981</v>
      </c>
      <c r="C476" vm="1392">
        <f ca="1"/>
        <v>203.07</v>
      </c>
      <c r="D476" vm="1393">
        <f ca="1"/>
        <v>10612550</v>
      </c>
      <c r="E476">
        <f t="shared" ca="1" si="56"/>
        <v>196.99666666666664</v>
      </c>
      <c r="F476">
        <f t="shared" ca="1" si="57"/>
        <v>191.88899999999995</v>
      </c>
      <c r="G476">
        <f t="shared" ca="1" si="54"/>
        <v>187.75380000000004</v>
      </c>
      <c r="H476">
        <f t="shared" ca="1" si="53"/>
        <v>178.62504950495048</v>
      </c>
      <c r="I476">
        <f t="shared" ca="1" si="58"/>
        <v>5.7634911751746252</v>
      </c>
      <c r="J476">
        <f t="shared" ca="1" si="59"/>
        <v>180.36201764965071</v>
      </c>
      <c r="K476">
        <f t="shared" ca="1" si="60"/>
        <v>203.4159823503492</v>
      </c>
    </row>
    <row r="477" spans="1:11" x14ac:dyDescent="0.25">
      <c r="A477" s="6">
        <f t="shared" ca="1" si="55"/>
        <v>45978</v>
      </c>
      <c r="B477" vm="1394">
        <f ca="1"/>
        <v>45982</v>
      </c>
      <c r="C477" vm="1395">
        <f ca="1"/>
        <v>203.9</v>
      </c>
      <c r="D477" vm="1396">
        <f ca="1"/>
        <v>13189055</v>
      </c>
      <c r="E477">
        <f t="shared" ca="1" si="56"/>
        <v>198.71777777777777</v>
      </c>
      <c r="F477">
        <f t="shared" ca="1" si="57"/>
        <v>192.56399999999999</v>
      </c>
      <c r="G477">
        <f t="shared" ca="1" si="54"/>
        <v>188.2706</v>
      </c>
      <c r="H477">
        <f t="shared" ca="1" si="53"/>
        <v>179.10009900990096</v>
      </c>
      <c r="I477">
        <f t="shared" ca="1" si="58"/>
        <v>6.3414811485878229</v>
      </c>
      <c r="J477">
        <f t="shared" ca="1" si="59"/>
        <v>179.88103770282436</v>
      </c>
      <c r="K477">
        <f t="shared" ca="1" si="60"/>
        <v>205.24696229717563</v>
      </c>
    </row>
    <row r="478" spans="1:11" x14ac:dyDescent="0.25">
      <c r="A478" s="6">
        <f t="shared" ca="1" si="55"/>
        <v>45985</v>
      </c>
      <c r="B478" vm="1397">
        <f ca="1"/>
        <v>45985</v>
      </c>
      <c r="C478" vm="1398">
        <f ca="1"/>
        <v>206.05</v>
      </c>
      <c r="D478" vm="1399">
        <f ca="1"/>
        <v>14803873</v>
      </c>
      <c r="E478">
        <f t="shared" ca="1" si="56"/>
        <v>200.07555555555552</v>
      </c>
      <c r="F478">
        <f t="shared" ca="1" si="57"/>
        <v>193.35149999999999</v>
      </c>
      <c r="G478">
        <f t="shared" ca="1" si="54"/>
        <v>188.84360000000001</v>
      </c>
      <c r="H478">
        <f t="shared" ca="1" si="53"/>
        <v>179.59999999999994</v>
      </c>
      <c r="I478">
        <f t="shared" ca="1" si="58"/>
        <v>6.9902814302204046</v>
      </c>
      <c r="J478">
        <f t="shared" ca="1" si="59"/>
        <v>179.37093713955917</v>
      </c>
      <c r="K478">
        <f t="shared" ca="1" si="60"/>
        <v>207.3320628604408</v>
      </c>
    </row>
    <row r="479" spans="1:11" x14ac:dyDescent="0.25">
      <c r="A479" s="6">
        <f t="shared" ca="1" si="55"/>
        <v>45985</v>
      </c>
      <c r="B479" vm="1400">
        <f ca="1"/>
        <v>45986</v>
      </c>
      <c r="C479" vm="1401">
        <f ca="1"/>
        <v>206.67</v>
      </c>
      <c r="D479" vm="1402">
        <f ca="1"/>
        <v>10275724</v>
      </c>
      <c r="E479">
        <f t="shared" ca="1" si="56"/>
        <v>201.44</v>
      </c>
      <c r="F479">
        <f t="shared" ca="1" si="57"/>
        <v>194.33850000000001</v>
      </c>
      <c r="G479">
        <f t="shared" ca="1" si="54"/>
        <v>189.4478</v>
      </c>
      <c r="H479">
        <f t="shared" ca="1" si="53"/>
        <v>180.10158415841579</v>
      </c>
      <c r="I479">
        <f t="shared" ca="1" si="58"/>
        <v>7.4164825504448286</v>
      </c>
      <c r="J479">
        <f t="shared" ca="1" si="59"/>
        <v>179.50553489911036</v>
      </c>
      <c r="K479">
        <f t="shared" ca="1" si="60"/>
        <v>209.17146510088966</v>
      </c>
    </row>
    <row r="480" spans="1:11" x14ac:dyDescent="0.25">
      <c r="A480" s="6">
        <f t="shared" ca="1" si="55"/>
        <v>45985</v>
      </c>
      <c r="B480" vm="1403">
        <f ca="1"/>
        <v>45987</v>
      </c>
      <c r="C480" vm="1404">
        <f ca="1"/>
        <v>207.56</v>
      </c>
      <c r="D480" vm="1405">
        <f ca="1"/>
        <v>6728994</v>
      </c>
      <c r="E480">
        <f t="shared" ca="1" si="56"/>
        <v>202.80777777777777</v>
      </c>
      <c r="F480">
        <f t="shared" ca="1" si="57"/>
        <v>195.38650000000001</v>
      </c>
      <c r="G480">
        <f t="shared" ca="1" si="54"/>
        <v>190.05500000000001</v>
      </c>
      <c r="H480">
        <f t="shared" ca="1" si="53"/>
        <v>180.61930693069303</v>
      </c>
      <c r="I480">
        <f t="shared" ca="1" si="58"/>
        <v>7.7392970407014703</v>
      </c>
      <c r="J480">
        <f t="shared" ca="1" si="59"/>
        <v>179.90790591859707</v>
      </c>
      <c r="K480">
        <f t="shared" ca="1" si="60"/>
        <v>210.86509408140296</v>
      </c>
    </row>
    <row r="481" spans="1:11" x14ac:dyDescent="0.25">
      <c r="A481" s="6">
        <f t="shared" ca="1" si="55"/>
        <v>45985</v>
      </c>
      <c r="B481" vm="1406">
        <f ca="1"/>
        <v>45989</v>
      </c>
      <c r="C481" vm="1407">
        <f ca="1"/>
        <v>206.92</v>
      </c>
      <c r="D481" vm="1408">
        <f ca="1"/>
        <v>5638279</v>
      </c>
      <c r="E481">
        <f t="shared" ca="1" si="56"/>
        <v>204.0288888888889</v>
      </c>
      <c r="F481">
        <f t="shared" ca="1" si="57"/>
        <v>196.28</v>
      </c>
      <c r="G481">
        <f t="shared" ca="1" si="54"/>
        <v>190.71019999999996</v>
      </c>
      <c r="H481">
        <f t="shared" ca="1" si="53"/>
        <v>181.12554455445539</v>
      </c>
      <c r="I481">
        <f t="shared" ca="1" si="58"/>
        <v>7.996516346773169</v>
      </c>
      <c r="J481">
        <f t="shared" ca="1" si="59"/>
        <v>180.28696730645368</v>
      </c>
      <c r="K481">
        <f t="shared" ca="1" si="60"/>
        <v>212.27303269354633</v>
      </c>
    </row>
    <row r="482" spans="1:11" x14ac:dyDescent="0.25">
      <c r="A482" s="6">
        <f t="shared" ca="1" si="55"/>
        <v>45992</v>
      </c>
      <c r="B482" vm="1409">
        <f ca="1"/>
        <v>45992</v>
      </c>
      <c r="C482" vm="1410">
        <f ca="1"/>
        <v>205.34</v>
      </c>
      <c r="D482" vm="1411">
        <f ca="1"/>
        <v>8473726</v>
      </c>
      <c r="E482">
        <f t="shared" ca="1" si="56"/>
        <v>204.66888888888889</v>
      </c>
      <c r="F482">
        <f t="shared" ca="1" si="57"/>
        <v>197.10350000000005</v>
      </c>
      <c r="G482">
        <f t="shared" ca="1" si="54"/>
        <v>191.29319999999998</v>
      </c>
      <c r="H482">
        <f t="shared" ca="1" si="53"/>
        <v>181.6112871287128</v>
      </c>
      <c r="I482">
        <f t="shared" ca="1" si="58"/>
        <v>8.0411888849976982</v>
      </c>
      <c r="J482">
        <f t="shared" ca="1" si="59"/>
        <v>181.02112223000466</v>
      </c>
      <c r="K482">
        <f t="shared" ca="1" si="60"/>
        <v>213.18587776999544</v>
      </c>
    </row>
    <row r="483" spans="1:11" x14ac:dyDescent="0.25">
      <c r="A483" s="6">
        <f t="shared" ca="1" si="55"/>
        <v>45992</v>
      </c>
      <c r="B483" vm="1412">
        <f ca="1"/>
        <v>45993</v>
      </c>
      <c r="C483" vm="1413">
        <f ca="1"/>
        <v>205.42</v>
      </c>
      <c r="D483" vm="1414">
        <f ca="1"/>
        <v>8393565</v>
      </c>
      <c r="E483">
        <f t="shared" ca="1" si="56"/>
        <v>205.27111111111111</v>
      </c>
      <c r="F483">
        <f t="shared" ca="1" si="57"/>
        <v>198.06150000000005</v>
      </c>
      <c r="G483">
        <f t="shared" ca="1" si="54"/>
        <v>191.91739999999999</v>
      </c>
      <c r="H483">
        <f t="shared" ca="1" si="53"/>
        <v>182.08386138613852</v>
      </c>
      <c r="I483">
        <f t="shared" ca="1" si="58"/>
        <v>7.8196145247569238</v>
      </c>
      <c r="J483">
        <f t="shared" ca="1" si="59"/>
        <v>182.42227095048619</v>
      </c>
      <c r="K483">
        <f t="shared" ca="1" si="60"/>
        <v>213.70072904951391</v>
      </c>
    </row>
    <row r="484" spans="1:11" x14ac:dyDescent="0.25">
      <c r="A484" s="6">
        <f t="shared" ca="1" si="55"/>
        <v>45992</v>
      </c>
      <c r="B484" vm="1415">
        <f ca="1"/>
        <v>45994</v>
      </c>
      <c r="C484" vm="1416">
        <f ca="1"/>
        <v>205.33</v>
      </c>
      <c r="D484" vm="1417">
        <f ca="1"/>
        <v>8363292</v>
      </c>
      <c r="E484">
        <f t="shared" ca="1" si="56"/>
        <v>205.58444444444444</v>
      </c>
      <c r="F484">
        <f t="shared" ca="1" si="57"/>
        <v>198.98500000000004</v>
      </c>
      <c r="G484">
        <f t="shared" ca="1" si="54"/>
        <v>192.49239999999998</v>
      </c>
      <c r="H484">
        <f t="shared" ca="1" si="53"/>
        <v>182.56336633663361</v>
      </c>
      <c r="I484">
        <f t="shared" ca="1" si="58"/>
        <v>7.5116803782684434</v>
      </c>
      <c r="J484">
        <f t="shared" ca="1" si="59"/>
        <v>183.96163924346317</v>
      </c>
      <c r="K484">
        <f t="shared" ca="1" si="60"/>
        <v>214.00836075653692</v>
      </c>
    </row>
    <row r="485" spans="1:11" x14ac:dyDescent="0.25">
      <c r="A485" s="6">
        <f t="shared" ca="1" si="55"/>
        <v>45992</v>
      </c>
      <c r="B485" vm="1418">
        <f ca="1"/>
        <v>45995</v>
      </c>
      <c r="C485" vm="1419">
        <f ca="1"/>
        <v>202.48</v>
      </c>
      <c r="D485" vm="1420">
        <f ca="1"/>
        <v>9049943</v>
      </c>
      <c r="E485">
        <f t="shared" ca="1" si="56"/>
        <v>205.51888888888891</v>
      </c>
      <c r="F485">
        <f t="shared" ca="1" si="57"/>
        <v>199.80900000000003</v>
      </c>
      <c r="G485">
        <f t="shared" ca="1" si="54"/>
        <v>193.00819999999999</v>
      </c>
      <c r="H485">
        <f t="shared" ca="1" si="53"/>
        <v>183.01544554455435</v>
      </c>
      <c r="I485">
        <f t="shared" ca="1" si="58"/>
        <v>6.8905227820918151</v>
      </c>
      <c r="J485">
        <f t="shared" ca="1" si="59"/>
        <v>186.02795443581638</v>
      </c>
      <c r="K485">
        <f t="shared" ca="1" si="60"/>
        <v>213.59004556418367</v>
      </c>
    </row>
    <row r="486" spans="1:11" x14ac:dyDescent="0.25">
      <c r="A486" s="6">
        <f t="shared" ca="1" si="55"/>
        <v>45992</v>
      </c>
      <c r="B486" vm="1421">
        <f ca="1"/>
        <v>45996</v>
      </c>
      <c r="C486" vm="1422">
        <f ca="1"/>
        <v>201.93</v>
      </c>
      <c r="D486" vm="1423">
        <f ca="1"/>
        <v>7785552</v>
      </c>
      <c r="E486">
        <f t="shared" ca="1" si="56"/>
        <v>205.3</v>
      </c>
      <c r="F486">
        <f t="shared" ca="1" si="57"/>
        <v>200.55700000000002</v>
      </c>
      <c r="G486">
        <f t="shared" ca="1" si="54"/>
        <v>193.49219999999997</v>
      </c>
      <c r="H486">
        <f t="shared" ref="H486:H522" ca="1" si="61">AVERAGE(C386:C486)</f>
        <v>183.47841584158408</v>
      </c>
      <c r="I486">
        <f t="shared" ca="1" si="58"/>
        <v>6.2009142789379732</v>
      </c>
      <c r="J486">
        <f t="shared" ca="1" si="59"/>
        <v>188.15517144212407</v>
      </c>
      <c r="K486">
        <f t="shared" ca="1" si="60"/>
        <v>212.95882855787596</v>
      </c>
    </row>
    <row r="487" spans="1:11" x14ac:dyDescent="0.25">
      <c r="A487" s="6">
        <f t="shared" ca="1" si="55"/>
        <v>45999</v>
      </c>
      <c r="B487" vm="1424">
        <f ca="1"/>
        <v>45999</v>
      </c>
      <c r="C487" vm="1425">
        <f ca="1"/>
        <v>201.62</v>
      </c>
      <c r="D487" vm="1426">
        <f ca="1"/>
        <v>7785708</v>
      </c>
      <c r="E487">
        <f t="shared" ca="1" si="56"/>
        <v>204.80777777777777</v>
      </c>
      <c r="F487">
        <f t="shared" ca="1" si="57"/>
        <v>201.30950000000001</v>
      </c>
      <c r="G487">
        <f t="shared" ca="1" si="54"/>
        <v>193.93040000000002</v>
      </c>
      <c r="H487">
        <f t="shared" ca="1" si="61"/>
        <v>183.84316831683162</v>
      </c>
      <c r="I487">
        <f t="shared" ca="1" si="58"/>
        <v>5.2552935468114326</v>
      </c>
      <c r="J487">
        <f t="shared" ca="1" si="59"/>
        <v>190.79891290637715</v>
      </c>
      <c r="K487">
        <f t="shared" ca="1" si="60"/>
        <v>211.82008709362287</v>
      </c>
    </row>
    <row r="488" spans="1:11" x14ac:dyDescent="0.25">
      <c r="A488" s="6">
        <f t="shared" ca="1" si="55"/>
        <v>45999</v>
      </c>
      <c r="B488" vm="1427">
        <f ca="1"/>
        <v>46000</v>
      </c>
      <c r="C488" vm="1428">
        <f ca="1"/>
        <v>199.96</v>
      </c>
      <c r="D488" vm="1429">
        <f ca="1"/>
        <v>7509402</v>
      </c>
      <c r="E488">
        <f t="shared" ca="1" si="56"/>
        <v>204.0622222222222</v>
      </c>
      <c r="F488">
        <f t="shared" ca="1" si="57"/>
        <v>201.887</v>
      </c>
      <c r="G488">
        <f t="shared" ca="1" si="54"/>
        <v>194.2972</v>
      </c>
      <c r="H488">
        <f t="shared" ca="1" si="61"/>
        <v>184.209306930693</v>
      </c>
      <c r="I488">
        <f t="shared" ca="1" si="58"/>
        <v>4.3133697902415467</v>
      </c>
      <c r="J488">
        <f t="shared" ca="1" si="59"/>
        <v>193.2602604195169</v>
      </c>
      <c r="K488">
        <f t="shared" ca="1" si="60"/>
        <v>210.5137395804831</v>
      </c>
    </row>
    <row r="489" spans="1:11" x14ac:dyDescent="0.25">
      <c r="A489" s="6">
        <f t="shared" ca="1" si="55"/>
        <v>45999</v>
      </c>
      <c r="B489" vm="1430">
        <f ca="1"/>
        <v>46001</v>
      </c>
      <c r="C489" vm="1431">
        <f ca="1"/>
        <v>206.54</v>
      </c>
      <c r="D489" vm="1432">
        <f ca="1"/>
        <v>11599785</v>
      </c>
      <c r="E489">
        <f t="shared" ca="1" si="56"/>
        <v>203.94888888888889</v>
      </c>
      <c r="F489">
        <f t="shared" ca="1" si="57"/>
        <v>202.52249999999998</v>
      </c>
      <c r="G489">
        <f t="shared" ca="1" si="54"/>
        <v>194.71959999999999</v>
      </c>
      <c r="H489">
        <f t="shared" ca="1" si="61"/>
        <v>184.63346534653456</v>
      </c>
      <c r="I489">
        <f t="shared" ca="1" si="58"/>
        <v>3.9878498031685656</v>
      </c>
      <c r="J489">
        <f t="shared" ca="1" si="59"/>
        <v>194.54680039366283</v>
      </c>
      <c r="K489">
        <f t="shared" ca="1" si="60"/>
        <v>210.49819960633712</v>
      </c>
    </row>
    <row r="490" spans="1:11" x14ac:dyDescent="0.25">
      <c r="A490" s="6">
        <f t="shared" ca="1" si="55"/>
        <v>45999</v>
      </c>
      <c r="B490" vm="1433">
        <f ca="1"/>
        <v>46002</v>
      </c>
      <c r="C490" vm="1434">
        <f ca="1"/>
        <v>210.01</v>
      </c>
      <c r="D490" vm="1435">
        <f ca="1"/>
        <v>9008960</v>
      </c>
      <c r="E490">
        <f t="shared" ca="1" si="56"/>
        <v>204.29222222222222</v>
      </c>
      <c r="F490">
        <f t="shared" ca="1" si="57"/>
        <v>203.30349999999999</v>
      </c>
      <c r="G490">
        <f t="shared" ca="1" si="54"/>
        <v>195.19880000000001</v>
      </c>
      <c r="H490">
        <f t="shared" ca="1" si="61"/>
        <v>185.08544554455435</v>
      </c>
      <c r="I490">
        <f t="shared" ca="1" si="58"/>
        <v>3.8380494977746697</v>
      </c>
      <c r="J490">
        <f t="shared" ca="1" si="59"/>
        <v>195.62740100445063</v>
      </c>
      <c r="K490">
        <f t="shared" ca="1" si="60"/>
        <v>210.97959899554934</v>
      </c>
    </row>
    <row r="491" spans="1:11" x14ac:dyDescent="0.25">
      <c r="A491" s="6">
        <f t="shared" ca="1" si="55"/>
        <v>45999</v>
      </c>
      <c r="B491" vm="1436">
        <f ca="1"/>
        <v>46003</v>
      </c>
      <c r="C491" vm="1437">
        <f ca="1"/>
        <v>211.58</v>
      </c>
      <c r="D491" vm="1438">
        <f ca="1"/>
        <v>6922683</v>
      </c>
      <c r="E491">
        <f t="shared" ca="1" si="56"/>
        <v>204.98555555555555</v>
      </c>
      <c r="F491">
        <f t="shared" ca="1" si="57"/>
        <v>204.11999999999998</v>
      </c>
      <c r="G491">
        <f t="shared" ca="1" si="54"/>
        <v>195.71080000000001</v>
      </c>
      <c r="H491">
        <f t="shared" ca="1" si="61"/>
        <v>185.51762376237616</v>
      </c>
      <c r="I491">
        <f t="shared" ca="1" si="58"/>
        <v>3.7710113120739188</v>
      </c>
      <c r="J491">
        <f t="shared" ca="1" si="59"/>
        <v>196.57797737585213</v>
      </c>
      <c r="K491">
        <f t="shared" ca="1" si="60"/>
        <v>211.66202262414782</v>
      </c>
    </row>
    <row r="492" spans="1:11" x14ac:dyDescent="0.25">
      <c r="A492" s="6">
        <f t="shared" ca="1" si="55"/>
        <v>46006</v>
      </c>
      <c r="B492" vm="1439">
        <f ca="1"/>
        <v>46006</v>
      </c>
      <c r="C492" vm="1440">
        <f ca="1"/>
        <v>214.17</v>
      </c>
      <c r="D492" vm="1441">
        <f ca="1"/>
        <v>8466964</v>
      </c>
      <c r="E492">
        <f t="shared" ca="1" si="56"/>
        <v>205.95777777777778</v>
      </c>
      <c r="F492">
        <f t="shared" ca="1" si="57"/>
        <v>205.03199999999998</v>
      </c>
      <c r="G492">
        <f t="shared" ca="1" si="54"/>
        <v>196.22140000000002</v>
      </c>
      <c r="H492">
        <f t="shared" ca="1" si="61"/>
        <v>185.96386138613849</v>
      </c>
      <c r="I492">
        <f t="shared" ca="1" si="58"/>
        <v>3.8898080050035184</v>
      </c>
      <c r="J492">
        <f t="shared" ca="1" si="59"/>
        <v>197.25238398999295</v>
      </c>
      <c r="K492">
        <f t="shared" ca="1" si="60"/>
        <v>212.81161601000701</v>
      </c>
    </row>
    <row r="493" spans="1:11" x14ac:dyDescent="0.25">
      <c r="A493" s="6">
        <f t="shared" ca="1" si="55"/>
        <v>46006</v>
      </c>
      <c r="B493" vm="1442">
        <f ca="1"/>
        <v>46007</v>
      </c>
      <c r="C493" vm="1443">
        <f ca="1"/>
        <v>209.3</v>
      </c>
      <c r="D493" vm="1444">
        <f ca="1"/>
        <v>9949810</v>
      </c>
      <c r="E493">
        <f t="shared" ca="1" si="56"/>
        <v>206.39888888888888</v>
      </c>
      <c r="F493">
        <f t="shared" ca="1" si="57"/>
        <v>205.51799999999997</v>
      </c>
      <c r="G493">
        <f t="shared" ca="1" si="54"/>
        <v>196.64420000000001</v>
      </c>
      <c r="H493">
        <f t="shared" ca="1" si="61"/>
        <v>186.35732673267316</v>
      </c>
      <c r="I493">
        <f t="shared" ca="1" si="58"/>
        <v>3.7783950923221625</v>
      </c>
      <c r="J493">
        <f t="shared" ca="1" si="59"/>
        <v>197.96120981535566</v>
      </c>
      <c r="K493">
        <f t="shared" ca="1" si="60"/>
        <v>213.07479018464429</v>
      </c>
    </row>
    <row r="494" spans="1:11" x14ac:dyDescent="0.25">
      <c r="A494" s="6">
        <f t="shared" ca="1" si="55"/>
        <v>46006</v>
      </c>
      <c r="B494" vm="1445">
        <f ca="1"/>
        <v>46008</v>
      </c>
      <c r="C494" vm="1446">
        <f ca="1"/>
        <v>210.33</v>
      </c>
      <c r="D494" vm="1447">
        <f ca="1"/>
        <v>8457560</v>
      </c>
      <c r="E494">
        <f t="shared" ca="1" si="56"/>
        <v>207.27111111111108</v>
      </c>
      <c r="F494">
        <f t="shared" ca="1" si="57"/>
        <v>206.03449999999998</v>
      </c>
      <c r="G494">
        <f t="shared" ca="1" si="54"/>
        <v>197.07299999999998</v>
      </c>
      <c r="H494">
        <f t="shared" ca="1" si="61"/>
        <v>186.77346534653458</v>
      </c>
      <c r="I494">
        <f t="shared" ca="1" si="58"/>
        <v>3.6893922976983333</v>
      </c>
      <c r="J494">
        <f t="shared" ca="1" si="59"/>
        <v>198.65571540460331</v>
      </c>
      <c r="K494">
        <f t="shared" ca="1" si="60"/>
        <v>213.41328459539665</v>
      </c>
    </row>
    <row r="495" spans="1:11" x14ac:dyDescent="0.25">
      <c r="A495" s="6">
        <f t="shared" ca="1" si="55"/>
        <v>46006</v>
      </c>
      <c r="B495" vm="1448">
        <f ca="1"/>
        <v>46009</v>
      </c>
      <c r="C495" vm="1449">
        <f ca="1"/>
        <v>208.31</v>
      </c>
      <c r="D495" vm="1450">
        <f ca="1"/>
        <v>7499852</v>
      </c>
      <c r="E495">
        <f t="shared" ca="1" si="56"/>
        <v>207.98</v>
      </c>
      <c r="F495">
        <f t="shared" ca="1" si="57"/>
        <v>206.3245</v>
      </c>
      <c r="G495">
        <f t="shared" ca="1" si="54"/>
        <v>197.44540000000001</v>
      </c>
      <c r="H495">
        <f t="shared" ca="1" si="61"/>
        <v>187.19019801980193</v>
      </c>
      <c r="I495">
        <f t="shared" ca="1" si="58"/>
        <v>3.6251642068071601</v>
      </c>
      <c r="J495">
        <f t="shared" ca="1" si="59"/>
        <v>199.07417158638569</v>
      </c>
      <c r="K495">
        <f t="shared" ca="1" si="60"/>
        <v>213.57482841361431</v>
      </c>
    </row>
    <row r="496" spans="1:11" x14ac:dyDescent="0.25">
      <c r="A496" s="6">
        <f t="shared" ca="1" si="55"/>
        <v>46006</v>
      </c>
      <c r="B496" vm="1451">
        <f ca="1"/>
        <v>46010</v>
      </c>
      <c r="C496" vm="1452">
        <f ca="1"/>
        <v>206.37</v>
      </c>
      <c r="D496" vm="1453">
        <f ca="1"/>
        <v>24803920</v>
      </c>
      <c r="E496">
        <f t="shared" ca="1" si="56"/>
        <v>208.50777777777773</v>
      </c>
      <c r="F496">
        <f t="shared" ca="1" si="57"/>
        <v>206.48949999999999</v>
      </c>
      <c r="G496">
        <f t="shared" ca="1" si="54"/>
        <v>197.75120000000004</v>
      </c>
      <c r="H496">
        <f t="shared" ca="1" si="61"/>
        <v>187.56900990099004</v>
      </c>
      <c r="I496">
        <f t="shared" ca="1" si="58"/>
        <v>3.5434171360425508</v>
      </c>
      <c r="J496">
        <f t="shared" ca="1" si="59"/>
        <v>199.40266572791489</v>
      </c>
      <c r="K496">
        <f t="shared" ca="1" si="60"/>
        <v>213.57633427208509</v>
      </c>
    </row>
    <row r="497" spans="1:11" x14ac:dyDescent="0.25">
      <c r="A497" s="6">
        <f t="shared" ca="1" si="55"/>
        <v>46013</v>
      </c>
      <c r="B497" vm="1454">
        <f ca="1"/>
        <v>46013</v>
      </c>
      <c r="C497" vm="1455">
        <f ca="1"/>
        <v>207.32</v>
      </c>
      <c r="D497" vm="1456">
        <f ca="1"/>
        <v>8187755</v>
      </c>
      <c r="E497">
        <f t="shared" ca="1" si="56"/>
        <v>209.32555555555552</v>
      </c>
      <c r="F497">
        <f t="shared" ca="1" si="57"/>
        <v>206.66050000000001</v>
      </c>
      <c r="G497">
        <f t="shared" ca="1" si="54"/>
        <v>198.08320000000003</v>
      </c>
      <c r="H497">
        <f t="shared" ca="1" si="61"/>
        <v>187.96564356435638</v>
      </c>
      <c r="I497">
        <f t="shared" ca="1" si="58"/>
        <v>3.4940528044092285</v>
      </c>
      <c r="J497">
        <f t="shared" ca="1" si="59"/>
        <v>199.67239439118157</v>
      </c>
      <c r="K497">
        <f t="shared" ca="1" si="60"/>
        <v>213.64860560881846</v>
      </c>
    </row>
    <row r="498" spans="1:11" x14ac:dyDescent="0.25">
      <c r="A498" s="6">
        <f t="shared" ca="1" si="55"/>
        <v>46013</v>
      </c>
      <c r="B498" vm="1457">
        <f ca="1"/>
        <v>46014</v>
      </c>
      <c r="C498" vm="1458">
        <f ca="1"/>
        <v>205.78</v>
      </c>
      <c r="D498" vm="1459">
        <f ca="1"/>
        <v>7047346</v>
      </c>
      <c r="E498">
        <f t="shared" ca="1" si="56"/>
        <v>209.24111111111108</v>
      </c>
      <c r="F498">
        <f t="shared" ca="1" si="57"/>
        <v>206.64699999999999</v>
      </c>
      <c r="G498">
        <f t="shared" ca="1" si="54"/>
        <v>198.38079999999999</v>
      </c>
      <c r="H498">
        <f t="shared" ca="1" si="61"/>
        <v>188.37198019801968</v>
      </c>
      <c r="I498">
        <f t="shared" ca="1" si="58"/>
        <v>3.4970560551171572</v>
      </c>
      <c r="J498">
        <f t="shared" ca="1" si="59"/>
        <v>199.65288788976568</v>
      </c>
      <c r="K498">
        <f t="shared" ca="1" si="60"/>
        <v>213.6411121102343</v>
      </c>
    </row>
    <row r="499" spans="1:11" x14ac:dyDescent="0.25">
      <c r="A499" s="6">
        <f t="shared" ca="1" si="55"/>
        <v>46013</v>
      </c>
      <c r="B499" vm="1460">
        <f ca="1"/>
        <v>46015</v>
      </c>
      <c r="C499" vm="1461">
        <f ca="1"/>
        <v>207.78</v>
      </c>
      <c r="D499" vm="1462">
        <f ca="1"/>
        <v>2376541</v>
      </c>
      <c r="E499">
        <f t="shared" ca="1" si="56"/>
        <v>208.99333333333331</v>
      </c>
      <c r="F499">
        <f t="shared" ca="1" si="57"/>
        <v>206.70250000000001</v>
      </c>
      <c r="G499">
        <f t="shared" ca="1" si="54"/>
        <v>198.71940000000004</v>
      </c>
      <c r="H499">
        <f t="shared" ca="1" si="61"/>
        <v>188.77247524752465</v>
      </c>
      <c r="I499">
        <f t="shared" ca="1" si="58"/>
        <v>3.5062363612644005</v>
      </c>
      <c r="J499">
        <f t="shared" ca="1" si="59"/>
        <v>199.69002727747122</v>
      </c>
      <c r="K499">
        <f t="shared" ca="1" si="60"/>
        <v>213.71497272252881</v>
      </c>
    </row>
    <row r="500" spans="1:11" x14ac:dyDescent="0.25">
      <c r="A500" s="6">
        <f t="shared" ca="1" si="55"/>
        <v>46013</v>
      </c>
      <c r="B500" vm="1463">
        <f ca="1"/>
        <v>46017</v>
      </c>
      <c r="C500" vm="1464">
        <f ca="1"/>
        <v>207.63</v>
      </c>
      <c r="D500" vm="1465">
        <f ca="1"/>
        <v>2316730</v>
      </c>
      <c r="E500">
        <f t="shared" ca="1" si="56"/>
        <v>208.55444444444441</v>
      </c>
      <c r="F500">
        <f t="shared" ca="1" si="57"/>
        <v>206.70600000000005</v>
      </c>
      <c r="G500">
        <f t="shared" ref="G500:G522" ca="1" si="62">AVERAGE(C451:C500)</f>
        <v>199.04859999999999</v>
      </c>
      <c r="H500">
        <f t="shared" ca="1" si="61"/>
        <v>189.13475247524741</v>
      </c>
      <c r="I500">
        <f t="shared" ca="1" si="58"/>
        <v>3.5071722002355767</v>
      </c>
      <c r="J500">
        <f t="shared" ca="1" si="59"/>
        <v>199.6916555995289</v>
      </c>
      <c r="K500">
        <f t="shared" ca="1" si="60"/>
        <v>213.72034440047119</v>
      </c>
    </row>
    <row r="501" spans="1:11" x14ac:dyDescent="0.25">
      <c r="A501" s="6">
        <f t="shared" ca="1" si="55"/>
        <v>46020</v>
      </c>
      <c r="B501" vm="1466">
        <f ca="1"/>
        <v>46020</v>
      </c>
      <c r="C501" vm="1404">
        <f ca="1"/>
        <v>207.56</v>
      </c>
      <c r="D501" vm="1467">
        <f ca="1"/>
        <v>4348854</v>
      </c>
      <c r="E501">
        <f t="shared" ca="1" si="56"/>
        <v>207.82000000000002</v>
      </c>
      <c r="F501">
        <f t="shared" ca="1" si="57"/>
        <v>206.73800000000006</v>
      </c>
      <c r="G501">
        <f t="shared" ca="1" si="62"/>
        <v>199.35740000000001</v>
      </c>
      <c r="H501">
        <f t="shared" ca="1" si="61"/>
        <v>189.499306930693</v>
      </c>
      <c r="I501">
        <f t="shared" ca="1" si="58"/>
        <v>3.5121437448103574</v>
      </c>
      <c r="J501">
        <f t="shared" ca="1" si="59"/>
        <v>199.71371251037934</v>
      </c>
      <c r="K501">
        <f t="shared" ca="1" si="60"/>
        <v>213.76228748962077</v>
      </c>
    </row>
    <row r="502" spans="1:11" x14ac:dyDescent="0.25">
      <c r="A502" s="6">
        <f t="shared" ca="1" si="55"/>
        <v>46020</v>
      </c>
      <c r="B502" vm="1468">
        <f ca="1"/>
        <v>46021</v>
      </c>
      <c r="C502" vm="1469">
        <f ca="1"/>
        <v>206.91</v>
      </c>
      <c r="D502" vm="1470">
        <f ca="1"/>
        <v>3937395</v>
      </c>
      <c r="E502">
        <f t="shared" ca="1" si="56"/>
        <v>207.55444444444444</v>
      </c>
      <c r="F502">
        <f t="shared" ca="1" si="57"/>
        <v>206.81650000000005</v>
      </c>
      <c r="G502">
        <f t="shared" ca="1" si="62"/>
        <v>199.63119999999998</v>
      </c>
      <c r="H502">
        <f t="shared" ca="1" si="61"/>
        <v>189.85891089108904</v>
      </c>
      <c r="I502">
        <f t="shared" ca="1" si="58"/>
        <v>3.4967643314174999</v>
      </c>
      <c r="J502">
        <f t="shared" ca="1" si="59"/>
        <v>199.82297133716506</v>
      </c>
      <c r="K502">
        <f t="shared" ca="1" si="60"/>
        <v>213.81002866283504</v>
      </c>
    </row>
    <row r="503" spans="1:11" x14ac:dyDescent="0.25">
      <c r="A503" s="6">
        <f t="shared" ca="1" si="55"/>
        <v>46020</v>
      </c>
      <c r="B503" vm="1471">
        <f ca="1"/>
        <v>46022</v>
      </c>
      <c r="C503" vm="1472">
        <f ca="1"/>
        <v>206.95</v>
      </c>
      <c r="D503" vm="1473">
        <f ca="1"/>
        <v>4084013</v>
      </c>
      <c r="E503">
        <f t="shared" ca="1" si="56"/>
        <v>207.17888888888891</v>
      </c>
      <c r="F503">
        <f t="shared" ca="1" si="57"/>
        <v>206.89300000000003</v>
      </c>
      <c r="G503">
        <f t="shared" ca="1" si="62"/>
        <v>199.89580000000001</v>
      </c>
      <c r="H503">
        <f t="shared" ca="1" si="61"/>
        <v>190.20960396039601</v>
      </c>
      <c r="I503">
        <f t="shared" ca="1" si="58"/>
        <v>3.4813066210079335</v>
      </c>
      <c r="J503">
        <f t="shared" ca="1" si="59"/>
        <v>199.93038675798417</v>
      </c>
      <c r="K503">
        <f t="shared" ca="1" si="60"/>
        <v>213.85561324201589</v>
      </c>
    </row>
    <row r="504" spans="1:11" x14ac:dyDescent="0.25">
      <c r="A504" s="6">
        <f t="shared" ca="1" si="55"/>
        <v>46020</v>
      </c>
      <c r="B504" vm="1474">
        <f ca="1"/>
        <v>46024</v>
      </c>
      <c r="C504" vm="1475">
        <f ca="1"/>
        <v>207.35</v>
      </c>
      <c r="D504" vm="1476">
        <f ca="1"/>
        <v>6325672</v>
      </c>
      <c r="E504">
        <f t="shared" ca="1" si="56"/>
        <v>207.07222222222222</v>
      </c>
      <c r="F504">
        <f t="shared" ca="1" si="57"/>
        <v>206.994</v>
      </c>
      <c r="G504">
        <f t="shared" ca="1" si="62"/>
        <v>200.20519999999999</v>
      </c>
      <c r="H504">
        <f t="shared" ca="1" si="61"/>
        <v>190.54643564356431</v>
      </c>
      <c r="I504">
        <f t="shared" ca="1" si="58"/>
        <v>3.462827259852697</v>
      </c>
      <c r="J504">
        <f t="shared" ca="1" si="59"/>
        <v>200.0683454802946</v>
      </c>
      <c r="K504">
        <f t="shared" ca="1" si="60"/>
        <v>213.9196545197054</v>
      </c>
    </row>
    <row r="505" spans="1:11" x14ac:dyDescent="0.25">
      <c r="A505" s="6">
        <f t="shared" ca="1" si="55"/>
        <v>46027</v>
      </c>
      <c r="B505" vm="1477">
        <f ca="1"/>
        <v>46027</v>
      </c>
      <c r="C505" vm="1478">
        <f ca="1"/>
        <v>204.31</v>
      </c>
      <c r="D505" vm="1479">
        <f ca="1"/>
        <v>9476975</v>
      </c>
      <c r="E505">
        <f t="shared" ca="1" si="56"/>
        <v>206.84333333333333</v>
      </c>
      <c r="F505">
        <f t="shared" ca="1" si="57"/>
        <v>207.0855</v>
      </c>
      <c r="G505">
        <f t="shared" ca="1" si="62"/>
        <v>200.43260000000001</v>
      </c>
      <c r="H505">
        <f t="shared" ca="1" si="61"/>
        <v>190.84831683168312</v>
      </c>
      <c r="I505">
        <f t="shared" ca="1" si="58"/>
        <v>3.3599224223500332</v>
      </c>
      <c r="J505">
        <f t="shared" ca="1" si="59"/>
        <v>200.36565515529992</v>
      </c>
      <c r="K505">
        <f t="shared" ca="1" si="60"/>
        <v>213.80534484470007</v>
      </c>
    </row>
    <row r="506" spans="1:11" x14ac:dyDescent="0.25">
      <c r="A506" s="6">
        <f t="shared" ca="1" si="55"/>
        <v>46027</v>
      </c>
      <c r="B506" vm="1480">
        <f ca="1"/>
        <v>46028</v>
      </c>
      <c r="C506" vm="1481">
        <f ca="1"/>
        <v>204.79</v>
      </c>
      <c r="D506" vm="1482">
        <f ca="1"/>
        <v>8107853</v>
      </c>
      <c r="E506">
        <f t="shared" ca="1" si="56"/>
        <v>206.5622222222222</v>
      </c>
      <c r="F506">
        <f t="shared" ca="1" si="57"/>
        <v>207.22850000000003</v>
      </c>
      <c r="G506">
        <f t="shared" ca="1" si="62"/>
        <v>200.679</v>
      </c>
      <c r="H506">
        <f t="shared" ca="1" si="61"/>
        <v>191.16524752475243</v>
      </c>
      <c r="I506">
        <f t="shared" ca="1" si="58"/>
        <v>3.1852757874484365</v>
      </c>
      <c r="J506">
        <f t="shared" ca="1" si="59"/>
        <v>200.85794842510316</v>
      </c>
      <c r="K506">
        <f t="shared" ca="1" si="60"/>
        <v>213.59905157489689</v>
      </c>
    </row>
    <row r="507" spans="1:11" x14ac:dyDescent="0.25">
      <c r="A507" s="6">
        <f t="shared" ca="1" si="55"/>
        <v>46027</v>
      </c>
      <c r="B507" vm="1483">
        <f ca="1"/>
        <v>46029</v>
      </c>
      <c r="C507" vm="1484">
        <f ca="1"/>
        <v>207.49</v>
      </c>
      <c r="D507" vm="1485">
        <f ca="1"/>
        <v>7545920</v>
      </c>
      <c r="E507">
        <f t="shared" ca="1" si="56"/>
        <v>206.7522222222222</v>
      </c>
      <c r="F507">
        <f t="shared" ca="1" si="57"/>
        <v>207.52199999999999</v>
      </c>
      <c r="G507">
        <f t="shared" ca="1" si="62"/>
        <v>201.02080000000001</v>
      </c>
      <c r="H507">
        <f t="shared" ca="1" si="61"/>
        <v>191.49267326732675</v>
      </c>
      <c r="I507">
        <f t="shared" ca="1" si="58"/>
        <v>2.8988556725932928</v>
      </c>
      <c r="J507">
        <f t="shared" ca="1" si="59"/>
        <v>201.72428865481339</v>
      </c>
      <c r="K507">
        <f t="shared" ca="1" si="60"/>
        <v>213.31971134518659</v>
      </c>
    </row>
    <row r="508" spans="1:11" x14ac:dyDescent="0.25">
      <c r="A508" s="6">
        <f t="shared" ca="1" si="55"/>
        <v>46027</v>
      </c>
      <c r="B508" vm="1486">
        <f ca="1"/>
        <v>46030</v>
      </c>
      <c r="C508" vm="1487">
        <f ca="1"/>
        <v>205.75</v>
      </c>
      <c r="D508" vm="1488">
        <f ca="1"/>
        <v>6557776</v>
      </c>
      <c r="E508">
        <f t="shared" ca="1" si="56"/>
        <v>206.52666666666664</v>
      </c>
      <c r="F508">
        <f t="shared" ca="1" si="57"/>
        <v>207.81149999999997</v>
      </c>
      <c r="G508">
        <f t="shared" ca="1" si="62"/>
        <v>201.32980000000001</v>
      </c>
      <c r="H508">
        <f t="shared" ca="1" si="61"/>
        <v>191.79990099009902</v>
      </c>
      <c r="I508">
        <f t="shared" ca="1" si="58"/>
        <v>2.3389590014633259</v>
      </c>
      <c r="J508">
        <f t="shared" ca="1" si="59"/>
        <v>203.13358199707332</v>
      </c>
      <c r="K508">
        <f t="shared" ca="1" si="60"/>
        <v>212.48941800292661</v>
      </c>
    </row>
    <row r="509" spans="1:11" x14ac:dyDescent="0.25">
      <c r="A509" s="6">
        <f t="shared" ca="1" si="55"/>
        <v>46027</v>
      </c>
      <c r="B509" vm="1489">
        <f ca="1"/>
        <v>46031</v>
      </c>
      <c r="C509" vm="1490">
        <f ca="1"/>
        <v>204.39</v>
      </c>
      <c r="D509" vm="1491">
        <f ca="1"/>
        <v>6154326</v>
      </c>
      <c r="E509">
        <f t="shared" ca="1" si="56"/>
        <v>206.16666666666666</v>
      </c>
      <c r="F509">
        <f t="shared" ca="1" si="57"/>
        <v>207.70400000000001</v>
      </c>
      <c r="G509">
        <f t="shared" ca="1" si="62"/>
        <v>201.67899999999997</v>
      </c>
      <c r="H509">
        <f t="shared" ca="1" si="61"/>
        <v>192.0746534653465</v>
      </c>
      <c r="I509">
        <f t="shared" ca="1" si="58"/>
        <v>2.4473689417090574</v>
      </c>
      <c r="J509">
        <f t="shared" ca="1" si="59"/>
        <v>202.80926211658189</v>
      </c>
      <c r="K509">
        <f t="shared" ca="1" si="60"/>
        <v>212.59873788341812</v>
      </c>
    </row>
    <row r="510" spans="1:11" x14ac:dyDescent="0.25">
      <c r="A510" s="6">
        <f t="shared" ca="1" si="55"/>
        <v>46034</v>
      </c>
      <c r="B510" vm="1492">
        <f ca="1"/>
        <v>46034</v>
      </c>
      <c r="C510" vm="1493">
        <f ca="1"/>
        <v>209.72</v>
      </c>
      <c r="D510" vm="1494">
        <f ca="1"/>
        <v>11794339</v>
      </c>
      <c r="E510">
        <f t="shared" ca="1" si="56"/>
        <v>206.40666666666667</v>
      </c>
      <c r="F510">
        <f t="shared" ca="1" si="57"/>
        <v>207.68949999999995</v>
      </c>
      <c r="G510">
        <f t="shared" ca="1" si="62"/>
        <v>202.1414</v>
      </c>
      <c r="H510">
        <f t="shared" ca="1" si="61"/>
        <v>192.40603960396038</v>
      </c>
      <c r="I510">
        <f t="shared" ca="1" si="58"/>
        <v>2.4338089597648351</v>
      </c>
      <c r="J510">
        <f t="shared" ca="1" si="59"/>
        <v>202.82188208047029</v>
      </c>
      <c r="K510">
        <f t="shared" ca="1" si="60"/>
        <v>212.55711791952962</v>
      </c>
    </row>
    <row r="511" spans="1:11" x14ac:dyDescent="0.25">
      <c r="A511" s="6">
        <f t="shared" ca="1" si="55"/>
        <v>46034</v>
      </c>
      <c r="B511" vm="1495">
        <f ca="1"/>
        <v>46035</v>
      </c>
      <c r="C511" vm="1496">
        <f ca="1"/>
        <v>213.65</v>
      </c>
      <c r="D511" vm="1497">
        <f ca="1"/>
        <v>11379590</v>
      </c>
      <c r="E511">
        <f t="shared" ca="1" si="56"/>
        <v>207.15555555555554</v>
      </c>
      <c r="F511">
        <f t="shared" ca="1" si="57"/>
        <v>207.79299999999995</v>
      </c>
      <c r="G511">
        <f t="shared" ca="1" si="62"/>
        <v>202.63339999999999</v>
      </c>
      <c r="H511">
        <f t="shared" ca="1" si="61"/>
        <v>192.76099009900994</v>
      </c>
      <c r="I511">
        <f t="shared" ca="1" si="58"/>
        <v>2.6429889379858928</v>
      </c>
      <c r="J511">
        <f t="shared" ca="1" si="59"/>
        <v>202.50702212402817</v>
      </c>
      <c r="K511">
        <f t="shared" ca="1" si="60"/>
        <v>213.07897787597173</v>
      </c>
    </row>
    <row r="512" spans="1:11" x14ac:dyDescent="0.25">
      <c r="A512" s="6">
        <f t="shared" ca="1" si="55"/>
        <v>46034</v>
      </c>
      <c r="B512" vm="1498">
        <f ca="1"/>
        <v>46036</v>
      </c>
      <c r="C512" vm="1499">
        <f ca="1"/>
        <v>218.55</v>
      </c>
      <c r="D512" vm="1500">
        <f ca="1"/>
        <v>11858784</v>
      </c>
      <c r="E512">
        <f t="shared" ca="1" si="56"/>
        <v>208.44444444444446</v>
      </c>
      <c r="F512">
        <f t="shared" ca="1" si="57"/>
        <v>208.01199999999994</v>
      </c>
      <c r="G512">
        <f t="shared" ca="1" si="62"/>
        <v>203.22699999999998</v>
      </c>
      <c r="H512">
        <f t="shared" ca="1" si="61"/>
        <v>193.15415841584161</v>
      </c>
      <c r="I512">
        <f t="shared" ca="1" si="58"/>
        <v>3.2992034126277763</v>
      </c>
      <c r="J512">
        <f t="shared" ca="1" si="59"/>
        <v>201.41359317474439</v>
      </c>
      <c r="K512">
        <f t="shared" ca="1" si="60"/>
        <v>214.6104068252555</v>
      </c>
    </row>
    <row r="513" spans="1:11" x14ac:dyDescent="0.25">
      <c r="A513" s="6">
        <f t="shared" ca="1" si="55"/>
        <v>46034</v>
      </c>
      <c r="B513" vm="1501">
        <f ca="1"/>
        <v>46037</v>
      </c>
      <c r="C513" vm="1502">
        <f ca="1"/>
        <v>219.57</v>
      </c>
      <c r="D513" vm="1503">
        <f ca="1"/>
        <v>8492116</v>
      </c>
      <c r="E513">
        <f t="shared" ca="1" si="56"/>
        <v>209.80222222222221</v>
      </c>
      <c r="F513">
        <f t="shared" ca="1" si="57"/>
        <v>208.52550000000002</v>
      </c>
      <c r="G513">
        <f t="shared" ca="1" si="62"/>
        <v>203.89319999999995</v>
      </c>
      <c r="H513">
        <f t="shared" ca="1" si="61"/>
        <v>193.55653465346538</v>
      </c>
      <c r="I513">
        <f t="shared" ca="1" si="58"/>
        <v>4.1893655781476564</v>
      </c>
      <c r="J513">
        <f t="shared" ca="1" si="59"/>
        <v>200.14676884370471</v>
      </c>
      <c r="K513">
        <f t="shared" ca="1" si="60"/>
        <v>216.90423115629534</v>
      </c>
    </row>
    <row r="514" spans="1:11" x14ac:dyDescent="0.25">
      <c r="A514" s="6">
        <f t="shared" ca="1" si="55"/>
        <v>46034</v>
      </c>
      <c r="B514" vm="1504">
        <f ca="1"/>
        <v>46038</v>
      </c>
      <c r="C514" vm="1505">
        <f ca="1"/>
        <v>218.66</v>
      </c>
      <c r="D514" vm="1506">
        <f ca="1"/>
        <v>10021515</v>
      </c>
      <c r="E514">
        <f t="shared" ca="1" si="56"/>
        <v>211.39666666666665</v>
      </c>
      <c r="F514">
        <f t="shared" ca="1" si="57"/>
        <v>208.94200000000001</v>
      </c>
      <c r="G514">
        <f t="shared" ca="1" si="62"/>
        <v>204.52919999999997</v>
      </c>
      <c r="H514">
        <f t="shared" ca="1" si="61"/>
        <v>193.94633663366341</v>
      </c>
      <c r="I514">
        <f t="shared" ca="1" si="58"/>
        <v>4.7542076654597034</v>
      </c>
      <c r="J514">
        <f t="shared" ca="1" si="59"/>
        <v>199.4335846690806</v>
      </c>
      <c r="K514">
        <f t="shared" ca="1" si="60"/>
        <v>218.45041533091941</v>
      </c>
    </row>
    <row r="515" spans="1:11" x14ac:dyDescent="0.25">
      <c r="A515" s="6">
        <f t="shared" ref="A515:A523" ca="1" si="63">B515 - WEEKDAY(B515, 2) + 1</f>
        <v>46041</v>
      </c>
      <c r="B515" vm="1507">
        <f ca="1"/>
        <v>46042</v>
      </c>
      <c r="C515" vm="1508">
        <f ca="1"/>
        <v>218.21</v>
      </c>
      <c r="D515" vm="1509">
        <f ca="1"/>
        <v>14057136</v>
      </c>
      <c r="E515">
        <f t="shared" ca="1" si="56"/>
        <v>212.88777777777779</v>
      </c>
      <c r="F515">
        <f t="shared" ca="1" si="57"/>
        <v>209.43699999999998</v>
      </c>
      <c r="G515">
        <f t="shared" ca="1" si="62"/>
        <v>205.17339999999996</v>
      </c>
      <c r="H515">
        <f t="shared" ca="1" si="61"/>
        <v>194.340396039604</v>
      </c>
      <c r="I515">
        <f t="shared" ca="1" si="58"/>
        <v>5.1811562416124861</v>
      </c>
      <c r="J515">
        <f t="shared" ca="1" si="59"/>
        <v>199.07468751677501</v>
      </c>
      <c r="K515">
        <f t="shared" ca="1" si="60"/>
        <v>219.79931248322495</v>
      </c>
    </row>
    <row r="516" spans="1:11" x14ac:dyDescent="0.25">
      <c r="A516" s="6">
        <f t="shared" ca="1" si="63"/>
        <v>46041</v>
      </c>
      <c r="B516" vm="1510">
        <f ca="1"/>
        <v>46043</v>
      </c>
      <c r="C516" vm="1511">
        <f ca="1"/>
        <v>218.01</v>
      </c>
      <c r="D516" vm="1512">
        <f ca="1"/>
        <v>14762883</v>
      </c>
      <c r="E516">
        <f t="shared" ca="1" si="56"/>
        <v>214.05666666666667</v>
      </c>
      <c r="F516">
        <f t="shared" ca="1" si="57"/>
        <v>210.01900000000001</v>
      </c>
      <c r="G516">
        <f t="shared" ca="1" si="62"/>
        <v>205.79419999999993</v>
      </c>
      <c r="H516">
        <f t="shared" ca="1" si="61"/>
        <v>194.75148514851486</v>
      </c>
      <c r="I516">
        <f t="shared" ca="1" si="58"/>
        <v>5.4645199143874352</v>
      </c>
      <c r="J516">
        <f t="shared" ca="1" si="59"/>
        <v>199.08996017122513</v>
      </c>
      <c r="K516">
        <f t="shared" ca="1" si="60"/>
        <v>220.94803982877488</v>
      </c>
    </row>
    <row r="517" spans="1:11" x14ac:dyDescent="0.25">
      <c r="A517" s="6">
        <f t="shared" ca="1" si="63"/>
        <v>46041</v>
      </c>
      <c r="B517" vm="1513">
        <f ca="1"/>
        <v>46044</v>
      </c>
      <c r="C517" vm="1514">
        <f ca="1"/>
        <v>218.49</v>
      </c>
      <c r="D517" vm="1515">
        <f ca="1"/>
        <v>13160041</v>
      </c>
      <c r="E517">
        <f t="shared" ca="1" si="56"/>
        <v>215.47222222222223</v>
      </c>
      <c r="F517">
        <f t="shared" ca="1" si="57"/>
        <v>210.57750000000001</v>
      </c>
      <c r="G517">
        <f t="shared" ca="1" si="62"/>
        <v>206.43259999999995</v>
      </c>
      <c r="H517">
        <f t="shared" ca="1" si="61"/>
        <v>195.16435643564358</v>
      </c>
      <c r="I517">
        <f t="shared" ca="1" si="58"/>
        <v>5.7381152920853014</v>
      </c>
      <c r="J517">
        <f t="shared" ca="1" si="59"/>
        <v>199.10126941582942</v>
      </c>
      <c r="K517">
        <f t="shared" ca="1" si="60"/>
        <v>222.05373058417061</v>
      </c>
    </row>
    <row r="518" spans="1:11" x14ac:dyDescent="0.25">
      <c r="A518" s="6">
        <f t="shared" ca="1" si="63"/>
        <v>46041</v>
      </c>
      <c r="B518" vm="1516">
        <f ca="1"/>
        <v>46045</v>
      </c>
      <c r="C518" vm="1517">
        <f ca="1"/>
        <v>220.14</v>
      </c>
      <c r="D518" vm="1518">
        <f ca="1"/>
        <v>6951040</v>
      </c>
      <c r="E518">
        <f t="shared" ca="1" si="56"/>
        <v>217.22222222222223</v>
      </c>
      <c r="F518">
        <f t="shared" ca="1" si="57"/>
        <v>211.2955</v>
      </c>
      <c r="G518">
        <f t="shared" ca="1" si="62"/>
        <v>207.06719999999993</v>
      </c>
      <c r="H518">
        <f t="shared" ca="1" si="61"/>
        <v>195.60683168316834</v>
      </c>
      <c r="I518">
        <f t="shared" ca="1" si="58"/>
        <v>5.9987204556691234</v>
      </c>
      <c r="J518">
        <f t="shared" ca="1" si="59"/>
        <v>199.29805908866174</v>
      </c>
      <c r="K518">
        <f t="shared" ca="1" si="60"/>
        <v>223.29294091133826</v>
      </c>
    </row>
    <row r="519" spans="1:11" x14ac:dyDescent="0.25">
      <c r="A519" s="6">
        <f t="shared" ca="1" si="63"/>
        <v>46048</v>
      </c>
      <c r="B519" vm="1519">
        <f ca="1"/>
        <v>46048</v>
      </c>
      <c r="C519" vm="1520">
        <f ca="1"/>
        <v>221.49</v>
      </c>
      <c r="D519" vm="1521">
        <f ca="1"/>
        <v>6857093</v>
      </c>
      <c r="E519">
        <f t="shared" ca="1" si="56"/>
        <v>218.52999999999997</v>
      </c>
      <c r="F519">
        <f t="shared" ca="1" si="57"/>
        <v>211.98099999999999</v>
      </c>
      <c r="G519">
        <f t="shared" ca="1" si="62"/>
        <v>207.62039999999993</v>
      </c>
      <c r="H519">
        <f t="shared" ca="1" si="61"/>
        <v>196.04564356435645</v>
      </c>
      <c r="I519">
        <f t="shared" ca="1" si="58"/>
        <v>6.348970824182123</v>
      </c>
      <c r="J519">
        <f t="shared" ca="1" si="59"/>
        <v>199.28305835163576</v>
      </c>
      <c r="K519">
        <f t="shared" ca="1" si="60"/>
        <v>224.67894164836423</v>
      </c>
    </row>
    <row r="520" spans="1:11" x14ac:dyDescent="0.25">
      <c r="A520" s="6">
        <f t="shared" ca="1" si="63"/>
        <v>46048</v>
      </c>
      <c r="B520" vm="1522">
        <f ca="1"/>
        <v>46049</v>
      </c>
      <c r="C520" vm="1523">
        <f ca="1"/>
        <v>224.44</v>
      </c>
      <c r="D520" vm="1524">
        <f ca="1"/>
        <v>8154489</v>
      </c>
      <c r="E520">
        <f t="shared" ca="1" si="56"/>
        <v>219.72888888888892</v>
      </c>
      <c r="F520">
        <f t="shared" ca="1" si="57"/>
        <v>212.82149999999996</v>
      </c>
      <c r="G520">
        <f t="shared" ca="1" si="62"/>
        <v>208.22139999999996</v>
      </c>
      <c r="H520">
        <f t="shared" ca="1" si="61"/>
        <v>196.50485148514852</v>
      </c>
      <c r="I520">
        <f t="shared" ca="1" si="58"/>
        <v>6.8366114067069663</v>
      </c>
      <c r="J520">
        <f t="shared" ca="1" si="59"/>
        <v>199.14827718658603</v>
      </c>
      <c r="K520">
        <f t="shared" ca="1" si="60"/>
        <v>226.49472281341389</v>
      </c>
    </row>
    <row r="521" spans="1:11" x14ac:dyDescent="0.25">
      <c r="A521" s="6">
        <f t="shared" ca="1" si="63"/>
        <v>46048</v>
      </c>
      <c r="B521" vm="1525">
        <f ca="1"/>
        <v>46050</v>
      </c>
      <c r="C521" vm="1526">
        <f ca="1"/>
        <v>227.72</v>
      </c>
      <c r="D521" vm="1527">
        <f ca="1"/>
        <v>9026495</v>
      </c>
      <c r="E521">
        <f t="shared" ca="1" si="56"/>
        <v>220.74777777777777</v>
      </c>
      <c r="F521">
        <f t="shared" ca="1" si="57"/>
        <v>213.8295</v>
      </c>
      <c r="G521">
        <f t="shared" ca="1" si="62"/>
        <v>208.87079999999995</v>
      </c>
      <c r="H521">
        <f t="shared" ca="1" si="61"/>
        <v>196.9971287128713</v>
      </c>
      <c r="I521">
        <f t="shared" ca="1" si="58"/>
        <v>7.4763011365387468</v>
      </c>
      <c r="J521">
        <f t="shared" ca="1" si="59"/>
        <v>198.87689772692249</v>
      </c>
      <c r="K521">
        <f t="shared" ca="1" si="60"/>
        <v>228.7821022730775</v>
      </c>
    </row>
    <row r="522" spans="1:11" x14ac:dyDescent="0.25">
      <c r="A522" s="6">
        <f t="shared" ca="1" si="63"/>
        <v>46048</v>
      </c>
      <c r="B522" vm="1528">
        <f ca="1"/>
        <v>46051</v>
      </c>
      <c r="C522" vm="1529">
        <f ca="1"/>
        <v>227.29</v>
      </c>
      <c r="D522" vm="1530">
        <f ca="1"/>
        <v>9645348</v>
      </c>
      <c r="E522">
        <f t="shared" ca="1" si="56"/>
        <v>221.60555555555555</v>
      </c>
      <c r="F522">
        <f t="shared" ca="1" si="57"/>
        <v>214.84849999999997</v>
      </c>
      <c r="G522">
        <f t="shared" ca="1" si="62"/>
        <v>209.49799999999996</v>
      </c>
      <c r="H522">
        <f t="shared" ca="1" si="61"/>
        <v>197.47762376237625</v>
      </c>
      <c r="I522">
        <f t="shared" ca="1" si="58"/>
        <v>7.8624519243781652</v>
      </c>
      <c r="J522">
        <f t="shared" ca="1" si="59"/>
        <v>199.12359615124365</v>
      </c>
      <c r="K522">
        <f t="shared" ca="1" si="60"/>
        <v>230.5734038487563</v>
      </c>
    </row>
    <row r="523" spans="1:11" x14ac:dyDescent="0.25">
      <c r="A523" s="6">
        <f t="shared" ca="1" si="63"/>
        <v>46048</v>
      </c>
      <c r="B523" vm="1531">
        <f ca="1"/>
        <v>46052</v>
      </c>
      <c r="C523" vm="1532">
        <f ca="1"/>
        <v>227.25</v>
      </c>
      <c r="D523" vm="1533">
        <f ca="1"/>
        <v>11045529</v>
      </c>
      <c r="E523">
        <f t="shared" ref="E523" ca="1" si="64">AVERAGE(C515:C523)</f>
        <v>222.56000000000003</v>
      </c>
      <c r="F523">
        <f t="shared" ref="F523" ca="1" si="65">AVERAGE(C504:C523)</f>
        <v>215.86349999999999</v>
      </c>
      <c r="G523">
        <f t="shared" ref="G523" ca="1" si="66">AVERAGE(C474:C523)</f>
        <v>210.0514</v>
      </c>
      <c r="H523">
        <f t="shared" ref="H523" ca="1" si="67">AVERAGE(C423:C523)</f>
        <v>197.96099009900996</v>
      </c>
      <c r="I523">
        <f t="shared" ref="I523" ca="1" si="68">_xlfn.STDEV.S(C504:C523)</f>
        <v>8.0959744870359405</v>
      </c>
      <c r="J523">
        <f t="shared" ref="J523" ca="1" si="69">F523-2*I523</f>
        <v>199.6715510259281</v>
      </c>
      <c r="K523">
        <f t="shared" ref="K523" ca="1" si="70">F523+2*I523</f>
        <v>232.05544897407188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B05F-B257-4BA0-90A5-608C21FAEE52}">
  <dimension ref="A1:G120"/>
  <sheetViews>
    <sheetView workbookViewId="0">
      <selection activeCell="O12" sqref="O12"/>
    </sheetView>
  </sheetViews>
  <sheetFormatPr defaultRowHeight="15" x14ac:dyDescent="0.25"/>
  <cols>
    <col min="1" max="2" width="10.42578125" bestFit="1" customWidth="1"/>
  </cols>
  <sheetData>
    <row r="1" spans="1:7" x14ac:dyDescent="0.25">
      <c r="A1" t="s">
        <v>7</v>
      </c>
      <c r="B1" t="s">
        <v>12</v>
      </c>
      <c r="C1" t="s">
        <v>20</v>
      </c>
      <c r="D1" t="s">
        <v>19</v>
      </c>
      <c r="E1" t="s">
        <v>21</v>
      </c>
      <c r="F1" t="s">
        <v>5</v>
      </c>
      <c r="G1" t="s">
        <v>4</v>
      </c>
    </row>
    <row r="2" spans="1:7" x14ac:dyDescent="0.25">
      <c r="A2" s="6">
        <v>45292</v>
      </c>
      <c r="B2">
        <v>160.67500000000001</v>
      </c>
    </row>
    <row r="3" spans="1:7" x14ac:dyDescent="0.25">
      <c r="A3" s="6">
        <v>45299</v>
      </c>
      <c r="B3">
        <v>161.714</v>
      </c>
    </row>
    <row r="4" spans="1:7" x14ac:dyDescent="0.25">
      <c r="A4" s="6">
        <v>45306</v>
      </c>
      <c r="B4">
        <v>160.96</v>
      </c>
    </row>
    <row r="5" spans="1:7" x14ac:dyDescent="0.25">
      <c r="A5" s="6">
        <v>45313</v>
      </c>
      <c r="B5">
        <v>160.06</v>
      </c>
    </row>
    <row r="6" spans="1:7" x14ac:dyDescent="0.25">
      <c r="A6" s="6">
        <v>45320</v>
      </c>
      <c r="B6">
        <v>158.4</v>
      </c>
    </row>
    <row r="7" spans="1:7" x14ac:dyDescent="0.25">
      <c r="A7" s="6">
        <v>45327</v>
      </c>
      <c r="B7">
        <v>157</v>
      </c>
    </row>
    <row r="8" spans="1:7" x14ac:dyDescent="0.25">
      <c r="A8" s="6">
        <v>45334</v>
      </c>
      <c r="B8">
        <v>156.90600000000001</v>
      </c>
    </row>
    <row r="9" spans="1:7" x14ac:dyDescent="0.25">
      <c r="A9" s="6">
        <v>45341</v>
      </c>
      <c r="B9">
        <v>159.70750000000001</v>
      </c>
    </row>
    <row r="10" spans="1:7" x14ac:dyDescent="0.25">
      <c r="A10" s="6">
        <v>45348</v>
      </c>
      <c r="B10">
        <v>161.364</v>
      </c>
    </row>
    <row r="11" spans="1:7" x14ac:dyDescent="0.25">
      <c r="A11" s="6">
        <v>45355</v>
      </c>
      <c r="B11">
        <v>159.50800000000001</v>
      </c>
    </row>
    <row r="12" spans="1:7" x14ac:dyDescent="0.25">
      <c r="A12" s="6">
        <v>45362</v>
      </c>
      <c r="B12">
        <v>160.49199999999999</v>
      </c>
    </row>
    <row r="13" spans="1:7" x14ac:dyDescent="0.25">
      <c r="A13" s="6">
        <v>45369</v>
      </c>
      <c r="B13">
        <v>155.94200000000001</v>
      </c>
    </row>
    <row r="14" spans="1:7" x14ac:dyDescent="0.25">
      <c r="A14" s="6">
        <v>45376</v>
      </c>
      <c r="B14">
        <v>156.785</v>
      </c>
    </row>
    <row r="15" spans="1:7" x14ac:dyDescent="0.25">
      <c r="A15" s="6">
        <v>45383</v>
      </c>
      <c r="B15">
        <v>154.93199999999999</v>
      </c>
    </row>
    <row r="16" spans="1:7" x14ac:dyDescent="0.25">
      <c r="A16" s="6">
        <v>45390</v>
      </c>
      <c r="B16">
        <v>150.078</v>
      </c>
    </row>
    <row r="17" spans="1:2" x14ac:dyDescent="0.25">
      <c r="A17" s="6">
        <v>45397</v>
      </c>
      <c r="B17">
        <v>146.09200000000001</v>
      </c>
    </row>
    <row r="18" spans="1:2" x14ac:dyDescent="0.25">
      <c r="A18" s="6">
        <v>45404</v>
      </c>
      <c r="B18">
        <v>148.03399999999999</v>
      </c>
    </row>
    <row r="19" spans="1:2" x14ac:dyDescent="0.25">
      <c r="A19" s="6">
        <v>45411</v>
      </c>
      <c r="B19">
        <v>148.35599999999999</v>
      </c>
    </row>
    <row r="20" spans="1:2" x14ac:dyDescent="0.25">
      <c r="A20" s="6">
        <v>45418</v>
      </c>
      <c r="B20">
        <v>149.202</v>
      </c>
    </row>
    <row r="21" spans="1:2" x14ac:dyDescent="0.25">
      <c r="A21" s="6">
        <v>45425</v>
      </c>
      <c r="B21">
        <v>152.83799999999999</v>
      </c>
    </row>
    <row r="22" spans="1:2" x14ac:dyDescent="0.25">
      <c r="A22" s="6">
        <v>45432</v>
      </c>
      <c r="B22">
        <v>150.536</v>
      </c>
    </row>
    <row r="23" spans="1:2" x14ac:dyDescent="0.25">
      <c r="A23" s="6">
        <v>45439</v>
      </c>
      <c r="B23">
        <v>145.1925</v>
      </c>
    </row>
    <row r="24" spans="1:2" x14ac:dyDescent="0.25">
      <c r="A24" s="6">
        <v>45446</v>
      </c>
      <c r="B24">
        <v>147.00200000000001</v>
      </c>
    </row>
    <row r="25" spans="1:2" x14ac:dyDescent="0.25">
      <c r="A25" s="6">
        <v>45453</v>
      </c>
      <c r="B25">
        <v>146.05799999999999</v>
      </c>
    </row>
    <row r="26" spans="1:2" x14ac:dyDescent="0.25">
      <c r="A26" s="6">
        <v>45460</v>
      </c>
      <c r="B26">
        <v>147.0325</v>
      </c>
    </row>
    <row r="27" spans="1:2" x14ac:dyDescent="0.25">
      <c r="A27" s="6">
        <v>45467</v>
      </c>
      <c r="B27">
        <v>147.018</v>
      </c>
    </row>
    <row r="28" spans="1:2" x14ac:dyDescent="0.25">
      <c r="A28" s="6">
        <v>45474</v>
      </c>
      <c r="B28">
        <v>146.16</v>
      </c>
    </row>
    <row r="29" spans="1:2" x14ac:dyDescent="0.25">
      <c r="A29" s="6">
        <v>45481</v>
      </c>
      <c r="B29">
        <v>148.30799999999999</v>
      </c>
    </row>
    <row r="30" spans="1:2" x14ac:dyDescent="0.25">
      <c r="A30" s="6">
        <v>45488</v>
      </c>
      <c r="B30">
        <v>153.38800000000001</v>
      </c>
    </row>
    <row r="31" spans="1:2" x14ac:dyDescent="0.25">
      <c r="A31" s="6">
        <v>45495</v>
      </c>
      <c r="B31">
        <v>156.63</v>
      </c>
    </row>
    <row r="32" spans="1:2" x14ac:dyDescent="0.25">
      <c r="A32" s="6">
        <v>45502</v>
      </c>
      <c r="B32">
        <v>160.52799999999999</v>
      </c>
    </row>
    <row r="33" spans="1:2" x14ac:dyDescent="0.25">
      <c r="A33" s="6">
        <v>45509</v>
      </c>
      <c r="B33">
        <v>159.99199999999999</v>
      </c>
    </row>
    <row r="34" spans="1:2" x14ac:dyDescent="0.25">
      <c r="A34" s="6">
        <v>45516</v>
      </c>
      <c r="B34">
        <v>159.04599999999999</v>
      </c>
    </row>
    <row r="35" spans="1:2" x14ac:dyDescent="0.25">
      <c r="A35" s="6">
        <v>45523</v>
      </c>
      <c r="B35">
        <v>161.54</v>
      </c>
    </row>
    <row r="36" spans="1:2" x14ac:dyDescent="0.25">
      <c r="A36" s="6">
        <v>45530</v>
      </c>
      <c r="B36">
        <v>164.31399999999999</v>
      </c>
    </row>
    <row r="37" spans="1:2" x14ac:dyDescent="0.25">
      <c r="A37" s="6">
        <v>45537</v>
      </c>
      <c r="B37">
        <v>165.9725</v>
      </c>
    </row>
    <row r="38" spans="1:2" x14ac:dyDescent="0.25">
      <c r="A38" s="6">
        <v>45544</v>
      </c>
      <c r="B38">
        <v>165.79400000000001</v>
      </c>
    </row>
    <row r="39" spans="1:2" x14ac:dyDescent="0.25">
      <c r="A39" s="6">
        <v>45551</v>
      </c>
      <c r="B39">
        <v>165.83799999999999</v>
      </c>
    </row>
    <row r="40" spans="1:2" x14ac:dyDescent="0.25">
      <c r="A40" s="6">
        <v>45558</v>
      </c>
      <c r="B40">
        <v>161.87799999999999</v>
      </c>
    </row>
    <row r="41" spans="1:2" x14ac:dyDescent="0.25">
      <c r="A41" s="6">
        <v>45565</v>
      </c>
      <c r="B41">
        <v>161.202</v>
      </c>
    </row>
    <row r="42" spans="1:2" x14ac:dyDescent="0.25">
      <c r="A42" s="6">
        <v>45572</v>
      </c>
      <c r="B42">
        <v>160.36799999999999</v>
      </c>
    </row>
    <row r="43" spans="1:2" x14ac:dyDescent="0.25">
      <c r="A43" s="6">
        <v>45579</v>
      </c>
      <c r="B43">
        <v>163.91399999999999</v>
      </c>
    </row>
    <row r="44" spans="1:2" x14ac:dyDescent="0.25">
      <c r="A44" s="6">
        <v>45586</v>
      </c>
      <c r="B44">
        <v>163.33799999999999</v>
      </c>
    </row>
    <row r="45" spans="1:2" x14ac:dyDescent="0.25">
      <c r="A45" s="6">
        <v>45593</v>
      </c>
      <c r="B45">
        <v>160.458</v>
      </c>
    </row>
    <row r="46" spans="1:2" x14ac:dyDescent="0.25">
      <c r="A46" s="6">
        <v>45600</v>
      </c>
      <c r="B46">
        <v>157.334</v>
      </c>
    </row>
    <row r="47" spans="1:2" x14ac:dyDescent="0.25">
      <c r="A47" s="6">
        <v>45607</v>
      </c>
      <c r="B47">
        <v>153.358</v>
      </c>
    </row>
    <row r="48" spans="1:2" x14ac:dyDescent="0.25">
      <c r="A48" s="6">
        <v>45614</v>
      </c>
      <c r="B48">
        <v>154.31</v>
      </c>
    </row>
    <row r="49" spans="1:2" x14ac:dyDescent="0.25">
      <c r="A49" s="6">
        <v>45621</v>
      </c>
      <c r="B49">
        <v>155.17750000000001</v>
      </c>
    </row>
    <row r="50" spans="1:2" x14ac:dyDescent="0.25">
      <c r="A50" s="6">
        <v>45628</v>
      </c>
      <c r="B50">
        <v>151.292</v>
      </c>
    </row>
    <row r="51" spans="1:2" x14ac:dyDescent="0.25">
      <c r="A51" s="6">
        <v>45635</v>
      </c>
      <c r="B51">
        <v>147.666</v>
      </c>
    </row>
    <row r="52" spans="1:2" x14ac:dyDescent="0.25">
      <c r="A52" s="6">
        <v>45642</v>
      </c>
      <c r="B52">
        <v>144.61199999999999</v>
      </c>
    </row>
    <row r="53" spans="1:2" x14ac:dyDescent="0.25">
      <c r="A53" s="6">
        <v>45649</v>
      </c>
      <c r="B53">
        <v>145.4375</v>
      </c>
    </row>
    <row r="54" spans="1:2" x14ac:dyDescent="0.25">
      <c r="A54" s="6">
        <v>45656</v>
      </c>
      <c r="B54">
        <v>144.04250000000002</v>
      </c>
    </row>
    <row r="55" spans="1:2" x14ac:dyDescent="0.25">
      <c r="A55" s="6">
        <v>45663</v>
      </c>
      <c r="B55">
        <v>143.55500000000001</v>
      </c>
    </row>
    <row r="56" spans="1:2" x14ac:dyDescent="0.25">
      <c r="A56" s="6">
        <v>45670</v>
      </c>
      <c r="B56">
        <v>145.798</v>
      </c>
    </row>
    <row r="57" spans="1:2" x14ac:dyDescent="0.25">
      <c r="A57" s="6">
        <v>45677</v>
      </c>
      <c r="B57">
        <v>146.72</v>
      </c>
    </row>
    <row r="58" spans="1:2" x14ac:dyDescent="0.25">
      <c r="A58" s="6">
        <v>45684</v>
      </c>
      <c r="B58">
        <v>151.88800000000001</v>
      </c>
    </row>
    <row r="59" spans="1:2" x14ac:dyDescent="0.25">
      <c r="A59" s="6">
        <v>45691</v>
      </c>
      <c r="B59">
        <v>153.33600000000001</v>
      </c>
    </row>
    <row r="60" spans="1:2" x14ac:dyDescent="0.25">
      <c r="A60" s="6">
        <v>45698</v>
      </c>
      <c r="B60">
        <v>155.80600000000001</v>
      </c>
    </row>
    <row r="61" spans="1:2" x14ac:dyDescent="0.25">
      <c r="A61" s="6">
        <v>45705</v>
      </c>
      <c r="B61">
        <v>158.715</v>
      </c>
    </row>
    <row r="62" spans="1:2" x14ac:dyDescent="0.25">
      <c r="A62" s="6">
        <v>45712</v>
      </c>
      <c r="B62">
        <v>164.33199999999999</v>
      </c>
    </row>
    <row r="63" spans="1:2" x14ac:dyDescent="0.25">
      <c r="A63" s="6">
        <v>45719</v>
      </c>
      <c r="B63">
        <v>166.06800000000001</v>
      </c>
    </row>
    <row r="64" spans="1:2" x14ac:dyDescent="0.25">
      <c r="A64" s="6">
        <v>45726</v>
      </c>
      <c r="B64">
        <v>164.44200000000001</v>
      </c>
    </row>
    <row r="65" spans="1:2" x14ac:dyDescent="0.25">
      <c r="A65" s="6">
        <v>45733</v>
      </c>
      <c r="B65">
        <v>163.346</v>
      </c>
    </row>
    <row r="66" spans="1:2" x14ac:dyDescent="0.25">
      <c r="A66" s="6">
        <v>45740</v>
      </c>
      <c r="B66">
        <v>162.57400000000001</v>
      </c>
    </row>
    <row r="67" spans="1:2" x14ac:dyDescent="0.25">
      <c r="A67" s="6">
        <v>45747</v>
      </c>
      <c r="B67">
        <v>157.50200000000001</v>
      </c>
    </row>
    <row r="68" spans="1:2" x14ac:dyDescent="0.25">
      <c r="A68" s="6">
        <v>45754</v>
      </c>
      <c r="B68">
        <v>150.40199999999999</v>
      </c>
    </row>
    <row r="69" spans="1:2" x14ac:dyDescent="0.25">
      <c r="A69" s="6">
        <v>45761</v>
      </c>
      <c r="B69">
        <v>154.84</v>
      </c>
    </row>
    <row r="70" spans="1:2" x14ac:dyDescent="0.25">
      <c r="A70" s="6">
        <v>45768</v>
      </c>
      <c r="B70">
        <v>155.91200000000001</v>
      </c>
    </row>
    <row r="71" spans="1:2" x14ac:dyDescent="0.25">
      <c r="A71" s="6">
        <v>45775</v>
      </c>
      <c r="B71">
        <v>155.63</v>
      </c>
    </row>
    <row r="72" spans="1:2" x14ac:dyDescent="0.25">
      <c r="A72" s="6">
        <v>45782</v>
      </c>
      <c r="B72">
        <v>155.33000000000001</v>
      </c>
    </row>
    <row r="73" spans="1:2" x14ac:dyDescent="0.25">
      <c r="A73" s="6">
        <v>45789</v>
      </c>
      <c r="B73">
        <v>149.976</v>
      </c>
    </row>
    <row r="74" spans="1:2" x14ac:dyDescent="0.25">
      <c r="A74" s="6">
        <v>45796</v>
      </c>
      <c r="B74">
        <v>152.976</v>
      </c>
    </row>
    <row r="75" spans="1:2" x14ac:dyDescent="0.25">
      <c r="A75" s="6">
        <v>45803</v>
      </c>
      <c r="B75">
        <v>153.61750000000001</v>
      </c>
    </row>
    <row r="76" spans="1:2" x14ac:dyDescent="0.25">
      <c r="A76" s="6">
        <v>45810</v>
      </c>
      <c r="B76">
        <v>154.346</v>
      </c>
    </row>
    <row r="77" spans="1:2" x14ac:dyDescent="0.25">
      <c r="A77" s="6">
        <v>45817</v>
      </c>
      <c r="B77">
        <v>156.13999999999999</v>
      </c>
    </row>
    <row r="78" spans="1:2" x14ac:dyDescent="0.25">
      <c r="A78" s="6">
        <v>45824</v>
      </c>
      <c r="B78">
        <v>152.03</v>
      </c>
    </row>
    <row r="79" spans="1:2" x14ac:dyDescent="0.25">
      <c r="A79" s="6">
        <v>45831</v>
      </c>
      <c r="B79">
        <v>152.042</v>
      </c>
    </row>
    <row r="80" spans="1:2" x14ac:dyDescent="0.25">
      <c r="A80" s="6">
        <v>45838</v>
      </c>
      <c r="B80">
        <v>155.06</v>
      </c>
    </row>
    <row r="81" spans="1:2" x14ac:dyDescent="0.25">
      <c r="A81" s="6">
        <v>45845</v>
      </c>
      <c r="B81">
        <v>156.386</v>
      </c>
    </row>
    <row r="82" spans="1:2" x14ac:dyDescent="0.25">
      <c r="A82" s="6">
        <v>45852</v>
      </c>
      <c r="B82">
        <v>160.69</v>
      </c>
    </row>
    <row r="83" spans="1:2" x14ac:dyDescent="0.25">
      <c r="A83" s="6">
        <v>45859</v>
      </c>
      <c r="B83">
        <v>167.85</v>
      </c>
    </row>
    <row r="84" spans="1:2" x14ac:dyDescent="0.25">
      <c r="A84" s="6">
        <v>45866</v>
      </c>
      <c r="B84">
        <v>166.732</v>
      </c>
    </row>
    <row r="85" spans="1:2" x14ac:dyDescent="0.25">
      <c r="A85" s="6">
        <v>45873</v>
      </c>
      <c r="B85">
        <v>171.446</v>
      </c>
    </row>
    <row r="86" spans="1:2" x14ac:dyDescent="0.25">
      <c r="A86" s="6">
        <v>45880</v>
      </c>
      <c r="B86">
        <v>174.476</v>
      </c>
    </row>
    <row r="87" spans="1:2" x14ac:dyDescent="0.25">
      <c r="A87" s="6">
        <v>45887</v>
      </c>
      <c r="B87">
        <v>178.22200000000001</v>
      </c>
    </row>
    <row r="88" spans="1:2" x14ac:dyDescent="0.25">
      <c r="A88" s="6">
        <v>45894</v>
      </c>
      <c r="B88">
        <v>176.86199999999999</v>
      </c>
    </row>
    <row r="89" spans="1:2" x14ac:dyDescent="0.25">
      <c r="A89" s="6">
        <v>45901</v>
      </c>
      <c r="B89">
        <v>178.3125</v>
      </c>
    </row>
    <row r="90" spans="1:2" x14ac:dyDescent="0.25">
      <c r="A90" s="6">
        <v>45908</v>
      </c>
      <c r="B90">
        <v>177.488</v>
      </c>
    </row>
    <row r="91" spans="1:2" x14ac:dyDescent="0.25">
      <c r="A91" s="6">
        <v>45915</v>
      </c>
      <c r="B91">
        <v>176.28200000000001</v>
      </c>
    </row>
    <row r="92" spans="1:2" x14ac:dyDescent="0.25">
      <c r="A92" s="6">
        <v>45922</v>
      </c>
      <c r="B92">
        <v>176.98400000000001</v>
      </c>
    </row>
    <row r="93" spans="1:2" x14ac:dyDescent="0.25">
      <c r="A93" s="6">
        <v>45929</v>
      </c>
      <c r="B93">
        <v>185.542</v>
      </c>
    </row>
    <row r="94" spans="1:2" x14ac:dyDescent="0.25">
      <c r="A94" s="6">
        <v>45936</v>
      </c>
      <c r="B94">
        <v>189.708</v>
      </c>
    </row>
    <row r="95" spans="1:2" x14ac:dyDescent="0.25">
      <c r="A95" s="6">
        <v>45943</v>
      </c>
      <c r="B95">
        <v>191.65199999999999</v>
      </c>
    </row>
    <row r="96" spans="1:2" x14ac:dyDescent="0.25">
      <c r="A96" s="6">
        <v>45950</v>
      </c>
      <c r="B96">
        <v>192.28200000000001</v>
      </c>
    </row>
    <row r="97" spans="1:7" x14ac:dyDescent="0.25">
      <c r="A97" s="6">
        <v>45957</v>
      </c>
      <c r="B97">
        <v>188.35</v>
      </c>
    </row>
    <row r="98" spans="1:7" x14ac:dyDescent="0.25">
      <c r="A98" s="6">
        <v>45964</v>
      </c>
      <c r="B98">
        <v>186.53200000000001</v>
      </c>
    </row>
    <row r="99" spans="1:7" x14ac:dyDescent="0.25">
      <c r="A99" s="6">
        <v>45971</v>
      </c>
      <c r="B99">
        <v>193.56200000000001</v>
      </c>
    </row>
    <row r="100" spans="1:7" x14ac:dyDescent="0.25">
      <c r="A100" s="6">
        <v>45978</v>
      </c>
      <c r="B100">
        <v>201.81200000000001</v>
      </c>
    </row>
    <row r="101" spans="1:7" x14ac:dyDescent="0.25">
      <c r="A101" s="6">
        <v>45985</v>
      </c>
      <c r="B101">
        <v>206.8</v>
      </c>
    </row>
    <row r="102" spans="1:7" x14ac:dyDescent="0.25">
      <c r="A102" s="6">
        <v>45992</v>
      </c>
      <c r="B102">
        <v>204.1</v>
      </c>
    </row>
    <row r="103" spans="1:7" x14ac:dyDescent="0.25">
      <c r="A103" s="6">
        <v>45999</v>
      </c>
      <c r="B103">
        <v>205.94200000000001</v>
      </c>
    </row>
    <row r="104" spans="1:7" x14ac:dyDescent="0.25">
      <c r="A104" s="6">
        <v>46006</v>
      </c>
      <c r="B104">
        <v>209.696</v>
      </c>
    </row>
    <row r="105" spans="1:7" x14ac:dyDescent="0.25">
      <c r="A105" s="6">
        <v>46013</v>
      </c>
      <c r="B105">
        <v>207.1275</v>
      </c>
    </row>
    <row r="106" spans="1:7" x14ac:dyDescent="0.25">
      <c r="A106" s="6">
        <v>46020</v>
      </c>
      <c r="C106">
        <v>207.1925</v>
      </c>
      <c r="D106">
        <f>_xlfn.FORECAST.ETS(Weekly[[#This Row],[Week ]],B2:B105,A2:A105,1,1,1)</f>
        <v>207.46158238557558</v>
      </c>
      <c r="E106">
        <f>_xlfn.FORECAST.ETS.CONFINT(Weekly[[#This Row],[Week ]],B2:B105,A2:A105,0.95,1,1,1)</f>
        <v>6.0965024502191421</v>
      </c>
      <c r="F106">
        <f>Weekly[[#This Row],[Forecast]]-Weekly[[#This Row],[PI/CI]]</f>
        <v>201.36507993535645</v>
      </c>
      <c r="G106">
        <f>Weekly[[#This Row],[Forecast]]+Weekly[[#This Row],[PI/CI]]</f>
        <v>213.55808483579472</v>
      </c>
    </row>
    <row r="107" spans="1:7" x14ac:dyDescent="0.25">
      <c r="A107" s="6">
        <v>46027</v>
      </c>
      <c r="C107">
        <v>205.346</v>
      </c>
      <c r="D107">
        <f>_xlfn.FORECAST.ETS(Weekly[[#This Row],[Week ]],B3:B106,A3:A106,1,1,1)</f>
        <v>207.81333097570618</v>
      </c>
      <c r="E107">
        <f>_xlfn.FORECAST.ETS.CONFINT(Weekly[[#This Row],[Week ]],B3:B106,A3:A106,0.95,1,1,1)</f>
        <v>8.6533836928753853</v>
      </c>
      <c r="F107">
        <f>Weekly[[#This Row],[Forecast]]-Weekly[[#This Row],[PI/CI]]</f>
        <v>199.15994728283079</v>
      </c>
      <c r="G107">
        <f>Weekly[[#This Row],[Forecast]]+Weekly[[#This Row],[PI/CI]]</f>
        <v>216.46671466858157</v>
      </c>
    </row>
    <row r="108" spans="1:7" x14ac:dyDescent="0.25">
      <c r="A108" s="6">
        <v>46034</v>
      </c>
      <c r="C108">
        <v>216.03</v>
      </c>
      <c r="D108">
        <f>_xlfn.FORECAST.ETS(Weekly[[#This Row],[Week ]],B4:B107,A4:A107,1,1,1)</f>
        <v>208.185551642343</v>
      </c>
      <c r="E108">
        <f>_xlfn.FORECAST.ETS.CONFINT(Weekly[[#This Row],[Week ]],B4:B107,A4:A107,0.95,1,1,1)</f>
        <v>10.651412080655613</v>
      </c>
      <c r="F108">
        <f>Weekly[[#This Row],[Forecast]]-Weekly[[#This Row],[PI/CI]]</f>
        <v>197.5341395616874</v>
      </c>
      <c r="G108">
        <f>Weekly[[#This Row],[Forecast]]+Weekly[[#This Row],[PI/CI]]</f>
        <v>218.8369637229986</v>
      </c>
    </row>
    <row r="109" spans="1:7" x14ac:dyDescent="0.25">
      <c r="A109" s="6">
        <v>46041</v>
      </c>
      <c r="C109">
        <v>218.71250000000001</v>
      </c>
      <c r="D109">
        <f>_xlfn.FORECAST.ETS(Weekly[[#This Row],[Week ]],B5:B108,A5:A108,1,1,1)</f>
        <v>208.57704697728599</v>
      </c>
      <c r="E109">
        <f>_xlfn.FORECAST.ETS.CONFINT(Weekly[[#This Row],[Week ]],B5:B108,A5:A108,0.95,1,1,1)</f>
        <v>12.361465844989031</v>
      </c>
      <c r="F109">
        <f>Weekly[[#This Row],[Forecast]]-Weekly[[#This Row],[PI/CI]]</f>
        <v>196.21558113229696</v>
      </c>
      <c r="G109">
        <f>Weekly[[#This Row],[Forecast]]+Weekly[[#This Row],[PI/CI]]</f>
        <v>220.93851282227502</v>
      </c>
    </row>
    <row r="110" spans="1:7" x14ac:dyDescent="0.25">
      <c r="A110" s="6">
        <v>46048</v>
      </c>
      <c r="C110">
        <v>225.63800000000001</v>
      </c>
      <c r="D110">
        <f>_xlfn.FORECAST.ETS(Weekly[[#This Row],[Week ]],B6:B109,A6:A109,1,1,1)</f>
        <v>208.98709228922891</v>
      </c>
      <c r="E110">
        <f>_xlfn.FORECAST.ETS.CONFINT(Weekly[[#This Row],[Week ]],B6:B109,A6:A109,0.95,1,1,1)</f>
        <v>13.63610870574608</v>
      </c>
      <c r="F110">
        <f>Weekly[[#This Row],[Forecast]]-Weekly[[#This Row],[PI/CI]]</f>
        <v>195.35098358348284</v>
      </c>
      <c r="G110">
        <f>Weekly[[#This Row],[Forecast]]+Weekly[[#This Row],[PI/CI]]</f>
        <v>222.62320099497498</v>
      </c>
    </row>
    <row r="111" spans="1:7" x14ac:dyDescent="0.25">
      <c r="A111" s="6">
        <v>46055</v>
      </c>
      <c r="D111">
        <f>_xlfn.FORECAST.ETS(Weekly[[#This Row],[Week ]],B7:B110,A7:A110,1,1,1)</f>
        <v>209.41219825602968</v>
      </c>
      <c r="E111">
        <f>_xlfn.FORECAST.ETS.CONFINT(Weekly[[#This Row],[Week ]],B7:B110,A7:A110,0.95,1,1,1)</f>
        <v>15.002216741890278</v>
      </c>
      <c r="F111">
        <f>Weekly[[#This Row],[Forecast]]-Weekly[[#This Row],[PI/CI]]</f>
        <v>194.40998151413942</v>
      </c>
      <c r="G111">
        <f>Weekly[[#This Row],[Forecast]]+Weekly[[#This Row],[PI/CI]]</f>
        <v>224.41441499791995</v>
      </c>
    </row>
    <row r="112" spans="1:7" x14ac:dyDescent="0.25">
      <c r="A112" s="6">
        <v>46062</v>
      </c>
      <c r="D112">
        <f>_xlfn.FORECAST.ETS(Weekly[[#This Row],[Week ]],B8:B111,A8:A111,1,1,1)</f>
        <v>209.85104286606864</v>
      </c>
      <c r="E112">
        <f>_xlfn.FORECAST.ETS.CONFINT(Weekly[[#This Row],[Week ]],B8:B111,A8:A111,0.95,1,1,1)</f>
        <v>16.295006625389124</v>
      </c>
      <c r="F112">
        <f>Weekly[[#This Row],[Forecast]]-Weekly[[#This Row],[PI/CI]]</f>
        <v>193.5560362406795</v>
      </c>
      <c r="G112">
        <f>Weekly[[#This Row],[Forecast]]+Weekly[[#This Row],[PI/CI]]</f>
        <v>226.14604949145777</v>
      </c>
    </row>
    <row r="113" spans="1:7" x14ac:dyDescent="0.25">
      <c r="A113" s="6">
        <v>46069</v>
      </c>
      <c r="D113">
        <f>_xlfn.FORECAST.ETS(Weekly[[#This Row],[Week ]],B9:B112,A9:A112,1,1,1)</f>
        <v>220.51777330360923</v>
      </c>
      <c r="E113">
        <f>_xlfn.FORECAST.ETS.CONFINT(Weekly[[#This Row],[Week ]],B9:B112,A9:A112,0.95,1,1,1)</f>
        <v>23.743097635019303</v>
      </c>
      <c r="F113">
        <f>Weekly[[#This Row],[Forecast]]-Weekly[[#This Row],[PI/CI]]</f>
        <v>196.77467566858994</v>
      </c>
      <c r="G113">
        <f>Weekly[[#This Row],[Forecast]]+Weekly[[#This Row],[PI/CI]]</f>
        <v>244.26087093862853</v>
      </c>
    </row>
    <row r="114" spans="1:7" x14ac:dyDescent="0.25">
      <c r="A114" s="6">
        <v>46076</v>
      </c>
      <c r="D114">
        <f>_xlfn.FORECAST.ETS(Weekly[[#This Row],[Week ]],B10:B113,A10:A113,1,1,1)</f>
        <v>210.80144360078677</v>
      </c>
      <c r="E114">
        <f>_xlfn.FORECAST.ETS.CONFINT(Weekly[[#This Row],[Week ]],B10:B113,A10:A113,0.95,1,1,1)</f>
        <v>18.57450259600256</v>
      </c>
      <c r="F114">
        <f>Weekly[[#This Row],[Forecast]]-Weekly[[#This Row],[PI/CI]]</f>
        <v>192.22694100478421</v>
      </c>
      <c r="G114">
        <f>Weekly[[#This Row],[Forecast]]+Weekly[[#This Row],[PI/CI]]</f>
        <v>229.37594619678933</v>
      </c>
    </row>
    <row r="115" spans="1:7" x14ac:dyDescent="0.25">
      <c r="A115" s="6">
        <v>46083</v>
      </c>
      <c r="D115">
        <f>_xlfn.FORECAST.ETS(Weekly[[#This Row],[Week ]],B11:B114,A11:A114,1,1,1)</f>
        <v>223.86306268074196</v>
      </c>
      <c r="E115">
        <f>_xlfn.FORECAST.ETS.CONFINT(Weekly[[#This Row],[Week ]],B11:B114,A11:A114,0.95,1,1,1)</f>
        <v>28.854104528587307</v>
      </c>
      <c r="F115">
        <f>Weekly[[#This Row],[Forecast]]-Weekly[[#This Row],[PI/CI]]</f>
        <v>195.00895815215466</v>
      </c>
      <c r="G115">
        <f>Weekly[[#This Row],[Forecast]]+Weekly[[#This Row],[PI/CI]]</f>
        <v>252.71716720932926</v>
      </c>
    </row>
    <row r="116" spans="1:7" x14ac:dyDescent="0.25">
      <c r="A116" s="6">
        <v>46090</v>
      </c>
      <c r="D116">
        <f>_xlfn.FORECAST.ETS(Weekly[[#This Row],[Week ]],B12:B115,A12:A115,1,1,1)</f>
        <v>225.53564881950879</v>
      </c>
      <c r="E116">
        <f>_xlfn.FORECAST.ETS.CONFINT(Weekly[[#This Row],[Week ]],B12:B115,A12:A115,0.95,1,1,1)</f>
        <v>31.528781640655193</v>
      </c>
      <c r="F116">
        <f>Weekly[[#This Row],[Forecast]]-Weekly[[#This Row],[PI/CI]]</f>
        <v>194.00686717885361</v>
      </c>
      <c r="G116">
        <f>Weekly[[#This Row],[Forecast]]+Weekly[[#This Row],[PI/CI]]</f>
        <v>257.06443046016398</v>
      </c>
    </row>
    <row r="117" spans="1:7" x14ac:dyDescent="0.25">
      <c r="A117" s="6">
        <v>46097</v>
      </c>
      <c r="D117">
        <f>_xlfn.FORECAST.ETS(Weekly[[#This Row],[Week ]],B13:B116,A13:A116,1,1,1)</f>
        <v>227.20866834161316</v>
      </c>
      <c r="E117">
        <f>_xlfn.FORECAST.ETS.CONFINT(Weekly[[#This Row],[Week ]],B13:B116,A13:A116,0.95,1,1,1)</f>
        <v>33.897889111047398</v>
      </c>
      <c r="F117">
        <f>Weekly[[#This Row],[Forecast]]-Weekly[[#This Row],[PI/CI]]</f>
        <v>193.31077923056577</v>
      </c>
      <c r="G117">
        <f>Weekly[[#This Row],[Forecast]]+Weekly[[#This Row],[PI/CI]]</f>
        <v>261.10655745266058</v>
      </c>
    </row>
    <row r="118" spans="1:7" x14ac:dyDescent="0.25">
      <c r="A118" s="6">
        <v>46104</v>
      </c>
      <c r="D118">
        <f>_xlfn.FORECAST.ETS(Weekly[[#This Row],[Week ]],B14:B117,A14:A117,1,1,1)</f>
        <v>228.88128644234564</v>
      </c>
      <c r="E118">
        <f>_xlfn.FORECAST.ETS.CONFINT(Weekly[[#This Row],[Week ]],B14:B117,A14:A117,0.95,1,1,1)</f>
        <v>36.689860000076486</v>
      </c>
      <c r="F118">
        <f>Weekly[[#This Row],[Forecast]]-Weekly[[#This Row],[PI/CI]]</f>
        <v>192.19142644226915</v>
      </c>
      <c r="G118">
        <f>Weekly[[#This Row],[Forecast]]+Weekly[[#This Row],[PI/CI]]</f>
        <v>265.5711464424221</v>
      </c>
    </row>
    <row r="119" spans="1:7" x14ac:dyDescent="0.25">
      <c r="A119" s="6">
        <v>46111</v>
      </c>
      <c r="D119">
        <f>_xlfn.FORECAST.ETS(Weekly[[#This Row],[Week ]],B15:B118,A15:A118,1,1,1)</f>
        <v>230.55420745317318</v>
      </c>
      <c r="E119">
        <f>_xlfn.FORECAST.ETS.CONFINT(Weekly[[#This Row],[Week ]],B15:B118,A15:A118,0.95,1,1,1)</f>
        <v>39.492926424834707</v>
      </c>
      <c r="F119">
        <f>Weekly[[#This Row],[Forecast]]-Weekly[[#This Row],[PI/CI]]</f>
        <v>191.06128102833847</v>
      </c>
      <c r="G119">
        <f>Weekly[[#This Row],[Forecast]]+Weekly[[#This Row],[PI/CI]]</f>
        <v>270.04713387800791</v>
      </c>
    </row>
    <row r="120" spans="1:7" x14ac:dyDescent="0.25">
      <c r="A120" s="6">
        <v>46118</v>
      </c>
      <c r="D120">
        <f>_xlfn.FORECAST.ETS(Weekly[[#This Row],[Week ]],B16:B119,A16:A119,1,1,1)</f>
        <v>232.22760913226355</v>
      </c>
      <c r="E120">
        <f>_xlfn.FORECAST.ETS.CONFINT(Weekly[[#This Row],[Week ]],B16:B119,A16:A119,0.95,1,1,1)</f>
        <v>41.802708078303553</v>
      </c>
      <c r="F120">
        <f>Weekly[[#This Row],[Forecast]]-Weekly[[#This Row],[PI/CI]]</f>
        <v>190.42490105396001</v>
      </c>
      <c r="G120">
        <f>Weekly[[#This Row],[Forecast]]+Weekly[[#This Row],[PI/CI]]</f>
        <v>274.03031721056709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D021-A971-4727-BB2D-F8CA9CE74847}">
  <dimension ref="A1:B523"/>
  <sheetViews>
    <sheetView workbookViewId="0">
      <selection sqref="A1:B523"/>
    </sheetView>
  </sheetViews>
  <sheetFormatPr defaultRowHeight="15" x14ac:dyDescent="0.25"/>
  <cols>
    <col min="1" max="1" width="10.42578125" style="7" bestFit="1" customWidth="1"/>
  </cols>
  <sheetData>
    <row r="1" spans="1:2" x14ac:dyDescent="0.25">
      <c r="A1" s="7" t="s">
        <v>7</v>
      </c>
      <c r="B1" t="s">
        <v>8</v>
      </c>
    </row>
    <row r="2" spans="1:2" x14ac:dyDescent="0.25">
      <c r="A2" s="7">
        <v>45292</v>
      </c>
      <c r="B2" vm="2">
        <v>159.97</v>
      </c>
    </row>
    <row r="3" spans="1:2" x14ac:dyDescent="0.25">
      <c r="A3" s="7">
        <v>45292</v>
      </c>
      <c r="B3" vm="5">
        <v>160.97</v>
      </c>
    </row>
    <row r="4" spans="1:2" x14ac:dyDescent="0.25">
      <c r="A4" s="7">
        <v>45292</v>
      </c>
      <c r="B4" vm="8">
        <v>160.63</v>
      </c>
    </row>
    <row r="5" spans="1:2" x14ac:dyDescent="0.25">
      <c r="A5" s="7">
        <v>45292</v>
      </c>
      <c r="B5" vm="11">
        <v>161.13</v>
      </c>
    </row>
    <row r="6" spans="1:2" x14ac:dyDescent="0.25">
      <c r="A6" s="7">
        <v>45299</v>
      </c>
      <c r="B6" vm="14">
        <v>161.53</v>
      </c>
    </row>
    <row r="7" spans="1:2" x14ac:dyDescent="0.25">
      <c r="A7" s="7">
        <v>45299</v>
      </c>
      <c r="B7" vm="17">
        <v>161.63</v>
      </c>
    </row>
    <row r="8" spans="1:2" x14ac:dyDescent="0.25">
      <c r="A8" s="7">
        <v>45299</v>
      </c>
      <c r="B8" vm="20">
        <v>161.87</v>
      </c>
    </row>
    <row r="9" spans="1:2" x14ac:dyDescent="0.25">
      <c r="A9" s="7">
        <v>45299</v>
      </c>
      <c r="B9" vm="23">
        <v>161.15</v>
      </c>
    </row>
    <row r="10" spans="1:2" x14ac:dyDescent="0.25">
      <c r="A10" s="7">
        <v>45299</v>
      </c>
      <c r="B10" vm="26">
        <v>162.38999999999999</v>
      </c>
    </row>
    <row r="11" spans="1:2" x14ac:dyDescent="0.25">
      <c r="A11" s="7">
        <v>45306</v>
      </c>
      <c r="B11" vm="29">
        <v>160.52000000000001</v>
      </c>
    </row>
    <row r="12" spans="1:2" x14ac:dyDescent="0.25">
      <c r="A12" s="7">
        <v>45306</v>
      </c>
      <c r="B12" vm="32">
        <v>160.43</v>
      </c>
    </row>
    <row r="13" spans="1:2" x14ac:dyDescent="0.25">
      <c r="A13" s="7">
        <v>45306</v>
      </c>
      <c r="B13" vm="35">
        <v>161.21</v>
      </c>
    </row>
    <row r="14" spans="1:2" x14ac:dyDescent="0.25">
      <c r="A14" s="7">
        <v>45306</v>
      </c>
      <c r="B14" vm="38">
        <v>161.68</v>
      </c>
    </row>
    <row r="15" spans="1:2" x14ac:dyDescent="0.25">
      <c r="A15" s="7">
        <v>45313</v>
      </c>
      <c r="B15" vm="41">
        <v>162.47</v>
      </c>
    </row>
    <row r="16" spans="1:2" x14ac:dyDescent="0.25">
      <c r="A16" s="7">
        <v>45313</v>
      </c>
      <c r="B16" vm="44">
        <v>159.81</v>
      </c>
    </row>
    <row r="17" spans="1:2" x14ac:dyDescent="0.25">
      <c r="A17" s="7">
        <v>45313</v>
      </c>
      <c r="B17" vm="47">
        <v>158.96</v>
      </c>
    </row>
    <row r="18" spans="1:2" x14ac:dyDescent="0.25">
      <c r="A18" s="7">
        <v>45313</v>
      </c>
      <c r="B18" vm="50">
        <v>159.56</v>
      </c>
    </row>
    <row r="19" spans="1:2" x14ac:dyDescent="0.25">
      <c r="A19" s="7">
        <v>45313</v>
      </c>
      <c r="B19" vm="53">
        <v>159.5</v>
      </c>
    </row>
    <row r="20" spans="1:2" x14ac:dyDescent="0.25">
      <c r="A20" s="7">
        <v>45320</v>
      </c>
      <c r="B20" vm="56">
        <v>159.36000000000001</v>
      </c>
    </row>
    <row r="21" spans="1:2" x14ac:dyDescent="0.25">
      <c r="A21" s="7">
        <v>45320</v>
      </c>
      <c r="B21" vm="59">
        <v>158.77000000000001</v>
      </c>
    </row>
    <row r="22" spans="1:2" x14ac:dyDescent="0.25">
      <c r="A22" s="7">
        <v>45320</v>
      </c>
      <c r="B22" vm="62">
        <v>158.9</v>
      </c>
    </row>
    <row r="23" spans="1:2" x14ac:dyDescent="0.25">
      <c r="A23" s="7">
        <v>45320</v>
      </c>
      <c r="B23" vm="65">
        <v>158.36000000000001</v>
      </c>
    </row>
    <row r="24" spans="1:2" x14ac:dyDescent="0.25">
      <c r="A24" s="7">
        <v>45320</v>
      </c>
      <c r="B24" vm="68">
        <v>156.61000000000001</v>
      </c>
    </row>
    <row r="25" spans="1:2" x14ac:dyDescent="0.25">
      <c r="A25" s="7">
        <v>45327</v>
      </c>
      <c r="B25" vm="71">
        <v>155.80000000000001</v>
      </c>
    </row>
    <row r="26" spans="1:2" x14ac:dyDescent="0.25">
      <c r="A26" s="7">
        <v>45327</v>
      </c>
      <c r="B26" vm="74">
        <v>158.06</v>
      </c>
    </row>
    <row r="27" spans="1:2" x14ac:dyDescent="0.25">
      <c r="A27" s="7">
        <v>45327</v>
      </c>
      <c r="B27" vm="77">
        <v>157.97999999999999</v>
      </c>
    </row>
    <row r="28" spans="1:2" x14ac:dyDescent="0.25">
      <c r="A28" s="7">
        <v>45327</v>
      </c>
      <c r="B28" vm="80">
        <v>156.4</v>
      </c>
    </row>
    <row r="29" spans="1:2" x14ac:dyDescent="0.25">
      <c r="A29" s="7">
        <v>45327</v>
      </c>
      <c r="B29" vm="83">
        <v>156.76</v>
      </c>
    </row>
    <row r="30" spans="1:2" x14ac:dyDescent="0.25">
      <c r="A30" s="7">
        <v>45334</v>
      </c>
      <c r="B30" vm="86">
        <v>157.85</v>
      </c>
    </row>
    <row r="31" spans="1:2" x14ac:dyDescent="0.25">
      <c r="A31" s="7">
        <v>45334</v>
      </c>
      <c r="B31" vm="89">
        <v>156.47</v>
      </c>
    </row>
    <row r="32" spans="1:2" x14ac:dyDescent="0.25">
      <c r="A32" s="7">
        <v>45334</v>
      </c>
      <c r="B32" vm="92">
        <v>155.74</v>
      </c>
    </row>
    <row r="33" spans="1:2" x14ac:dyDescent="0.25">
      <c r="A33" s="7">
        <v>45334</v>
      </c>
      <c r="B33" vm="95">
        <v>157.91999999999999</v>
      </c>
    </row>
    <row r="34" spans="1:2" x14ac:dyDescent="0.25">
      <c r="A34" s="7">
        <v>45334</v>
      </c>
      <c r="B34" vm="98">
        <v>156.55000000000001</v>
      </c>
    </row>
    <row r="35" spans="1:2" x14ac:dyDescent="0.25">
      <c r="A35" s="7">
        <v>45341</v>
      </c>
      <c r="B35" vm="101">
        <v>157.86000000000001</v>
      </c>
    </row>
    <row r="36" spans="1:2" x14ac:dyDescent="0.25">
      <c r="A36" s="7">
        <v>45341</v>
      </c>
      <c r="B36" vm="104">
        <v>158.68</v>
      </c>
    </row>
    <row r="37" spans="1:2" x14ac:dyDescent="0.25">
      <c r="A37" s="7">
        <v>45341</v>
      </c>
      <c r="B37" vm="107">
        <v>160.44999999999999</v>
      </c>
    </row>
    <row r="38" spans="1:2" x14ac:dyDescent="0.25">
      <c r="A38" s="7">
        <v>45341</v>
      </c>
      <c r="B38" vm="110">
        <v>161.84</v>
      </c>
    </row>
    <row r="39" spans="1:2" x14ac:dyDescent="0.25">
      <c r="A39" s="7">
        <v>45348</v>
      </c>
      <c r="B39" vm="113">
        <v>160.79</v>
      </c>
    </row>
    <row r="40" spans="1:2" x14ac:dyDescent="0.25">
      <c r="A40" s="7">
        <v>45348</v>
      </c>
      <c r="B40" vm="116">
        <v>160.97999999999999</v>
      </c>
    </row>
    <row r="41" spans="1:2" x14ac:dyDescent="0.25">
      <c r="A41" s="7">
        <v>45348</v>
      </c>
      <c r="B41" vm="119">
        <v>161.55000000000001</v>
      </c>
    </row>
    <row r="42" spans="1:2" x14ac:dyDescent="0.25">
      <c r="A42" s="7">
        <v>45348</v>
      </c>
      <c r="B42" vm="122">
        <v>161.38</v>
      </c>
    </row>
    <row r="43" spans="1:2" x14ac:dyDescent="0.25">
      <c r="A43" s="7">
        <v>45348</v>
      </c>
      <c r="B43" vm="125">
        <v>162.12</v>
      </c>
    </row>
    <row r="44" spans="1:2" x14ac:dyDescent="0.25">
      <c r="A44" s="7">
        <v>45355</v>
      </c>
      <c r="B44" vm="128">
        <v>159.84</v>
      </c>
    </row>
    <row r="45" spans="1:2" x14ac:dyDescent="0.25">
      <c r="A45" s="7">
        <v>45355</v>
      </c>
      <c r="B45" vm="2">
        <v>159.97</v>
      </c>
    </row>
    <row r="46" spans="1:2" x14ac:dyDescent="0.25">
      <c r="A46" s="7">
        <v>45355</v>
      </c>
      <c r="B46" vm="133">
        <v>159.34</v>
      </c>
    </row>
    <row r="47" spans="1:2" x14ac:dyDescent="0.25">
      <c r="A47" s="7">
        <v>45355</v>
      </c>
      <c r="B47" vm="136">
        <v>158.87</v>
      </c>
    </row>
    <row r="48" spans="1:2" x14ac:dyDescent="0.25">
      <c r="A48" s="7">
        <v>45355</v>
      </c>
      <c r="B48" vm="139">
        <v>159.52000000000001</v>
      </c>
    </row>
    <row r="49" spans="1:2" x14ac:dyDescent="0.25">
      <c r="A49" s="7">
        <v>45362</v>
      </c>
      <c r="B49" vm="142">
        <v>161.22999999999999</v>
      </c>
    </row>
    <row r="50" spans="1:2" x14ac:dyDescent="0.25">
      <c r="A50" s="7">
        <v>45362</v>
      </c>
      <c r="B50" vm="145">
        <v>162.74</v>
      </c>
    </row>
    <row r="51" spans="1:2" x14ac:dyDescent="0.25">
      <c r="A51" s="7">
        <v>45362</v>
      </c>
      <c r="B51" vm="148">
        <v>161.1</v>
      </c>
    </row>
    <row r="52" spans="1:2" x14ac:dyDescent="0.25">
      <c r="A52" s="7">
        <v>45362</v>
      </c>
      <c r="B52" vm="151">
        <v>159.21</v>
      </c>
    </row>
    <row r="53" spans="1:2" x14ac:dyDescent="0.25">
      <c r="A53" s="7">
        <v>45362</v>
      </c>
      <c r="B53" vm="154">
        <v>158.18</v>
      </c>
    </row>
    <row r="54" spans="1:2" x14ac:dyDescent="0.25">
      <c r="A54" s="7">
        <v>45369</v>
      </c>
      <c r="B54" vm="83">
        <v>156.76</v>
      </c>
    </row>
    <row r="55" spans="1:2" x14ac:dyDescent="0.25">
      <c r="A55" s="7">
        <v>45369</v>
      </c>
      <c r="B55" vm="159">
        <v>156.21</v>
      </c>
    </row>
    <row r="56" spans="1:2" x14ac:dyDescent="0.25">
      <c r="A56" s="7">
        <v>45369</v>
      </c>
      <c r="B56" vm="162">
        <v>155.76</v>
      </c>
    </row>
    <row r="57" spans="1:2" x14ac:dyDescent="0.25">
      <c r="A57" s="7">
        <v>45369</v>
      </c>
      <c r="B57" vm="165">
        <v>155.75</v>
      </c>
    </row>
    <row r="58" spans="1:2" x14ac:dyDescent="0.25">
      <c r="A58" s="7">
        <v>45369</v>
      </c>
      <c r="B58" vm="168">
        <v>155.22999999999999</v>
      </c>
    </row>
    <row r="59" spans="1:2" x14ac:dyDescent="0.25">
      <c r="A59" s="7">
        <v>45376</v>
      </c>
      <c r="B59" vm="171">
        <v>155.22</v>
      </c>
    </row>
    <row r="60" spans="1:2" x14ac:dyDescent="0.25">
      <c r="A60" s="7">
        <v>45376</v>
      </c>
      <c r="B60" vm="174">
        <v>155.77000000000001</v>
      </c>
    </row>
    <row r="61" spans="1:2" x14ac:dyDescent="0.25">
      <c r="A61" s="7">
        <v>45376</v>
      </c>
      <c r="B61" vm="177">
        <v>157.96</v>
      </c>
    </row>
    <row r="62" spans="1:2" x14ac:dyDescent="0.25">
      <c r="A62" s="7">
        <v>45376</v>
      </c>
      <c r="B62" vm="180">
        <v>158.19</v>
      </c>
    </row>
    <row r="63" spans="1:2" x14ac:dyDescent="0.25">
      <c r="A63" s="7">
        <v>45383</v>
      </c>
      <c r="B63" vm="183">
        <v>157.78</v>
      </c>
    </row>
    <row r="64" spans="1:2" x14ac:dyDescent="0.25">
      <c r="A64" s="7">
        <v>45383</v>
      </c>
      <c r="B64" vm="186">
        <v>157.72999999999999</v>
      </c>
    </row>
    <row r="65" spans="1:2" x14ac:dyDescent="0.25">
      <c r="A65" s="7">
        <v>45383</v>
      </c>
      <c r="B65" vm="189">
        <v>154.26</v>
      </c>
    </row>
    <row r="66" spans="1:2" x14ac:dyDescent="0.25">
      <c r="A66" s="7">
        <v>45383</v>
      </c>
      <c r="B66" vm="192">
        <v>152.5</v>
      </c>
    </row>
    <row r="67" spans="1:2" x14ac:dyDescent="0.25">
      <c r="A67" s="7">
        <v>45383</v>
      </c>
      <c r="B67" vm="195">
        <v>152.38999999999999</v>
      </c>
    </row>
    <row r="68" spans="1:2" x14ac:dyDescent="0.25">
      <c r="A68" s="7">
        <v>45390</v>
      </c>
      <c r="B68" vm="198">
        <v>151.59</v>
      </c>
    </row>
    <row r="69" spans="1:2" x14ac:dyDescent="0.25">
      <c r="A69" s="7">
        <v>45390</v>
      </c>
      <c r="B69" vm="201">
        <v>152.29</v>
      </c>
    </row>
    <row r="70" spans="1:2" x14ac:dyDescent="0.25">
      <c r="A70" s="7">
        <v>45390</v>
      </c>
      <c r="B70" vm="204">
        <v>150.19999999999999</v>
      </c>
    </row>
    <row r="71" spans="1:2" x14ac:dyDescent="0.25">
      <c r="A71" s="7">
        <v>45390</v>
      </c>
      <c r="B71" vm="207">
        <v>148.79</v>
      </c>
    </row>
    <row r="72" spans="1:2" x14ac:dyDescent="0.25">
      <c r="A72" s="7">
        <v>45390</v>
      </c>
      <c r="B72" vm="210">
        <v>147.52000000000001</v>
      </c>
    </row>
    <row r="73" spans="1:2" x14ac:dyDescent="0.25">
      <c r="A73" s="7">
        <v>45397</v>
      </c>
      <c r="B73" vm="213">
        <v>147.59</v>
      </c>
    </row>
    <row r="74" spans="1:2" x14ac:dyDescent="0.25">
      <c r="A74" s="7">
        <v>45397</v>
      </c>
      <c r="B74" vm="216">
        <v>144.44999999999999</v>
      </c>
    </row>
    <row r="75" spans="1:2" x14ac:dyDescent="0.25">
      <c r="A75" s="7">
        <v>45397</v>
      </c>
      <c r="B75" vm="219">
        <v>144.77000000000001</v>
      </c>
    </row>
    <row r="76" spans="1:2" x14ac:dyDescent="0.25">
      <c r="A76" s="7">
        <v>45397</v>
      </c>
      <c r="B76" vm="222">
        <v>145.74</v>
      </c>
    </row>
    <row r="77" spans="1:2" x14ac:dyDescent="0.25">
      <c r="A77" s="7">
        <v>45397</v>
      </c>
      <c r="B77" vm="225">
        <v>147.91</v>
      </c>
    </row>
    <row r="78" spans="1:2" x14ac:dyDescent="0.25">
      <c r="A78" s="7">
        <v>45404</v>
      </c>
      <c r="B78" vm="228">
        <v>149.12</v>
      </c>
    </row>
    <row r="79" spans="1:2" x14ac:dyDescent="0.25">
      <c r="A79" s="7">
        <v>45404</v>
      </c>
      <c r="B79" vm="231">
        <v>149.56</v>
      </c>
    </row>
    <row r="80" spans="1:2" x14ac:dyDescent="0.25">
      <c r="A80" s="7">
        <v>45404</v>
      </c>
      <c r="B80" vm="234">
        <v>148.53</v>
      </c>
    </row>
    <row r="81" spans="1:2" x14ac:dyDescent="0.25">
      <c r="A81" s="7">
        <v>45404</v>
      </c>
      <c r="B81" vm="237">
        <v>146.82</v>
      </c>
    </row>
    <row r="82" spans="1:2" x14ac:dyDescent="0.25">
      <c r="A82" s="7">
        <v>45404</v>
      </c>
      <c r="B82" vm="240">
        <v>146.13999999999999</v>
      </c>
    </row>
    <row r="83" spans="1:2" x14ac:dyDescent="0.25">
      <c r="A83" s="7">
        <v>45411</v>
      </c>
      <c r="B83" vm="237">
        <v>146.82</v>
      </c>
    </row>
    <row r="84" spans="1:2" x14ac:dyDescent="0.25">
      <c r="A84" s="7">
        <v>45411</v>
      </c>
      <c r="B84" vm="245">
        <v>144.59</v>
      </c>
    </row>
    <row r="85" spans="1:2" x14ac:dyDescent="0.25">
      <c r="A85" s="7">
        <v>45411</v>
      </c>
      <c r="B85" vm="248">
        <v>151.18</v>
      </c>
    </row>
    <row r="86" spans="1:2" x14ac:dyDescent="0.25">
      <c r="A86" s="7">
        <v>45411</v>
      </c>
      <c r="B86" vm="251">
        <v>149.91999999999999</v>
      </c>
    </row>
    <row r="87" spans="1:2" x14ac:dyDescent="0.25">
      <c r="A87" s="7">
        <v>45411</v>
      </c>
      <c r="B87" vm="254">
        <v>149.27000000000001</v>
      </c>
    </row>
    <row r="88" spans="1:2" x14ac:dyDescent="0.25">
      <c r="A88" s="7">
        <v>45418</v>
      </c>
      <c r="B88" vm="257">
        <v>148.58000000000001</v>
      </c>
    </row>
    <row r="89" spans="1:2" x14ac:dyDescent="0.25">
      <c r="A89" s="7">
        <v>45418</v>
      </c>
      <c r="B89" vm="260">
        <v>148.72</v>
      </c>
    </row>
    <row r="90" spans="1:2" x14ac:dyDescent="0.25">
      <c r="A90" s="7">
        <v>45418</v>
      </c>
      <c r="B90" vm="263">
        <v>148.94999999999999</v>
      </c>
    </row>
    <row r="91" spans="1:2" x14ac:dyDescent="0.25">
      <c r="A91" s="7">
        <v>45418</v>
      </c>
      <c r="B91" vm="266">
        <v>149.85</v>
      </c>
    </row>
    <row r="92" spans="1:2" x14ac:dyDescent="0.25">
      <c r="A92" s="7">
        <v>45418</v>
      </c>
      <c r="B92" vm="269">
        <v>149.91</v>
      </c>
    </row>
    <row r="93" spans="1:2" x14ac:dyDescent="0.25">
      <c r="A93" s="7">
        <v>45425</v>
      </c>
      <c r="B93" vm="272">
        <v>151.22</v>
      </c>
    </row>
    <row r="94" spans="1:2" x14ac:dyDescent="0.25">
      <c r="A94" s="7">
        <v>45425</v>
      </c>
      <c r="B94" vm="275">
        <v>151.38</v>
      </c>
    </row>
    <row r="95" spans="1:2" x14ac:dyDescent="0.25">
      <c r="A95" s="7">
        <v>45425</v>
      </c>
      <c r="B95" vm="278">
        <v>152.66999999999999</v>
      </c>
    </row>
    <row r="96" spans="1:2" x14ac:dyDescent="0.25">
      <c r="A96" s="7">
        <v>45425</v>
      </c>
      <c r="B96" vm="281">
        <v>154.28</v>
      </c>
    </row>
    <row r="97" spans="1:2" x14ac:dyDescent="0.25">
      <c r="A97" s="7">
        <v>45425</v>
      </c>
      <c r="B97" vm="284">
        <v>154.63999999999999</v>
      </c>
    </row>
    <row r="98" spans="1:2" x14ac:dyDescent="0.25">
      <c r="A98" s="7">
        <v>45432</v>
      </c>
      <c r="B98" vm="287">
        <v>151.27000000000001</v>
      </c>
    </row>
    <row r="99" spans="1:2" x14ac:dyDescent="0.25">
      <c r="A99" s="7">
        <v>45432</v>
      </c>
      <c r="B99" vm="290">
        <v>151.24</v>
      </c>
    </row>
    <row r="100" spans="1:2" x14ac:dyDescent="0.25">
      <c r="A100" s="7">
        <v>45432</v>
      </c>
      <c r="B100" vm="293">
        <v>153.5</v>
      </c>
    </row>
    <row r="101" spans="1:2" x14ac:dyDescent="0.25">
      <c r="A101" s="7">
        <v>45432</v>
      </c>
      <c r="B101" vm="296">
        <v>149.69999999999999</v>
      </c>
    </row>
    <row r="102" spans="1:2" x14ac:dyDescent="0.25">
      <c r="A102" s="7">
        <v>45432</v>
      </c>
      <c r="B102" vm="299">
        <v>146.97</v>
      </c>
    </row>
    <row r="103" spans="1:2" x14ac:dyDescent="0.25">
      <c r="A103" s="7">
        <v>45439</v>
      </c>
      <c r="B103" vm="302">
        <v>144.38</v>
      </c>
    </row>
    <row r="104" spans="1:2" x14ac:dyDescent="0.25">
      <c r="A104" s="7">
        <v>45439</v>
      </c>
      <c r="B104" vm="305">
        <v>144.44</v>
      </c>
    </row>
    <row r="105" spans="1:2" x14ac:dyDescent="0.25">
      <c r="A105" s="7">
        <v>45439</v>
      </c>
      <c r="B105" vm="308">
        <v>145.28</v>
      </c>
    </row>
    <row r="106" spans="1:2" x14ac:dyDescent="0.25">
      <c r="A106" s="7">
        <v>45439</v>
      </c>
      <c r="B106" vm="311">
        <v>146.66999999999999</v>
      </c>
    </row>
    <row r="107" spans="1:2" x14ac:dyDescent="0.25">
      <c r="A107" s="7">
        <v>45446</v>
      </c>
      <c r="B107" vm="314">
        <v>147.74</v>
      </c>
    </row>
    <row r="108" spans="1:2" x14ac:dyDescent="0.25">
      <c r="A108" s="7">
        <v>45446</v>
      </c>
      <c r="B108" vm="317">
        <v>147.80000000000001</v>
      </c>
    </row>
    <row r="109" spans="1:2" x14ac:dyDescent="0.25">
      <c r="A109" s="7">
        <v>45446</v>
      </c>
      <c r="B109" vm="320">
        <v>145.97</v>
      </c>
    </row>
    <row r="110" spans="1:2" x14ac:dyDescent="0.25">
      <c r="A110" s="7">
        <v>45446</v>
      </c>
      <c r="B110" vm="323">
        <v>146.41999999999999</v>
      </c>
    </row>
    <row r="111" spans="1:2" x14ac:dyDescent="0.25">
      <c r="A111" s="7">
        <v>45446</v>
      </c>
      <c r="B111" vm="326">
        <v>147.08000000000001</v>
      </c>
    </row>
    <row r="112" spans="1:2" x14ac:dyDescent="0.25">
      <c r="A112" s="7">
        <v>45453</v>
      </c>
      <c r="B112" vm="329">
        <v>147.13</v>
      </c>
    </row>
    <row r="113" spans="1:2" x14ac:dyDescent="0.25">
      <c r="A113" s="7">
        <v>45453</v>
      </c>
      <c r="B113" vm="332">
        <v>146.76</v>
      </c>
    </row>
    <row r="114" spans="1:2" x14ac:dyDescent="0.25">
      <c r="A114" s="7">
        <v>45453</v>
      </c>
      <c r="B114" vm="335">
        <v>145.41</v>
      </c>
    </row>
    <row r="115" spans="1:2" x14ac:dyDescent="0.25">
      <c r="A115" s="7">
        <v>45453</v>
      </c>
      <c r="B115" vm="338">
        <v>145.44999999999999</v>
      </c>
    </row>
    <row r="116" spans="1:2" x14ac:dyDescent="0.25">
      <c r="A116" s="7">
        <v>45453</v>
      </c>
      <c r="B116" vm="341">
        <v>145.54</v>
      </c>
    </row>
    <row r="117" spans="1:2" x14ac:dyDescent="0.25">
      <c r="A117" s="7">
        <v>45460</v>
      </c>
      <c r="B117" vm="344">
        <v>145.94999999999999</v>
      </c>
    </row>
    <row r="118" spans="1:2" x14ac:dyDescent="0.25">
      <c r="A118" s="7">
        <v>45460</v>
      </c>
      <c r="B118" vm="347">
        <v>145.65</v>
      </c>
    </row>
    <row r="119" spans="1:2" x14ac:dyDescent="0.25">
      <c r="A119" s="7">
        <v>45460</v>
      </c>
      <c r="B119" vm="350">
        <v>147.78</v>
      </c>
    </row>
    <row r="120" spans="1:2" x14ac:dyDescent="0.25">
      <c r="A120" s="7">
        <v>45460</v>
      </c>
      <c r="B120" vm="353">
        <v>148.75</v>
      </c>
    </row>
    <row r="121" spans="1:2" x14ac:dyDescent="0.25">
      <c r="A121" s="7">
        <v>45467</v>
      </c>
      <c r="B121" vm="228">
        <v>149.12</v>
      </c>
    </row>
    <row r="122" spans="1:2" x14ac:dyDescent="0.25">
      <c r="A122" s="7">
        <v>45467</v>
      </c>
      <c r="B122" vm="358">
        <v>147.19</v>
      </c>
    </row>
    <row r="123" spans="1:2" x14ac:dyDescent="0.25">
      <c r="A123" s="7">
        <v>45467</v>
      </c>
      <c r="B123" vm="237">
        <v>146.82</v>
      </c>
    </row>
    <row r="124" spans="1:2" x14ac:dyDescent="0.25">
      <c r="A124" s="7">
        <v>45467</v>
      </c>
      <c r="B124" vm="363">
        <v>145.80000000000001</v>
      </c>
    </row>
    <row r="125" spans="1:2" x14ac:dyDescent="0.25">
      <c r="A125" s="7">
        <v>45467</v>
      </c>
      <c r="B125" vm="366">
        <v>146.16</v>
      </c>
    </row>
    <row r="126" spans="1:2" x14ac:dyDescent="0.25">
      <c r="A126" s="7">
        <v>45474</v>
      </c>
      <c r="B126" vm="369">
        <v>146.44</v>
      </c>
    </row>
    <row r="127" spans="1:2" x14ac:dyDescent="0.25">
      <c r="A127" s="7">
        <v>45474</v>
      </c>
      <c r="B127" vm="372">
        <v>146.03</v>
      </c>
    </row>
    <row r="128" spans="1:2" x14ac:dyDescent="0.25">
      <c r="A128" s="7">
        <v>45474</v>
      </c>
      <c r="B128" vm="375">
        <v>145.69</v>
      </c>
    </row>
    <row r="129" spans="1:2" x14ac:dyDescent="0.25">
      <c r="A129" s="7">
        <v>45474</v>
      </c>
      <c r="B129" vm="378">
        <v>146.47999999999999</v>
      </c>
    </row>
    <row r="130" spans="1:2" x14ac:dyDescent="0.25">
      <c r="A130" s="7">
        <v>45481</v>
      </c>
      <c r="B130" vm="381">
        <v>145.47999999999999</v>
      </c>
    </row>
    <row r="131" spans="1:2" x14ac:dyDescent="0.25">
      <c r="A131" s="7">
        <v>45481</v>
      </c>
      <c r="B131" vm="384">
        <v>147.05000000000001</v>
      </c>
    </row>
    <row r="132" spans="1:2" x14ac:dyDescent="0.25">
      <c r="A132" s="7">
        <v>45481</v>
      </c>
      <c r="B132" vm="387">
        <v>149.43</v>
      </c>
    </row>
    <row r="133" spans="1:2" x14ac:dyDescent="0.25">
      <c r="A133" s="7">
        <v>45481</v>
      </c>
      <c r="B133" vm="296">
        <v>149.69999999999999</v>
      </c>
    </row>
    <row r="134" spans="1:2" x14ac:dyDescent="0.25">
      <c r="A134" s="7">
        <v>45481</v>
      </c>
      <c r="B134" vm="392">
        <v>149.88</v>
      </c>
    </row>
    <row r="135" spans="1:2" x14ac:dyDescent="0.25">
      <c r="A135" s="7">
        <v>45488</v>
      </c>
      <c r="B135" vm="395">
        <v>149.24</v>
      </c>
    </row>
    <row r="136" spans="1:2" x14ac:dyDescent="0.25">
      <c r="A136" s="7">
        <v>45488</v>
      </c>
      <c r="B136" vm="398">
        <v>151.01</v>
      </c>
    </row>
    <row r="137" spans="1:2" x14ac:dyDescent="0.25">
      <c r="A137" s="7">
        <v>45488</v>
      </c>
      <c r="B137" vm="401">
        <v>156.58000000000001</v>
      </c>
    </row>
    <row r="138" spans="1:2" x14ac:dyDescent="0.25">
      <c r="A138" s="7">
        <v>45488</v>
      </c>
      <c r="B138" vm="404">
        <v>155.41999999999999</v>
      </c>
    </row>
    <row r="139" spans="1:2" x14ac:dyDescent="0.25">
      <c r="A139" s="7">
        <v>45488</v>
      </c>
      <c r="B139" vm="407">
        <v>154.69</v>
      </c>
    </row>
    <row r="140" spans="1:2" x14ac:dyDescent="0.25">
      <c r="A140" s="7">
        <v>45495</v>
      </c>
      <c r="B140" vm="410">
        <v>154.24</v>
      </c>
    </row>
    <row r="141" spans="1:2" x14ac:dyDescent="0.25">
      <c r="A141" s="7">
        <v>45495</v>
      </c>
      <c r="B141" vm="413">
        <v>152.35</v>
      </c>
    </row>
    <row r="142" spans="1:2" x14ac:dyDescent="0.25">
      <c r="A142" s="7">
        <v>45495</v>
      </c>
      <c r="B142" vm="416">
        <v>156.28</v>
      </c>
    </row>
    <row r="143" spans="1:2" x14ac:dyDescent="0.25">
      <c r="A143" s="7">
        <v>45495</v>
      </c>
      <c r="B143" vm="419">
        <v>159.63999999999999</v>
      </c>
    </row>
    <row r="144" spans="1:2" x14ac:dyDescent="0.25">
      <c r="A144" s="7">
        <v>45495</v>
      </c>
      <c r="B144" vm="422">
        <v>160.63999999999999</v>
      </c>
    </row>
    <row r="145" spans="1:2" x14ac:dyDescent="0.25">
      <c r="A145" s="7">
        <v>45502</v>
      </c>
      <c r="B145" vm="425">
        <v>158.56</v>
      </c>
    </row>
    <row r="146" spans="1:2" x14ac:dyDescent="0.25">
      <c r="A146" s="7">
        <v>45502</v>
      </c>
      <c r="B146" vm="428">
        <v>161.33000000000001</v>
      </c>
    </row>
    <row r="147" spans="1:2" x14ac:dyDescent="0.25">
      <c r="A147" s="7">
        <v>45502</v>
      </c>
      <c r="B147" vm="86">
        <v>157.85</v>
      </c>
    </row>
    <row r="148" spans="1:2" x14ac:dyDescent="0.25">
      <c r="A148" s="7">
        <v>45502</v>
      </c>
      <c r="B148" vm="433">
        <v>160.76</v>
      </c>
    </row>
    <row r="149" spans="1:2" x14ac:dyDescent="0.25">
      <c r="A149" s="7">
        <v>45502</v>
      </c>
      <c r="B149" vm="436">
        <v>164.14</v>
      </c>
    </row>
    <row r="150" spans="1:2" x14ac:dyDescent="0.25">
      <c r="A150" s="7">
        <v>45509</v>
      </c>
      <c r="B150" vm="439">
        <v>161.25</v>
      </c>
    </row>
    <row r="151" spans="1:2" x14ac:dyDescent="0.25">
      <c r="A151" s="7">
        <v>45509</v>
      </c>
      <c r="B151" vm="442">
        <v>158.97</v>
      </c>
    </row>
    <row r="152" spans="1:2" x14ac:dyDescent="0.25">
      <c r="A152" s="7">
        <v>45509</v>
      </c>
      <c r="B152" vm="62">
        <v>158.9</v>
      </c>
    </row>
    <row r="153" spans="1:2" x14ac:dyDescent="0.25">
      <c r="A153" s="7">
        <v>45509</v>
      </c>
      <c r="B153" vm="447">
        <v>160.22</v>
      </c>
    </row>
    <row r="154" spans="1:2" x14ac:dyDescent="0.25">
      <c r="A154" s="7">
        <v>45509</v>
      </c>
      <c r="B154" vm="450">
        <v>160.62</v>
      </c>
    </row>
    <row r="155" spans="1:2" x14ac:dyDescent="0.25">
      <c r="A155" s="7">
        <v>45516</v>
      </c>
      <c r="B155" vm="453">
        <v>159.88</v>
      </c>
    </row>
    <row r="156" spans="1:2" x14ac:dyDescent="0.25">
      <c r="A156" s="7">
        <v>45516</v>
      </c>
      <c r="B156" vm="456">
        <v>158.38999999999999</v>
      </c>
    </row>
    <row r="157" spans="1:2" x14ac:dyDescent="0.25">
      <c r="A157" s="7">
        <v>45516</v>
      </c>
      <c r="B157" vm="459">
        <v>158.47999999999999</v>
      </c>
    </row>
    <row r="158" spans="1:2" x14ac:dyDescent="0.25">
      <c r="A158" s="7">
        <v>45516</v>
      </c>
      <c r="B158" vm="462">
        <v>159.09</v>
      </c>
    </row>
    <row r="159" spans="1:2" x14ac:dyDescent="0.25">
      <c r="A159" s="7">
        <v>45516</v>
      </c>
      <c r="B159" vm="465">
        <v>159.38999999999999</v>
      </c>
    </row>
    <row r="160" spans="1:2" x14ac:dyDescent="0.25">
      <c r="A160" s="7">
        <v>45523</v>
      </c>
      <c r="B160" vm="468">
        <v>159.63</v>
      </c>
    </row>
    <row r="161" spans="1:2" x14ac:dyDescent="0.25">
      <c r="A161" s="7">
        <v>45523</v>
      </c>
      <c r="B161" vm="471">
        <v>160.16</v>
      </c>
    </row>
    <row r="162" spans="1:2" x14ac:dyDescent="0.25">
      <c r="A162" s="7">
        <v>45523</v>
      </c>
      <c r="B162" vm="474">
        <v>161.43</v>
      </c>
    </row>
    <row r="163" spans="1:2" x14ac:dyDescent="0.25">
      <c r="A163" s="7">
        <v>45523</v>
      </c>
      <c r="B163" vm="477">
        <v>162.35</v>
      </c>
    </row>
    <row r="164" spans="1:2" x14ac:dyDescent="0.25">
      <c r="A164" s="7">
        <v>45523</v>
      </c>
      <c r="B164" vm="480">
        <v>164.13</v>
      </c>
    </row>
    <row r="165" spans="1:2" x14ac:dyDescent="0.25">
      <c r="A165" s="7">
        <v>45530</v>
      </c>
      <c r="B165" vm="483">
        <v>164.61</v>
      </c>
    </row>
    <row r="166" spans="1:2" x14ac:dyDescent="0.25">
      <c r="A166" s="7">
        <v>45530</v>
      </c>
      <c r="B166" vm="486">
        <v>162.94999999999999</v>
      </c>
    </row>
    <row r="167" spans="1:2" x14ac:dyDescent="0.25">
      <c r="A167" s="7">
        <v>45530</v>
      </c>
      <c r="B167" vm="489">
        <v>163.92</v>
      </c>
    </row>
    <row r="168" spans="1:2" x14ac:dyDescent="0.25">
      <c r="A168" s="7">
        <v>45530</v>
      </c>
      <c r="B168" vm="492">
        <v>164.23</v>
      </c>
    </row>
    <row r="169" spans="1:2" x14ac:dyDescent="0.25">
      <c r="A169" s="7">
        <v>45530</v>
      </c>
      <c r="B169" vm="495">
        <v>165.86</v>
      </c>
    </row>
    <row r="170" spans="1:2" x14ac:dyDescent="0.25">
      <c r="A170" s="7">
        <v>45537</v>
      </c>
      <c r="B170" vm="498">
        <v>167.16</v>
      </c>
    </row>
    <row r="171" spans="1:2" x14ac:dyDescent="0.25">
      <c r="A171" s="7">
        <v>45537</v>
      </c>
      <c r="B171" vm="501">
        <v>167.36</v>
      </c>
    </row>
    <row r="172" spans="1:2" x14ac:dyDescent="0.25">
      <c r="A172" s="7">
        <v>45537</v>
      </c>
      <c r="B172" vm="504">
        <v>164.99</v>
      </c>
    </row>
    <row r="173" spans="1:2" x14ac:dyDescent="0.25">
      <c r="A173" s="7">
        <v>45537</v>
      </c>
      <c r="B173" vm="507">
        <v>164.38</v>
      </c>
    </row>
    <row r="174" spans="1:2" x14ac:dyDescent="0.25">
      <c r="A174" s="7">
        <v>45544</v>
      </c>
      <c r="B174" vm="510">
        <v>166.61</v>
      </c>
    </row>
    <row r="175" spans="1:2" x14ac:dyDescent="0.25">
      <c r="A175" s="7">
        <v>45544</v>
      </c>
      <c r="B175" vm="513">
        <v>167.38</v>
      </c>
    </row>
    <row r="176" spans="1:2" x14ac:dyDescent="0.25">
      <c r="A176" s="7">
        <v>45544</v>
      </c>
      <c r="B176" vm="516">
        <v>164.82</v>
      </c>
    </row>
    <row r="177" spans="1:2" x14ac:dyDescent="0.25">
      <c r="A177" s="7">
        <v>45544</v>
      </c>
      <c r="B177" vm="519">
        <v>164.64</v>
      </c>
    </row>
    <row r="178" spans="1:2" x14ac:dyDescent="0.25">
      <c r="A178" s="7">
        <v>45544</v>
      </c>
      <c r="B178" vm="522">
        <v>165.52</v>
      </c>
    </row>
    <row r="179" spans="1:2" x14ac:dyDescent="0.25">
      <c r="A179" s="7">
        <v>45551</v>
      </c>
      <c r="B179" vm="525">
        <v>166.99</v>
      </c>
    </row>
    <row r="180" spans="1:2" x14ac:dyDescent="0.25">
      <c r="A180" s="7">
        <v>45551</v>
      </c>
      <c r="B180" vm="528">
        <v>167.07</v>
      </c>
    </row>
    <row r="181" spans="1:2" x14ac:dyDescent="0.25">
      <c r="A181" s="7">
        <v>45551</v>
      </c>
      <c r="B181" vm="531">
        <v>166.15</v>
      </c>
    </row>
    <row r="182" spans="1:2" x14ac:dyDescent="0.25">
      <c r="A182" s="7">
        <v>45551</v>
      </c>
      <c r="B182" vm="516">
        <v>164.82</v>
      </c>
    </row>
    <row r="183" spans="1:2" x14ac:dyDescent="0.25">
      <c r="A183" s="7">
        <v>45551</v>
      </c>
      <c r="B183" vm="536">
        <v>164.16</v>
      </c>
    </row>
    <row r="184" spans="1:2" x14ac:dyDescent="0.25">
      <c r="A184" s="7">
        <v>45558</v>
      </c>
      <c r="B184" vm="539">
        <v>163.22</v>
      </c>
    </row>
    <row r="185" spans="1:2" x14ac:dyDescent="0.25">
      <c r="A185" s="7">
        <v>45558</v>
      </c>
      <c r="B185" vm="542">
        <v>162.78</v>
      </c>
    </row>
    <row r="186" spans="1:2" x14ac:dyDescent="0.25">
      <c r="A186" s="7">
        <v>45558</v>
      </c>
      <c r="B186" vm="545">
        <v>160.6</v>
      </c>
    </row>
    <row r="187" spans="1:2" x14ac:dyDescent="0.25">
      <c r="A187" s="7">
        <v>45558</v>
      </c>
      <c r="B187" vm="548">
        <v>161.38999999999999</v>
      </c>
    </row>
    <row r="188" spans="1:2" x14ac:dyDescent="0.25">
      <c r="A188" s="7">
        <v>45558</v>
      </c>
      <c r="B188" vm="551">
        <v>161.4</v>
      </c>
    </row>
    <row r="189" spans="1:2" x14ac:dyDescent="0.25">
      <c r="A189" s="7">
        <v>45565</v>
      </c>
      <c r="B189" vm="554">
        <v>162.06</v>
      </c>
    </row>
    <row r="190" spans="1:2" x14ac:dyDescent="0.25">
      <c r="A190" s="7">
        <v>45565</v>
      </c>
      <c r="B190" vm="557">
        <v>161.99</v>
      </c>
    </row>
    <row r="191" spans="1:2" x14ac:dyDescent="0.25">
      <c r="A191" s="7">
        <v>45565</v>
      </c>
      <c r="B191" vm="560">
        <v>161.16999999999999</v>
      </c>
    </row>
    <row r="192" spans="1:2" x14ac:dyDescent="0.25">
      <c r="A192" s="7">
        <v>45565</v>
      </c>
      <c r="B192" vm="563">
        <v>160.5</v>
      </c>
    </row>
    <row r="193" spans="1:2" x14ac:dyDescent="0.25">
      <c r="A193" s="7">
        <v>45565</v>
      </c>
      <c r="B193" vm="566">
        <v>160.29</v>
      </c>
    </row>
    <row r="194" spans="1:2" x14ac:dyDescent="0.25">
      <c r="A194" s="7">
        <v>45572</v>
      </c>
      <c r="B194" vm="569">
        <v>159.53</v>
      </c>
    </row>
    <row r="195" spans="1:2" x14ac:dyDescent="0.25">
      <c r="A195" s="7">
        <v>45572</v>
      </c>
      <c r="B195" vm="572">
        <v>159.69</v>
      </c>
    </row>
    <row r="196" spans="1:2" x14ac:dyDescent="0.25">
      <c r="A196" s="7">
        <v>45572</v>
      </c>
      <c r="B196" vm="575">
        <v>160.65</v>
      </c>
    </row>
    <row r="197" spans="1:2" x14ac:dyDescent="0.25">
      <c r="A197" s="7">
        <v>45572</v>
      </c>
      <c r="B197" vm="578">
        <v>160.51</v>
      </c>
    </row>
    <row r="198" spans="1:2" x14ac:dyDescent="0.25">
      <c r="A198" s="7">
        <v>45572</v>
      </c>
      <c r="B198" vm="581">
        <v>161.46</v>
      </c>
    </row>
    <row r="199" spans="1:2" x14ac:dyDescent="0.25">
      <c r="A199" s="7">
        <v>45579</v>
      </c>
      <c r="B199" vm="584">
        <v>161.6</v>
      </c>
    </row>
    <row r="200" spans="1:2" x14ac:dyDescent="0.25">
      <c r="A200" s="7">
        <v>45579</v>
      </c>
      <c r="B200" vm="587">
        <v>164.1</v>
      </c>
    </row>
    <row r="201" spans="1:2" x14ac:dyDescent="0.25">
      <c r="A201" s="7">
        <v>45579</v>
      </c>
      <c r="B201" vm="590">
        <v>164.28</v>
      </c>
    </row>
    <row r="202" spans="1:2" x14ac:dyDescent="0.25">
      <c r="A202" s="7">
        <v>45579</v>
      </c>
      <c r="B202" vm="593">
        <v>164.47</v>
      </c>
    </row>
    <row r="203" spans="1:2" x14ac:dyDescent="0.25">
      <c r="A203" s="7">
        <v>45579</v>
      </c>
      <c r="B203" vm="596">
        <v>165.12</v>
      </c>
    </row>
    <row r="204" spans="1:2" x14ac:dyDescent="0.25">
      <c r="A204" s="7">
        <v>45586</v>
      </c>
      <c r="B204" vm="599">
        <v>162.83000000000001</v>
      </c>
    </row>
    <row r="205" spans="1:2" x14ac:dyDescent="0.25">
      <c r="A205" s="7">
        <v>45586</v>
      </c>
      <c r="B205" vm="602">
        <v>163.44999999999999</v>
      </c>
    </row>
    <row r="206" spans="1:2" x14ac:dyDescent="0.25">
      <c r="A206" s="7">
        <v>45586</v>
      </c>
      <c r="B206" vm="495">
        <v>165.86</v>
      </c>
    </row>
    <row r="207" spans="1:2" x14ac:dyDescent="0.25">
      <c r="A207" s="7">
        <v>45586</v>
      </c>
      <c r="B207" vm="607">
        <v>163.66999999999999</v>
      </c>
    </row>
    <row r="208" spans="1:2" x14ac:dyDescent="0.25">
      <c r="A208" s="7">
        <v>45586</v>
      </c>
      <c r="B208" vm="610">
        <v>160.88</v>
      </c>
    </row>
    <row r="209" spans="1:2" x14ac:dyDescent="0.25">
      <c r="A209" s="7">
        <v>45593</v>
      </c>
      <c r="B209" vm="584">
        <v>161.6</v>
      </c>
    </row>
    <row r="210" spans="1:2" x14ac:dyDescent="0.25">
      <c r="A210" s="7">
        <v>45593</v>
      </c>
      <c r="B210" vm="615">
        <v>160.09</v>
      </c>
    </row>
    <row r="211" spans="1:2" x14ac:dyDescent="0.25">
      <c r="A211" s="7">
        <v>45593</v>
      </c>
      <c r="B211" vm="618">
        <v>160.61000000000001</v>
      </c>
    </row>
    <row r="212" spans="1:2" x14ac:dyDescent="0.25">
      <c r="A212" s="7">
        <v>45593</v>
      </c>
      <c r="B212" vm="621">
        <v>159.86000000000001</v>
      </c>
    </row>
    <row r="213" spans="1:2" x14ac:dyDescent="0.25">
      <c r="A213" s="7">
        <v>45593</v>
      </c>
      <c r="B213" vm="624">
        <v>160.13</v>
      </c>
    </row>
    <row r="214" spans="1:2" x14ac:dyDescent="0.25">
      <c r="A214" s="7">
        <v>45600</v>
      </c>
      <c r="B214" vm="627">
        <v>158.24</v>
      </c>
    </row>
    <row r="215" spans="1:2" x14ac:dyDescent="0.25">
      <c r="A215" s="7">
        <v>45600</v>
      </c>
      <c r="B215" vm="630">
        <v>158.35</v>
      </c>
    </row>
    <row r="216" spans="1:2" x14ac:dyDescent="0.25">
      <c r="A216" s="7">
        <v>45600</v>
      </c>
      <c r="B216" vm="633">
        <v>157.88</v>
      </c>
    </row>
    <row r="217" spans="1:2" x14ac:dyDescent="0.25">
      <c r="A217" s="7">
        <v>45600</v>
      </c>
      <c r="B217" vm="636">
        <v>156.72999999999999</v>
      </c>
    </row>
    <row r="218" spans="1:2" x14ac:dyDescent="0.25">
      <c r="A218" s="7">
        <v>45600</v>
      </c>
      <c r="B218" vm="639">
        <v>155.47</v>
      </c>
    </row>
    <row r="219" spans="1:2" x14ac:dyDescent="0.25">
      <c r="A219" s="7">
        <v>45607</v>
      </c>
      <c r="B219" vm="642">
        <v>155.04</v>
      </c>
    </row>
    <row r="220" spans="1:2" x14ac:dyDescent="0.25">
      <c r="A220" s="7">
        <v>45607</v>
      </c>
      <c r="B220" vm="645">
        <v>152.63999999999999</v>
      </c>
    </row>
    <row r="221" spans="1:2" x14ac:dyDescent="0.25">
      <c r="A221" s="7">
        <v>45607</v>
      </c>
      <c r="B221" vm="648">
        <v>153.24</v>
      </c>
    </row>
    <row r="222" spans="1:2" x14ac:dyDescent="0.25">
      <c r="A222" s="7">
        <v>45607</v>
      </c>
      <c r="B222" vm="651">
        <v>151.87</v>
      </c>
    </row>
    <row r="223" spans="1:2" x14ac:dyDescent="0.25">
      <c r="A223" s="7">
        <v>45607</v>
      </c>
      <c r="B223" vm="654">
        <v>154</v>
      </c>
    </row>
    <row r="224" spans="1:2" x14ac:dyDescent="0.25">
      <c r="A224" s="7">
        <v>45614</v>
      </c>
      <c r="B224" vm="657">
        <v>154.77000000000001</v>
      </c>
    </row>
    <row r="225" spans="1:2" x14ac:dyDescent="0.25">
      <c r="A225" s="7">
        <v>45614</v>
      </c>
      <c r="B225" vm="660">
        <v>153</v>
      </c>
    </row>
    <row r="226" spans="1:2" x14ac:dyDescent="0.25">
      <c r="A226" s="7">
        <v>45614</v>
      </c>
      <c r="B226" vm="663">
        <v>153.11000000000001</v>
      </c>
    </row>
    <row r="227" spans="1:2" x14ac:dyDescent="0.25">
      <c r="A227" s="7">
        <v>45614</v>
      </c>
      <c r="B227" vm="666">
        <v>155.5</v>
      </c>
    </row>
    <row r="228" spans="1:2" x14ac:dyDescent="0.25">
      <c r="A228" s="7">
        <v>45614</v>
      </c>
      <c r="B228" vm="669">
        <v>155.16999999999999</v>
      </c>
    </row>
    <row r="229" spans="1:2" x14ac:dyDescent="0.25">
      <c r="A229" s="7">
        <v>45621</v>
      </c>
      <c r="B229" vm="672">
        <v>155.78</v>
      </c>
    </row>
    <row r="230" spans="1:2" x14ac:dyDescent="0.25">
      <c r="A230" s="7">
        <v>45621</v>
      </c>
      <c r="B230" vm="675">
        <v>154.52000000000001</v>
      </c>
    </row>
    <row r="231" spans="1:2" x14ac:dyDescent="0.25">
      <c r="A231" s="7">
        <v>45621</v>
      </c>
      <c r="B231" vm="678">
        <v>155.4</v>
      </c>
    </row>
    <row r="232" spans="1:2" x14ac:dyDescent="0.25">
      <c r="A232" s="7">
        <v>45621</v>
      </c>
      <c r="B232" vm="681">
        <v>155.01</v>
      </c>
    </row>
    <row r="233" spans="1:2" x14ac:dyDescent="0.25">
      <c r="A233" s="7">
        <v>45628</v>
      </c>
      <c r="B233" vm="684">
        <v>154.80000000000001</v>
      </c>
    </row>
    <row r="234" spans="1:2" x14ac:dyDescent="0.25">
      <c r="A234" s="7">
        <v>45628</v>
      </c>
      <c r="B234" vm="687">
        <v>152.36000000000001</v>
      </c>
    </row>
    <row r="235" spans="1:2" x14ac:dyDescent="0.25">
      <c r="A235" s="7">
        <v>45628</v>
      </c>
      <c r="B235" vm="690">
        <v>150.47</v>
      </c>
    </row>
    <row r="236" spans="1:2" x14ac:dyDescent="0.25">
      <c r="A236" s="7">
        <v>45628</v>
      </c>
      <c r="B236" vm="693">
        <v>149.52000000000001</v>
      </c>
    </row>
    <row r="237" spans="1:2" x14ac:dyDescent="0.25">
      <c r="A237" s="7">
        <v>45628</v>
      </c>
      <c r="B237" vm="696">
        <v>149.31</v>
      </c>
    </row>
    <row r="238" spans="1:2" x14ac:dyDescent="0.25">
      <c r="A238" s="7">
        <v>45635</v>
      </c>
      <c r="B238" vm="699">
        <v>149.6</v>
      </c>
    </row>
    <row r="239" spans="1:2" x14ac:dyDescent="0.25">
      <c r="A239" s="7">
        <v>45635</v>
      </c>
      <c r="B239" vm="702">
        <v>149.22999999999999</v>
      </c>
    </row>
    <row r="240" spans="1:2" x14ac:dyDescent="0.25">
      <c r="A240" s="7">
        <v>45635</v>
      </c>
      <c r="B240" vm="705">
        <v>146.63999999999999</v>
      </c>
    </row>
    <row r="241" spans="1:2" x14ac:dyDescent="0.25">
      <c r="A241" s="7">
        <v>45635</v>
      </c>
      <c r="B241" vm="708">
        <v>146.24</v>
      </c>
    </row>
    <row r="242" spans="1:2" x14ac:dyDescent="0.25">
      <c r="A242" s="7">
        <v>45635</v>
      </c>
      <c r="B242" vm="711">
        <v>146.62</v>
      </c>
    </row>
    <row r="243" spans="1:2" x14ac:dyDescent="0.25">
      <c r="A243" s="7">
        <v>45642</v>
      </c>
      <c r="B243" vm="714">
        <v>143.85</v>
      </c>
    </row>
    <row r="244" spans="1:2" x14ac:dyDescent="0.25">
      <c r="A244" s="7">
        <v>45642</v>
      </c>
      <c r="B244" vm="717">
        <v>146.41</v>
      </c>
    </row>
    <row r="245" spans="1:2" x14ac:dyDescent="0.25">
      <c r="A245" s="7">
        <v>45642</v>
      </c>
      <c r="B245" vm="720">
        <v>144.75</v>
      </c>
    </row>
    <row r="246" spans="1:2" x14ac:dyDescent="0.25">
      <c r="A246" s="7">
        <v>45642</v>
      </c>
      <c r="B246" vm="723">
        <v>143.58000000000001</v>
      </c>
    </row>
    <row r="247" spans="1:2" x14ac:dyDescent="0.25">
      <c r="A247" s="7">
        <v>45642</v>
      </c>
      <c r="B247" vm="726">
        <v>144.47</v>
      </c>
    </row>
    <row r="248" spans="1:2" x14ac:dyDescent="0.25">
      <c r="A248" s="7">
        <v>45649</v>
      </c>
      <c r="B248" vm="729">
        <v>145.27000000000001</v>
      </c>
    </row>
    <row r="249" spans="1:2" x14ac:dyDescent="0.25">
      <c r="A249" s="7">
        <v>45649</v>
      </c>
      <c r="B249" vm="732">
        <v>145.85</v>
      </c>
    </row>
    <row r="250" spans="1:2" x14ac:dyDescent="0.25">
      <c r="A250" s="7">
        <v>45649</v>
      </c>
      <c r="B250" vm="735">
        <v>145.58000000000001</v>
      </c>
    </row>
    <row r="251" spans="1:2" x14ac:dyDescent="0.25">
      <c r="A251" s="7">
        <v>45649</v>
      </c>
      <c r="B251" vm="738">
        <v>145.05000000000001</v>
      </c>
    </row>
    <row r="252" spans="1:2" x14ac:dyDescent="0.25">
      <c r="A252" s="7">
        <v>45656</v>
      </c>
      <c r="B252" vm="741">
        <v>143.34</v>
      </c>
    </row>
    <row r="253" spans="1:2" x14ac:dyDescent="0.25">
      <c r="A253" s="7">
        <v>45656</v>
      </c>
      <c r="B253" vm="744">
        <v>144.62</v>
      </c>
    </row>
    <row r="254" spans="1:2" x14ac:dyDescent="0.25">
      <c r="A254" s="7">
        <v>45656</v>
      </c>
      <c r="B254" vm="747">
        <v>144.02000000000001</v>
      </c>
    </row>
    <row r="255" spans="1:2" x14ac:dyDescent="0.25">
      <c r="A255" s="7">
        <v>45656</v>
      </c>
      <c r="B255" vm="750">
        <v>144.19</v>
      </c>
    </row>
    <row r="256" spans="1:2" x14ac:dyDescent="0.25">
      <c r="A256" s="7">
        <v>45663</v>
      </c>
      <c r="B256" vm="753">
        <v>143.66</v>
      </c>
    </row>
    <row r="257" spans="1:2" x14ac:dyDescent="0.25">
      <c r="A257" s="7">
        <v>45663</v>
      </c>
      <c r="B257" vm="756">
        <v>146.22999999999999</v>
      </c>
    </row>
    <row r="258" spans="1:2" x14ac:dyDescent="0.25">
      <c r="A258" s="7">
        <v>45663</v>
      </c>
      <c r="B258" vm="759">
        <v>142.27000000000001</v>
      </c>
    </row>
    <row r="259" spans="1:2" x14ac:dyDescent="0.25">
      <c r="A259" s="7">
        <v>45663</v>
      </c>
      <c r="B259" vm="762">
        <v>142.06</v>
      </c>
    </row>
    <row r="260" spans="1:2" x14ac:dyDescent="0.25">
      <c r="A260" s="7">
        <v>45670</v>
      </c>
      <c r="B260" vm="726">
        <v>144.47</v>
      </c>
    </row>
    <row r="261" spans="1:2" x14ac:dyDescent="0.25">
      <c r="A261" s="7">
        <v>45670</v>
      </c>
      <c r="B261" vm="720">
        <v>144.75</v>
      </c>
    </row>
    <row r="262" spans="1:2" x14ac:dyDescent="0.25">
      <c r="A262" s="7">
        <v>45670</v>
      </c>
      <c r="B262" vm="769">
        <v>144.97</v>
      </c>
    </row>
    <row r="263" spans="1:2" x14ac:dyDescent="0.25">
      <c r="A263" s="7">
        <v>45670</v>
      </c>
      <c r="B263" vm="772">
        <v>147.77000000000001</v>
      </c>
    </row>
    <row r="264" spans="1:2" x14ac:dyDescent="0.25">
      <c r="A264" s="7">
        <v>45670</v>
      </c>
      <c r="B264" vm="775">
        <v>147.03</v>
      </c>
    </row>
    <row r="265" spans="1:2" x14ac:dyDescent="0.25">
      <c r="A265" s="7">
        <v>45677</v>
      </c>
      <c r="B265" vm="778">
        <v>148.15</v>
      </c>
    </row>
    <row r="266" spans="1:2" x14ac:dyDescent="0.25">
      <c r="A266" s="7">
        <v>45677</v>
      </c>
      <c r="B266" vm="729">
        <v>145.27000000000001</v>
      </c>
    </row>
    <row r="267" spans="1:2" x14ac:dyDescent="0.25">
      <c r="A267" s="7">
        <v>45677</v>
      </c>
      <c r="B267" vm="705">
        <v>146.63999999999999</v>
      </c>
    </row>
    <row r="268" spans="1:2" x14ac:dyDescent="0.25">
      <c r="A268" s="7">
        <v>45677</v>
      </c>
      <c r="B268" vm="237">
        <v>146.82</v>
      </c>
    </row>
    <row r="269" spans="1:2" x14ac:dyDescent="0.25">
      <c r="A269" s="7">
        <v>45684</v>
      </c>
      <c r="B269" vm="787">
        <v>152.88999999999999</v>
      </c>
    </row>
    <row r="270" spans="1:2" x14ac:dyDescent="0.25">
      <c r="A270" s="7">
        <v>45684</v>
      </c>
      <c r="B270" vm="790">
        <v>150.38</v>
      </c>
    </row>
    <row r="271" spans="1:2" x14ac:dyDescent="0.25">
      <c r="A271" s="7">
        <v>45684</v>
      </c>
      <c r="B271" vm="793">
        <v>151.15</v>
      </c>
    </row>
    <row r="272" spans="1:2" x14ac:dyDescent="0.25">
      <c r="A272" s="7">
        <v>45684</v>
      </c>
      <c r="B272" vm="796">
        <v>152.87</v>
      </c>
    </row>
    <row r="273" spans="1:2" x14ac:dyDescent="0.25">
      <c r="A273" s="7">
        <v>45684</v>
      </c>
      <c r="B273" vm="799">
        <v>152.15</v>
      </c>
    </row>
    <row r="274" spans="1:2" x14ac:dyDescent="0.25">
      <c r="A274" s="7">
        <v>45691</v>
      </c>
      <c r="B274" vm="651">
        <v>151.87</v>
      </c>
    </row>
    <row r="275" spans="1:2" x14ac:dyDescent="0.25">
      <c r="A275" s="7">
        <v>45691</v>
      </c>
      <c r="B275" vm="804">
        <v>153.49</v>
      </c>
    </row>
    <row r="276" spans="1:2" x14ac:dyDescent="0.25">
      <c r="A276" s="7">
        <v>45691</v>
      </c>
      <c r="B276" vm="407">
        <v>154.69</v>
      </c>
    </row>
    <row r="277" spans="1:2" x14ac:dyDescent="0.25">
      <c r="A277" s="7">
        <v>45691</v>
      </c>
      <c r="B277" vm="809">
        <v>153.51</v>
      </c>
    </row>
    <row r="278" spans="1:2" x14ac:dyDescent="0.25">
      <c r="A278" s="7">
        <v>45691</v>
      </c>
      <c r="B278" vm="812">
        <v>153.12</v>
      </c>
    </row>
    <row r="279" spans="1:2" x14ac:dyDescent="0.25">
      <c r="A279" s="7">
        <v>45698</v>
      </c>
      <c r="B279" vm="410">
        <v>154.24</v>
      </c>
    </row>
    <row r="280" spans="1:2" x14ac:dyDescent="0.25">
      <c r="A280" s="7">
        <v>45698</v>
      </c>
      <c r="B280" vm="817">
        <v>156.13</v>
      </c>
    </row>
    <row r="281" spans="1:2" x14ac:dyDescent="0.25">
      <c r="A281" s="7">
        <v>45698</v>
      </c>
      <c r="B281" vm="820">
        <v>155.26</v>
      </c>
    </row>
    <row r="282" spans="1:2" x14ac:dyDescent="0.25">
      <c r="A282" s="7">
        <v>45698</v>
      </c>
      <c r="B282" vm="823">
        <v>157.25</v>
      </c>
    </row>
    <row r="283" spans="1:2" x14ac:dyDescent="0.25">
      <c r="A283" s="7">
        <v>45698</v>
      </c>
      <c r="B283" vm="826">
        <v>156.15</v>
      </c>
    </row>
    <row r="284" spans="1:2" x14ac:dyDescent="0.25">
      <c r="A284" s="7">
        <v>45705</v>
      </c>
      <c r="B284" vm="829">
        <v>154.99</v>
      </c>
    </row>
    <row r="285" spans="1:2" x14ac:dyDescent="0.25">
      <c r="A285" s="7">
        <v>45705</v>
      </c>
      <c r="B285" vm="832">
        <v>157.88999999999999</v>
      </c>
    </row>
    <row r="286" spans="1:2" x14ac:dyDescent="0.25">
      <c r="A286" s="7">
        <v>45705</v>
      </c>
      <c r="B286" vm="835">
        <v>159.68</v>
      </c>
    </row>
    <row r="287" spans="1:2" x14ac:dyDescent="0.25">
      <c r="A287" s="7">
        <v>45705</v>
      </c>
      <c r="B287" vm="838">
        <v>162.30000000000001</v>
      </c>
    </row>
    <row r="288" spans="1:2" x14ac:dyDescent="0.25">
      <c r="A288" s="7">
        <v>45712</v>
      </c>
      <c r="B288" vm="841">
        <v>163.74</v>
      </c>
    </row>
    <row r="289" spans="1:2" x14ac:dyDescent="0.25">
      <c r="A289" s="7">
        <v>45712</v>
      </c>
      <c r="B289" vm="844">
        <v>166.09</v>
      </c>
    </row>
    <row r="290" spans="1:2" x14ac:dyDescent="0.25">
      <c r="A290" s="7">
        <v>45712</v>
      </c>
      <c r="B290" vm="847">
        <v>163.08000000000001</v>
      </c>
    </row>
    <row r="291" spans="1:2" x14ac:dyDescent="0.25">
      <c r="A291" s="7">
        <v>45712</v>
      </c>
      <c r="B291" vm="850">
        <v>163.72999999999999</v>
      </c>
    </row>
    <row r="292" spans="1:2" x14ac:dyDescent="0.25">
      <c r="A292" s="7">
        <v>45712</v>
      </c>
      <c r="B292" vm="853">
        <v>165.02</v>
      </c>
    </row>
    <row r="293" spans="1:2" x14ac:dyDescent="0.25">
      <c r="A293" s="7">
        <v>45719</v>
      </c>
      <c r="B293" vm="856">
        <v>167.28</v>
      </c>
    </row>
    <row r="294" spans="1:2" x14ac:dyDescent="0.25">
      <c r="A294" s="7">
        <v>45719</v>
      </c>
      <c r="B294" vm="859">
        <v>165.42</v>
      </c>
    </row>
    <row r="295" spans="1:2" x14ac:dyDescent="0.25">
      <c r="A295" s="7">
        <v>45719</v>
      </c>
      <c r="B295" vm="596">
        <v>165.12</v>
      </c>
    </row>
    <row r="296" spans="1:2" x14ac:dyDescent="0.25">
      <c r="A296" s="7">
        <v>45719</v>
      </c>
      <c r="B296" vm="864">
        <v>165.83</v>
      </c>
    </row>
    <row r="297" spans="1:2" x14ac:dyDescent="0.25">
      <c r="A297" s="7">
        <v>45719</v>
      </c>
      <c r="B297" vm="867">
        <v>166.69</v>
      </c>
    </row>
    <row r="298" spans="1:2" x14ac:dyDescent="0.25">
      <c r="A298" s="7">
        <v>45726</v>
      </c>
      <c r="B298" vm="870">
        <v>167.7</v>
      </c>
    </row>
    <row r="299" spans="1:2" x14ac:dyDescent="0.25">
      <c r="A299" s="7">
        <v>45726</v>
      </c>
      <c r="B299" vm="495">
        <v>165.86</v>
      </c>
    </row>
    <row r="300" spans="1:2" x14ac:dyDescent="0.25">
      <c r="A300" s="7">
        <v>45726</v>
      </c>
      <c r="B300" vm="875">
        <v>162.85</v>
      </c>
    </row>
    <row r="301" spans="1:2" x14ac:dyDescent="0.25">
      <c r="A301" s="7">
        <v>45726</v>
      </c>
      <c r="B301" vm="878">
        <v>162.99</v>
      </c>
    </row>
    <row r="302" spans="1:2" x14ac:dyDescent="0.25">
      <c r="A302" s="7">
        <v>45726</v>
      </c>
      <c r="B302" vm="881">
        <v>162.81</v>
      </c>
    </row>
    <row r="303" spans="1:2" x14ac:dyDescent="0.25">
      <c r="A303" s="7">
        <v>45733</v>
      </c>
      <c r="B303" vm="884">
        <v>162.84</v>
      </c>
    </row>
    <row r="304" spans="1:2" x14ac:dyDescent="0.25">
      <c r="A304" s="7">
        <v>45733</v>
      </c>
      <c r="B304" vm="887">
        <v>164.25</v>
      </c>
    </row>
    <row r="305" spans="1:2" x14ac:dyDescent="0.25">
      <c r="A305" s="7">
        <v>45733</v>
      </c>
      <c r="B305" vm="878">
        <v>162.99</v>
      </c>
    </row>
    <row r="306" spans="1:2" x14ac:dyDescent="0.25">
      <c r="A306" s="7">
        <v>45733</v>
      </c>
      <c r="B306" vm="892">
        <v>163.02000000000001</v>
      </c>
    </row>
    <row r="307" spans="1:2" x14ac:dyDescent="0.25">
      <c r="A307" s="7">
        <v>45733</v>
      </c>
      <c r="B307" vm="895">
        <v>163.63</v>
      </c>
    </row>
    <row r="308" spans="1:2" x14ac:dyDescent="0.25">
      <c r="A308" s="7">
        <v>45740</v>
      </c>
      <c r="B308" vm="898">
        <v>163.29</v>
      </c>
    </row>
    <row r="309" spans="1:2" x14ac:dyDescent="0.25">
      <c r="A309" s="7">
        <v>45740</v>
      </c>
      <c r="B309" vm="901">
        <v>161.02000000000001</v>
      </c>
    </row>
    <row r="310" spans="1:2" x14ac:dyDescent="0.25">
      <c r="A310" s="7">
        <v>45740</v>
      </c>
      <c r="B310" vm="904">
        <v>161.72</v>
      </c>
    </row>
    <row r="311" spans="1:2" x14ac:dyDescent="0.25">
      <c r="A311" s="7">
        <v>45740</v>
      </c>
      <c r="B311" vm="907">
        <v>163.13</v>
      </c>
    </row>
    <row r="312" spans="1:2" x14ac:dyDescent="0.25">
      <c r="A312" s="7">
        <v>45740</v>
      </c>
      <c r="B312" vm="910">
        <v>163.71</v>
      </c>
    </row>
    <row r="313" spans="1:2" x14ac:dyDescent="0.25">
      <c r="A313" s="7">
        <v>45747</v>
      </c>
      <c r="B313" vm="913">
        <v>165.84</v>
      </c>
    </row>
    <row r="314" spans="1:2" x14ac:dyDescent="0.25">
      <c r="A314" s="7">
        <v>45747</v>
      </c>
      <c r="B314" vm="916">
        <v>153.25</v>
      </c>
    </row>
    <row r="315" spans="1:2" x14ac:dyDescent="0.25">
      <c r="A315" s="7">
        <v>45747</v>
      </c>
      <c r="B315" vm="919">
        <v>155.36000000000001</v>
      </c>
    </row>
    <row r="316" spans="1:2" x14ac:dyDescent="0.25">
      <c r="A316" s="7">
        <v>45747</v>
      </c>
      <c r="B316" vm="922">
        <v>159.82</v>
      </c>
    </row>
    <row r="317" spans="1:2" x14ac:dyDescent="0.25">
      <c r="A317" s="7">
        <v>45747</v>
      </c>
      <c r="B317" vm="648">
        <v>153.24</v>
      </c>
    </row>
    <row r="318" spans="1:2" x14ac:dyDescent="0.25">
      <c r="A318" s="7">
        <v>45754</v>
      </c>
      <c r="B318" vm="927">
        <v>150.62</v>
      </c>
    </row>
    <row r="319" spans="1:2" x14ac:dyDescent="0.25">
      <c r="A319" s="7">
        <v>45754</v>
      </c>
      <c r="B319" vm="930">
        <v>150</v>
      </c>
    </row>
    <row r="320" spans="1:2" x14ac:dyDescent="0.25">
      <c r="A320" s="7">
        <v>45754</v>
      </c>
      <c r="B320" vm="933">
        <v>150.97</v>
      </c>
    </row>
    <row r="321" spans="1:2" x14ac:dyDescent="0.25">
      <c r="A321" s="7">
        <v>45754</v>
      </c>
      <c r="B321" vm="936">
        <v>148.69</v>
      </c>
    </row>
    <row r="322" spans="1:2" x14ac:dyDescent="0.25">
      <c r="A322" s="7">
        <v>45754</v>
      </c>
      <c r="B322" vm="939">
        <v>151.72999999999999</v>
      </c>
    </row>
    <row r="323" spans="1:2" x14ac:dyDescent="0.25">
      <c r="A323" s="7">
        <v>45761</v>
      </c>
      <c r="B323" vm="942">
        <v>154.36000000000001</v>
      </c>
    </row>
    <row r="324" spans="1:2" x14ac:dyDescent="0.25">
      <c r="A324" s="7">
        <v>45761</v>
      </c>
      <c r="B324" vm="945">
        <v>153.62</v>
      </c>
    </row>
    <row r="325" spans="1:2" x14ac:dyDescent="0.25">
      <c r="A325" s="7">
        <v>45761</v>
      </c>
      <c r="B325" vm="948">
        <v>153.91</v>
      </c>
    </row>
    <row r="326" spans="1:2" x14ac:dyDescent="0.25">
      <c r="A326" s="7">
        <v>45761</v>
      </c>
      <c r="B326" vm="951">
        <v>157.47</v>
      </c>
    </row>
    <row r="327" spans="1:2" x14ac:dyDescent="0.25">
      <c r="A327" s="7">
        <v>45768</v>
      </c>
      <c r="B327" vm="954">
        <v>156.91999999999999</v>
      </c>
    </row>
    <row r="328" spans="1:2" x14ac:dyDescent="0.25">
      <c r="A328" s="7">
        <v>45768</v>
      </c>
      <c r="B328" vm="957">
        <v>157.75</v>
      </c>
    </row>
    <row r="329" spans="1:2" x14ac:dyDescent="0.25">
      <c r="A329" s="7">
        <v>45768</v>
      </c>
      <c r="B329" vm="960">
        <v>155.38</v>
      </c>
    </row>
    <row r="330" spans="1:2" x14ac:dyDescent="0.25">
      <c r="A330" s="7">
        <v>45768</v>
      </c>
      <c r="B330" vm="963">
        <v>154.93</v>
      </c>
    </row>
    <row r="331" spans="1:2" x14ac:dyDescent="0.25">
      <c r="A331" s="7">
        <v>45768</v>
      </c>
      <c r="B331" vm="966">
        <v>154.58000000000001</v>
      </c>
    </row>
    <row r="332" spans="1:2" x14ac:dyDescent="0.25">
      <c r="A332" s="7">
        <v>45775</v>
      </c>
      <c r="B332" vm="969">
        <v>155.35</v>
      </c>
    </row>
    <row r="333" spans="1:2" x14ac:dyDescent="0.25">
      <c r="A333" s="7">
        <v>45775</v>
      </c>
      <c r="B333" vm="972">
        <v>155.91</v>
      </c>
    </row>
    <row r="334" spans="1:2" x14ac:dyDescent="0.25">
      <c r="A334" s="7">
        <v>45775</v>
      </c>
      <c r="B334" vm="975">
        <v>156.31</v>
      </c>
    </row>
    <row r="335" spans="1:2" x14ac:dyDescent="0.25">
      <c r="A335" s="7">
        <v>45775</v>
      </c>
      <c r="B335" vm="978">
        <v>154.46</v>
      </c>
    </row>
    <row r="336" spans="1:2" x14ac:dyDescent="0.25">
      <c r="A336" s="7">
        <v>45775</v>
      </c>
      <c r="B336" vm="981">
        <v>156.12</v>
      </c>
    </row>
    <row r="337" spans="1:2" x14ac:dyDescent="0.25">
      <c r="A337" s="7">
        <v>45782</v>
      </c>
      <c r="B337" vm="984">
        <v>155</v>
      </c>
    </row>
    <row r="338" spans="1:2" x14ac:dyDescent="0.25">
      <c r="A338" s="7">
        <v>45782</v>
      </c>
      <c r="B338" vm="987">
        <v>154.47</v>
      </c>
    </row>
    <row r="339" spans="1:2" x14ac:dyDescent="0.25">
      <c r="A339" s="7">
        <v>45782</v>
      </c>
      <c r="B339" vm="990">
        <v>157.30000000000001</v>
      </c>
    </row>
    <row r="340" spans="1:2" x14ac:dyDescent="0.25">
      <c r="A340" s="7">
        <v>45782</v>
      </c>
      <c r="B340" vm="993">
        <v>155.66</v>
      </c>
    </row>
    <row r="341" spans="1:2" x14ac:dyDescent="0.25">
      <c r="A341" s="7">
        <v>45782</v>
      </c>
      <c r="B341" vm="996">
        <v>154.22</v>
      </c>
    </row>
    <row r="342" spans="1:2" x14ac:dyDescent="0.25">
      <c r="A342" s="7">
        <v>45789</v>
      </c>
      <c r="B342" vm="999">
        <v>154.13999999999999</v>
      </c>
    </row>
    <row r="343" spans="1:2" x14ac:dyDescent="0.25">
      <c r="A343" s="7">
        <v>45789</v>
      </c>
      <c r="B343" vm="1002">
        <v>148.44</v>
      </c>
    </row>
    <row r="344" spans="1:2" x14ac:dyDescent="0.25">
      <c r="A344" s="7">
        <v>45789</v>
      </c>
      <c r="B344" vm="1005">
        <v>146.36000000000001</v>
      </c>
    </row>
    <row r="345" spans="1:2" x14ac:dyDescent="0.25">
      <c r="A345" s="7">
        <v>45789</v>
      </c>
      <c r="B345" vm="1008">
        <v>149.61000000000001</v>
      </c>
    </row>
    <row r="346" spans="1:2" x14ac:dyDescent="0.25">
      <c r="A346" s="7">
        <v>45789</v>
      </c>
      <c r="B346" vm="1011">
        <v>151.33000000000001</v>
      </c>
    </row>
    <row r="347" spans="1:2" x14ac:dyDescent="0.25">
      <c r="A347" s="7">
        <v>45796</v>
      </c>
      <c r="B347" vm="1014">
        <v>152.49</v>
      </c>
    </row>
    <row r="348" spans="1:2" x14ac:dyDescent="0.25">
      <c r="A348" s="7">
        <v>45796</v>
      </c>
      <c r="B348" vm="1017">
        <v>153.66</v>
      </c>
    </row>
    <row r="349" spans="1:2" x14ac:dyDescent="0.25">
      <c r="A349" s="7">
        <v>45796</v>
      </c>
      <c r="B349" vm="1020">
        <v>153.18</v>
      </c>
    </row>
    <row r="350" spans="1:2" x14ac:dyDescent="0.25">
      <c r="A350" s="7">
        <v>45796</v>
      </c>
      <c r="B350" vm="1023">
        <v>152.61000000000001</v>
      </c>
    </row>
    <row r="351" spans="1:2" x14ac:dyDescent="0.25">
      <c r="A351" s="7">
        <v>45796</v>
      </c>
      <c r="B351" vm="1026">
        <v>152.94</v>
      </c>
    </row>
    <row r="352" spans="1:2" x14ac:dyDescent="0.25">
      <c r="A352" s="7">
        <v>45803</v>
      </c>
      <c r="B352" vm="916">
        <v>153.25</v>
      </c>
    </row>
    <row r="353" spans="1:2" x14ac:dyDescent="0.25">
      <c r="A353" s="7">
        <v>45803</v>
      </c>
      <c r="B353" vm="1031">
        <v>152.43</v>
      </c>
    </row>
    <row r="354" spans="1:2" x14ac:dyDescent="0.25">
      <c r="A354" s="7">
        <v>45803</v>
      </c>
      <c r="B354" vm="1034">
        <v>153.58000000000001</v>
      </c>
    </row>
    <row r="355" spans="1:2" x14ac:dyDescent="0.25">
      <c r="A355" s="7">
        <v>45803</v>
      </c>
      <c r="B355" vm="1037">
        <v>155.21</v>
      </c>
    </row>
    <row r="356" spans="1:2" x14ac:dyDescent="0.25">
      <c r="A356" s="7">
        <v>45810</v>
      </c>
      <c r="B356" vm="678">
        <v>155.4</v>
      </c>
    </row>
    <row r="357" spans="1:2" x14ac:dyDescent="0.25">
      <c r="A357" s="7">
        <v>45810</v>
      </c>
      <c r="B357" vm="1042">
        <v>154.41999999999999</v>
      </c>
    </row>
    <row r="358" spans="1:2" x14ac:dyDescent="0.25">
      <c r="A358" s="7">
        <v>45810</v>
      </c>
      <c r="B358" vm="1045">
        <v>153.22</v>
      </c>
    </row>
    <row r="359" spans="1:2" x14ac:dyDescent="0.25">
      <c r="A359" s="7">
        <v>45810</v>
      </c>
      <c r="B359" vm="1017">
        <v>153.66</v>
      </c>
    </row>
    <row r="360" spans="1:2" x14ac:dyDescent="0.25">
      <c r="A360" s="7">
        <v>45810</v>
      </c>
      <c r="B360" vm="1050">
        <v>155.03</v>
      </c>
    </row>
    <row r="361" spans="1:2" x14ac:dyDescent="0.25">
      <c r="A361" s="7">
        <v>45817</v>
      </c>
      <c r="B361" vm="168">
        <v>155.22999999999999</v>
      </c>
    </row>
    <row r="362" spans="1:2" x14ac:dyDescent="0.25">
      <c r="A362" s="7">
        <v>45817</v>
      </c>
      <c r="B362" vm="1055">
        <v>156.44999999999999</v>
      </c>
    </row>
    <row r="363" spans="1:2" x14ac:dyDescent="0.25">
      <c r="A363" s="7">
        <v>45817</v>
      </c>
      <c r="B363" vm="820">
        <v>155.26</v>
      </c>
    </row>
    <row r="364" spans="1:2" x14ac:dyDescent="0.25">
      <c r="A364" s="7">
        <v>45817</v>
      </c>
      <c r="B364" vm="1060">
        <v>156.66</v>
      </c>
    </row>
    <row r="365" spans="1:2" x14ac:dyDescent="0.25">
      <c r="A365" s="7">
        <v>45817</v>
      </c>
      <c r="B365" vm="1063">
        <v>157.1</v>
      </c>
    </row>
    <row r="366" spans="1:2" x14ac:dyDescent="0.25">
      <c r="A366" s="7">
        <v>45824</v>
      </c>
      <c r="B366" vm="171">
        <v>155.22</v>
      </c>
    </row>
    <row r="367" spans="1:2" x14ac:dyDescent="0.25">
      <c r="A367" s="7">
        <v>45824</v>
      </c>
      <c r="B367" vm="1068">
        <v>152.38</v>
      </c>
    </row>
    <row r="368" spans="1:2" x14ac:dyDescent="0.25">
      <c r="A368" s="7">
        <v>45824</v>
      </c>
      <c r="B368" vm="1071">
        <v>150.72999999999999</v>
      </c>
    </row>
    <row r="369" spans="1:2" x14ac:dyDescent="0.25">
      <c r="A369" s="7">
        <v>45824</v>
      </c>
      <c r="B369" vm="1074">
        <v>149.79</v>
      </c>
    </row>
    <row r="370" spans="1:2" x14ac:dyDescent="0.25">
      <c r="A370" s="7">
        <v>45831</v>
      </c>
      <c r="B370" vm="1077">
        <v>151.32</v>
      </c>
    </row>
    <row r="371" spans="1:2" x14ac:dyDescent="0.25">
      <c r="A371" s="7">
        <v>45831</v>
      </c>
      <c r="B371" vm="1080">
        <v>152.19</v>
      </c>
    </row>
    <row r="372" spans="1:2" x14ac:dyDescent="0.25">
      <c r="A372" s="7">
        <v>45831</v>
      </c>
      <c r="B372" vm="1083">
        <v>152.28</v>
      </c>
    </row>
    <row r="373" spans="1:2" x14ac:dyDescent="0.25">
      <c r="A373" s="7">
        <v>45831</v>
      </c>
      <c r="B373" vm="1086">
        <v>152.01</v>
      </c>
    </row>
    <row r="374" spans="1:2" x14ac:dyDescent="0.25">
      <c r="A374" s="7">
        <v>45831</v>
      </c>
      <c r="B374" vm="1089">
        <v>152.41</v>
      </c>
    </row>
    <row r="375" spans="1:2" x14ac:dyDescent="0.25">
      <c r="A375" s="7">
        <v>45838</v>
      </c>
      <c r="B375" vm="1092">
        <v>152.75</v>
      </c>
    </row>
    <row r="376" spans="1:2" x14ac:dyDescent="0.25">
      <c r="A376" s="7">
        <v>45838</v>
      </c>
      <c r="B376" vm="1095">
        <v>155.91999999999999</v>
      </c>
    </row>
    <row r="377" spans="1:2" x14ac:dyDescent="0.25">
      <c r="A377" s="7">
        <v>45838</v>
      </c>
      <c r="B377" vm="1098">
        <v>155.56</v>
      </c>
    </row>
    <row r="378" spans="1:2" x14ac:dyDescent="0.25">
      <c r="A378" s="7">
        <v>45838</v>
      </c>
      <c r="B378" vm="1101">
        <v>156.01</v>
      </c>
    </row>
    <row r="379" spans="1:2" x14ac:dyDescent="0.25">
      <c r="A379" s="7">
        <v>45845</v>
      </c>
      <c r="B379" vm="1104">
        <v>155.27000000000001</v>
      </c>
    </row>
    <row r="380" spans="1:2" x14ac:dyDescent="0.25">
      <c r="A380" s="7">
        <v>45845</v>
      </c>
      <c r="B380" vm="1107">
        <v>155.79</v>
      </c>
    </row>
    <row r="381" spans="1:2" x14ac:dyDescent="0.25">
      <c r="A381" s="7">
        <v>45845</v>
      </c>
      <c r="B381" vm="416">
        <v>156.28</v>
      </c>
    </row>
    <row r="382" spans="1:2" x14ac:dyDescent="0.25">
      <c r="A382" s="7">
        <v>45845</v>
      </c>
      <c r="B382" vm="1112">
        <v>157.69</v>
      </c>
    </row>
    <row r="383" spans="1:2" x14ac:dyDescent="0.25">
      <c r="A383" s="7">
        <v>45845</v>
      </c>
      <c r="B383" vm="1115">
        <v>156.9</v>
      </c>
    </row>
    <row r="384" spans="1:2" x14ac:dyDescent="0.25">
      <c r="A384" s="7">
        <v>45852</v>
      </c>
      <c r="B384" vm="1118">
        <v>156.82</v>
      </c>
    </row>
    <row r="385" spans="1:2" x14ac:dyDescent="0.25">
      <c r="A385" s="7">
        <v>45852</v>
      </c>
      <c r="B385" vm="669">
        <v>155.16999999999999</v>
      </c>
    </row>
    <row r="386" spans="1:2" x14ac:dyDescent="0.25">
      <c r="A386" s="7">
        <v>45852</v>
      </c>
      <c r="B386" vm="1123">
        <v>164.78</v>
      </c>
    </row>
    <row r="387" spans="1:2" x14ac:dyDescent="0.25">
      <c r="A387" s="7">
        <v>45852</v>
      </c>
      <c r="B387" vm="1126">
        <v>162.97999999999999</v>
      </c>
    </row>
    <row r="388" spans="1:2" x14ac:dyDescent="0.25">
      <c r="A388" s="7">
        <v>45852</v>
      </c>
      <c r="B388" vm="1129">
        <v>163.69999999999999</v>
      </c>
    </row>
    <row r="389" spans="1:2" x14ac:dyDescent="0.25">
      <c r="A389" s="7">
        <v>45859</v>
      </c>
      <c r="B389" vm="1132">
        <v>164.36</v>
      </c>
    </row>
    <row r="390" spans="1:2" x14ac:dyDescent="0.25">
      <c r="A390" s="7">
        <v>45859</v>
      </c>
      <c r="B390" vm="1135">
        <v>167.93</v>
      </c>
    </row>
    <row r="391" spans="1:2" x14ac:dyDescent="0.25">
      <c r="A391" s="7">
        <v>45859</v>
      </c>
      <c r="B391" vm="1138">
        <v>169.1</v>
      </c>
    </row>
    <row r="392" spans="1:2" x14ac:dyDescent="0.25">
      <c r="A392" s="7">
        <v>45859</v>
      </c>
      <c r="B392" vm="1141">
        <v>169.56</v>
      </c>
    </row>
    <row r="393" spans="1:2" x14ac:dyDescent="0.25">
      <c r="A393" s="7">
        <v>45859</v>
      </c>
      <c r="B393" vm="1144">
        <v>168.3</v>
      </c>
    </row>
    <row r="394" spans="1:2" x14ac:dyDescent="0.25">
      <c r="A394" s="7">
        <v>45866</v>
      </c>
      <c r="B394" vm="1147">
        <v>166.22</v>
      </c>
    </row>
    <row r="395" spans="1:2" x14ac:dyDescent="0.25">
      <c r="A395" s="7">
        <v>45866</v>
      </c>
      <c r="B395" vm="1150">
        <v>168.11</v>
      </c>
    </row>
    <row r="396" spans="1:2" x14ac:dyDescent="0.25">
      <c r="A396" s="7">
        <v>45866</v>
      </c>
      <c r="B396" vm="1153">
        <v>167.26</v>
      </c>
    </row>
    <row r="397" spans="1:2" x14ac:dyDescent="0.25">
      <c r="A397" s="7">
        <v>45866</v>
      </c>
      <c r="B397" vm="1156">
        <v>164.74</v>
      </c>
    </row>
    <row r="398" spans="1:2" x14ac:dyDescent="0.25">
      <c r="A398" s="7">
        <v>45866</v>
      </c>
      <c r="B398" vm="1159">
        <v>167.33</v>
      </c>
    </row>
    <row r="399" spans="1:2" x14ac:dyDescent="0.25">
      <c r="A399" s="7">
        <v>45873</v>
      </c>
      <c r="B399" vm="1162">
        <v>171.04</v>
      </c>
    </row>
    <row r="400" spans="1:2" x14ac:dyDescent="0.25">
      <c r="A400" s="7">
        <v>45873</v>
      </c>
      <c r="B400" vm="1165">
        <v>170.74</v>
      </c>
    </row>
    <row r="401" spans="1:2" x14ac:dyDescent="0.25">
      <c r="A401" s="7">
        <v>45873</v>
      </c>
      <c r="B401" vm="1168">
        <v>170.59</v>
      </c>
    </row>
    <row r="402" spans="1:2" x14ac:dyDescent="0.25">
      <c r="A402" s="7">
        <v>45873</v>
      </c>
      <c r="B402" vm="1171">
        <v>171.53</v>
      </c>
    </row>
    <row r="403" spans="1:2" x14ac:dyDescent="0.25">
      <c r="A403" s="7">
        <v>45873</v>
      </c>
      <c r="B403" vm="1174">
        <v>173.33</v>
      </c>
    </row>
    <row r="404" spans="1:2" x14ac:dyDescent="0.25">
      <c r="A404" s="7">
        <v>45880</v>
      </c>
      <c r="B404" vm="1177">
        <v>173.82</v>
      </c>
    </row>
    <row r="405" spans="1:2" x14ac:dyDescent="0.25">
      <c r="A405" s="7">
        <v>45880</v>
      </c>
      <c r="B405" vm="1180">
        <v>172.78</v>
      </c>
    </row>
    <row r="406" spans="1:2" x14ac:dyDescent="0.25">
      <c r="A406" s="7">
        <v>45880</v>
      </c>
      <c r="B406" vm="1183">
        <v>174.42</v>
      </c>
    </row>
    <row r="407" spans="1:2" x14ac:dyDescent="0.25">
      <c r="A407" s="7">
        <v>45880</v>
      </c>
      <c r="B407" vm="1186">
        <v>174.72</v>
      </c>
    </row>
    <row r="408" spans="1:2" x14ac:dyDescent="0.25">
      <c r="A408" s="7">
        <v>45880</v>
      </c>
      <c r="B408" vm="1189">
        <v>176.64</v>
      </c>
    </row>
    <row r="409" spans="1:2" x14ac:dyDescent="0.25">
      <c r="A409" s="7">
        <v>45887</v>
      </c>
      <c r="B409" vm="1192">
        <v>176.25</v>
      </c>
    </row>
    <row r="410" spans="1:2" x14ac:dyDescent="0.25">
      <c r="A410" s="7">
        <v>45887</v>
      </c>
      <c r="B410" vm="1195">
        <v>177.8</v>
      </c>
    </row>
    <row r="411" spans="1:2" x14ac:dyDescent="0.25">
      <c r="A411" s="7">
        <v>45887</v>
      </c>
      <c r="B411" vm="1198">
        <v>178.84</v>
      </c>
    </row>
    <row r="412" spans="1:2" x14ac:dyDescent="0.25">
      <c r="A412" s="7">
        <v>45887</v>
      </c>
      <c r="B412" vm="1201">
        <v>178.93</v>
      </c>
    </row>
    <row r="413" spans="1:2" x14ac:dyDescent="0.25">
      <c r="A413" s="7">
        <v>45887</v>
      </c>
      <c r="B413" vm="1204">
        <v>179.29</v>
      </c>
    </row>
    <row r="414" spans="1:2" x14ac:dyDescent="0.25">
      <c r="A414" s="7">
        <v>45894</v>
      </c>
      <c r="B414" vm="1207">
        <v>178.41</v>
      </c>
    </row>
    <row r="415" spans="1:2" x14ac:dyDescent="0.25">
      <c r="A415" s="7">
        <v>45894</v>
      </c>
      <c r="B415" vm="1210">
        <v>176.49</v>
      </c>
    </row>
    <row r="416" spans="1:2" x14ac:dyDescent="0.25">
      <c r="A416" s="7">
        <v>45894</v>
      </c>
      <c r="B416" vm="1213">
        <v>176.79</v>
      </c>
    </row>
    <row r="417" spans="1:2" x14ac:dyDescent="0.25">
      <c r="A417" s="7">
        <v>45894</v>
      </c>
      <c r="B417" vm="1216">
        <v>175.45</v>
      </c>
    </row>
    <row r="418" spans="1:2" x14ac:dyDescent="0.25">
      <c r="A418" s="7">
        <v>45894</v>
      </c>
      <c r="B418" vm="1219">
        <v>177.17</v>
      </c>
    </row>
    <row r="419" spans="1:2" x14ac:dyDescent="0.25">
      <c r="A419" s="7">
        <v>45901</v>
      </c>
      <c r="B419" vm="1222">
        <v>178.06</v>
      </c>
    </row>
    <row r="420" spans="1:2" x14ac:dyDescent="0.25">
      <c r="A420" s="7">
        <v>45901</v>
      </c>
      <c r="B420" vm="1225">
        <v>178</v>
      </c>
    </row>
    <row r="421" spans="1:2" x14ac:dyDescent="0.25">
      <c r="A421" s="7">
        <v>45901</v>
      </c>
      <c r="B421" vm="1228">
        <v>178.76</v>
      </c>
    </row>
    <row r="422" spans="1:2" x14ac:dyDescent="0.25">
      <c r="A422" s="7">
        <v>45901</v>
      </c>
      <c r="B422" vm="1231">
        <v>178.43</v>
      </c>
    </row>
    <row r="423" spans="1:2" x14ac:dyDescent="0.25">
      <c r="A423" s="7">
        <v>45908</v>
      </c>
      <c r="B423" vm="1234">
        <v>178.13</v>
      </c>
    </row>
    <row r="424" spans="1:2" x14ac:dyDescent="0.25">
      <c r="A424" s="7">
        <v>45908</v>
      </c>
      <c r="B424" vm="1237">
        <v>176.96</v>
      </c>
    </row>
    <row r="425" spans="1:2" x14ac:dyDescent="0.25">
      <c r="A425" s="7">
        <v>45908</v>
      </c>
      <c r="B425" vm="1240">
        <v>175.79</v>
      </c>
    </row>
    <row r="426" spans="1:2" x14ac:dyDescent="0.25">
      <c r="A426" s="7">
        <v>45908</v>
      </c>
      <c r="B426" vm="1243">
        <v>178.5</v>
      </c>
    </row>
    <row r="427" spans="1:2" x14ac:dyDescent="0.25">
      <c r="A427" s="7">
        <v>45908</v>
      </c>
      <c r="B427" vm="1222">
        <v>178.06</v>
      </c>
    </row>
    <row r="428" spans="1:2" x14ac:dyDescent="0.25">
      <c r="A428" s="7">
        <v>45915</v>
      </c>
      <c r="B428" vm="1248">
        <v>177.4</v>
      </c>
    </row>
    <row r="429" spans="1:2" x14ac:dyDescent="0.25">
      <c r="A429" s="7">
        <v>45915</v>
      </c>
      <c r="B429" vm="1251">
        <v>176.46</v>
      </c>
    </row>
    <row r="430" spans="1:2" x14ac:dyDescent="0.25">
      <c r="A430" s="7">
        <v>45915</v>
      </c>
      <c r="B430" vm="1254">
        <v>177.2</v>
      </c>
    </row>
    <row r="431" spans="1:2" x14ac:dyDescent="0.25">
      <c r="A431" s="7">
        <v>45915</v>
      </c>
      <c r="B431" vm="1257">
        <v>174.16</v>
      </c>
    </row>
    <row r="432" spans="1:2" x14ac:dyDescent="0.25">
      <c r="A432" s="7">
        <v>45915</v>
      </c>
      <c r="B432" vm="1260">
        <v>176.19</v>
      </c>
    </row>
    <row r="433" spans="1:2" x14ac:dyDescent="0.25">
      <c r="A433" s="7">
        <v>45922</v>
      </c>
      <c r="B433" vm="1263">
        <v>174.21</v>
      </c>
    </row>
    <row r="434" spans="1:2" x14ac:dyDescent="0.25">
      <c r="A434" s="7">
        <v>45922</v>
      </c>
      <c r="B434" vm="1266">
        <v>176.58</v>
      </c>
    </row>
    <row r="435" spans="1:2" x14ac:dyDescent="0.25">
      <c r="A435" s="7">
        <v>45922</v>
      </c>
      <c r="B435" vm="1269">
        <v>176.69</v>
      </c>
    </row>
    <row r="436" spans="1:2" x14ac:dyDescent="0.25">
      <c r="A436" s="7">
        <v>45922</v>
      </c>
      <c r="B436" vm="1272">
        <v>177.73</v>
      </c>
    </row>
    <row r="437" spans="1:2" x14ac:dyDescent="0.25">
      <c r="A437" s="7">
        <v>45922</v>
      </c>
      <c r="B437" vm="1275">
        <v>179.71</v>
      </c>
    </row>
    <row r="438" spans="1:2" x14ac:dyDescent="0.25">
      <c r="A438" s="7">
        <v>45929</v>
      </c>
      <c r="B438" vm="1278">
        <v>181.62</v>
      </c>
    </row>
    <row r="439" spans="1:2" x14ac:dyDescent="0.25">
      <c r="A439" s="7">
        <v>45929</v>
      </c>
      <c r="B439" vm="1281">
        <v>185.42</v>
      </c>
    </row>
    <row r="440" spans="1:2" x14ac:dyDescent="0.25">
      <c r="A440" s="7">
        <v>45929</v>
      </c>
      <c r="B440" vm="1284">
        <v>186.05</v>
      </c>
    </row>
    <row r="441" spans="1:2" x14ac:dyDescent="0.25">
      <c r="A441" s="7">
        <v>45929</v>
      </c>
      <c r="B441" vm="1287">
        <v>185.98</v>
      </c>
    </row>
    <row r="442" spans="1:2" x14ac:dyDescent="0.25">
      <c r="A442" s="7">
        <v>45929</v>
      </c>
      <c r="B442" vm="1290">
        <v>188.64</v>
      </c>
    </row>
    <row r="443" spans="1:2" x14ac:dyDescent="0.25">
      <c r="A443" s="7">
        <v>45936</v>
      </c>
      <c r="B443" vm="1293">
        <v>188.16</v>
      </c>
    </row>
    <row r="444" spans="1:2" x14ac:dyDescent="0.25">
      <c r="A444" s="7">
        <v>45936</v>
      </c>
      <c r="B444" vm="1296">
        <v>188.89</v>
      </c>
    </row>
    <row r="445" spans="1:2" x14ac:dyDescent="0.25">
      <c r="A445" s="7">
        <v>45936</v>
      </c>
      <c r="B445" vm="1299">
        <v>189.69</v>
      </c>
    </row>
    <row r="446" spans="1:2" x14ac:dyDescent="0.25">
      <c r="A446" s="7">
        <v>45936</v>
      </c>
      <c r="B446" vm="1302">
        <v>191.08</v>
      </c>
    </row>
    <row r="447" spans="1:2" x14ac:dyDescent="0.25">
      <c r="A447" s="7">
        <v>45936</v>
      </c>
      <c r="B447" vm="1305">
        <v>190.72</v>
      </c>
    </row>
    <row r="448" spans="1:2" x14ac:dyDescent="0.25">
      <c r="A448" s="7">
        <v>45943</v>
      </c>
      <c r="B448" vm="1308">
        <v>190.9</v>
      </c>
    </row>
    <row r="449" spans="1:2" x14ac:dyDescent="0.25">
      <c r="A449" s="7">
        <v>45943</v>
      </c>
      <c r="B449" vm="1311">
        <v>190.85</v>
      </c>
    </row>
    <row r="450" spans="1:2" x14ac:dyDescent="0.25">
      <c r="A450" s="7">
        <v>45943</v>
      </c>
      <c r="B450" vm="1314">
        <v>191.17</v>
      </c>
    </row>
    <row r="451" spans="1:2" x14ac:dyDescent="0.25">
      <c r="A451" s="7">
        <v>45943</v>
      </c>
      <c r="B451" vm="1317">
        <v>192.12</v>
      </c>
    </row>
    <row r="452" spans="1:2" x14ac:dyDescent="0.25">
      <c r="A452" s="7">
        <v>45943</v>
      </c>
      <c r="B452" vm="1320">
        <v>193.22</v>
      </c>
    </row>
    <row r="453" spans="1:2" x14ac:dyDescent="0.25">
      <c r="A453" s="7">
        <v>45950</v>
      </c>
      <c r="B453" vm="1323">
        <v>193.72</v>
      </c>
    </row>
    <row r="454" spans="1:2" x14ac:dyDescent="0.25">
      <c r="A454" s="7">
        <v>45950</v>
      </c>
      <c r="B454" vm="1326">
        <v>191.88</v>
      </c>
    </row>
    <row r="455" spans="1:2" x14ac:dyDescent="0.25">
      <c r="A455" s="7">
        <v>45950</v>
      </c>
      <c r="B455" vm="1329">
        <v>192.94</v>
      </c>
    </row>
    <row r="456" spans="1:2" x14ac:dyDescent="0.25">
      <c r="A456" s="7">
        <v>45950</v>
      </c>
      <c r="B456" vm="1332">
        <v>192.47</v>
      </c>
    </row>
    <row r="457" spans="1:2" x14ac:dyDescent="0.25">
      <c r="A457" s="7">
        <v>45950</v>
      </c>
      <c r="B457" vm="1335">
        <v>190.4</v>
      </c>
    </row>
    <row r="458" spans="1:2" x14ac:dyDescent="0.25">
      <c r="A458" s="7">
        <v>45957</v>
      </c>
      <c r="B458" vm="1338">
        <v>190.3</v>
      </c>
    </row>
    <row r="459" spans="1:2" x14ac:dyDescent="0.25">
      <c r="A459" s="7">
        <v>45957</v>
      </c>
      <c r="B459" vm="1341">
        <v>186.93</v>
      </c>
    </row>
    <row r="460" spans="1:2" x14ac:dyDescent="0.25">
      <c r="A460" s="7">
        <v>45957</v>
      </c>
      <c r="B460" vm="1344">
        <v>186.6</v>
      </c>
    </row>
    <row r="461" spans="1:2" x14ac:dyDescent="0.25">
      <c r="A461" s="7">
        <v>45957</v>
      </c>
      <c r="B461" vm="1347">
        <v>189.05</v>
      </c>
    </row>
    <row r="462" spans="1:2" x14ac:dyDescent="0.25">
      <c r="A462" s="7">
        <v>45957</v>
      </c>
      <c r="B462" vm="1350">
        <v>188.87</v>
      </c>
    </row>
    <row r="463" spans="1:2" x14ac:dyDescent="0.25">
      <c r="A463" s="7">
        <v>45964</v>
      </c>
      <c r="B463" vm="1353">
        <v>186.26</v>
      </c>
    </row>
    <row r="464" spans="1:2" x14ac:dyDescent="0.25">
      <c r="A464" s="7">
        <v>45964</v>
      </c>
      <c r="B464" vm="1356">
        <v>186.86</v>
      </c>
    </row>
    <row r="465" spans="1:2" x14ac:dyDescent="0.25">
      <c r="A465" s="7">
        <v>45964</v>
      </c>
      <c r="B465" vm="1359">
        <v>186</v>
      </c>
    </row>
    <row r="466" spans="1:2" x14ac:dyDescent="0.25">
      <c r="A466" s="7">
        <v>45964</v>
      </c>
      <c r="B466" vm="1362">
        <v>186.97</v>
      </c>
    </row>
    <row r="467" spans="1:2" x14ac:dyDescent="0.25">
      <c r="A467" s="7">
        <v>45964</v>
      </c>
      <c r="B467" vm="1365">
        <v>186.57</v>
      </c>
    </row>
    <row r="468" spans="1:2" x14ac:dyDescent="0.25">
      <c r="A468" s="7">
        <v>45971</v>
      </c>
      <c r="B468" vm="1368">
        <v>188.41</v>
      </c>
    </row>
    <row r="469" spans="1:2" x14ac:dyDescent="0.25">
      <c r="A469" s="7">
        <v>45971</v>
      </c>
      <c r="B469" vm="1371">
        <v>193.83</v>
      </c>
    </row>
    <row r="470" spans="1:2" x14ac:dyDescent="0.25">
      <c r="A470" s="7">
        <v>45971</v>
      </c>
      <c r="B470" vm="1374">
        <v>194.39</v>
      </c>
    </row>
    <row r="471" spans="1:2" x14ac:dyDescent="0.25">
      <c r="A471" s="7">
        <v>45971</v>
      </c>
      <c r="B471" vm="1377">
        <v>195.25</v>
      </c>
    </row>
    <row r="472" spans="1:2" x14ac:dyDescent="0.25">
      <c r="A472" s="7">
        <v>45971</v>
      </c>
      <c r="B472" vm="1380">
        <v>195.93</v>
      </c>
    </row>
    <row r="473" spans="1:2" x14ac:dyDescent="0.25">
      <c r="A473" s="7">
        <v>45978</v>
      </c>
      <c r="B473" vm="1383">
        <v>199.58</v>
      </c>
    </row>
    <row r="474" spans="1:2" x14ac:dyDescent="0.25">
      <c r="A474" s="7">
        <v>45978</v>
      </c>
      <c r="B474" vm="1386">
        <v>200</v>
      </c>
    </row>
    <row r="475" spans="1:2" x14ac:dyDescent="0.25">
      <c r="A475" s="7">
        <v>45978</v>
      </c>
      <c r="B475" vm="1389">
        <v>202.51</v>
      </c>
    </row>
    <row r="476" spans="1:2" x14ac:dyDescent="0.25">
      <c r="A476" s="7">
        <v>45978</v>
      </c>
      <c r="B476" vm="1392">
        <v>203.07</v>
      </c>
    </row>
    <row r="477" spans="1:2" x14ac:dyDescent="0.25">
      <c r="A477" s="7">
        <v>45978</v>
      </c>
      <c r="B477" vm="1395">
        <v>203.9</v>
      </c>
    </row>
    <row r="478" spans="1:2" x14ac:dyDescent="0.25">
      <c r="A478" s="7">
        <v>45985</v>
      </c>
      <c r="B478" vm="1398">
        <v>206.05</v>
      </c>
    </row>
    <row r="479" spans="1:2" x14ac:dyDescent="0.25">
      <c r="A479" s="7">
        <v>45985</v>
      </c>
      <c r="B479" vm="1401">
        <v>206.67</v>
      </c>
    </row>
    <row r="480" spans="1:2" x14ac:dyDescent="0.25">
      <c r="A480" s="7">
        <v>45985</v>
      </c>
      <c r="B480" vm="1404">
        <v>207.56</v>
      </c>
    </row>
    <row r="481" spans="1:2" x14ac:dyDescent="0.25">
      <c r="A481" s="7">
        <v>45985</v>
      </c>
      <c r="B481" vm="1407">
        <v>206.92</v>
      </c>
    </row>
    <row r="482" spans="1:2" x14ac:dyDescent="0.25">
      <c r="A482" s="7">
        <v>45992</v>
      </c>
      <c r="B482" vm="1410">
        <v>205.34</v>
      </c>
    </row>
    <row r="483" spans="1:2" x14ac:dyDescent="0.25">
      <c r="A483" s="7">
        <v>45992</v>
      </c>
      <c r="B483" vm="1413">
        <v>205.42</v>
      </c>
    </row>
    <row r="484" spans="1:2" x14ac:dyDescent="0.25">
      <c r="A484" s="7">
        <v>45992</v>
      </c>
      <c r="B484" vm="1416">
        <v>205.33</v>
      </c>
    </row>
    <row r="485" spans="1:2" x14ac:dyDescent="0.25">
      <c r="A485" s="7">
        <v>45992</v>
      </c>
      <c r="B485" vm="1419">
        <v>202.48</v>
      </c>
    </row>
    <row r="486" spans="1:2" x14ac:dyDescent="0.25">
      <c r="A486" s="7">
        <v>45992</v>
      </c>
      <c r="B486" vm="1422">
        <v>201.93</v>
      </c>
    </row>
    <row r="487" spans="1:2" x14ac:dyDescent="0.25">
      <c r="A487" s="7">
        <v>45999</v>
      </c>
      <c r="B487" vm="1425">
        <v>201.62</v>
      </c>
    </row>
    <row r="488" spans="1:2" x14ac:dyDescent="0.25">
      <c r="A488" s="7">
        <v>45999</v>
      </c>
      <c r="B488" vm="1428">
        <v>199.96</v>
      </c>
    </row>
    <row r="489" spans="1:2" x14ac:dyDescent="0.25">
      <c r="A489" s="7">
        <v>45999</v>
      </c>
      <c r="B489" vm="1431">
        <v>206.54</v>
      </c>
    </row>
    <row r="490" spans="1:2" x14ac:dyDescent="0.25">
      <c r="A490" s="7">
        <v>45999</v>
      </c>
      <c r="B490" vm="1434">
        <v>210.01</v>
      </c>
    </row>
    <row r="491" spans="1:2" x14ac:dyDescent="0.25">
      <c r="A491" s="7">
        <v>45999</v>
      </c>
      <c r="B491" vm="1437">
        <v>211.58</v>
      </c>
    </row>
    <row r="492" spans="1:2" x14ac:dyDescent="0.25">
      <c r="A492" s="7">
        <v>46006</v>
      </c>
      <c r="B492" vm="1440">
        <v>214.17</v>
      </c>
    </row>
    <row r="493" spans="1:2" x14ac:dyDescent="0.25">
      <c r="A493" s="7">
        <v>46006</v>
      </c>
      <c r="B493" vm="1443">
        <v>209.3</v>
      </c>
    </row>
    <row r="494" spans="1:2" x14ac:dyDescent="0.25">
      <c r="A494" s="7">
        <v>46006</v>
      </c>
      <c r="B494" vm="1446">
        <v>210.33</v>
      </c>
    </row>
    <row r="495" spans="1:2" x14ac:dyDescent="0.25">
      <c r="A495" s="7">
        <v>46006</v>
      </c>
      <c r="B495" vm="1449">
        <v>208.31</v>
      </c>
    </row>
    <row r="496" spans="1:2" x14ac:dyDescent="0.25">
      <c r="A496" s="7">
        <v>46006</v>
      </c>
      <c r="B496" vm="1452">
        <v>206.37</v>
      </c>
    </row>
    <row r="497" spans="1:2" x14ac:dyDescent="0.25">
      <c r="A497" s="7">
        <v>46013</v>
      </c>
      <c r="B497" vm="1455">
        <v>207.32</v>
      </c>
    </row>
    <row r="498" spans="1:2" x14ac:dyDescent="0.25">
      <c r="A498" s="7">
        <v>46013</v>
      </c>
      <c r="B498" vm="1458">
        <v>205.78</v>
      </c>
    </row>
    <row r="499" spans="1:2" x14ac:dyDescent="0.25">
      <c r="A499" s="7">
        <v>46013</v>
      </c>
      <c r="B499" vm="1461">
        <v>207.78</v>
      </c>
    </row>
    <row r="500" spans="1:2" x14ac:dyDescent="0.25">
      <c r="A500" s="7">
        <v>46013</v>
      </c>
      <c r="B500" vm="1464">
        <v>207.63</v>
      </c>
    </row>
    <row r="501" spans="1:2" x14ac:dyDescent="0.25">
      <c r="A501" s="7">
        <v>46020</v>
      </c>
      <c r="B501" vm="1404">
        <v>207.56</v>
      </c>
    </row>
    <row r="502" spans="1:2" x14ac:dyDescent="0.25">
      <c r="A502" s="7">
        <v>46020</v>
      </c>
      <c r="B502" vm="1469">
        <v>206.91</v>
      </c>
    </row>
    <row r="503" spans="1:2" x14ac:dyDescent="0.25">
      <c r="A503" s="7">
        <v>46020</v>
      </c>
      <c r="B503" vm="1472">
        <v>206.95</v>
      </c>
    </row>
    <row r="504" spans="1:2" x14ac:dyDescent="0.25">
      <c r="A504" s="7">
        <v>46020</v>
      </c>
      <c r="B504" vm="1475">
        <v>207.35</v>
      </c>
    </row>
    <row r="505" spans="1:2" x14ac:dyDescent="0.25">
      <c r="A505" s="7">
        <v>46027</v>
      </c>
      <c r="B505" vm="1478">
        <v>204.31</v>
      </c>
    </row>
    <row r="506" spans="1:2" x14ac:dyDescent="0.25">
      <c r="A506" s="7">
        <v>46027</v>
      </c>
      <c r="B506" vm="1481">
        <v>204.79</v>
      </c>
    </row>
    <row r="507" spans="1:2" x14ac:dyDescent="0.25">
      <c r="A507" s="7">
        <v>46027</v>
      </c>
      <c r="B507" vm="1484">
        <v>207.49</v>
      </c>
    </row>
    <row r="508" spans="1:2" x14ac:dyDescent="0.25">
      <c r="A508" s="7">
        <v>46027</v>
      </c>
      <c r="B508" vm="1487">
        <v>205.75</v>
      </c>
    </row>
    <row r="509" spans="1:2" x14ac:dyDescent="0.25">
      <c r="A509" s="7">
        <v>46027</v>
      </c>
      <c r="B509" vm="1490">
        <v>204.39</v>
      </c>
    </row>
    <row r="510" spans="1:2" x14ac:dyDescent="0.25">
      <c r="A510" s="7">
        <v>46034</v>
      </c>
      <c r="B510" vm="1493">
        <v>209.72</v>
      </c>
    </row>
    <row r="511" spans="1:2" x14ac:dyDescent="0.25">
      <c r="A511" s="7">
        <v>46034</v>
      </c>
      <c r="B511" vm="1496">
        <v>213.65</v>
      </c>
    </row>
    <row r="512" spans="1:2" x14ac:dyDescent="0.25">
      <c r="A512" s="7">
        <v>46034</v>
      </c>
      <c r="B512" vm="1499">
        <v>218.55</v>
      </c>
    </row>
    <row r="513" spans="1:2" x14ac:dyDescent="0.25">
      <c r="A513" s="7">
        <v>46034</v>
      </c>
      <c r="B513" vm="1502">
        <v>219.57</v>
      </c>
    </row>
    <row r="514" spans="1:2" x14ac:dyDescent="0.25">
      <c r="A514" s="7">
        <v>46034</v>
      </c>
      <c r="B514" vm="1505">
        <v>218.66</v>
      </c>
    </row>
    <row r="515" spans="1:2" x14ac:dyDescent="0.25">
      <c r="A515" s="7">
        <v>46041</v>
      </c>
      <c r="B515" vm="1508">
        <v>218.21</v>
      </c>
    </row>
    <row r="516" spans="1:2" x14ac:dyDescent="0.25">
      <c r="A516" s="7">
        <v>46041</v>
      </c>
      <c r="B516" vm="1511">
        <v>218.01</v>
      </c>
    </row>
    <row r="517" spans="1:2" x14ac:dyDescent="0.25">
      <c r="A517" s="7">
        <v>46041</v>
      </c>
      <c r="B517" vm="1514">
        <v>218.49</v>
      </c>
    </row>
    <row r="518" spans="1:2" x14ac:dyDescent="0.25">
      <c r="A518" s="7">
        <v>46041</v>
      </c>
      <c r="B518" vm="1517">
        <v>220.14</v>
      </c>
    </row>
    <row r="519" spans="1:2" x14ac:dyDescent="0.25">
      <c r="A519" s="7">
        <v>46048</v>
      </c>
      <c r="B519" vm="1520">
        <v>221.49</v>
      </c>
    </row>
    <row r="520" spans="1:2" x14ac:dyDescent="0.25">
      <c r="A520" s="7">
        <v>46048</v>
      </c>
      <c r="B520" vm="1523">
        <v>224.44</v>
      </c>
    </row>
    <row r="521" spans="1:2" x14ac:dyDescent="0.25">
      <c r="A521" s="7">
        <v>46048</v>
      </c>
      <c r="B521" vm="1526">
        <v>227.72</v>
      </c>
    </row>
    <row r="522" spans="1:2" x14ac:dyDescent="0.25">
      <c r="A522" s="7">
        <v>46048</v>
      </c>
      <c r="B522" vm="1529">
        <v>227.29</v>
      </c>
    </row>
    <row r="523" spans="1:2" x14ac:dyDescent="0.25">
      <c r="A523" s="7">
        <v>46048</v>
      </c>
      <c r="B523" vm="1532">
        <v>227.25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85D0-8F8F-4C76-A4A2-B915CF76503E}">
  <dimension ref="F5:L9"/>
  <sheetViews>
    <sheetView tabSelected="1" topLeftCell="A71" workbookViewId="0">
      <selection activeCell="N9" sqref="N9"/>
    </sheetView>
  </sheetViews>
  <sheetFormatPr defaultRowHeight="15" x14ac:dyDescent="0.25"/>
  <cols>
    <col min="1" max="4" width="9.140625" style="4"/>
    <col min="5" max="5" width="9.5703125" style="4" customWidth="1"/>
    <col min="6" max="7" width="9.140625" style="4"/>
    <col min="8" max="8" width="13.140625" style="4" customWidth="1"/>
    <col min="9" max="9" width="15.42578125" style="4" bestFit="1" customWidth="1"/>
    <col min="10" max="16384" width="9.140625" style="4"/>
  </cols>
  <sheetData>
    <row r="5" spans="6:12" ht="46.5" x14ac:dyDescent="0.7">
      <c r="F5" s="9" t="s">
        <v>22</v>
      </c>
      <c r="G5" s="9"/>
      <c r="H5" s="9"/>
      <c r="I5" s="9"/>
      <c r="J5" s="9"/>
      <c r="K5" s="9"/>
      <c r="L5" s="9"/>
    </row>
    <row r="8" spans="6:12" ht="26.25" x14ac:dyDescent="0.4">
      <c r="I8" s="5"/>
    </row>
    <row r="9" spans="6:12" ht="31.5" x14ac:dyDescent="0.5">
      <c r="I9" s="8"/>
    </row>
  </sheetData>
  <mergeCells count="1">
    <mergeCell ref="F5:L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C8F1-BF9E-427B-B65A-05BE95BED7B4}">
  <dimension ref="A1:B105"/>
  <sheetViews>
    <sheetView workbookViewId="0">
      <selection activeCell="E6" sqref="E6"/>
    </sheetView>
  </sheetViews>
  <sheetFormatPr defaultRowHeight="15" x14ac:dyDescent="0.25"/>
  <cols>
    <col min="1" max="1" width="20.7109375" style="2" customWidth="1"/>
  </cols>
  <sheetData>
    <row r="1" spans="1:2" x14ac:dyDescent="0.25">
      <c r="A1" s="1" t="s">
        <v>16</v>
      </c>
      <c r="B1" s="1" t="s">
        <v>17</v>
      </c>
    </row>
    <row r="2" spans="1:2" x14ac:dyDescent="0.25">
      <c r="A2" s="2">
        <v>36567</v>
      </c>
      <c r="B2">
        <v>0.14000000000000001</v>
      </c>
    </row>
    <row r="3" spans="1:2" x14ac:dyDescent="0.25">
      <c r="A3" s="2">
        <v>36665</v>
      </c>
      <c r="B3">
        <v>0.16</v>
      </c>
    </row>
    <row r="4" spans="1:2" x14ac:dyDescent="0.25">
      <c r="A4" s="2">
        <v>36756</v>
      </c>
      <c r="B4">
        <v>0.16</v>
      </c>
    </row>
    <row r="5" spans="1:2" x14ac:dyDescent="0.25">
      <c r="A5" s="2">
        <v>36847</v>
      </c>
      <c r="B5">
        <v>0.16</v>
      </c>
    </row>
    <row r="6" spans="1:2" x14ac:dyDescent="0.25">
      <c r="A6" s="2">
        <v>36937</v>
      </c>
      <c r="B6">
        <v>0.16</v>
      </c>
    </row>
    <row r="7" spans="1:2" x14ac:dyDescent="0.25">
      <c r="A7" s="2">
        <v>37029</v>
      </c>
      <c r="B7">
        <v>0.18</v>
      </c>
    </row>
    <row r="8" spans="1:2" x14ac:dyDescent="0.25">
      <c r="A8" s="2">
        <v>37120</v>
      </c>
      <c r="B8">
        <v>0.18</v>
      </c>
    </row>
    <row r="9" spans="1:2" x14ac:dyDescent="0.25">
      <c r="A9" s="2">
        <v>37211</v>
      </c>
      <c r="B9">
        <v>0.18</v>
      </c>
    </row>
    <row r="10" spans="1:2" x14ac:dyDescent="0.25">
      <c r="A10" s="2">
        <v>37301</v>
      </c>
      <c r="B10">
        <v>0.18</v>
      </c>
    </row>
    <row r="11" spans="1:2" x14ac:dyDescent="0.25">
      <c r="A11" s="2">
        <v>37393</v>
      </c>
      <c r="B11">
        <v>0.20499999999999999</v>
      </c>
    </row>
    <row r="12" spans="1:2" x14ac:dyDescent="0.25">
      <c r="A12" s="2">
        <v>37484</v>
      </c>
      <c r="B12">
        <v>0.20499999999999999</v>
      </c>
    </row>
    <row r="13" spans="1:2" x14ac:dyDescent="0.25">
      <c r="A13" s="2">
        <v>37575</v>
      </c>
      <c r="B13">
        <v>0.20499999999999999</v>
      </c>
    </row>
    <row r="14" spans="1:2" x14ac:dyDescent="0.25">
      <c r="A14" s="2">
        <v>37665</v>
      </c>
      <c r="B14">
        <v>0.20499999999999999</v>
      </c>
    </row>
    <row r="15" spans="1:2" x14ac:dyDescent="0.25">
      <c r="A15" s="2">
        <v>37757</v>
      </c>
      <c r="B15">
        <v>0.24</v>
      </c>
    </row>
    <row r="16" spans="1:2" x14ac:dyDescent="0.25">
      <c r="A16" s="2">
        <v>37848</v>
      </c>
      <c r="B16">
        <v>0.24</v>
      </c>
    </row>
    <row r="17" spans="1:2" x14ac:dyDescent="0.25">
      <c r="A17" s="2">
        <v>37939</v>
      </c>
      <c r="B17">
        <v>0.24</v>
      </c>
    </row>
    <row r="18" spans="1:2" x14ac:dyDescent="0.25">
      <c r="A18" s="2">
        <v>38029</v>
      </c>
      <c r="B18">
        <v>0.24</v>
      </c>
    </row>
    <row r="19" spans="1:2" x14ac:dyDescent="0.25">
      <c r="A19" s="2">
        <v>38121</v>
      </c>
      <c r="B19">
        <v>0.28499999999999998</v>
      </c>
    </row>
    <row r="20" spans="1:2" x14ac:dyDescent="0.25">
      <c r="A20" s="2">
        <v>38212</v>
      </c>
      <c r="B20">
        <v>0.28499999999999998</v>
      </c>
    </row>
    <row r="21" spans="1:2" x14ac:dyDescent="0.25">
      <c r="A21" s="2">
        <v>38303</v>
      </c>
      <c r="B21">
        <v>0.28499999999999998</v>
      </c>
    </row>
    <row r="22" spans="1:2" x14ac:dyDescent="0.25">
      <c r="A22" s="2">
        <v>38394</v>
      </c>
      <c r="B22">
        <v>0.28499999999999998</v>
      </c>
    </row>
    <row r="23" spans="1:2" x14ac:dyDescent="0.25">
      <c r="A23" s="2">
        <v>38485</v>
      </c>
      <c r="B23">
        <v>0.33</v>
      </c>
    </row>
    <row r="24" spans="1:2" x14ac:dyDescent="0.25">
      <c r="A24" s="2">
        <v>38583</v>
      </c>
      <c r="B24">
        <v>0.33</v>
      </c>
    </row>
    <row r="25" spans="1:2" x14ac:dyDescent="0.25">
      <c r="A25" s="2">
        <v>38674</v>
      </c>
      <c r="B25">
        <v>0.33</v>
      </c>
    </row>
    <row r="26" spans="1:2" x14ac:dyDescent="0.25">
      <c r="A26" s="2">
        <v>38772</v>
      </c>
      <c r="B26">
        <v>0.33</v>
      </c>
    </row>
    <row r="27" spans="1:2" x14ac:dyDescent="0.25">
      <c r="A27" s="2">
        <v>38862</v>
      </c>
      <c r="B27">
        <v>0.375</v>
      </c>
    </row>
    <row r="28" spans="1:2" x14ac:dyDescent="0.25">
      <c r="A28" s="2">
        <v>38954</v>
      </c>
      <c r="B28">
        <v>0.375</v>
      </c>
    </row>
    <row r="29" spans="1:2" x14ac:dyDescent="0.25">
      <c r="A29" s="2">
        <v>39045</v>
      </c>
      <c r="B29">
        <v>0.375</v>
      </c>
    </row>
    <row r="30" spans="1:2" x14ac:dyDescent="0.25">
      <c r="A30" s="2">
        <v>39136</v>
      </c>
      <c r="B30">
        <v>0.375</v>
      </c>
    </row>
    <row r="31" spans="1:2" x14ac:dyDescent="0.25">
      <c r="A31" s="2">
        <v>39226</v>
      </c>
      <c r="B31">
        <v>0.41499999999999998</v>
      </c>
    </row>
    <row r="32" spans="1:2" x14ac:dyDescent="0.25">
      <c r="A32" s="2">
        <v>39318</v>
      </c>
      <c r="B32">
        <v>0.41499999999999998</v>
      </c>
    </row>
    <row r="33" spans="1:2" x14ac:dyDescent="0.25">
      <c r="A33" s="2">
        <v>39409</v>
      </c>
      <c r="B33">
        <v>0.41499999999999998</v>
      </c>
    </row>
    <row r="34" spans="1:2" x14ac:dyDescent="0.25">
      <c r="A34" s="2">
        <v>39500</v>
      </c>
      <c r="B34">
        <v>0.41499999999999998</v>
      </c>
    </row>
    <row r="35" spans="1:2" x14ac:dyDescent="0.25">
      <c r="A35" s="2">
        <v>39590</v>
      </c>
      <c r="B35">
        <v>0.46</v>
      </c>
    </row>
    <row r="36" spans="1:2" x14ac:dyDescent="0.25">
      <c r="A36" s="2">
        <v>39682</v>
      </c>
      <c r="B36">
        <v>0.46</v>
      </c>
    </row>
    <row r="37" spans="1:2" x14ac:dyDescent="0.25">
      <c r="A37" s="2">
        <v>39773</v>
      </c>
      <c r="B37">
        <v>0.46</v>
      </c>
    </row>
    <row r="38" spans="1:2" x14ac:dyDescent="0.25">
      <c r="A38" s="2">
        <v>39864</v>
      </c>
      <c r="B38">
        <v>0.46</v>
      </c>
    </row>
    <row r="39" spans="1:2" x14ac:dyDescent="0.25">
      <c r="A39" s="2">
        <v>39954</v>
      </c>
      <c r="B39">
        <v>0.49</v>
      </c>
    </row>
    <row r="40" spans="1:2" x14ac:dyDescent="0.25">
      <c r="A40" s="2">
        <v>40046</v>
      </c>
      <c r="B40">
        <v>0.49</v>
      </c>
    </row>
    <row r="41" spans="1:2" x14ac:dyDescent="0.25">
      <c r="A41" s="2">
        <v>40137</v>
      </c>
      <c r="B41">
        <v>0.49</v>
      </c>
    </row>
    <row r="42" spans="1:2" x14ac:dyDescent="0.25">
      <c r="A42" s="2">
        <v>40228</v>
      </c>
      <c r="B42">
        <v>0.49</v>
      </c>
    </row>
    <row r="43" spans="1:2" x14ac:dyDescent="0.25">
      <c r="A43" s="2">
        <v>40325</v>
      </c>
      <c r="B43">
        <v>0.54</v>
      </c>
    </row>
    <row r="44" spans="1:2" x14ac:dyDescent="0.25">
      <c r="A44" s="2">
        <v>40417</v>
      </c>
      <c r="B44">
        <v>0.54</v>
      </c>
    </row>
    <row r="45" spans="1:2" x14ac:dyDescent="0.25">
      <c r="A45" s="2">
        <v>40508</v>
      </c>
      <c r="B45">
        <v>0.54</v>
      </c>
    </row>
    <row r="46" spans="1:2" x14ac:dyDescent="0.25">
      <c r="A46" s="2">
        <v>40599</v>
      </c>
      <c r="B46">
        <v>0.54</v>
      </c>
    </row>
    <row r="47" spans="1:2" x14ac:dyDescent="0.25">
      <c r="A47" s="2">
        <v>40689</v>
      </c>
      <c r="B47">
        <v>0.56999999999999995</v>
      </c>
    </row>
    <row r="48" spans="1:2" x14ac:dyDescent="0.25">
      <c r="A48" s="2">
        <v>40781</v>
      </c>
      <c r="B48">
        <v>0.56999999999999995</v>
      </c>
    </row>
    <row r="49" spans="1:2" x14ac:dyDescent="0.25">
      <c r="A49" s="2">
        <v>40872</v>
      </c>
      <c r="B49">
        <v>0.56999999999999995</v>
      </c>
    </row>
    <row r="50" spans="1:2" x14ac:dyDescent="0.25">
      <c r="A50" s="2">
        <v>40963</v>
      </c>
      <c r="B50">
        <v>0.56999999999999995</v>
      </c>
    </row>
    <row r="51" spans="1:2" x14ac:dyDescent="0.25">
      <c r="A51" s="2">
        <v>41053</v>
      </c>
      <c r="B51">
        <v>0.61</v>
      </c>
    </row>
    <row r="52" spans="1:2" x14ac:dyDescent="0.25">
      <c r="A52" s="2">
        <v>41145</v>
      </c>
      <c r="B52">
        <v>0.61</v>
      </c>
    </row>
    <row r="53" spans="1:2" x14ac:dyDescent="0.25">
      <c r="A53" s="2">
        <v>41236</v>
      </c>
      <c r="B53">
        <v>0.61</v>
      </c>
    </row>
    <row r="54" spans="1:2" x14ac:dyDescent="0.25">
      <c r="A54" s="2">
        <v>41327</v>
      </c>
      <c r="B54">
        <v>0.61</v>
      </c>
    </row>
    <row r="55" spans="1:2" x14ac:dyDescent="0.25">
      <c r="A55" s="2">
        <v>41417</v>
      </c>
      <c r="B55">
        <v>0.66</v>
      </c>
    </row>
    <row r="56" spans="1:2" x14ac:dyDescent="0.25">
      <c r="A56" s="2">
        <v>41509</v>
      </c>
      <c r="B56">
        <v>0.66</v>
      </c>
    </row>
    <row r="57" spans="1:2" x14ac:dyDescent="0.25">
      <c r="A57" s="2">
        <v>41600</v>
      </c>
      <c r="B57">
        <v>0.66</v>
      </c>
    </row>
    <row r="58" spans="1:2" x14ac:dyDescent="0.25">
      <c r="A58" s="2">
        <v>41691</v>
      </c>
      <c r="B58">
        <v>0.66</v>
      </c>
    </row>
    <row r="59" spans="1:2" x14ac:dyDescent="0.25">
      <c r="A59" s="2">
        <v>41781</v>
      </c>
      <c r="B59">
        <v>0.7</v>
      </c>
    </row>
    <row r="60" spans="1:2" x14ac:dyDescent="0.25">
      <c r="A60" s="2">
        <v>41873</v>
      </c>
      <c r="B60">
        <v>0.7</v>
      </c>
    </row>
    <row r="61" spans="1:2" x14ac:dyDescent="0.25">
      <c r="A61" s="2">
        <v>41964</v>
      </c>
      <c r="B61">
        <v>0.7</v>
      </c>
    </row>
    <row r="62" spans="1:2" x14ac:dyDescent="0.25">
      <c r="A62" s="2">
        <v>42055</v>
      </c>
      <c r="B62">
        <v>0.7</v>
      </c>
    </row>
    <row r="63" spans="1:2" x14ac:dyDescent="0.25">
      <c r="A63" s="2">
        <v>42145</v>
      </c>
      <c r="B63">
        <v>0.75</v>
      </c>
    </row>
    <row r="64" spans="1:2" x14ac:dyDescent="0.25">
      <c r="A64" s="2">
        <v>42237</v>
      </c>
      <c r="B64">
        <v>0.75</v>
      </c>
    </row>
    <row r="65" spans="1:2" x14ac:dyDescent="0.25">
      <c r="A65" s="2">
        <v>42328</v>
      </c>
      <c r="B65">
        <v>0.75</v>
      </c>
    </row>
    <row r="66" spans="1:2" x14ac:dyDescent="0.25">
      <c r="A66" s="2">
        <v>42419</v>
      </c>
      <c r="B66">
        <v>0.75</v>
      </c>
    </row>
    <row r="67" spans="1:2" x14ac:dyDescent="0.25">
      <c r="A67" s="2">
        <v>42510</v>
      </c>
      <c r="B67">
        <v>0.8</v>
      </c>
    </row>
    <row r="68" spans="1:2" x14ac:dyDescent="0.25">
      <c r="A68" s="2">
        <v>42601</v>
      </c>
      <c r="B68">
        <v>0.8</v>
      </c>
    </row>
    <row r="69" spans="1:2" x14ac:dyDescent="0.25">
      <c r="A69" s="2">
        <v>42692</v>
      </c>
      <c r="B69">
        <v>0.8</v>
      </c>
    </row>
    <row r="70" spans="1:2" x14ac:dyDescent="0.25">
      <c r="A70" s="2">
        <v>42790</v>
      </c>
      <c r="B70">
        <v>0.8</v>
      </c>
    </row>
    <row r="71" spans="1:2" x14ac:dyDescent="0.25">
      <c r="A71" s="2">
        <v>42880</v>
      </c>
      <c r="B71">
        <v>0.84</v>
      </c>
    </row>
    <row r="72" spans="1:2" x14ac:dyDescent="0.25">
      <c r="A72" s="2">
        <v>42972</v>
      </c>
      <c r="B72">
        <v>0.84</v>
      </c>
    </row>
    <row r="73" spans="1:2" x14ac:dyDescent="0.25">
      <c r="A73" s="2">
        <v>43066</v>
      </c>
      <c r="B73">
        <v>0.84</v>
      </c>
    </row>
    <row r="74" spans="1:2" x14ac:dyDescent="0.25">
      <c r="A74" s="2">
        <v>43157</v>
      </c>
      <c r="B74">
        <v>0.84</v>
      </c>
    </row>
    <row r="75" spans="1:2" x14ac:dyDescent="0.25">
      <c r="A75" s="2">
        <v>43245</v>
      </c>
      <c r="B75">
        <v>0.9</v>
      </c>
    </row>
    <row r="76" spans="1:2" x14ac:dyDescent="0.25">
      <c r="A76" s="2">
        <v>43339</v>
      </c>
      <c r="B76">
        <v>0.9</v>
      </c>
    </row>
    <row r="77" spans="1:2" x14ac:dyDescent="0.25">
      <c r="A77" s="2">
        <v>43430</v>
      </c>
      <c r="B77">
        <v>0.9</v>
      </c>
    </row>
    <row r="78" spans="1:2" x14ac:dyDescent="0.25">
      <c r="A78" s="2">
        <v>43521</v>
      </c>
      <c r="B78">
        <v>0.9</v>
      </c>
    </row>
    <row r="79" spans="1:2" x14ac:dyDescent="0.25">
      <c r="A79" s="2">
        <v>43609</v>
      </c>
      <c r="B79">
        <v>0.95</v>
      </c>
    </row>
    <row r="80" spans="1:2" x14ac:dyDescent="0.25">
      <c r="A80" s="2">
        <v>43703</v>
      </c>
      <c r="B80">
        <v>0.95</v>
      </c>
    </row>
    <row r="81" spans="1:2" x14ac:dyDescent="0.25">
      <c r="A81" s="2">
        <v>43794</v>
      </c>
      <c r="B81">
        <v>0.95</v>
      </c>
    </row>
    <row r="82" spans="1:2" x14ac:dyDescent="0.25">
      <c r="A82" s="2">
        <v>43885</v>
      </c>
      <c r="B82">
        <v>0.95</v>
      </c>
    </row>
    <row r="83" spans="1:2" x14ac:dyDescent="0.25">
      <c r="A83" s="2">
        <v>43973</v>
      </c>
      <c r="B83">
        <v>1.01</v>
      </c>
    </row>
    <row r="84" spans="1:2" x14ac:dyDescent="0.25">
      <c r="A84" s="2">
        <v>44067</v>
      </c>
      <c r="B84">
        <v>1.01</v>
      </c>
    </row>
    <row r="85" spans="1:2" x14ac:dyDescent="0.25">
      <c r="A85" s="2">
        <v>44158</v>
      </c>
      <c r="B85">
        <v>1.01</v>
      </c>
    </row>
    <row r="86" spans="1:2" x14ac:dyDescent="0.25">
      <c r="A86" s="2">
        <v>44249</v>
      </c>
      <c r="B86">
        <v>1.01</v>
      </c>
    </row>
    <row r="87" spans="1:2" x14ac:dyDescent="0.25">
      <c r="A87" s="2">
        <v>44340</v>
      </c>
      <c r="B87">
        <v>1.06</v>
      </c>
    </row>
    <row r="88" spans="1:2" x14ac:dyDescent="0.25">
      <c r="A88" s="2">
        <v>44431</v>
      </c>
      <c r="B88">
        <v>1.06</v>
      </c>
    </row>
    <row r="89" spans="1:2" x14ac:dyDescent="0.25">
      <c r="A89" s="2">
        <v>44522</v>
      </c>
      <c r="B89">
        <v>1.06</v>
      </c>
    </row>
    <row r="90" spans="1:2" x14ac:dyDescent="0.25">
      <c r="A90" s="2">
        <v>44610</v>
      </c>
      <c r="B90">
        <v>1.06</v>
      </c>
    </row>
    <row r="91" spans="1:2" x14ac:dyDescent="0.25">
      <c r="A91" s="2">
        <v>44704</v>
      </c>
      <c r="B91">
        <v>1.1299999999999999</v>
      </c>
    </row>
    <row r="92" spans="1:2" x14ac:dyDescent="0.25">
      <c r="A92" s="2">
        <v>44795</v>
      </c>
      <c r="B92">
        <v>1.1299999999999999</v>
      </c>
    </row>
    <row r="93" spans="1:2" x14ac:dyDescent="0.25">
      <c r="A93" s="2">
        <v>44886</v>
      </c>
      <c r="B93">
        <v>1.1299999999999999</v>
      </c>
    </row>
    <row r="94" spans="1:2" x14ac:dyDescent="0.25">
      <c r="A94" s="2">
        <v>44974</v>
      </c>
      <c r="B94">
        <v>1.1299999999999999</v>
      </c>
    </row>
    <row r="95" spans="1:2" x14ac:dyDescent="0.25">
      <c r="A95" s="2">
        <v>45068</v>
      </c>
      <c r="B95">
        <v>1.19</v>
      </c>
    </row>
    <row r="96" spans="1:2" x14ac:dyDescent="0.25">
      <c r="A96" s="2">
        <v>45163</v>
      </c>
      <c r="B96">
        <v>1.19</v>
      </c>
    </row>
    <row r="97" spans="1:2" x14ac:dyDescent="0.25">
      <c r="A97" s="2">
        <v>45250</v>
      </c>
      <c r="B97">
        <v>1.19</v>
      </c>
    </row>
    <row r="98" spans="1:2" x14ac:dyDescent="0.25">
      <c r="A98" s="2">
        <v>45338</v>
      </c>
      <c r="B98">
        <v>1.19</v>
      </c>
    </row>
    <row r="99" spans="1:2" x14ac:dyDescent="0.25">
      <c r="A99" s="2">
        <v>45432</v>
      </c>
      <c r="B99">
        <v>1.24</v>
      </c>
    </row>
    <row r="100" spans="1:2" x14ac:dyDescent="0.25">
      <c r="A100" s="2">
        <v>45531</v>
      </c>
      <c r="B100">
        <v>1.24</v>
      </c>
    </row>
    <row r="101" spans="1:2" x14ac:dyDescent="0.25">
      <c r="A101" s="2">
        <v>45622</v>
      </c>
      <c r="B101">
        <v>1.24</v>
      </c>
    </row>
    <row r="102" spans="1:2" x14ac:dyDescent="0.25">
      <c r="A102" s="2">
        <v>45706</v>
      </c>
      <c r="B102">
        <v>1.24</v>
      </c>
    </row>
    <row r="103" spans="1:2" x14ac:dyDescent="0.25">
      <c r="A103" s="2">
        <v>45804</v>
      </c>
      <c r="B103">
        <v>1.3</v>
      </c>
    </row>
    <row r="104" spans="1:2" x14ac:dyDescent="0.25">
      <c r="A104" s="2">
        <v>45895</v>
      </c>
      <c r="B104">
        <v>1.3</v>
      </c>
    </row>
    <row r="105" spans="1:2" x14ac:dyDescent="0.25">
      <c r="A105" s="2">
        <v>45986</v>
      </c>
      <c r="B105">
        <v>1.3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817C6-8EC2-41CE-BB9A-EB663D187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JNJ</vt:lpstr>
      <vt:lpstr>Weekly</vt:lpstr>
      <vt:lpstr>Sheet4</vt:lpstr>
      <vt:lpstr>Dashboard</vt:lpstr>
      <vt:lpstr>Dividends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2026-01-28T02:19:49Z</dcterms:created>
  <dcterms:modified xsi:type="dcterms:W3CDTF">2026-01-31T20:49:40Z</dcterms:modified>
</cp:coreProperties>
</file>